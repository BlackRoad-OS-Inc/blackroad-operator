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Annual Budget Template" sheetId="2" r:id="rId6"/>
    <sheet state="visible" name="Annual Budget Template by Expen" sheetId="3" r:id="rId7"/>
    <sheet state="visible" name="Annual (with Quarterly) Budget " sheetId="4" r:id="rId8"/>
    <sheet state="visible" name="Monthly Budget Template" sheetId="5" r:id="rId9"/>
    <sheet state="visible" name="Program Budget Template" sheetId="6" r:id="rId10"/>
    <sheet state="visible" name="Personal Budget Template" sheetId="7" r:id="rId11"/>
  </sheets>
  <definedNames/>
  <calcPr/>
</workbook>
</file>

<file path=xl/sharedStrings.xml><?xml version="1.0" encoding="utf-8"?>
<sst xmlns="http://schemas.openxmlformats.org/spreadsheetml/2006/main" count="233" uniqueCount="63">
  <si>
    <t>How to Use This Template:</t>
  </si>
  <si>
    <t xml:space="preserve">Choose the template from the list below that best aligns with your needs. The templates are completely customizable, but be careful adding rows/columns, as this could impac the equations in certain cells. 
Please note that any cells/columns that are wrapped by a solid black border contain an equation, so nothing should be added to those cells. 
</t>
  </si>
  <si>
    <t>Budget Templates</t>
  </si>
  <si>
    <t>Table of Contents</t>
  </si>
  <si>
    <r>
      <rPr>
        <rFont val="Avenir"/>
        <color rgb="FF30465D"/>
        <sz val="12.0"/>
      </rPr>
      <t xml:space="preserve">1. </t>
    </r>
    <r>
      <rPr>
        <rFont val="Avenir"/>
        <color rgb="FF1155CC"/>
        <sz val="12.0"/>
        <u/>
      </rPr>
      <t>Annual Budget Template</t>
    </r>
    <r>
      <rPr>
        <rFont val="Avenir"/>
        <color rgb="FF30465D"/>
        <sz val="12.0"/>
      </rPr>
      <t xml:space="preserve">
2. </t>
    </r>
    <r>
      <rPr>
        <rFont val="Avenir"/>
        <color rgb="FF1155CC"/>
        <sz val="12.0"/>
        <u/>
      </rPr>
      <t>Annual Budget Template by Expense</t>
    </r>
    <r>
      <rPr>
        <rFont val="Avenir"/>
        <color rgb="FF30465D"/>
        <sz val="12.0"/>
      </rPr>
      <t xml:space="preserve">
3. </t>
    </r>
    <r>
      <rPr>
        <rFont val="Avenir"/>
        <color rgb="FF1155CC"/>
        <sz val="12.0"/>
        <u/>
      </rPr>
      <t>Annual (with Quarterly) Budget Template</t>
    </r>
    <r>
      <rPr>
        <rFont val="Avenir"/>
        <color rgb="FF30465D"/>
        <sz val="12.0"/>
      </rPr>
      <t xml:space="preserve">
4. </t>
    </r>
    <r>
      <rPr>
        <rFont val="Avenir"/>
        <color rgb="FF1155CC"/>
        <sz val="12.0"/>
        <u/>
      </rPr>
      <t>Monthly Budget Template</t>
    </r>
    <r>
      <rPr>
        <rFont val="Avenir"/>
        <color rgb="FF30465D"/>
        <sz val="12.0"/>
      </rPr>
      <t xml:space="preserve">
5. </t>
    </r>
    <r>
      <rPr>
        <rFont val="Avenir"/>
        <color rgb="FF1155CC"/>
        <sz val="12.0"/>
        <u/>
      </rPr>
      <t>Program Budget Template</t>
    </r>
    <r>
      <rPr>
        <rFont val="Avenir"/>
        <color rgb="FF30465D"/>
        <sz val="12.0"/>
      </rPr>
      <t xml:space="preserve">
6. </t>
    </r>
    <r>
      <rPr>
        <rFont val="Avenir"/>
        <color rgb="FF1155CC"/>
        <sz val="12.0"/>
        <u/>
      </rPr>
      <t>Personal Budget Template</t>
    </r>
  </si>
  <si>
    <t>Free Lesson: Paid Media and Marketing Ad Spend</t>
  </si>
  <si>
    <t>Learn how to manage your budget with HubSpot Academy</t>
  </si>
  <si>
    <t>Take the Free Course</t>
  </si>
  <si>
    <t>Annual Budget Template</t>
  </si>
  <si>
    <t>Month</t>
  </si>
  <si>
    <t>Planned</t>
  </si>
  <si>
    <t>Actual</t>
  </si>
  <si>
    <t>Remaining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</si>
  <si>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</si>
  <si>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</si>
  <si>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</si>
  <si>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</si>
  <si>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</si>
  <si>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</si>
  <si>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</si>
  <si>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</si>
  <si>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</si>
  <si>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</si>
  <si>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</si>
  <si>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</si>
  <si>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</si>
  <si>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Annual Budget Template by Expense</t>
  </si>
  <si>
    <t>Month/Expense</t>
  </si>
  <si>
    <t>Vendor</t>
  </si>
  <si>
    <t>Approver</t>
  </si>
  <si>
    <t>Notes</t>
  </si>
  <si>
    <t xml:space="preserve">  Program 1</t>
  </si>
  <si>
    <t xml:space="preserve">  Program 2</t>
  </si>
  <si>
    <t xml:space="preserve">  Program 3</t>
  </si>
  <si>
    <t>Time/Expense</t>
  </si>
  <si>
    <t>Quarter</t>
  </si>
  <si>
    <t>Q1</t>
  </si>
  <si>
    <t>Q2</t>
  </si>
  <si>
    <t>Q3</t>
  </si>
  <si>
    <t>Q4</t>
  </si>
  <si>
    <t>Quarter/Expense</t>
  </si>
  <si>
    <t>[Month] Budget Template</t>
  </si>
  <si>
    <t>Expense</t>
  </si>
  <si>
    <t>Expense 1</t>
  </si>
  <si>
    <t>Expense 2</t>
  </si>
  <si>
    <t>Expense 3</t>
  </si>
  <si>
    <t>Expense 4</t>
  </si>
  <si>
    <t>Expense 5</t>
  </si>
  <si>
    <t>Expense 6</t>
  </si>
  <si>
    <t>Expense 7</t>
  </si>
  <si>
    <t>Expense 8</t>
  </si>
  <si>
    <t>Expense 9</t>
  </si>
  <si>
    <t>Expense 10</t>
  </si>
  <si>
    <t>Expense 11</t>
  </si>
  <si>
    <t>Expense 12</t>
  </si>
  <si>
    <t>[Program Name] Budget Template</t>
  </si>
  <si>
    <t>Program Connection</t>
  </si>
  <si>
    <t>Personal Budget Template</t>
  </si>
  <si>
    <t>Monthly Income:</t>
  </si>
  <si>
    <t>Remaining (Planned)</t>
  </si>
  <si>
    <t>Company</t>
  </si>
  <si>
    <t>Paid?</t>
  </si>
  <si>
    <t>Remaining (Actual)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</si>
</sst>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6">
    <font>
      <sz val="10.0"/>
      <color rgb="FF000000"/>
      <name val="Arial"/>
      <scheme val="minor"/>
    </font>
    <font>
      <color theme="1"/>
      <name val="Arial"/>
      <scheme val="minor"/>
    </font>
    <font>
      <b/>
      <sz val="18.0"/>
      <color rgb="FF000000"/>
      <name val="Avenir"/>
    </font>
    <font>
      <b/>
      <sz val="18.0"/>
      <color rgb="FF2D3E50"/>
      <name val="Avenir"/>
    </font>
    <font/>
    <font>
      <b/>
      <sz val="18.0"/>
      <color rgb="FF000000"/>
      <name val="&quot;Avenir Next LT Pro&quot;"/>
    </font>
    <font>
      <sz val="14.0"/>
      <color rgb="FF000000"/>
      <name val="Avenir"/>
    </font>
    <font>
      <sz val="12.0"/>
      <color rgb="FF30465D"/>
      <name val="Avenir"/>
    </font>
    <font>
      <b/>
      <sz val="30.0"/>
      <color rgb="FFFFFFFF"/>
      <name val="Lexend Deca"/>
    </font>
    <font>
      <sz val="12.0"/>
      <color rgb="FF000000"/>
      <name val="Calibri"/>
    </font>
    <font>
      <sz val="14.0"/>
      <color rgb="FFFFFFFF"/>
      <name val="Avenir"/>
    </font>
    <font>
      <sz val="12.0"/>
      <color rgb="FFFFFFFF"/>
      <name val="Calibri"/>
    </font>
    <font>
      <u/>
      <sz val="12.0"/>
      <color rgb="FF30465D"/>
      <name val="Avenir"/>
    </font>
    <font>
      <b/>
      <sz val="16.0"/>
      <color rgb="FF2D3E50"/>
      <name val="Lexend Deca"/>
    </font>
    <font>
      <sz val="14.0"/>
      <color rgb="FF2D3E50"/>
      <name val="Avenir"/>
    </font>
    <font>
      <sz val="14.0"/>
      <color rgb="FF2D3E50"/>
      <name val="Lexend Deca"/>
    </font>
    <font>
      <sz val="12.0"/>
      <color rgb="FF000000"/>
      <name val="Lexend Deca"/>
    </font>
    <font>
      <b/>
      <u/>
      <sz val="14.0"/>
      <color rgb="FFFFFFFF"/>
      <name val="Lexend Deca"/>
    </font>
    <font>
      <sz val="22.0"/>
      <color rgb="FFFFFFFF"/>
      <name val="Avenir"/>
    </font>
    <font>
      <color theme="1"/>
      <name val="Lexend Deca"/>
    </font>
    <font>
      <b/>
      <color rgb="FFFFFFFF"/>
      <name val="Lexend Deca"/>
    </font>
    <font>
      <color rgb="FF2E475D"/>
      <name val="Lexend Deca"/>
    </font>
    <font>
      <b/>
      <color rgb="FF2E475D"/>
      <name val="Lexend Deca"/>
    </font>
    <font>
      <b/>
      <color theme="1"/>
      <name val="Lexend Deca"/>
    </font>
    <font>
      <sz val="14.0"/>
      <color theme="1"/>
      <name val="Lexend Deca"/>
    </font>
    <font>
      <b/>
      <sz val="14.0"/>
      <color theme="1"/>
      <name val="Lexend Deca"/>
    </font>
  </fonts>
  <fills count="11">
    <fill>
      <patternFill patternType="none"/>
    </fill>
    <fill>
      <patternFill patternType="lightGray"/>
    </fill>
    <fill>
      <patternFill patternType="solid">
        <fgColor rgb="FF30465D"/>
        <bgColor rgb="FF30465D"/>
      </patternFill>
    </fill>
    <fill>
      <patternFill patternType="solid">
        <fgColor rgb="FFF5F8FA"/>
        <bgColor rgb="FFF5F8FA"/>
      </patternFill>
    </fill>
    <fill>
      <patternFill patternType="solid">
        <fgColor rgb="FFFFFFFF"/>
        <bgColor rgb="FFFFFFFF"/>
      </patternFill>
    </fill>
    <fill>
      <patternFill patternType="solid">
        <fgColor rgb="FFFF8F59"/>
        <bgColor rgb="FFFF8F59"/>
      </patternFill>
    </fill>
    <fill>
      <patternFill patternType="solid">
        <fgColor rgb="FF213343"/>
        <bgColor rgb="FF213343"/>
      </patternFill>
    </fill>
    <fill>
      <patternFill patternType="solid">
        <fgColor rgb="FFEAF0F6"/>
        <bgColor rgb="FFEAF0F6"/>
      </patternFill>
    </fill>
    <fill>
      <patternFill patternType="solid">
        <fgColor rgb="FFDBE4ED"/>
        <bgColor rgb="FFDBE4ED"/>
      </patternFill>
    </fill>
    <fill>
      <patternFill patternType="solid">
        <fgColor rgb="FFB6C7D6"/>
        <bgColor rgb="FFB6C7D6"/>
      </patternFill>
    </fill>
    <fill>
      <patternFill patternType="solid">
        <fgColor rgb="FFFFF2CC"/>
        <bgColor rgb="FFFFF2CC"/>
      </patternFill>
    </fill>
  </fills>
  <borders count="34">
    <border/>
    <border>
      <left style="thin">
        <color rgb="FFF5F8FA"/>
      </left>
      <right style="thin">
        <color rgb="FFF5F8FA"/>
      </right>
      <top style="thin">
        <color rgb="FFF5F8FA"/>
      </top>
      <bottom style="thin">
        <color rgb="FFF5F8FA"/>
      </bottom>
    </border>
    <border>
      <left style="thin">
        <color rgb="FFF5F8FA"/>
      </left>
      <right style="thin">
        <color rgb="FFF5F8FA"/>
      </right>
      <top style="thin">
        <color rgb="FFF5F8FA"/>
      </top>
    </border>
    <border>
      <left style="thin">
        <color rgb="FFF5F8FA"/>
      </left>
      <right style="thin">
        <color rgb="FFF5F8FA"/>
      </right>
    </border>
    <border>
      <left style="thin">
        <color rgb="FFF5F8FA"/>
      </left>
      <right style="thin">
        <color rgb="FFF5F8FA"/>
      </right>
      <bottom style="thin">
        <color rgb="FFF5F8FA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30465D"/>
      </left>
      <top style="thin">
        <color rgb="FF30465D"/>
      </top>
    </border>
    <border>
      <top style="thin">
        <color rgb="FF30465D"/>
      </top>
    </border>
    <border>
      <right style="thin">
        <color rgb="FF30465D"/>
      </right>
    </border>
    <border>
      <left style="thin">
        <color rgb="FF30465D"/>
      </left>
    </border>
    <border>
      <left style="thin">
        <color rgb="FF30465D"/>
      </left>
      <bottom style="thin">
        <color rgb="FF30465D"/>
      </bottom>
    </border>
    <border>
      <bottom style="thin">
        <color rgb="FF30465D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3" fontId="1" numFmtId="0" xfId="0" applyBorder="1" applyFill="1" applyFont="1"/>
    <xf borderId="1" fillId="3" fontId="2" numFmtId="0" xfId="0" applyAlignment="1" applyBorder="1" applyFont="1">
      <alignment horizontal="center" readingOrder="0" shrinkToFit="0" vertical="bottom" wrapText="0"/>
    </xf>
    <xf borderId="2" fillId="3" fontId="3" numFmtId="0" xfId="0" applyAlignment="1" applyBorder="1" applyFont="1">
      <alignment horizontal="center" readingOrder="0" vertical="center"/>
    </xf>
    <xf borderId="3" fillId="0" fontId="4" numFmtId="0" xfId="0" applyBorder="1" applyFont="1"/>
    <xf borderId="1" fillId="3" fontId="5" numFmtId="0" xfId="0" applyAlignment="1" applyBorder="1" applyFont="1">
      <alignment horizontal="left" vertical="top"/>
    </xf>
    <xf borderId="4" fillId="0" fontId="4" numFmtId="0" xfId="0" applyBorder="1" applyFont="1"/>
    <xf borderId="1" fillId="3" fontId="6" numFmtId="0" xfId="0" applyAlignment="1" applyBorder="1" applyFont="1">
      <alignment horizontal="left" readingOrder="0" vertical="top"/>
    </xf>
    <xf borderId="2" fillId="3" fontId="7" numFmtId="0" xfId="0" applyAlignment="1" applyBorder="1" applyFont="1">
      <alignment horizontal="left" readingOrder="0" shrinkToFit="0" vertical="top" wrapText="1"/>
    </xf>
    <xf borderId="0" fillId="2" fontId="8" numFmtId="0" xfId="0" applyAlignment="1" applyFont="1">
      <alignment horizontal="left" readingOrder="0" vertical="center"/>
    </xf>
    <xf borderId="1" fillId="3" fontId="9" numFmtId="0" xfId="0" applyAlignment="1" applyBorder="1" applyFont="1">
      <alignment shrinkToFit="0" vertical="bottom" wrapText="0"/>
    </xf>
    <xf borderId="1" fillId="3" fontId="10" numFmtId="0" xfId="0" applyAlignment="1" applyBorder="1" applyFont="1">
      <alignment horizontal="left" readingOrder="0" shrinkToFit="0" vertical="center" wrapText="1"/>
    </xf>
    <xf borderId="1" fillId="3" fontId="11" numFmtId="0" xfId="0" applyAlignment="1" applyBorder="1" applyFont="1">
      <alignment shrinkToFit="0" vertical="bottom" wrapText="0"/>
    </xf>
    <xf borderId="2" fillId="3" fontId="12" numFmtId="0" xfId="0" applyAlignment="1" applyBorder="1" applyFont="1">
      <alignment horizontal="left" readingOrder="0" shrinkToFit="0" vertical="top" wrapText="1"/>
    </xf>
    <xf borderId="0" fillId="2" fontId="9" numFmtId="0" xfId="0" applyAlignment="1" applyFont="1">
      <alignment shrinkToFit="0" vertical="bottom" wrapText="0"/>
    </xf>
    <xf borderId="0" fillId="4" fontId="9" numFmtId="0" xfId="0" applyAlignment="1" applyFill="1" applyFont="1">
      <alignment shrinkToFit="0" vertical="bottom" wrapText="0"/>
    </xf>
    <xf borderId="5" fillId="4" fontId="13" numFmtId="0" xfId="0" applyAlignment="1" applyBorder="1" applyFont="1">
      <alignment horizontal="center" readingOrder="0" shrinkToFit="0" vertical="center" wrapText="0"/>
    </xf>
    <xf borderId="6" fillId="0" fontId="4" numFmtId="0" xfId="0" applyBorder="1" applyFont="1"/>
    <xf borderId="7" fillId="0" fontId="4" numFmtId="0" xfId="0" applyBorder="1" applyFont="1"/>
    <xf borderId="8" fillId="4" fontId="3" numFmtId="0" xfId="0" applyAlignment="1" applyBorder="1" applyFont="1">
      <alignment horizontal="center" readingOrder="0" shrinkToFit="0" vertical="bottom" wrapText="0"/>
    </xf>
    <xf borderId="9" fillId="0" fontId="4" numFmtId="0" xfId="0" applyBorder="1" applyFont="1"/>
    <xf borderId="10" fillId="0" fontId="4" numFmtId="0" xfId="0" applyBorder="1" applyFont="1"/>
    <xf borderId="8" fillId="4" fontId="14" numFmtId="0" xfId="0" applyAlignment="1" applyBorder="1" applyFont="1">
      <alignment horizontal="center" readingOrder="0" shrinkToFit="0" vertical="bottom" wrapText="0"/>
    </xf>
    <xf borderId="11" fillId="0" fontId="4" numFmtId="0" xfId="0" applyBorder="1" applyFont="1"/>
    <xf borderId="12" fillId="0" fontId="4" numFmtId="0" xfId="0" applyBorder="1" applyFont="1"/>
    <xf borderId="8" fillId="0" fontId="4" numFmtId="0" xfId="0" applyBorder="1" applyFont="1"/>
    <xf borderId="13" fillId="4" fontId="14" numFmtId="0" xfId="0" applyAlignment="1" applyBorder="1" applyFont="1">
      <alignment horizontal="center" readingOrder="0" shrinkToFit="0" vertical="bottom" wrapText="0"/>
    </xf>
    <xf borderId="14" fillId="4" fontId="15" numFmtId="0" xfId="0" applyAlignment="1" applyBorder="1" applyFont="1">
      <alignment horizontal="center" readingOrder="0" shrinkToFit="0" vertical="center" wrapText="0"/>
    </xf>
    <xf borderId="15" fillId="0" fontId="4" numFmtId="0" xfId="0" applyBorder="1" applyFont="1"/>
    <xf borderId="13" fillId="0" fontId="4" numFmtId="0" xfId="0" applyBorder="1" applyFont="1"/>
    <xf borderId="16" fillId="4" fontId="16" numFmtId="0" xfId="0" applyAlignment="1" applyBorder="1" applyFont="1">
      <alignment shrinkToFit="0" vertical="bottom" wrapText="0"/>
    </xf>
    <xf borderId="16" fillId="4" fontId="9" numFmtId="0" xfId="0" applyAlignment="1" applyBorder="1" applyFont="1">
      <alignment shrinkToFit="0" vertical="bottom" wrapText="0"/>
    </xf>
    <xf borderId="6" fillId="5" fontId="17" numFmtId="0" xfId="0" applyAlignment="1" applyBorder="1" applyFill="1" applyFont="1">
      <alignment horizontal="center" readingOrder="0" shrinkToFit="0" vertical="center" wrapText="0"/>
    </xf>
    <xf borderId="6" fillId="4" fontId="16" numFmtId="0" xfId="0" applyAlignment="1" applyBorder="1" applyFont="1">
      <alignment shrinkToFit="0" vertical="bottom" wrapText="0"/>
    </xf>
    <xf borderId="12" fillId="4" fontId="16" numFmtId="0" xfId="0" applyAlignment="1" applyBorder="1" applyFont="1">
      <alignment shrinkToFit="0" vertical="bottom" wrapText="0"/>
    </xf>
    <xf borderId="0" fillId="3" fontId="9" numFmtId="0" xfId="0" applyAlignment="1" applyFont="1">
      <alignment shrinkToFit="0" vertical="bottom" wrapText="0"/>
    </xf>
    <xf borderId="17" fillId="2" fontId="1" numFmtId="0" xfId="0" applyBorder="1" applyFont="1"/>
    <xf borderId="18" fillId="0" fontId="4" numFmtId="0" xfId="0" applyBorder="1" applyFont="1"/>
    <xf borderId="0" fillId="2" fontId="18" numFmtId="0" xfId="0" applyAlignment="1" applyFont="1">
      <alignment readingOrder="0" vertical="center"/>
    </xf>
    <xf borderId="19" fillId="0" fontId="4" numFmtId="0" xfId="0" applyBorder="1" applyFont="1"/>
    <xf borderId="0" fillId="0" fontId="19" numFmtId="0" xfId="0" applyFont="1"/>
    <xf borderId="20" fillId="0" fontId="4" numFmtId="0" xfId="0" applyBorder="1" applyFont="1"/>
    <xf borderId="21" fillId="0" fontId="4" numFmtId="0" xfId="0" applyBorder="1" applyFont="1"/>
    <xf borderId="22" fillId="0" fontId="4" numFmtId="0" xfId="0" applyBorder="1" applyFont="1"/>
    <xf borderId="0" fillId="0" fontId="19" numFmtId="0" xfId="0" applyAlignment="1" applyFont="1">
      <alignment readingOrder="0"/>
    </xf>
    <xf borderId="0" fillId="6" fontId="20" numFmtId="0" xfId="0" applyAlignment="1" applyFill="1" applyFont="1">
      <alignment readingOrder="0"/>
    </xf>
    <xf borderId="0" fillId="7" fontId="21" numFmtId="0" xfId="0" applyAlignment="1" applyFill="1" applyFont="1">
      <alignment readingOrder="0"/>
    </xf>
    <xf borderId="0" fillId="7" fontId="21" numFmtId="164" xfId="0" applyAlignment="1" applyFont="1" applyNumberFormat="1">
      <alignment readingOrder="0"/>
    </xf>
    <xf borderId="23" fillId="0" fontId="21" numFmtId="164" xfId="0" applyBorder="1" applyFont="1" applyNumberFormat="1"/>
    <xf borderId="24" fillId="0" fontId="21" numFmtId="164" xfId="0" applyBorder="1" applyFont="1" applyNumberFormat="1"/>
    <xf borderId="0" fillId="8" fontId="22" numFmtId="0" xfId="0" applyAlignment="1" applyFill="1" applyFont="1">
      <alignment readingOrder="0"/>
    </xf>
    <xf borderId="0" fillId="8" fontId="22" numFmtId="164" xfId="0" applyFont="1" applyNumberFormat="1"/>
    <xf borderId="25" fillId="0" fontId="22" numFmtId="164" xfId="0" applyBorder="1" applyFont="1" applyNumberFormat="1"/>
    <xf borderId="0" fillId="8" fontId="19" numFmtId="0" xfId="0" applyAlignment="1" applyFont="1">
      <alignment readingOrder="0"/>
    </xf>
    <xf borderId="0" fillId="8" fontId="19" numFmtId="164" xfId="0" applyAlignment="1" applyFont="1" applyNumberFormat="1">
      <alignment readingOrder="0"/>
    </xf>
    <xf borderId="0" fillId="7" fontId="19" numFmtId="0" xfId="0" applyAlignment="1" applyFont="1">
      <alignment readingOrder="0"/>
    </xf>
    <xf borderId="0" fillId="7" fontId="19" numFmtId="164" xfId="0" applyFont="1" applyNumberFormat="1"/>
    <xf borderId="0" fillId="7" fontId="1" numFmtId="0" xfId="0" applyFont="1"/>
    <xf borderId="0" fillId="8" fontId="23" numFmtId="0" xfId="0" applyAlignment="1" applyFont="1">
      <alignment readingOrder="0"/>
    </xf>
    <xf borderId="0" fillId="8" fontId="23" numFmtId="164" xfId="0" applyAlignment="1" applyFont="1" applyNumberFormat="1">
      <alignment readingOrder="0"/>
    </xf>
    <xf borderId="0" fillId="9" fontId="23" numFmtId="0" xfId="0" applyAlignment="1" applyFill="1" applyFont="1">
      <alignment readingOrder="0"/>
    </xf>
    <xf borderId="0" fillId="9" fontId="19" numFmtId="164" xfId="0" applyAlignment="1" applyFont="1" applyNumberFormat="1">
      <alignment readingOrder="0"/>
    </xf>
    <xf borderId="26" fillId="9" fontId="19" numFmtId="164" xfId="0" applyAlignment="1" applyBorder="1" applyFont="1" applyNumberFormat="1">
      <alignment readingOrder="0"/>
    </xf>
    <xf borderId="27" fillId="9" fontId="19" numFmtId="164" xfId="0" applyAlignment="1" applyBorder="1" applyFont="1" applyNumberFormat="1">
      <alignment readingOrder="0"/>
    </xf>
    <xf borderId="28" fillId="0" fontId="19" numFmtId="164" xfId="0" applyBorder="1" applyFont="1" applyNumberFormat="1"/>
    <xf borderId="29" fillId="9" fontId="19" numFmtId="164" xfId="0" applyAlignment="1" applyBorder="1" applyFont="1" applyNumberFormat="1">
      <alignment readingOrder="0"/>
    </xf>
    <xf borderId="30" fillId="0" fontId="19" numFmtId="164" xfId="0" applyBorder="1" applyFont="1" applyNumberFormat="1"/>
    <xf borderId="31" fillId="9" fontId="19" numFmtId="164" xfId="0" applyAlignment="1" applyBorder="1" applyFont="1" applyNumberFormat="1">
      <alignment readingOrder="0"/>
    </xf>
    <xf borderId="32" fillId="9" fontId="19" numFmtId="164" xfId="0" applyAlignment="1" applyBorder="1" applyFont="1" applyNumberFormat="1">
      <alignment readingOrder="0"/>
    </xf>
    <xf borderId="33" fillId="0" fontId="19" numFmtId="164" xfId="0" applyBorder="1" applyFont="1" applyNumberFormat="1"/>
    <xf borderId="26" fillId="8" fontId="19" numFmtId="164" xfId="0" applyAlignment="1" applyBorder="1" applyFont="1" applyNumberFormat="1">
      <alignment readingOrder="0"/>
    </xf>
    <xf borderId="27" fillId="8" fontId="19" numFmtId="164" xfId="0" applyAlignment="1" applyBorder="1" applyFont="1" applyNumberFormat="1">
      <alignment readingOrder="0"/>
    </xf>
    <xf borderId="29" fillId="7" fontId="19" numFmtId="164" xfId="0" applyBorder="1" applyFont="1" applyNumberFormat="1"/>
    <xf borderId="29" fillId="8" fontId="19" numFmtId="164" xfId="0" applyAlignment="1" applyBorder="1" applyFont="1" applyNumberFormat="1">
      <alignment readingOrder="0"/>
    </xf>
    <xf borderId="31" fillId="7" fontId="19" numFmtId="164" xfId="0" applyBorder="1" applyFont="1" applyNumberFormat="1"/>
    <xf borderId="32" fillId="7" fontId="19" numFmtId="164" xfId="0" applyBorder="1" applyFont="1" applyNumberFormat="1"/>
    <xf borderId="0" fillId="9" fontId="23" numFmtId="164" xfId="0" applyAlignment="1" applyFont="1" applyNumberFormat="1">
      <alignment readingOrder="0"/>
    </xf>
    <xf borderId="0" fillId="0" fontId="19" numFmtId="164" xfId="0" applyAlignment="1" applyFont="1" applyNumberFormat="1">
      <alignment readingOrder="0"/>
    </xf>
    <xf borderId="0" fillId="7" fontId="24" numFmtId="0" xfId="0" applyAlignment="1" applyFont="1">
      <alignment horizontal="center" readingOrder="0" vertical="center"/>
    </xf>
    <xf borderId="0" fillId="10" fontId="25" numFmtId="164" xfId="0" applyAlignment="1" applyFill="1" applyFont="1" applyNumberFormat="1">
      <alignment horizontal="center" readingOrder="0" vertical="center"/>
    </xf>
    <xf borderId="26" fillId="4" fontId="25" numFmtId="164" xfId="0" applyAlignment="1" applyBorder="1" applyFont="1" applyNumberFormat="1">
      <alignment horizontal="center" readingOrder="0" vertical="center"/>
    </xf>
    <xf borderId="28" fillId="0" fontId="4" numFmtId="0" xfId="0" applyBorder="1" applyFont="1"/>
    <xf borderId="31" fillId="0" fontId="4" numFmtId="0" xfId="0" applyBorder="1" applyFont="1"/>
    <xf borderId="33" fillId="0" fontId="4" numFmtId="0" xfId="0" applyBorder="1" applyFont="1"/>
  </cellXfs>
  <cellStyles count="1">
    <cellStyle xfId="0" name="Normal" builtinId="0"/>
  </cellStyles>
  <dxfs count="5">
    <dxf>
      <font/>
      <fill>
        <patternFill patternType="solid">
          <fgColor rgb="FFCAE7D3"/>
          <bgColor rgb="FFCAE7D3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BC0C6"/>
          <bgColor rgb="FFFBC0C6"/>
        </patternFill>
      </fill>
      <border/>
    </dxf>
    <dxf>
      <font>
        <color rgb="FF000000"/>
      </font>
      <fill>
        <patternFill patternType="solid">
          <fgColor theme="0"/>
          <bgColor theme="0"/>
        </patternFill>
      </fill>
      <border/>
    </dxf>
    <dxf>
      <font>
        <color theme="1"/>
      </font>
      <fill>
        <patternFill patternType="solid">
          <fgColor rgb="FFFBC0C6"/>
          <bgColor rgb="FFFBC0C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202# Budget</a:t>
            </a:r>
          </a:p>
        </c:rich>
      </c:tx>
      <c:layout>
        <c:manualLayout>
          <c:xMode val="edge"/>
          <c:yMode val="edge"/>
          <c:x val="0.023303571428571427"/>
          <c:y val="0.05332225913621263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'Annual Budget Template'!$B$11</c:f>
            </c:strRef>
          </c:tx>
          <c:spPr>
            <a:solidFill>
              <a:srgbClr val="4FB06D"/>
            </a:solidFill>
            <a:ln cmpd="sng">
              <a:solidFill>
                <a:srgbClr val="000000"/>
              </a:solidFill>
            </a:ln>
          </c:spPr>
          <c:cat>
            <c:strRef>
              <c:f>'Annual Budget Template'!$A$12:$A$23</c:f>
            </c:strRef>
          </c:cat>
          <c:val>
            <c:numRef>
              <c:f>'Annual Budget Template'!$B$12:$B$23</c:f>
              <c:numCache/>
            </c:numRef>
          </c:val>
        </c:ser>
        <c:ser>
          <c:idx val="1"/>
          <c:order val="1"/>
          <c:tx>
            <c:strRef>
              <c:f>'Annual Budget Template'!$C$11</c:f>
            </c:strRef>
          </c:tx>
          <c:spPr>
            <a:solidFill>
              <a:srgbClr val="213343"/>
            </a:solidFill>
            <a:ln cmpd="sng">
              <a:solidFill>
                <a:srgbClr val="000000"/>
              </a:solidFill>
            </a:ln>
          </c:spPr>
          <c:cat>
            <c:strRef>
              <c:f>'Annual Budget Template'!$A$12:$A$23</c:f>
            </c:strRef>
          </c:cat>
          <c:val>
            <c:numRef>
              <c:f>'Annual Budget Template'!$C$12:$C$23</c:f>
              <c:numCache/>
            </c:numRef>
          </c:val>
        </c:ser>
        <c:axId val="410805917"/>
        <c:axId val="991380828"/>
      </c:barChart>
      <c:catAx>
        <c:axId val="4108059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1380828"/>
      </c:catAx>
      <c:valAx>
        <c:axId val="9913808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08059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Planned and Actual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'Annual (with Quarterly) Budget '!$G$11</c:f>
            </c:strRef>
          </c:tx>
          <c:spPr>
            <a:solidFill>
              <a:srgbClr val="4FB06D"/>
            </a:solidFill>
            <a:ln cmpd="sng">
              <a:solidFill>
                <a:srgbClr val="000000"/>
              </a:solidFill>
            </a:ln>
          </c:spPr>
          <c:cat>
            <c:strRef>
              <c:f>'Annual (with Quarterly) Budget '!$F$12:$F$15</c:f>
            </c:strRef>
          </c:cat>
          <c:val>
            <c:numRef>
              <c:f>'Annual (with Quarterly) Budget '!$G$12:$G$15</c:f>
              <c:numCache/>
            </c:numRef>
          </c:val>
        </c:ser>
        <c:ser>
          <c:idx val="1"/>
          <c:order val="1"/>
          <c:tx>
            <c:strRef>
              <c:f>'Annual (with Quarterly) Budget '!$H$11</c:f>
            </c:strRef>
          </c:tx>
          <c:spPr>
            <a:solidFill>
              <a:srgbClr val="213343"/>
            </a:solidFill>
            <a:ln cmpd="sng">
              <a:solidFill>
                <a:srgbClr val="000000"/>
              </a:solidFill>
            </a:ln>
          </c:spPr>
          <c:cat>
            <c:strRef>
              <c:f>'Annual (with Quarterly) Budget '!$F$12:$F$15</c:f>
            </c:strRef>
          </c:cat>
          <c:val>
            <c:numRef>
              <c:f>'Annual (with Quarterly) Budget '!$H$12:$H$15</c:f>
              <c:numCache/>
            </c:numRef>
          </c:val>
        </c:ser>
        <c:axId val="12399530"/>
        <c:axId val="476898044"/>
      </c:barChart>
      <c:catAx>
        <c:axId val="123995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6898044"/>
      </c:catAx>
      <c:valAx>
        <c:axId val="4768980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995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638175</xdr:colOff>
      <xdr:row>3</xdr:row>
      <xdr:rowOff>9525</xdr:rowOff>
    </xdr:from>
    <xdr:ext cx="2152650" cy="6096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504825</xdr:colOff>
      <xdr:row>2</xdr:row>
      <xdr:rowOff>133350</xdr:rowOff>
    </xdr:from>
    <xdr:ext cx="1733550" cy="17335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419100</xdr:colOff>
      <xdr:row>9</xdr:row>
      <xdr:rowOff>95250</xdr:rowOff>
    </xdr:from>
    <xdr:ext cx="5334000" cy="28670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47625" cy="1905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" cy="190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228600</xdr:colOff>
      <xdr:row>1</xdr:row>
      <xdr:rowOff>38100</xdr:rowOff>
    </xdr:from>
    <xdr:ext cx="4010025" cy="45053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47625" cy="1905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" cy="190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" cy="190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" cy="190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cademy.hubspot.com/lessons/maximizing-your-media-buying-budget?utm_source=offers&amp;utm_medium=offers&amp;utm_campaign=seondary-conversion_budget-templates_template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5.13"/>
    <col customWidth="1" min="3" max="3" width="18.75"/>
    <col customWidth="1" min="4" max="6" width="12.63"/>
    <col customWidth="1" min="7" max="7" width="15.88"/>
    <col customWidth="1" min="8" max="10" width="5.13"/>
    <col customWidth="1" min="11" max="11" width="67.25"/>
    <col customWidth="1" min="12" max="12" width="5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3"/>
    </row>
    <row r="2">
      <c r="A2" s="1"/>
      <c r="B2" s="1"/>
      <c r="C2" s="1"/>
      <c r="D2" s="1"/>
      <c r="E2" s="1"/>
      <c r="F2" s="1"/>
      <c r="G2" s="1"/>
      <c r="H2" s="1"/>
      <c r="I2" s="1"/>
      <c r="J2" s="2"/>
      <c r="K2" s="4" t="s">
        <v>0</v>
      </c>
      <c r="L2" s="3"/>
    </row>
    <row r="3">
      <c r="A3" s="1"/>
      <c r="B3" s="1"/>
      <c r="C3" s="1"/>
      <c r="D3" s="1"/>
      <c r="E3" s="1"/>
      <c r="F3" s="1"/>
      <c r="G3" s="1"/>
      <c r="H3" s="1"/>
      <c r="I3" s="1"/>
      <c r="J3" s="2"/>
      <c r="K3" s="5"/>
      <c r="L3" s="6"/>
    </row>
    <row r="4">
      <c r="A4" s="1"/>
      <c r="B4" s="1"/>
      <c r="C4" s="1"/>
      <c r="D4" s="1"/>
      <c r="E4" s="1"/>
      <c r="F4" s="1"/>
      <c r="G4" s="1"/>
      <c r="H4" s="1"/>
      <c r="I4" s="1"/>
      <c r="J4" s="2"/>
      <c r="K4" s="7"/>
      <c r="L4" s="8"/>
    </row>
    <row r="5">
      <c r="A5" s="1"/>
      <c r="B5" s="1"/>
      <c r="C5" s="1"/>
      <c r="D5" s="1"/>
      <c r="E5" s="1"/>
      <c r="F5" s="1"/>
      <c r="G5" s="1"/>
      <c r="H5" s="1"/>
      <c r="I5" s="1"/>
      <c r="J5" s="2"/>
      <c r="K5" s="9" t="s">
        <v>1</v>
      </c>
      <c r="L5" s="8"/>
    </row>
    <row r="6">
      <c r="A6" s="1"/>
      <c r="B6" s="1"/>
      <c r="C6" s="1"/>
      <c r="D6" s="1"/>
      <c r="E6" s="1"/>
      <c r="F6" s="1"/>
      <c r="H6" s="1"/>
      <c r="I6" s="1"/>
      <c r="J6" s="2"/>
      <c r="K6" s="5"/>
      <c r="L6" s="8"/>
    </row>
    <row r="7">
      <c r="A7" s="1"/>
      <c r="B7" s="1"/>
      <c r="C7" s="10" t="s">
        <v>2</v>
      </c>
      <c r="H7" s="1"/>
      <c r="I7" s="1"/>
      <c r="J7" s="2"/>
      <c r="K7" s="5"/>
      <c r="L7" s="8"/>
    </row>
    <row r="8">
      <c r="A8" s="1"/>
      <c r="B8" s="1"/>
      <c r="H8" s="1"/>
      <c r="I8" s="1"/>
      <c r="J8" s="2"/>
      <c r="K8" s="5"/>
      <c r="L8" s="8"/>
    </row>
    <row r="9">
      <c r="A9" s="1"/>
      <c r="B9" s="1"/>
      <c r="H9" s="1"/>
      <c r="I9" s="1"/>
      <c r="J9" s="2"/>
      <c r="K9" s="5"/>
      <c r="L9" s="8"/>
    </row>
    <row r="10">
      <c r="A10" s="1"/>
      <c r="B10" s="1"/>
      <c r="H10" s="1"/>
      <c r="I10" s="1"/>
      <c r="J10" s="2"/>
      <c r="K10" s="5"/>
      <c r="L10" s="8"/>
    </row>
    <row r="11">
      <c r="A11" s="1"/>
      <c r="B11" s="1"/>
      <c r="G11" s="1"/>
      <c r="H11" s="1"/>
      <c r="I11" s="1"/>
      <c r="J11" s="2"/>
      <c r="K11" s="4" t="s">
        <v>3</v>
      </c>
      <c r="L11" s="11"/>
    </row>
    <row r="12">
      <c r="A12" s="1"/>
      <c r="B12" s="1"/>
      <c r="C12" s="1"/>
      <c r="D12" s="1"/>
      <c r="E12" s="1"/>
      <c r="F12" s="1"/>
      <c r="G12" s="1"/>
      <c r="H12" s="1"/>
      <c r="I12" s="1"/>
      <c r="J12" s="12"/>
      <c r="K12" s="5"/>
      <c r="L12" s="11"/>
    </row>
    <row r="13">
      <c r="A13" s="1"/>
      <c r="B13" s="1"/>
      <c r="C13" s="1"/>
      <c r="D13" s="1"/>
      <c r="E13" s="1"/>
      <c r="F13" s="1"/>
      <c r="G13" s="1"/>
      <c r="H13" s="1"/>
      <c r="I13" s="1"/>
      <c r="J13" s="13"/>
      <c r="K13" s="7"/>
      <c r="L13" s="11"/>
    </row>
    <row r="14">
      <c r="A14" s="1"/>
      <c r="B14" s="1"/>
      <c r="C14" s="1"/>
      <c r="D14" s="1"/>
      <c r="E14" s="1"/>
      <c r="F14" s="1"/>
      <c r="G14" s="1"/>
      <c r="H14" s="1"/>
      <c r="I14" s="1"/>
      <c r="J14" s="13"/>
      <c r="K14" s="14" t="s">
        <v>4</v>
      </c>
      <c r="L14" s="11"/>
    </row>
    <row r="15">
      <c r="A15" s="15"/>
      <c r="B15" s="16"/>
      <c r="C15" s="17" t="s">
        <v>5</v>
      </c>
      <c r="D15" s="18"/>
      <c r="E15" s="18"/>
      <c r="F15" s="18"/>
      <c r="G15" s="19"/>
      <c r="H15" s="20"/>
      <c r="I15" s="15"/>
      <c r="J15" s="13"/>
      <c r="K15" s="5"/>
      <c r="L15" s="11"/>
    </row>
    <row r="16">
      <c r="A16" s="15"/>
      <c r="B16" s="16"/>
      <c r="C16" s="21"/>
      <c r="G16" s="22"/>
      <c r="H16" s="23"/>
      <c r="I16" s="15"/>
      <c r="J16" s="13"/>
      <c r="K16" s="5"/>
      <c r="L16" s="11"/>
    </row>
    <row r="17">
      <c r="A17" s="15"/>
      <c r="B17" s="16"/>
      <c r="C17" s="24"/>
      <c r="D17" s="25"/>
      <c r="E17" s="25"/>
      <c r="F17" s="25"/>
      <c r="G17" s="26"/>
      <c r="H17" s="27"/>
      <c r="I17" s="15"/>
      <c r="J17" s="2"/>
      <c r="K17" s="5"/>
      <c r="L17" s="11"/>
    </row>
    <row r="18">
      <c r="A18" s="15"/>
      <c r="B18" s="16"/>
      <c r="C18" s="28" t="s">
        <v>6</v>
      </c>
      <c r="D18" s="29"/>
      <c r="E18" s="29"/>
      <c r="F18" s="29"/>
      <c r="G18" s="30"/>
      <c r="H18" s="27"/>
      <c r="I18" s="15"/>
      <c r="J18" s="2"/>
      <c r="K18" s="5"/>
      <c r="L18" s="11"/>
    </row>
    <row r="19">
      <c r="A19" s="15"/>
      <c r="B19" s="16"/>
      <c r="C19" s="31"/>
      <c r="D19" s="31"/>
      <c r="E19" s="31"/>
      <c r="F19" s="31"/>
      <c r="G19" s="31"/>
      <c r="H19" s="32"/>
      <c r="I19" s="15"/>
      <c r="J19" s="2"/>
      <c r="K19" s="5"/>
      <c r="L19" s="11"/>
    </row>
    <row r="20">
      <c r="A20" s="15"/>
      <c r="B20" s="16"/>
      <c r="C20" s="31"/>
      <c r="D20" s="33" t="s">
        <v>7</v>
      </c>
      <c r="E20" s="18"/>
      <c r="F20" s="18"/>
      <c r="G20" s="34"/>
      <c r="H20" s="32"/>
      <c r="I20" s="15"/>
      <c r="J20" s="11"/>
      <c r="K20" s="5"/>
      <c r="L20" s="11"/>
    </row>
    <row r="21">
      <c r="A21" s="15"/>
      <c r="B21" s="16"/>
      <c r="C21" s="31"/>
      <c r="D21" s="25"/>
      <c r="E21" s="25"/>
      <c r="F21" s="25"/>
      <c r="G21" s="35"/>
      <c r="H21" s="32"/>
      <c r="I21" s="15"/>
      <c r="J21" s="11"/>
      <c r="K21" s="5"/>
      <c r="L21" s="11"/>
    </row>
    <row r="22">
      <c r="A22" s="15"/>
      <c r="B22" s="32"/>
      <c r="C22" s="32"/>
      <c r="D22" s="32"/>
      <c r="E22" s="32"/>
      <c r="F22" s="32"/>
      <c r="G22" s="32"/>
      <c r="H22" s="32"/>
      <c r="I22" s="15"/>
      <c r="J22" s="36"/>
      <c r="K22" s="5"/>
      <c r="L22" s="36"/>
    </row>
    <row r="23" ht="21.0" customHeight="1">
      <c r="A23" s="15"/>
      <c r="B23" s="15"/>
      <c r="C23" s="15"/>
      <c r="D23" s="15"/>
      <c r="E23" s="15"/>
      <c r="F23" s="15"/>
      <c r="G23" s="15"/>
      <c r="H23" s="15"/>
      <c r="I23" s="15"/>
      <c r="J23" s="36"/>
      <c r="K23" s="5"/>
      <c r="L23" s="36"/>
    </row>
  </sheetData>
  <mergeCells count="8">
    <mergeCell ref="K2:K4"/>
    <mergeCell ref="K5:K10"/>
    <mergeCell ref="C7:F11"/>
    <mergeCell ref="K11:K13"/>
    <mergeCell ref="K14:K23"/>
    <mergeCell ref="C15:G17"/>
    <mergeCell ref="C18:G18"/>
    <mergeCell ref="D20:F21"/>
  </mergeCells>
  <hyperlinks>
    <hyperlink display="1. Annual Budget Template&#10;&#10;2. Annual Budget Template by Expense&#10;&#10;3. Annual (with Quarterly) Budget Template&#10;&#10;4. Monthly Budget Template&#10;&#10;5. Program Budget Template&#10;&#10;6. Personal Budget Template" location="'Annual Budget Template'!A1" ref="K14"/>
    <hyperlink r:id="rId1" ref="D20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.25" customHeight="1">
      <c r="A1" s="37"/>
      <c r="B1" s="38"/>
      <c r="C1" s="38"/>
      <c r="D1" s="39" t="s">
        <v>8</v>
      </c>
      <c r="H1" s="40"/>
      <c r="I1" s="39"/>
      <c r="J1" s="40"/>
      <c r="Z1" s="41"/>
    </row>
    <row r="2" ht="8.25" customHeight="1">
      <c r="A2" s="42"/>
      <c r="H2" s="40"/>
      <c r="J2" s="40"/>
      <c r="Z2" s="41"/>
    </row>
    <row r="3" ht="8.25" customHeight="1">
      <c r="A3" s="42"/>
      <c r="H3" s="40"/>
      <c r="J3" s="40"/>
      <c r="Z3" s="41"/>
    </row>
    <row r="4" ht="8.25" customHeight="1">
      <c r="A4" s="42"/>
      <c r="H4" s="40"/>
      <c r="J4" s="40"/>
      <c r="Z4" s="41"/>
    </row>
    <row r="5" ht="8.25" customHeight="1">
      <c r="A5" s="42"/>
      <c r="H5" s="40"/>
      <c r="J5" s="40"/>
      <c r="Z5" s="41"/>
    </row>
    <row r="6" ht="8.25" customHeight="1">
      <c r="A6" s="42"/>
      <c r="H6" s="40"/>
      <c r="J6" s="40"/>
      <c r="Z6" s="41"/>
    </row>
    <row r="7" ht="8.25" customHeight="1">
      <c r="A7" s="42"/>
      <c r="H7" s="40"/>
      <c r="J7" s="40"/>
      <c r="Z7" s="41"/>
    </row>
    <row r="8" ht="8.25" customHeight="1">
      <c r="A8" s="42"/>
      <c r="H8" s="40"/>
      <c r="J8" s="40"/>
      <c r="Z8" s="41"/>
    </row>
    <row r="9" ht="8.25" customHeight="1">
      <c r="A9" s="43"/>
      <c r="B9" s="44"/>
      <c r="C9" s="44"/>
      <c r="H9" s="40"/>
      <c r="J9" s="40"/>
      <c r="Z9" s="41"/>
    </row>
    <row r="10">
      <c r="A10" s="41"/>
      <c r="B10" s="45"/>
      <c r="C10" s="45"/>
      <c r="D10" s="45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>
      <c r="A11" s="46" t="s">
        <v>9</v>
      </c>
      <c r="B11" s="46" t="s">
        <v>10</v>
      </c>
      <c r="C11" s="46" t="s">
        <v>11</v>
      </c>
      <c r="D11" s="46" t="s">
        <v>12</v>
      </c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>
      <c r="A12" s="47" t="s">
        <v>13</v>
      </c>
      <c r="B12" s="48">
        <v>1000.0</v>
      </c>
      <c r="C12" s="48">
        <v>1000.0</v>
      </c>
      <c r="D12" s="49">
        <f t="shared" ref="D12:D23" si="1">B12-C12</f>
        <v>0</v>
      </c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>
      <c r="A13" s="47" t="s">
        <v>14</v>
      </c>
      <c r="B13" s="48">
        <v>1000.0</v>
      </c>
      <c r="C13" s="48">
        <v>1000.0</v>
      </c>
      <c r="D13" s="50">
        <f t="shared" si="1"/>
        <v>0</v>
      </c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>
      <c r="A14" s="47" t="s">
        <v>15</v>
      </c>
      <c r="B14" s="48">
        <v>1000.0</v>
      </c>
      <c r="C14" s="48">
        <v>1000.0</v>
      </c>
      <c r="D14" s="50">
        <f t="shared" si="1"/>
        <v>0</v>
      </c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>
      <c r="A15" s="47" t="s">
        <v>16</v>
      </c>
      <c r="B15" s="48">
        <v>1000.0</v>
      </c>
      <c r="C15" s="48">
        <v>1000.0</v>
      </c>
      <c r="D15" s="50">
        <f t="shared" si="1"/>
        <v>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>
      <c r="A16" s="47" t="s">
        <v>17</v>
      </c>
      <c r="B16" s="48">
        <v>1000.0</v>
      </c>
      <c r="C16" s="48">
        <v>1000.0</v>
      </c>
      <c r="D16" s="50">
        <f t="shared" si="1"/>
        <v>0</v>
      </c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>
      <c r="A17" s="47" t="s">
        <v>18</v>
      </c>
      <c r="B17" s="48">
        <v>1000.0</v>
      </c>
      <c r="C17" s="48">
        <v>1000.0</v>
      </c>
      <c r="D17" s="50">
        <f t="shared" si="1"/>
        <v>0</v>
      </c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>
      <c r="A18" s="47" t="s">
        <v>19</v>
      </c>
      <c r="B18" s="48">
        <v>1000.0</v>
      </c>
      <c r="C18" s="48">
        <v>1000.0</v>
      </c>
      <c r="D18" s="50">
        <f t="shared" si="1"/>
        <v>0</v>
      </c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>
      <c r="A19" s="47" t="s">
        <v>20</v>
      </c>
      <c r="B19" s="48">
        <v>1000.0</v>
      </c>
      <c r="C19" s="48">
        <v>1000.0</v>
      </c>
      <c r="D19" s="50">
        <f t="shared" si="1"/>
        <v>0</v>
      </c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>
      <c r="A20" s="47" t="s">
        <v>21</v>
      </c>
      <c r="B20" s="48">
        <v>1000.0</v>
      </c>
      <c r="C20" s="48">
        <v>1000.0</v>
      </c>
      <c r="D20" s="50">
        <f t="shared" si="1"/>
        <v>0</v>
      </c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>
      <c r="A21" s="47" t="s">
        <v>22</v>
      </c>
      <c r="B21" s="48">
        <v>1000.0</v>
      </c>
      <c r="C21" s="48">
        <v>1000.0</v>
      </c>
      <c r="D21" s="50">
        <f t="shared" si="1"/>
        <v>0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>
      <c r="A22" s="47" t="s">
        <v>23</v>
      </c>
      <c r="B22" s="48">
        <v>1000.0</v>
      </c>
      <c r="C22" s="48">
        <v>1000.0</v>
      </c>
      <c r="D22" s="50">
        <f t="shared" si="1"/>
        <v>0</v>
      </c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>
      <c r="A23" s="47" t="s">
        <v>24</v>
      </c>
      <c r="B23" s="48">
        <v>1000.0</v>
      </c>
      <c r="C23" s="48">
        <v>1000.0</v>
      </c>
      <c r="D23" s="50">
        <f t="shared" si="1"/>
        <v>0</v>
      </c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>
      <c r="A24" s="51" t="s">
        <v>25</v>
      </c>
      <c r="B24" s="52">
        <f t="shared" ref="B24:D24" si="2">SUM(B12:B23)</f>
        <v>12000</v>
      </c>
      <c r="C24" s="52">
        <f t="shared" si="2"/>
        <v>12000</v>
      </c>
      <c r="D24" s="53">
        <f t="shared" si="2"/>
        <v>0</v>
      </c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</row>
    <row r="972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</row>
    <row r="974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</row>
    <row r="975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</row>
    <row r="976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</row>
    <row r="977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</row>
    <row r="978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</row>
    <row r="979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</row>
    <row r="980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</row>
    <row r="98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</row>
    <row r="982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</row>
    <row r="983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</row>
    <row r="984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</row>
    <row r="985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</row>
    <row r="986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</row>
    <row r="987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</row>
    <row r="988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</row>
    <row r="989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</row>
    <row r="990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</row>
    <row r="99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</row>
    <row r="992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</row>
    <row r="993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</row>
    <row r="994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</row>
    <row r="995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</row>
    <row r="996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</row>
    <row r="997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</row>
    <row r="998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</row>
    <row r="999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</row>
    <row r="1000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</row>
    <row r="1001">
      <c r="A1001" s="41"/>
      <c r="B1001" s="41"/>
      <c r="C1001" s="41"/>
      <c r="D1001" s="41"/>
      <c r="E1001" s="41"/>
      <c r="F1001" s="41"/>
      <c r="G1001" s="41"/>
      <c r="H1001" s="41"/>
      <c r="I1001" s="41"/>
      <c r="J1001" s="41"/>
      <c r="K1001" s="41"/>
      <c r="L1001" s="41"/>
      <c r="M1001" s="41"/>
      <c r="N1001" s="41"/>
      <c r="O1001" s="41"/>
      <c r="P1001" s="41"/>
      <c r="Q1001" s="41"/>
      <c r="R1001" s="41"/>
      <c r="S1001" s="41"/>
      <c r="T1001" s="41"/>
      <c r="U1001" s="41"/>
      <c r="V1001" s="41"/>
      <c r="W1001" s="41"/>
      <c r="X1001" s="41"/>
      <c r="Y1001" s="41"/>
      <c r="Z1001" s="41"/>
    </row>
    <row r="1002">
      <c r="A1002" s="41"/>
      <c r="B1002" s="41"/>
      <c r="C1002" s="41"/>
      <c r="D1002" s="41"/>
      <c r="E1002" s="41"/>
      <c r="F1002" s="41"/>
      <c r="G1002" s="41"/>
      <c r="H1002" s="41"/>
      <c r="I1002" s="41"/>
      <c r="J1002" s="41"/>
      <c r="K1002" s="41"/>
      <c r="L1002" s="41"/>
      <c r="M1002" s="41"/>
      <c r="N1002" s="41"/>
      <c r="O1002" s="41"/>
      <c r="P1002" s="41"/>
      <c r="Q1002" s="41"/>
      <c r="R1002" s="41"/>
      <c r="S1002" s="41"/>
      <c r="T1002" s="41"/>
      <c r="U1002" s="41"/>
      <c r="V1002" s="41"/>
      <c r="W1002" s="41"/>
      <c r="X1002" s="41"/>
      <c r="Y1002" s="41"/>
      <c r="Z1002" s="41"/>
    </row>
    <row r="1003">
      <c r="A1003" s="41"/>
      <c r="B1003" s="41"/>
      <c r="C1003" s="41"/>
      <c r="D1003" s="41"/>
      <c r="E1003" s="41"/>
      <c r="F1003" s="41"/>
      <c r="G1003" s="41"/>
      <c r="H1003" s="41"/>
      <c r="I1003" s="41"/>
      <c r="J1003" s="41"/>
      <c r="K1003" s="41"/>
      <c r="L1003" s="41"/>
      <c r="M1003" s="41"/>
      <c r="N1003" s="41"/>
      <c r="O1003" s="41"/>
      <c r="P1003" s="41"/>
      <c r="Q1003" s="41"/>
      <c r="R1003" s="41"/>
      <c r="S1003" s="41"/>
      <c r="T1003" s="41"/>
      <c r="U1003" s="41"/>
      <c r="V1003" s="41"/>
      <c r="W1003" s="41"/>
      <c r="X1003" s="41"/>
      <c r="Y1003" s="41"/>
      <c r="Z1003" s="41"/>
    </row>
    <row r="1004">
      <c r="A1004" s="41"/>
      <c r="B1004" s="41"/>
      <c r="C1004" s="41"/>
      <c r="D1004" s="41"/>
      <c r="E1004" s="41"/>
      <c r="F1004" s="41"/>
      <c r="G1004" s="41"/>
      <c r="H1004" s="41"/>
      <c r="I1004" s="41"/>
      <c r="J1004" s="41"/>
      <c r="K1004" s="41"/>
      <c r="L1004" s="41"/>
      <c r="M1004" s="41"/>
      <c r="N1004" s="41"/>
      <c r="O1004" s="41"/>
      <c r="P1004" s="41"/>
      <c r="Q1004" s="41"/>
      <c r="R1004" s="41"/>
      <c r="S1004" s="41"/>
      <c r="T1004" s="41"/>
      <c r="U1004" s="41"/>
      <c r="V1004" s="41"/>
      <c r="W1004" s="41"/>
      <c r="X1004" s="41"/>
      <c r="Y1004" s="41"/>
      <c r="Z1004" s="41"/>
    </row>
    <row r="1005">
      <c r="A1005" s="41"/>
      <c r="B1005" s="41"/>
      <c r="C1005" s="41"/>
      <c r="D1005" s="41"/>
      <c r="E1005" s="41"/>
      <c r="F1005" s="41"/>
      <c r="G1005" s="41"/>
      <c r="H1005" s="41"/>
      <c r="I1005" s="41"/>
      <c r="J1005" s="41"/>
      <c r="K1005" s="41"/>
      <c r="L1005" s="41"/>
      <c r="M1005" s="41"/>
      <c r="N1005" s="41"/>
      <c r="O1005" s="41"/>
      <c r="P1005" s="41"/>
      <c r="Q1005" s="41"/>
      <c r="R1005" s="41"/>
      <c r="S1005" s="41"/>
      <c r="T1005" s="41"/>
      <c r="U1005" s="41"/>
      <c r="V1005" s="41"/>
      <c r="W1005" s="41"/>
      <c r="X1005" s="41"/>
      <c r="Y1005" s="41"/>
      <c r="Z1005" s="41"/>
    </row>
    <row r="1006">
      <c r="A1006" s="41"/>
      <c r="B1006" s="41"/>
      <c r="C1006" s="41"/>
      <c r="D1006" s="41"/>
      <c r="E1006" s="41"/>
      <c r="F1006" s="41"/>
      <c r="G1006" s="41"/>
      <c r="H1006" s="41"/>
      <c r="I1006" s="41"/>
      <c r="J1006" s="41"/>
      <c r="K1006" s="41"/>
      <c r="L1006" s="41"/>
      <c r="M1006" s="41"/>
      <c r="N1006" s="41"/>
      <c r="O1006" s="41"/>
      <c r="P1006" s="41"/>
      <c r="Q1006" s="41"/>
      <c r="R1006" s="41"/>
      <c r="S1006" s="41"/>
      <c r="T1006" s="41"/>
      <c r="U1006" s="41"/>
      <c r="V1006" s="41"/>
      <c r="W1006" s="41"/>
      <c r="X1006" s="41"/>
      <c r="Y1006" s="41"/>
      <c r="Z1006" s="41"/>
    </row>
    <row r="1007">
      <c r="A1007" s="41"/>
      <c r="B1007" s="41"/>
      <c r="C1007" s="41"/>
      <c r="D1007" s="41"/>
      <c r="E1007" s="41"/>
      <c r="F1007" s="41"/>
      <c r="G1007" s="41"/>
      <c r="H1007" s="41"/>
      <c r="I1007" s="41"/>
      <c r="J1007" s="41"/>
      <c r="K1007" s="41"/>
      <c r="L1007" s="41"/>
      <c r="M1007" s="41"/>
      <c r="N1007" s="41"/>
      <c r="O1007" s="41"/>
      <c r="P1007" s="41"/>
      <c r="Q1007" s="41"/>
      <c r="R1007" s="41"/>
      <c r="S1007" s="41"/>
      <c r="T1007" s="41"/>
      <c r="U1007" s="41"/>
      <c r="V1007" s="41"/>
      <c r="W1007" s="41"/>
      <c r="X1007" s="41"/>
      <c r="Y1007" s="41"/>
      <c r="Z1007" s="41"/>
    </row>
    <row r="1008">
      <c r="A1008" s="41"/>
      <c r="B1008" s="41"/>
      <c r="C1008" s="41"/>
      <c r="D1008" s="41"/>
      <c r="E1008" s="41"/>
      <c r="F1008" s="41"/>
      <c r="G1008" s="41"/>
      <c r="H1008" s="41"/>
      <c r="I1008" s="41"/>
      <c r="J1008" s="41"/>
      <c r="K1008" s="41"/>
      <c r="L1008" s="41"/>
      <c r="M1008" s="41"/>
      <c r="N1008" s="41"/>
      <c r="O1008" s="41"/>
      <c r="P1008" s="41"/>
      <c r="Q1008" s="41"/>
      <c r="R1008" s="41"/>
      <c r="S1008" s="41"/>
      <c r="T1008" s="41"/>
      <c r="U1008" s="41"/>
      <c r="V1008" s="41"/>
      <c r="W1008" s="41"/>
      <c r="X1008" s="41"/>
      <c r="Y1008" s="41"/>
      <c r="Z1008" s="41"/>
    </row>
    <row r="1009">
      <c r="A1009" s="41"/>
      <c r="B1009" s="41"/>
      <c r="C1009" s="41"/>
      <c r="D1009" s="41"/>
      <c r="E1009" s="41"/>
      <c r="F1009" s="41"/>
      <c r="G1009" s="41"/>
      <c r="H1009" s="41"/>
      <c r="I1009" s="41"/>
      <c r="J1009" s="41"/>
      <c r="K1009" s="41"/>
      <c r="L1009" s="41"/>
      <c r="M1009" s="41"/>
      <c r="N1009" s="41"/>
      <c r="O1009" s="41"/>
      <c r="P1009" s="41"/>
      <c r="Q1009" s="41"/>
      <c r="R1009" s="41"/>
      <c r="S1009" s="41"/>
      <c r="T1009" s="41"/>
      <c r="U1009" s="41"/>
      <c r="V1009" s="41"/>
      <c r="W1009" s="41"/>
      <c r="X1009" s="41"/>
      <c r="Y1009" s="41"/>
      <c r="Z1009" s="41"/>
    </row>
    <row r="1010">
      <c r="A1010" s="41"/>
      <c r="B1010" s="41"/>
      <c r="C1010" s="41"/>
      <c r="D1010" s="41"/>
      <c r="E1010" s="41"/>
      <c r="F1010" s="41"/>
      <c r="G1010" s="41"/>
      <c r="H1010" s="41"/>
      <c r="I1010" s="41"/>
      <c r="J1010" s="41"/>
      <c r="K1010" s="41"/>
      <c r="L1010" s="41"/>
      <c r="M1010" s="41"/>
      <c r="N1010" s="41"/>
      <c r="O1010" s="41"/>
      <c r="P1010" s="41"/>
      <c r="Q1010" s="41"/>
      <c r="R1010" s="41"/>
      <c r="S1010" s="41"/>
      <c r="T1010" s="41"/>
      <c r="U1010" s="41"/>
      <c r="V1010" s="41"/>
      <c r="W1010" s="41"/>
      <c r="X1010" s="41"/>
      <c r="Y1010" s="41"/>
      <c r="Z1010" s="41"/>
    </row>
  </sheetData>
  <mergeCells count="3">
    <mergeCell ref="A1:C9"/>
    <mergeCell ref="D1:H9"/>
    <mergeCell ref="I1:J9"/>
  </mergeCells>
  <conditionalFormatting sqref="D12:D24">
    <cfRule type="cellIs" dxfId="0" priority="1" operator="greaterThan">
      <formula>0</formula>
    </cfRule>
  </conditionalFormatting>
  <conditionalFormatting sqref="D12:D24">
    <cfRule type="cellIs" dxfId="1" priority="2" operator="equal">
      <formula>0</formula>
    </cfRule>
  </conditionalFormatting>
  <conditionalFormatting sqref="D12:D24">
    <cfRule type="cellIs" dxfId="2" priority="3" operator="lessThan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5" max="5" width="21.13"/>
    <col customWidth="1" min="6" max="6" width="25.88"/>
    <col customWidth="1" min="7" max="7" width="25.75"/>
  </cols>
  <sheetData>
    <row r="1" ht="2.25" customHeight="1">
      <c r="A1" s="37"/>
      <c r="B1" s="38"/>
      <c r="C1" s="38"/>
      <c r="D1" s="39" t="s">
        <v>26</v>
      </c>
      <c r="G1" s="40"/>
      <c r="W1" s="41"/>
    </row>
    <row r="2" ht="8.25" customHeight="1">
      <c r="A2" s="42"/>
      <c r="G2" s="40"/>
      <c r="W2" s="41"/>
    </row>
    <row r="3" ht="8.25" customHeight="1">
      <c r="A3" s="42"/>
      <c r="G3" s="40"/>
      <c r="W3" s="41"/>
    </row>
    <row r="4" ht="8.25" customHeight="1">
      <c r="A4" s="42"/>
      <c r="G4" s="40"/>
      <c r="W4" s="41"/>
    </row>
    <row r="5" ht="8.25" customHeight="1">
      <c r="A5" s="42"/>
      <c r="G5" s="40"/>
      <c r="W5" s="41"/>
    </row>
    <row r="6" ht="8.25" customHeight="1">
      <c r="A6" s="42"/>
      <c r="G6" s="40"/>
      <c r="W6" s="41"/>
    </row>
    <row r="7" ht="8.25" customHeight="1">
      <c r="A7" s="42"/>
      <c r="G7" s="40"/>
      <c r="W7" s="41"/>
    </row>
    <row r="8" ht="8.25" customHeight="1">
      <c r="A8" s="42"/>
      <c r="G8" s="40"/>
      <c r="W8" s="41"/>
    </row>
    <row r="9" ht="8.25" customHeight="1">
      <c r="A9" s="43"/>
      <c r="B9" s="44"/>
      <c r="C9" s="44"/>
      <c r="G9" s="40"/>
      <c r="W9" s="41"/>
    </row>
    <row r="10">
      <c r="A10" s="41"/>
      <c r="B10" s="45"/>
      <c r="C10" s="45"/>
      <c r="D10" s="45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>
      <c r="A11" s="46" t="s">
        <v>27</v>
      </c>
      <c r="B11" s="46" t="s">
        <v>10</v>
      </c>
      <c r="C11" s="46" t="s">
        <v>11</v>
      </c>
      <c r="D11" s="46" t="s">
        <v>12</v>
      </c>
      <c r="E11" s="46" t="s">
        <v>28</v>
      </c>
      <c r="F11" s="46" t="s">
        <v>29</v>
      </c>
      <c r="G11" s="46" t="s">
        <v>30</v>
      </c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</row>
    <row r="12">
      <c r="A12" s="54" t="s">
        <v>13</v>
      </c>
      <c r="B12" s="55">
        <f t="shared" ref="B12:C12" si="1">sum(B13:B15)</f>
        <v>0</v>
      </c>
      <c r="C12" s="55">
        <f t="shared" si="1"/>
        <v>0</v>
      </c>
      <c r="D12" s="49">
        <f t="shared" ref="D12:D59" si="2">B12-C12</f>
        <v>0</v>
      </c>
      <c r="E12" s="54"/>
      <c r="F12" s="54"/>
      <c r="G12" s="54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</row>
    <row r="13">
      <c r="A13" s="56" t="s">
        <v>31</v>
      </c>
      <c r="B13" s="57"/>
      <c r="C13" s="57"/>
      <c r="D13" s="50">
        <f t="shared" si="2"/>
        <v>0</v>
      </c>
      <c r="E13" s="58"/>
      <c r="F13" s="58"/>
      <c r="G13" s="58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</row>
    <row r="14">
      <c r="A14" s="56" t="s">
        <v>32</v>
      </c>
      <c r="B14" s="57"/>
      <c r="C14" s="57"/>
      <c r="D14" s="50">
        <f t="shared" si="2"/>
        <v>0</v>
      </c>
      <c r="E14" s="58"/>
      <c r="F14" s="58"/>
      <c r="G14" s="58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>
      <c r="A15" s="56" t="s">
        <v>33</v>
      </c>
      <c r="B15" s="57"/>
      <c r="C15" s="57"/>
      <c r="D15" s="50">
        <f t="shared" si="2"/>
        <v>0</v>
      </c>
      <c r="E15" s="58"/>
      <c r="F15" s="58"/>
      <c r="G15" s="58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</row>
    <row r="16">
      <c r="A16" s="54" t="s">
        <v>14</v>
      </c>
      <c r="B16" s="55">
        <f t="shared" ref="B16:C16" si="3">sum(B17:B19)</f>
        <v>0</v>
      </c>
      <c r="C16" s="55">
        <f t="shared" si="3"/>
        <v>0</v>
      </c>
      <c r="D16" s="50">
        <f t="shared" si="2"/>
        <v>0</v>
      </c>
      <c r="E16" s="54"/>
      <c r="F16" s="54"/>
      <c r="G16" s="54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</row>
    <row r="17">
      <c r="A17" s="56" t="s">
        <v>31</v>
      </c>
      <c r="B17" s="57"/>
      <c r="C17" s="57"/>
      <c r="D17" s="50">
        <f t="shared" si="2"/>
        <v>0</v>
      </c>
      <c r="E17" s="58"/>
      <c r="F17" s="58"/>
      <c r="G17" s="58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</row>
    <row r="18">
      <c r="A18" s="56" t="s">
        <v>32</v>
      </c>
      <c r="B18" s="57"/>
      <c r="C18" s="57"/>
      <c r="D18" s="50">
        <f t="shared" si="2"/>
        <v>0</v>
      </c>
      <c r="E18" s="58"/>
      <c r="F18" s="58"/>
      <c r="G18" s="58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</row>
    <row r="19">
      <c r="A19" s="56" t="s">
        <v>33</v>
      </c>
      <c r="B19" s="57"/>
      <c r="C19" s="57"/>
      <c r="D19" s="50">
        <f t="shared" si="2"/>
        <v>0</v>
      </c>
      <c r="E19" s="58"/>
      <c r="F19" s="58"/>
      <c r="G19" s="58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</row>
    <row r="20">
      <c r="A20" s="54" t="s">
        <v>15</v>
      </c>
      <c r="B20" s="55">
        <f t="shared" ref="B20:C20" si="4">sum(B21:B23)</f>
        <v>0</v>
      </c>
      <c r="C20" s="55">
        <f t="shared" si="4"/>
        <v>0</v>
      </c>
      <c r="D20" s="50">
        <f t="shared" si="2"/>
        <v>0</v>
      </c>
      <c r="E20" s="54"/>
      <c r="F20" s="54"/>
      <c r="G20" s="54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</row>
    <row r="21">
      <c r="A21" s="56" t="s">
        <v>31</v>
      </c>
      <c r="B21" s="57"/>
      <c r="C21" s="57"/>
      <c r="D21" s="50">
        <f t="shared" si="2"/>
        <v>0</v>
      </c>
      <c r="E21" s="58"/>
      <c r="F21" s="58"/>
      <c r="G21" s="58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</row>
    <row r="22">
      <c r="A22" s="56" t="s">
        <v>32</v>
      </c>
      <c r="B22" s="57"/>
      <c r="C22" s="57"/>
      <c r="D22" s="50">
        <f t="shared" si="2"/>
        <v>0</v>
      </c>
      <c r="E22" s="58"/>
      <c r="F22" s="58"/>
      <c r="G22" s="58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</row>
    <row r="23">
      <c r="A23" s="56" t="s">
        <v>33</v>
      </c>
      <c r="B23" s="57"/>
      <c r="C23" s="57"/>
      <c r="D23" s="50">
        <f t="shared" si="2"/>
        <v>0</v>
      </c>
      <c r="E23" s="58"/>
      <c r="F23" s="58"/>
      <c r="G23" s="58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</row>
    <row r="24">
      <c r="A24" s="54" t="s">
        <v>16</v>
      </c>
      <c r="B24" s="55">
        <f t="shared" ref="B24:C24" si="5">sum(B25:B27)</f>
        <v>0</v>
      </c>
      <c r="C24" s="55">
        <f t="shared" si="5"/>
        <v>0</v>
      </c>
      <c r="D24" s="50">
        <f t="shared" si="2"/>
        <v>0</v>
      </c>
      <c r="E24" s="54"/>
      <c r="F24" s="54"/>
      <c r="G24" s="54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</row>
    <row r="25">
      <c r="A25" s="56" t="s">
        <v>31</v>
      </c>
      <c r="B25" s="57"/>
      <c r="C25" s="57"/>
      <c r="D25" s="50">
        <f t="shared" si="2"/>
        <v>0</v>
      </c>
      <c r="E25" s="58"/>
      <c r="F25" s="58"/>
      <c r="G25" s="58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</row>
    <row r="26">
      <c r="A26" s="56" t="s">
        <v>32</v>
      </c>
      <c r="B26" s="57"/>
      <c r="C26" s="57"/>
      <c r="D26" s="50">
        <f t="shared" si="2"/>
        <v>0</v>
      </c>
      <c r="E26" s="58"/>
      <c r="F26" s="58"/>
      <c r="G26" s="58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</row>
    <row r="27">
      <c r="A27" s="56" t="s">
        <v>33</v>
      </c>
      <c r="B27" s="57"/>
      <c r="C27" s="57"/>
      <c r="D27" s="50">
        <f t="shared" si="2"/>
        <v>0</v>
      </c>
      <c r="E27" s="58"/>
      <c r="F27" s="58"/>
      <c r="G27" s="58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</row>
    <row r="28">
      <c r="A28" s="54" t="s">
        <v>17</v>
      </c>
      <c r="B28" s="55">
        <f t="shared" ref="B28:C28" si="6">sum(B29:B31)</f>
        <v>0</v>
      </c>
      <c r="C28" s="55">
        <f t="shared" si="6"/>
        <v>0</v>
      </c>
      <c r="D28" s="50">
        <f t="shared" si="2"/>
        <v>0</v>
      </c>
      <c r="E28" s="54"/>
      <c r="F28" s="54"/>
      <c r="G28" s="54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>
      <c r="A29" s="56" t="s">
        <v>31</v>
      </c>
      <c r="B29" s="57"/>
      <c r="C29" s="57"/>
      <c r="D29" s="50">
        <f t="shared" si="2"/>
        <v>0</v>
      </c>
      <c r="E29" s="58"/>
      <c r="F29" s="58"/>
      <c r="G29" s="58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</row>
    <row r="30">
      <c r="A30" s="56" t="s">
        <v>32</v>
      </c>
      <c r="B30" s="57"/>
      <c r="C30" s="57"/>
      <c r="D30" s="50">
        <f t="shared" si="2"/>
        <v>0</v>
      </c>
      <c r="E30" s="58"/>
      <c r="F30" s="58"/>
      <c r="G30" s="58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</row>
    <row r="31">
      <c r="A31" s="56" t="s">
        <v>33</v>
      </c>
      <c r="B31" s="57"/>
      <c r="C31" s="57"/>
      <c r="D31" s="50">
        <f t="shared" si="2"/>
        <v>0</v>
      </c>
      <c r="E31" s="58"/>
      <c r="F31" s="58"/>
      <c r="G31" s="58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</row>
    <row r="32">
      <c r="A32" s="54" t="s">
        <v>18</v>
      </c>
      <c r="B32" s="55">
        <f t="shared" ref="B32:C32" si="7">sum(B33:B35)</f>
        <v>0</v>
      </c>
      <c r="C32" s="55">
        <f t="shared" si="7"/>
        <v>0</v>
      </c>
      <c r="D32" s="50">
        <f t="shared" si="2"/>
        <v>0</v>
      </c>
      <c r="E32" s="54"/>
      <c r="F32" s="54"/>
      <c r="G32" s="54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</row>
    <row r="33">
      <c r="A33" s="56" t="s">
        <v>31</v>
      </c>
      <c r="B33" s="57"/>
      <c r="C33" s="57"/>
      <c r="D33" s="50">
        <f t="shared" si="2"/>
        <v>0</v>
      </c>
      <c r="E33" s="58"/>
      <c r="F33" s="58"/>
      <c r="G33" s="58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</row>
    <row r="34">
      <c r="A34" s="56" t="s">
        <v>32</v>
      </c>
      <c r="B34" s="57"/>
      <c r="C34" s="57"/>
      <c r="D34" s="50">
        <f t="shared" si="2"/>
        <v>0</v>
      </c>
      <c r="E34" s="58"/>
      <c r="F34" s="58"/>
      <c r="G34" s="58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</row>
    <row r="35">
      <c r="A35" s="56" t="s">
        <v>33</v>
      </c>
      <c r="B35" s="57"/>
      <c r="C35" s="57"/>
      <c r="D35" s="50">
        <f t="shared" si="2"/>
        <v>0</v>
      </c>
      <c r="E35" s="58"/>
      <c r="F35" s="58"/>
      <c r="G35" s="58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</row>
    <row r="36">
      <c r="A36" s="54" t="s">
        <v>19</v>
      </c>
      <c r="B36" s="55">
        <f t="shared" ref="B36:C36" si="8">sum(B37:B39)</f>
        <v>0</v>
      </c>
      <c r="C36" s="55">
        <f t="shared" si="8"/>
        <v>0</v>
      </c>
      <c r="D36" s="50">
        <f t="shared" si="2"/>
        <v>0</v>
      </c>
      <c r="E36" s="54"/>
      <c r="F36" s="54"/>
      <c r="G36" s="54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</row>
    <row r="37">
      <c r="A37" s="56" t="s">
        <v>31</v>
      </c>
      <c r="B37" s="57"/>
      <c r="C37" s="57"/>
      <c r="D37" s="50">
        <f t="shared" si="2"/>
        <v>0</v>
      </c>
      <c r="E37" s="58"/>
      <c r="F37" s="58"/>
      <c r="G37" s="58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</row>
    <row r="38">
      <c r="A38" s="56" t="s">
        <v>32</v>
      </c>
      <c r="B38" s="57"/>
      <c r="C38" s="57"/>
      <c r="D38" s="50">
        <f t="shared" si="2"/>
        <v>0</v>
      </c>
      <c r="E38" s="58"/>
      <c r="F38" s="58"/>
      <c r="G38" s="58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</row>
    <row r="39">
      <c r="A39" s="56" t="s">
        <v>33</v>
      </c>
      <c r="B39" s="57"/>
      <c r="C39" s="57"/>
      <c r="D39" s="50">
        <f t="shared" si="2"/>
        <v>0</v>
      </c>
      <c r="E39" s="58"/>
      <c r="F39" s="58"/>
      <c r="G39" s="58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</row>
    <row r="40">
      <c r="A40" s="54" t="s">
        <v>20</v>
      </c>
      <c r="B40" s="55">
        <f t="shared" ref="B40:C40" si="9">sum(B41:B43)</f>
        <v>0</v>
      </c>
      <c r="C40" s="55">
        <f t="shared" si="9"/>
        <v>0</v>
      </c>
      <c r="D40" s="50">
        <f t="shared" si="2"/>
        <v>0</v>
      </c>
      <c r="E40" s="54"/>
      <c r="F40" s="54"/>
      <c r="G40" s="54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</row>
    <row r="41">
      <c r="A41" s="56" t="s">
        <v>31</v>
      </c>
      <c r="B41" s="57"/>
      <c r="C41" s="57"/>
      <c r="D41" s="50">
        <f t="shared" si="2"/>
        <v>0</v>
      </c>
      <c r="E41" s="58"/>
      <c r="F41" s="58"/>
      <c r="G41" s="58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</row>
    <row r="42">
      <c r="A42" s="56" t="s">
        <v>32</v>
      </c>
      <c r="B42" s="57"/>
      <c r="C42" s="57"/>
      <c r="D42" s="50">
        <f t="shared" si="2"/>
        <v>0</v>
      </c>
      <c r="E42" s="58"/>
      <c r="F42" s="58"/>
      <c r="G42" s="58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</row>
    <row r="43">
      <c r="A43" s="56" t="s">
        <v>33</v>
      </c>
      <c r="B43" s="57"/>
      <c r="C43" s="57"/>
      <c r="D43" s="50">
        <f t="shared" si="2"/>
        <v>0</v>
      </c>
      <c r="E43" s="58"/>
      <c r="F43" s="58"/>
      <c r="G43" s="58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</row>
    <row r="44">
      <c r="A44" s="54" t="s">
        <v>21</v>
      </c>
      <c r="B44" s="55">
        <f t="shared" ref="B44:C44" si="10">sum(B45:B47)</f>
        <v>0</v>
      </c>
      <c r="C44" s="55">
        <f t="shared" si="10"/>
        <v>0</v>
      </c>
      <c r="D44" s="50">
        <f t="shared" si="2"/>
        <v>0</v>
      </c>
      <c r="E44" s="54"/>
      <c r="F44" s="54"/>
      <c r="G44" s="54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</row>
    <row r="45">
      <c r="A45" s="56" t="s">
        <v>31</v>
      </c>
      <c r="B45" s="57"/>
      <c r="C45" s="57"/>
      <c r="D45" s="50">
        <f t="shared" si="2"/>
        <v>0</v>
      </c>
      <c r="E45" s="58"/>
      <c r="F45" s="58"/>
      <c r="G45" s="58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</row>
    <row r="46">
      <c r="A46" s="56" t="s">
        <v>32</v>
      </c>
      <c r="B46" s="57"/>
      <c r="C46" s="57"/>
      <c r="D46" s="50">
        <f t="shared" si="2"/>
        <v>0</v>
      </c>
      <c r="E46" s="58"/>
      <c r="F46" s="58"/>
      <c r="G46" s="58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</row>
    <row r="47">
      <c r="A47" s="56" t="s">
        <v>33</v>
      </c>
      <c r="B47" s="57"/>
      <c r="C47" s="57"/>
      <c r="D47" s="50">
        <f t="shared" si="2"/>
        <v>0</v>
      </c>
      <c r="E47" s="58"/>
      <c r="F47" s="58"/>
      <c r="G47" s="58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</row>
    <row r="48">
      <c r="A48" s="54" t="s">
        <v>22</v>
      </c>
      <c r="B48" s="55">
        <f t="shared" ref="B48:C48" si="11">sum(B49:B51)</f>
        <v>0</v>
      </c>
      <c r="C48" s="55">
        <f t="shared" si="11"/>
        <v>0</v>
      </c>
      <c r="D48" s="50">
        <f t="shared" si="2"/>
        <v>0</v>
      </c>
      <c r="E48" s="54"/>
      <c r="F48" s="54"/>
      <c r="G48" s="54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</row>
    <row r="49">
      <c r="A49" s="56" t="s">
        <v>31</v>
      </c>
      <c r="B49" s="57"/>
      <c r="C49" s="57"/>
      <c r="D49" s="50">
        <f t="shared" si="2"/>
        <v>0</v>
      </c>
      <c r="E49" s="58"/>
      <c r="F49" s="58"/>
      <c r="G49" s="58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</row>
    <row r="50">
      <c r="A50" s="56" t="s">
        <v>32</v>
      </c>
      <c r="B50" s="57"/>
      <c r="C50" s="57"/>
      <c r="D50" s="50">
        <f t="shared" si="2"/>
        <v>0</v>
      </c>
      <c r="E50" s="58"/>
      <c r="F50" s="58"/>
      <c r="G50" s="58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</row>
    <row r="51">
      <c r="A51" s="56" t="s">
        <v>33</v>
      </c>
      <c r="B51" s="57"/>
      <c r="C51" s="57"/>
      <c r="D51" s="50">
        <f t="shared" si="2"/>
        <v>0</v>
      </c>
      <c r="E51" s="58"/>
      <c r="F51" s="58"/>
      <c r="G51" s="58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</row>
    <row r="52">
      <c r="A52" s="54" t="s">
        <v>23</v>
      </c>
      <c r="B52" s="55">
        <f t="shared" ref="B52:C52" si="12">sum(B53:B55)</f>
        <v>0</v>
      </c>
      <c r="C52" s="55">
        <f t="shared" si="12"/>
        <v>0</v>
      </c>
      <c r="D52" s="50">
        <f t="shared" si="2"/>
        <v>0</v>
      </c>
      <c r="E52" s="54"/>
      <c r="F52" s="54"/>
      <c r="G52" s="54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</row>
    <row r="53">
      <c r="A53" s="56" t="s">
        <v>31</v>
      </c>
      <c r="B53" s="57"/>
      <c r="C53" s="57"/>
      <c r="D53" s="50">
        <f t="shared" si="2"/>
        <v>0</v>
      </c>
      <c r="E53" s="58"/>
      <c r="F53" s="58"/>
      <c r="G53" s="58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</row>
    <row r="54">
      <c r="A54" s="56" t="s">
        <v>32</v>
      </c>
      <c r="B54" s="57"/>
      <c r="C54" s="57"/>
      <c r="D54" s="50">
        <f t="shared" si="2"/>
        <v>0</v>
      </c>
      <c r="E54" s="58"/>
      <c r="F54" s="58"/>
      <c r="G54" s="58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</row>
    <row r="55">
      <c r="A55" s="56" t="s">
        <v>33</v>
      </c>
      <c r="B55" s="57"/>
      <c r="C55" s="57"/>
      <c r="D55" s="50">
        <f t="shared" si="2"/>
        <v>0</v>
      </c>
      <c r="E55" s="58"/>
      <c r="F55" s="58"/>
      <c r="G55" s="58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</row>
    <row r="56">
      <c r="A56" s="54" t="s">
        <v>24</v>
      </c>
      <c r="B56" s="55">
        <f t="shared" ref="B56:C56" si="13">sum(B57:B59)</f>
        <v>0</v>
      </c>
      <c r="C56" s="55">
        <f t="shared" si="13"/>
        <v>0</v>
      </c>
      <c r="D56" s="50">
        <f t="shared" si="2"/>
        <v>0</v>
      </c>
      <c r="E56" s="54"/>
      <c r="F56" s="54"/>
      <c r="G56" s="54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</row>
    <row r="57">
      <c r="A57" s="56" t="s">
        <v>31</v>
      </c>
      <c r="B57" s="57"/>
      <c r="C57" s="57"/>
      <c r="D57" s="50">
        <f t="shared" si="2"/>
        <v>0</v>
      </c>
      <c r="E57" s="58"/>
      <c r="F57" s="58"/>
      <c r="G57" s="58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</row>
    <row r="58">
      <c r="A58" s="56" t="s">
        <v>32</v>
      </c>
      <c r="B58" s="57"/>
      <c r="C58" s="57"/>
      <c r="D58" s="50">
        <f t="shared" si="2"/>
        <v>0</v>
      </c>
      <c r="E58" s="58"/>
      <c r="F58" s="58"/>
      <c r="G58" s="58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</row>
    <row r="59">
      <c r="A59" s="56" t="s">
        <v>33</v>
      </c>
      <c r="B59" s="57"/>
      <c r="C59" s="57"/>
      <c r="D59" s="50">
        <f t="shared" si="2"/>
        <v>0</v>
      </c>
      <c r="E59" s="58"/>
      <c r="F59" s="58"/>
      <c r="G59" s="58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</row>
    <row r="60">
      <c r="A60" s="59" t="s">
        <v>25</v>
      </c>
      <c r="B60" s="60">
        <f t="shared" ref="B60:D60" si="14">B56+B52+B48+B44+B40+B36+B32+B28+B24+B20+B16+B12</f>
        <v>0</v>
      </c>
      <c r="C60" s="60">
        <f t="shared" si="14"/>
        <v>0</v>
      </c>
      <c r="D60" s="53">
        <f t="shared" si="14"/>
        <v>0</v>
      </c>
      <c r="E60" s="59"/>
      <c r="F60" s="59"/>
      <c r="G60" s="59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</row>
    <row r="61">
      <c r="A61" s="41"/>
      <c r="B61" s="41"/>
      <c r="C61" s="41"/>
      <c r="D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</row>
    <row r="62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</row>
    <row r="63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</row>
    <row r="64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</row>
    <row r="65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</row>
    <row r="66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</row>
    <row r="67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</row>
    <row r="68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</row>
    <row r="69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</row>
    <row r="70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</row>
    <row r="7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</row>
    <row r="72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</row>
    <row r="73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</row>
    <row r="74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</row>
    <row r="75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</row>
    <row r="76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</row>
    <row r="77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</row>
    <row r="78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</row>
    <row r="79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</row>
    <row r="80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</row>
    <row r="8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</row>
    <row r="82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</row>
    <row r="83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</row>
    <row r="84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</row>
    <row r="85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</row>
    <row r="86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</row>
    <row r="87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</row>
    <row r="88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</row>
    <row r="89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</row>
    <row r="90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</row>
    <row r="9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</row>
    <row r="92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</row>
    <row r="93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</row>
    <row r="94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</row>
    <row r="95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</row>
    <row r="96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</row>
    <row r="97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</row>
    <row r="98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</row>
    <row r="99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</row>
    <row r="100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</row>
    <row r="10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</row>
    <row r="102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</row>
    <row r="103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</row>
    <row r="104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</row>
    <row r="105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</row>
    <row r="106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</row>
    <row r="107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</row>
    <row r="108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</row>
    <row r="109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</row>
    <row r="110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</row>
    <row r="11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</row>
    <row r="112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</row>
    <row r="113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</row>
    <row r="114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</row>
    <row r="115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</row>
    <row r="116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</row>
    <row r="117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</row>
    <row r="118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</row>
    <row r="119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</row>
    <row r="120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</row>
    <row r="12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</row>
    <row r="122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</row>
    <row r="123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</row>
    <row r="124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</row>
    <row r="125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</row>
    <row r="126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</row>
    <row r="127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</row>
    <row r="128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</row>
    <row r="129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</row>
    <row r="130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</row>
    <row r="13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</row>
    <row r="132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</row>
    <row r="133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</row>
    <row r="134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</row>
    <row r="135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</row>
    <row r="136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</row>
    <row r="137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</row>
    <row r="138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</row>
    <row r="139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</row>
    <row r="140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</row>
    <row r="14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</row>
    <row r="142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</row>
    <row r="143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</row>
    <row r="144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</row>
    <row r="145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</row>
    <row r="146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</row>
    <row r="147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</row>
    <row r="148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</row>
    <row r="149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</row>
    <row r="150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</row>
    <row r="15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</row>
    <row r="152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</row>
    <row r="153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</row>
    <row r="154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</row>
    <row r="155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</row>
    <row r="156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</row>
    <row r="157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</row>
    <row r="158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</row>
    <row r="159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</row>
    <row r="160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</row>
    <row r="16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</row>
    <row r="162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</row>
    <row r="163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</row>
    <row r="164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</row>
    <row r="165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</row>
    <row r="166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</row>
    <row r="167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</row>
    <row r="168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</row>
    <row r="169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</row>
    <row r="170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</row>
    <row r="17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</row>
    <row r="172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</row>
    <row r="173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</row>
    <row r="174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</row>
    <row r="175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</row>
    <row r="176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</row>
    <row r="177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</row>
    <row r="178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</row>
    <row r="179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</row>
    <row r="180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</row>
    <row r="18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</row>
    <row r="182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</row>
    <row r="183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</row>
    <row r="184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</row>
    <row r="185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</row>
    <row r="186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</row>
    <row r="187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</row>
    <row r="188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</row>
    <row r="189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</row>
    <row r="190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</row>
    <row r="19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</row>
    <row r="192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</row>
    <row r="193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</row>
    <row r="194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</row>
    <row r="195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</row>
    <row r="196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</row>
    <row r="197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</row>
    <row r="198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</row>
    <row r="199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</row>
    <row r="200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</row>
    <row r="20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</row>
    <row r="202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</row>
    <row r="203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</row>
    <row r="204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</row>
    <row r="205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</row>
    <row r="206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</row>
    <row r="207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</row>
    <row r="208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</row>
    <row r="209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</row>
    <row r="210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</row>
    <row r="21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</row>
    <row r="212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</row>
    <row r="213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</row>
    <row r="214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</row>
    <row r="215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</row>
    <row r="216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</row>
    <row r="217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</row>
    <row r="218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</row>
    <row r="219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</row>
    <row r="220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</row>
    <row r="22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</row>
    <row r="222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</row>
    <row r="223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</row>
    <row r="224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</row>
    <row r="225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</row>
    <row r="226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</row>
    <row r="227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</row>
    <row r="228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</row>
    <row r="229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</row>
    <row r="230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</row>
    <row r="23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</row>
    <row r="232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</row>
    <row r="233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</row>
    <row r="234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</row>
    <row r="235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</row>
    <row r="236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</row>
    <row r="237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</row>
    <row r="238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</row>
    <row r="239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</row>
    <row r="240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</row>
    <row r="24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</row>
    <row r="242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</row>
    <row r="243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</row>
    <row r="244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</row>
    <row r="245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</row>
    <row r="246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</row>
    <row r="247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</row>
    <row r="248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</row>
    <row r="249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</row>
    <row r="250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</row>
    <row r="25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</row>
    <row r="252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</row>
    <row r="253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</row>
    <row r="254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</row>
    <row r="255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</row>
    <row r="256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</row>
    <row r="257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</row>
    <row r="258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</row>
    <row r="259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</row>
    <row r="260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</row>
    <row r="26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</row>
    <row r="262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</row>
    <row r="263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</row>
    <row r="264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</row>
    <row r="265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</row>
    <row r="266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</row>
    <row r="267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</row>
    <row r="268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</row>
    <row r="269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</row>
    <row r="270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</row>
    <row r="27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</row>
    <row r="272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</row>
    <row r="273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</row>
    <row r="274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</row>
    <row r="275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</row>
    <row r="276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</row>
    <row r="277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</row>
    <row r="278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</row>
    <row r="279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</row>
    <row r="280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</row>
    <row r="28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</row>
    <row r="282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</row>
    <row r="283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</row>
    <row r="284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</row>
    <row r="285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</row>
    <row r="286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</row>
    <row r="287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</row>
    <row r="288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</row>
    <row r="289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</row>
    <row r="290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</row>
    <row r="29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</row>
    <row r="292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</row>
    <row r="293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</row>
    <row r="294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</row>
    <row r="295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</row>
    <row r="296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</row>
    <row r="297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</row>
    <row r="298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</row>
    <row r="299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</row>
    <row r="300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</row>
    <row r="30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</row>
    <row r="302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</row>
    <row r="303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</row>
    <row r="304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</row>
    <row r="305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</row>
    <row r="306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</row>
    <row r="307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</row>
    <row r="308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</row>
    <row r="309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</row>
    <row r="310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</row>
    <row r="31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</row>
    <row r="312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</row>
    <row r="313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</row>
    <row r="314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</row>
    <row r="315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</row>
    <row r="316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</row>
    <row r="317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</row>
    <row r="318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</row>
    <row r="319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</row>
    <row r="320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</row>
    <row r="32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</row>
    <row r="322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</row>
    <row r="323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</row>
    <row r="324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</row>
    <row r="325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</row>
    <row r="326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</row>
    <row r="327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</row>
    <row r="328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</row>
    <row r="329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</row>
    <row r="330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</row>
    <row r="33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</row>
    <row r="332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</row>
    <row r="333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</row>
    <row r="334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</row>
    <row r="335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</row>
    <row r="336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</row>
    <row r="337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</row>
    <row r="338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</row>
    <row r="339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</row>
    <row r="340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</row>
    <row r="34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</row>
    <row r="342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</row>
    <row r="343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</row>
    <row r="344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</row>
    <row r="345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</row>
    <row r="346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</row>
    <row r="347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</row>
    <row r="348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</row>
    <row r="349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</row>
    <row r="350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</row>
    <row r="35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</row>
    <row r="352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</row>
    <row r="353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</row>
    <row r="354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</row>
    <row r="355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</row>
    <row r="356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</row>
    <row r="357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</row>
    <row r="358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</row>
    <row r="359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</row>
    <row r="360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</row>
    <row r="36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</row>
    <row r="362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</row>
    <row r="363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</row>
    <row r="364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</row>
    <row r="365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</row>
    <row r="366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</row>
    <row r="367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</row>
    <row r="368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</row>
    <row r="369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</row>
    <row r="370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</row>
    <row r="37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</row>
    <row r="372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</row>
    <row r="373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</row>
    <row r="374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</row>
    <row r="375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</row>
    <row r="376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</row>
    <row r="377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</row>
    <row r="378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</row>
    <row r="379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</row>
    <row r="380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</row>
    <row r="38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</row>
    <row r="382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</row>
    <row r="383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</row>
    <row r="384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</row>
    <row r="385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</row>
    <row r="386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</row>
    <row r="387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</row>
    <row r="388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</row>
    <row r="389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</row>
    <row r="390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</row>
    <row r="39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</row>
    <row r="392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</row>
    <row r="393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</row>
    <row r="394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</row>
    <row r="395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</row>
    <row r="396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</row>
    <row r="397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</row>
    <row r="398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</row>
    <row r="399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</row>
    <row r="400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</row>
    <row r="40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</row>
    <row r="402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</row>
    <row r="403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</row>
    <row r="404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</row>
    <row r="405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</row>
    <row r="406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</row>
    <row r="407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</row>
    <row r="408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</row>
    <row r="409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</row>
    <row r="410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</row>
    <row r="41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</row>
    <row r="412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</row>
    <row r="413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</row>
    <row r="414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</row>
    <row r="415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</row>
    <row r="416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</row>
    <row r="417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</row>
    <row r="418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</row>
    <row r="419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</row>
    <row r="420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</row>
    <row r="42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</row>
    <row r="422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</row>
    <row r="423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</row>
    <row r="424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</row>
    <row r="425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</row>
    <row r="426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</row>
    <row r="427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</row>
    <row r="428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</row>
    <row r="429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</row>
    <row r="430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</row>
    <row r="43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</row>
    <row r="432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</row>
    <row r="433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</row>
    <row r="434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</row>
    <row r="435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</row>
    <row r="436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</row>
    <row r="437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</row>
    <row r="438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</row>
    <row r="439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</row>
    <row r="440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</row>
    <row r="44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</row>
    <row r="442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</row>
    <row r="443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</row>
    <row r="444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</row>
    <row r="445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</row>
    <row r="446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</row>
    <row r="447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</row>
    <row r="448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</row>
    <row r="449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</row>
    <row r="450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</row>
    <row r="45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</row>
    <row r="452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</row>
    <row r="453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</row>
    <row r="454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</row>
    <row r="455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</row>
    <row r="456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</row>
    <row r="457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</row>
    <row r="458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</row>
    <row r="459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</row>
    <row r="460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</row>
    <row r="46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</row>
    <row r="462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</row>
    <row r="463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</row>
    <row r="464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</row>
    <row r="465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</row>
    <row r="466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</row>
    <row r="467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</row>
    <row r="468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</row>
    <row r="469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</row>
    <row r="470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</row>
    <row r="47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</row>
    <row r="472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</row>
    <row r="473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</row>
    <row r="474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</row>
    <row r="475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</row>
    <row r="476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</row>
    <row r="477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</row>
    <row r="478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</row>
    <row r="479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</row>
    <row r="480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</row>
    <row r="48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</row>
    <row r="482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</row>
    <row r="483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</row>
    <row r="484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</row>
    <row r="485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</row>
    <row r="486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</row>
    <row r="487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</row>
    <row r="488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</row>
    <row r="489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</row>
    <row r="490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</row>
    <row r="49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</row>
    <row r="492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</row>
    <row r="493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</row>
    <row r="494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</row>
    <row r="495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</row>
    <row r="496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</row>
    <row r="497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</row>
    <row r="498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</row>
    <row r="499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</row>
    <row r="500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</row>
    <row r="50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</row>
    <row r="502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</row>
    <row r="503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</row>
    <row r="504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</row>
    <row r="505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</row>
    <row r="506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</row>
    <row r="507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</row>
    <row r="508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</row>
    <row r="509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</row>
    <row r="510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</row>
    <row r="51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</row>
    <row r="512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</row>
    <row r="513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</row>
    <row r="514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</row>
    <row r="515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</row>
    <row r="516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</row>
    <row r="517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</row>
    <row r="518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</row>
    <row r="519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</row>
    <row r="520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</row>
    <row r="52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</row>
    <row r="522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</row>
    <row r="523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</row>
    <row r="524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</row>
    <row r="525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</row>
    <row r="526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</row>
    <row r="527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</row>
    <row r="528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</row>
    <row r="529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</row>
    <row r="530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</row>
    <row r="53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</row>
    <row r="532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</row>
    <row r="533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</row>
    <row r="534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</row>
    <row r="535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</row>
    <row r="536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</row>
    <row r="537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</row>
    <row r="538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</row>
    <row r="539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</row>
    <row r="540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</row>
    <row r="54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</row>
    <row r="542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</row>
    <row r="543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</row>
    <row r="544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</row>
    <row r="545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</row>
    <row r="546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</row>
    <row r="547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</row>
    <row r="548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</row>
    <row r="549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</row>
    <row r="550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</row>
    <row r="55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</row>
    <row r="552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</row>
    <row r="553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</row>
    <row r="554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</row>
    <row r="555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</row>
    <row r="556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</row>
    <row r="557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</row>
    <row r="558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</row>
    <row r="559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</row>
    <row r="560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</row>
    <row r="56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</row>
    <row r="562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</row>
    <row r="563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</row>
    <row r="564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</row>
    <row r="565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</row>
    <row r="566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</row>
    <row r="567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</row>
    <row r="568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</row>
    <row r="569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</row>
    <row r="570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</row>
    <row r="57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</row>
    <row r="572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</row>
    <row r="573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</row>
    <row r="574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</row>
    <row r="575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</row>
    <row r="576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</row>
    <row r="577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</row>
    <row r="578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</row>
    <row r="579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</row>
    <row r="580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</row>
    <row r="58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</row>
    <row r="582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</row>
    <row r="583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</row>
    <row r="584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</row>
    <row r="585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</row>
    <row r="586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</row>
    <row r="587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</row>
    <row r="588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</row>
    <row r="589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</row>
    <row r="590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</row>
    <row r="59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</row>
    <row r="592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</row>
    <row r="593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</row>
    <row r="594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</row>
    <row r="595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</row>
    <row r="596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</row>
    <row r="597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</row>
    <row r="598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</row>
    <row r="599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</row>
    <row r="600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</row>
    <row r="60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</row>
    <row r="602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</row>
    <row r="603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</row>
    <row r="604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</row>
    <row r="605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</row>
    <row r="606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</row>
    <row r="607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</row>
    <row r="608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</row>
    <row r="609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</row>
    <row r="610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</row>
    <row r="61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</row>
    <row r="612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</row>
    <row r="613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</row>
    <row r="614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</row>
    <row r="615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</row>
    <row r="616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</row>
    <row r="617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</row>
    <row r="618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</row>
    <row r="619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</row>
    <row r="620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</row>
    <row r="62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</row>
    <row r="622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</row>
    <row r="623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</row>
    <row r="624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</row>
    <row r="625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</row>
    <row r="626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</row>
    <row r="627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</row>
    <row r="628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</row>
    <row r="629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</row>
    <row r="630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</row>
    <row r="63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</row>
    <row r="632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</row>
    <row r="633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</row>
    <row r="634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</row>
    <row r="635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</row>
    <row r="636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</row>
    <row r="637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</row>
    <row r="638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</row>
    <row r="639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</row>
    <row r="640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</row>
    <row r="64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</row>
    <row r="642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</row>
    <row r="643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</row>
    <row r="644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</row>
    <row r="645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</row>
    <row r="646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</row>
    <row r="647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</row>
    <row r="648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</row>
    <row r="649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</row>
    <row r="650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</row>
    <row r="65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</row>
    <row r="652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</row>
    <row r="653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</row>
    <row r="654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</row>
    <row r="655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</row>
    <row r="656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</row>
    <row r="657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</row>
    <row r="658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</row>
    <row r="659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</row>
    <row r="660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</row>
    <row r="66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</row>
    <row r="662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</row>
    <row r="663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</row>
    <row r="664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</row>
    <row r="665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</row>
    <row r="666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</row>
    <row r="667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</row>
    <row r="668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</row>
    <row r="669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</row>
    <row r="670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</row>
    <row r="67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</row>
    <row r="672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</row>
    <row r="673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</row>
    <row r="674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</row>
    <row r="675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</row>
    <row r="676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</row>
    <row r="677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</row>
    <row r="678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</row>
    <row r="679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</row>
    <row r="680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</row>
    <row r="68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</row>
    <row r="682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</row>
    <row r="683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</row>
    <row r="684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</row>
    <row r="685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</row>
    <row r="686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</row>
    <row r="687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</row>
    <row r="688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</row>
    <row r="689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</row>
    <row r="690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</row>
    <row r="69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</row>
    <row r="692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</row>
    <row r="693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</row>
    <row r="694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</row>
    <row r="695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</row>
    <row r="696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</row>
    <row r="697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</row>
    <row r="698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</row>
    <row r="699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</row>
    <row r="700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</row>
    <row r="70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</row>
    <row r="702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</row>
    <row r="703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</row>
    <row r="704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</row>
    <row r="705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</row>
    <row r="706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</row>
    <row r="707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</row>
    <row r="708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</row>
    <row r="709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</row>
    <row r="710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</row>
    <row r="71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</row>
    <row r="712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</row>
    <row r="713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</row>
    <row r="714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</row>
    <row r="715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</row>
    <row r="716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</row>
    <row r="717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</row>
    <row r="718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</row>
    <row r="719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</row>
    <row r="720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</row>
    <row r="72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</row>
    <row r="722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</row>
    <row r="723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</row>
    <row r="724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</row>
    <row r="725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</row>
    <row r="726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</row>
    <row r="727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</row>
    <row r="728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</row>
    <row r="729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</row>
    <row r="730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</row>
    <row r="73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</row>
    <row r="732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</row>
    <row r="733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</row>
    <row r="734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</row>
    <row r="735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</row>
    <row r="736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</row>
    <row r="737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</row>
    <row r="738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</row>
    <row r="739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</row>
    <row r="740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</row>
    <row r="74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</row>
    <row r="742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</row>
    <row r="743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</row>
    <row r="744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</row>
    <row r="745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</row>
    <row r="746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</row>
    <row r="747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</row>
    <row r="748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</row>
    <row r="749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</row>
    <row r="750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</row>
    <row r="75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</row>
    <row r="752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</row>
    <row r="753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</row>
    <row r="754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</row>
    <row r="755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</row>
    <row r="756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</row>
    <row r="757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</row>
    <row r="758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</row>
    <row r="759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</row>
    <row r="760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</row>
    <row r="76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</row>
    <row r="762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</row>
    <row r="763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</row>
    <row r="764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</row>
    <row r="765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</row>
    <row r="766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</row>
    <row r="767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</row>
    <row r="768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</row>
    <row r="769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</row>
    <row r="770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</row>
    <row r="77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</row>
    <row r="772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</row>
    <row r="773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</row>
    <row r="774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</row>
    <row r="775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</row>
    <row r="776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</row>
    <row r="777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</row>
    <row r="778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</row>
    <row r="779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</row>
    <row r="780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</row>
    <row r="78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</row>
    <row r="782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</row>
    <row r="783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</row>
    <row r="784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</row>
    <row r="785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</row>
    <row r="786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</row>
    <row r="787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</row>
    <row r="788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</row>
    <row r="789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</row>
    <row r="790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</row>
    <row r="79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</row>
    <row r="792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</row>
    <row r="793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</row>
    <row r="794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</row>
    <row r="795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</row>
    <row r="796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</row>
    <row r="797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</row>
    <row r="798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</row>
    <row r="799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</row>
    <row r="800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</row>
    <row r="80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</row>
    <row r="802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</row>
    <row r="803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</row>
    <row r="804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</row>
    <row r="805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</row>
    <row r="806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</row>
    <row r="807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</row>
    <row r="808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</row>
    <row r="809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</row>
    <row r="810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</row>
    <row r="81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</row>
    <row r="812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</row>
    <row r="813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</row>
    <row r="814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</row>
    <row r="815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</row>
    <row r="816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</row>
    <row r="817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</row>
    <row r="818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</row>
    <row r="819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</row>
    <row r="820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</row>
    <row r="82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</row>
    <row r="822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</row>
    <row r="823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</row>
    <row r="824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</row>
    <row r="825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</row>
    <row r="826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</row>
    <row r="827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</row>
    <row r="828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</row>
    <row r="829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</row>
    <row r="830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</row>
    <row r="83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</row>
    <row r="832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</row>
    <row r="833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</row>
    <row r="834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</row>
    <row r="835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</row>
    <row r="836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</row>
    <row r="837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</row>
    <row r="838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</row>
    <row r="839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</row>
    <row r="840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</row>
    <row r="84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</row>
    <row r="842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</row>
    <row r="843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</row>
    <row r="844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</row>
    <row r="845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</row>
    <row r="846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</row>
    <row r="847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</row>
    <row r="848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</row>
    <row r="849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</row>
    <row r="850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</row>
    <row r="85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</row>
    <row r="852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</row>
    <row r="853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</row>
    <row r="854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</row>
    <row r="855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</row>
    <row r="856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</row>
    <row r="857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</row>
    <row r="858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</row>
    <row r="859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</row>
    <row r="860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</row>
    <row r="86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</row>
    <row r="862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</row>
    <row r="863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</row>
    <row r="864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</row>
    <row r="865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</row>
    <row r="866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</row>
    <row r="867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</row>
    <row r="868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</row>
    <row r="869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</row>
    <row r="870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</row>
    <row r="87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</row>
    <row r="872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</row>
    <row r="873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</row>
    <row r="874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</row>
    <row r="875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</row>
    <row r="876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</row>
    <row r="877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</row>
    <row r="878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</row>
    <row r="879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</row>
    <row r="880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</row>
    <row r="88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</row>
    <row r="882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</row>
    <row r="883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</row>
    <row r="884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</row>
    <row r="885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</row>
    <row r="886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</row>
    <row r="887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</row>
    <row r="888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</row>
    <row r="889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</row>
    <row r="890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</row>
    <row r="89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</row>
    <row r="892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</row>
    <row r="893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</row>
    <row r="894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</row>
    <row r="895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</row>
    <row r="896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</row>
    <row r="897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</row>
    <row r="898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</row>
    <row r="899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</row>
    <row r="900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</row>
    <row r="90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</row>
    <row r="902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</row>
    <row r="903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</row>
    <row r="904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</row>
    <row r="905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</row>
    <row r="906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</row>
    <row r="907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</row>
    <row r="908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</row>
    <row r="909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</row>
    <row r="910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</row>
    <row r="91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</row>
    <row r="912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</row>
    <row r="913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</row>
    <row r="914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</row>
    <row r="915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</row>
    <row r="916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</row>
    <row r="917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</row>
    <row r="918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</row>
    <row r="919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</row>
    <row r="920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</row>
    <row r="92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</row>
    <row r="922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</row>
    <row r="923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</row>
    <row r="924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</row>
    <row r="925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</row>
    <row r="926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</row>
    <row r="927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</row>
    <row r="928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</row>
    <row r="929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</row>
    <row r="930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</row>
    <row r="93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</row>
    <row r="932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</row>
    <row r="933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</row>
    <row r="934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</row>
    <row r="935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</row>
    <row r="936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</row>
    <row r="937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</row>
    <row r="938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</row>
    <row r="939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</row>
    <row r="940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</row>
    <row r="94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</row>
    <row r="942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</row>
    <row r="943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</row>
    <row r="944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</row>
    <row r="945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</row>
    <row r="946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</row>
    <row r="947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</row>
    <row r="948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</row>
    <row r="949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</row>
    <row r="950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</row>
    <row r="95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</row>
    <row r="952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</row>
    <row r="953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</row>
    <row r="954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</row>
    <row r="955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</row>
    <row r="956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</row>
    <row r="957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</row>
    <row r="958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</row>
    <row r="959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</row>
    <row r="960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</row>
    <row r="96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</row>
    <row r="962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</row>
    <row r="963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</row>
    <row r="964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</row>
    <row r="965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</row>
    <row r="966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</row>
    <row r="967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</row>
    <row r="968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</row>
    <row r="969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</row>
    <row r="970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</row>
    <row r="97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</row>
    <row r="972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</row>
    <row r="973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</row>
    <row r="974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</row>
    <row r="975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</row>
    <row r="976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</row>
    <row r="977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</row>
    <row r="978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</row>
    <row r="979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</row>
    <row r="980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</row>
    <row r="98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</row>
    <row r="982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</row>
    <row r="983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</row>
    <row r="984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</row>
    <row r="985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</row>
    <row r="986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</row>
    <row r="987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</row>
    <row r="988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</row>
    <row r="989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</row>
    <row r="990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</row>
    <row r="99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</row>
    <row r="992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</row>
    <row r="993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</row>
    <row r="994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</row>
    <row r="995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</row>
    <row r="996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</row>
    <row r="997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</row>
    <row r="998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</row>
    <row r="999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</row>
    <row r="1000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</row>
    <row r="1001">
      <c r="A1001" s="41"/>
      <c r="B1001" s="41"/>
      <c r="C1001" s="41"/>
      <c r="D1001" s="41"/>
      <c r="E1001" s="41"/>
      <c r="F1001" s="41"/>
      <c r="G1001" s="41"/>
      <c r="H1001" s="41"/>
      <c r="I1001" s="41"/>
      <c r="J1001" s="41"/>
      <c r="K1001" s="41"/>
      <c r="L1001" s="41"/>
      <c r="M1001" s="41"/>
      <c r="N1001" s="41"/>
      <c r="O1001" s="41"/>
      <c r="P1001" s="41"/>
      <c r="Q1001" s="41"/>
      <c r="R1001" s="41"/>
      <c r="S1001" s="41"/>
      <c r="T1001" s="41"/>
      <c r="U1001" s="41"/>
      <c r="V1001" s="41"/>
      <c r="W1001" s="41"/>
    </row>
    <row r="1002">
      <c r="A1002" s="41"/>
      <c r="B1002" s="41"/>
      <c r="C1002" s="41"/>
      <c r="D1002" s="41"/>
      <c r="E1002" s="41"/>
      <c r="F1002" s="41"/>
      <c r="G1002" s="41"/>
      <c r="H1002" s="41"/>
      <c r="I1002" s="41"/>
      <c r="J1002" s="41"/>
      <c r="K1002" s="41"/>
      <c r="L1002" s="41"/>
      <c r="M1002" s="41"/>
      <c r="N1002" s="41"/>
      <c r="O1002" s="41"/>
      <c r="P1002" s="41"/>
      <c r="Q1002" s="41"/>
      <c r="R1002" s="41"/>
      <c r="S1002" s="41"/>
      <c r="T1002" s="41"/>
      <c r="U1002" s="41"/>
      <c r="V1002" s="41"/>
      <c r="W1002" s="41"/>
    </row>
    <row r="1003">
      <c r="A1003" s="41"/>
      <c r="B1003" s="41"/>
      <c r="C1003" s="41"/>
      <c r="D1003" s="41"/>
      <c r="E1003" s="41"/>
      <c r="F1003" s="41"/>
      <c r="G1003" s="41"/>
      <c r="H1003" s="41"/>
      <c r="I1003" s="41"/>
      <c r="J1003" s="41"/>
      <c r="K1003" s="41"/>
      <c r="L1003" s="41"/>
      <c r="M1003" s="41"/>
      <c r="N1003" s="41"/>
      <c r="O1003" s="41"/>
      <c r="P1003" s="41"/>
      <c r="Q1003" s="41"/>
      <c r="R1003" s="41"/>
      <c r="S1003" s="41"/>
      <c r="T1003" s="41"/>
      <c r="U1003" s="41"/>
      <c r="V1003" s="41"/>
      <c r="W1003" s="41"/>
    </row>
    <row r="1004">
      <c r="A1004" s="41"/>
      <c r="B1004" s="41"/>
      <c r="C1004" s="41"/>
      <c r="D1004" s="41"/>
      <c r="E1004" s="41"/>
      <c r="F1004" s="41"/>
      <c r="G1004" s="41"/>
      <c r="H1004" s="41"/>
      <c r="I1004" s="41"/>
      <c r="J1004" s="41"/>
      <c r="K1004" s="41"/>
      <c r="L1004" s="41"/>
      <c r="M1004" s="41"/>
      <c r="N1004" s="41"/>
      <c r="O1004" s="41"/>
      <c r="P1004" s="41"/>
      <c r="Q1004" s="41"/>
      <c r="R1004" s="41"/>
      <c r="S1004" s="41"/>
      <c r="T1004" s="41"/>
      <c r="U1004" s="41"/>
      <c r="V1004" s="41"/>
      <c r="W1004" s="41"/>
    </row>
    <row r="1005">
      <c r="A1005" s="41"/>
      <c r="B1005" s="41"/>
      <c r="C1005" s="41"/>
      <c r="D1005" s="41"/>
      <c r="E1005" s="41"/>
      <c r="F1005" s="41"/>
      <c r="G1005" s="41"/>
      <c r="H1005" s="41"/>
      <c r="I1005" s="41"/>
      <c r="J1005" s="41"/>
      <c r="K1005" s="41"/>
      <c r="L1005" s="41"/>
      <c r="M1005" s="41"/>
      <c r="N1005" s="41"/>
      <c r="O1005" s="41"/>
      <c r="P1005" s="41"/>
      <c r="Q1005" s="41"/>
      <c r="R1005" s="41"/>
      <c r="S1005" s="41"/>
      <c r="T1005" s="41"/>
      <c r="U1005" s="41"/>
      <c r="V1005" s="41"/>
      <c r="W1005" s="41"/>
    </row>
    <row r="1006">
      <c r="A1006" s="41"/>
      <c r="B1006" s="41"/>
      <c r="C1006" s="41"/>
      <c r="D1006" s="41"/>
      <c r="E1006" s="41"/>
      <c r="F1006" s="41"/>
      <c r="G1006" s="41"/>
      <c r="H1006" s="41"/>
      <c r="I1006" s="41"/>
      <c r="J1006" s="41"/>
      <c r="K1006" s="41"/>
      <c r="L1006" s="41"/>
      <c r="M1006" s="41"/>
      <c r="N1006" s="41"/>
      <c r="O1006" s="41"/>
      <c r="P1006" s="41"/>
      <c r="Q1006" s="41"/>
      <c r="R1006" s="41"/>
      <c r="S1006" s="41"/>
      <c r="T1006" s="41"/>
      <c r="U1006" s="41"/>
      <c r="V1006" s="41"/>
      <c r="W1006" s="41"/>
    </row>
    <row r="1007">
      <c r="A1007" s="41"/>
      <c r="B1007" s="41"/>
      <c r="C1007" s="41"/>
      <c r="D1007" s="41"/>
      <c r="E1007" s="41"/>
      <c r="F1007" s="41"/>
      <c r="G1007" s="41"/>
      <c r="H1007" s="41"/>
      <c r="I1007" s="41"/>
      <c r="J1007" s="41"/>
      <c r="K1007" s="41"/>
      <c r="L1007" s="41"/>
      <c r="M1007" s="41"/>
      <c r="N1007" s="41"/>
      <c r="O1007" s="41"/>
      <c r="P1007" s="41"/>
      <c r="Q1007" s="41"/>
      <c r="R1007" s="41"/>
      <c r="S1007" s="41"/>
      <c r="T1007" s="41"/>
      <c r="U1007" s="41"/>
      <c r="V1007" s="41"/>
      <c r="W1007" s="41"/>
    </row>
    <row r="1008">
      <c r="A1008" s="41"/>
      <c r="B1008" s="41"/>
      <c r="C1008" s="41"/>
      <c r="D1008" s="41"/>
      <c r="E1008" s="41"/>
      <c r="F1008" s="41"/>
      <c r="G1008" s="41"/>
      <c r="H1008" s="41"/>
      <c r="I1008" s="41"/>
      <c r="J1008" s="41"/>
      <c r="K1008" s="41"/>
      <c r="L1008" s="41"/>
      <c r="M1008" s="41"/>
      <c r="N1008" s="41"/>
      <c r="O1008" s="41"/>
      <c r="P1008" s="41"/>
      <c r="Q1008" s="41"/>
      <c r="R1008" s="41"/>
      <c r="S1008" s="41"/>
      <c r="T1008" s="41"/>
      <c r="U1008" s="41"/>
      <c r="V1008" s="41"/>
      <c r="W1008" s="41"/>
    </row>
    <row r="1009">
      <c r="A1009" s="41"/>
      <c r="B1009" s="41"/>
      <c r="C1009" s="41"/>
      <c r="D1009" s="41"/>
      <c r="E1009" s="41"/>
      <c r="F1009" s="41"/>
      <c r="G1009" s="41"/>
      <c r="H1009" s="41"/>
      <c r="I1009" s="41"/>
      <c r="J1009" s="41"/>
      <c r="K1009" s="41"/>
      <c r="L1009" s="41"/>
      <c r="M1009" s="41"/>
      <c r="N1009" s="41"/>
      <c r="O1009" s="41"/>
      <c r="P1009" s="41"/>
      <c r="Q1009" s="41"/>
      <c r="R1009" s="41"/>
      <c r="S1009" s="41"/>
      <c r="T1009" s="41"/>
      <c r="U1009" s="41"/>
      <c r="V1009" s="41"/>
      <c r="W1009" s="41"/>
    </row>
    <row r="1010">
      <c r="A1010" s="41"/>
      <c r="B1010" s="41"/>
      <c r="C1010" s="41"/>
      <c r="D1010" s="41"/>
      <c r="E1010" s="41"/>
      <c r="F1010" s="41"/>
      <c r="G1010" s="41"/>
      <c r="H1010" s="41"/>
      <c r="I1010" s="41"/>
      <c r="J1010" s="41"/>
      <c r="K1010" s="41"/>
      <c r="L1010" s="41"/>
      <c r="M1010" s="41"/>
      <c r="N1010" s="41"/>
      <c r="O1010" s="41"/>
      <c r="P1010" s="41"/>
      <c r="Q1010" s="41"/>
      <c r="R1010" s="41"/>
      <c r="S1010" s="41"/>
      <c r="T1010" s="41"/>
      <c r="U1010" s="41"/>
      <c r="V1010" s="41"/>
      <c r="W1010" s="41"/>
    </row>
  </sheetData>
  <mergeCells count="2">
    <mergeCell ref="A1:C9"/>
    <mergeCell ref="D1:G9"/>
  </mergeCells>
  <conditionalFormatting sqref="D12:D60">
    <cfRule type="cellIs" dxfId="0" priority="1" operator="greaterThan">
      <formula>0</formula>
    </cfRule>
  </conditionalFormatting>
  <conditionalFormatting sqref="D12:D60">
    <cfRule type="cellIs" dxfId="1" priority="2" operator="equal">
      <formula>0</formula>
    </cfRule>
  </conditionalFormatting>
  <conditionalFormatting sqref="D12:D60">
    <cfRule type="cellIs" dxfId="2" priority="3" operator="lessThan">
      <formula>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5" max="5" width="9.63"/>
    <col customWidth="1" min="6" max="6" width="15.63"/>
  </cols>
  <sheetData>
    <row r="1" ht="2.25" customHeight="1">
      <c r="A1" s="37"/>
      <c r="B1" s="38"/>
      <c r="C1" s="38"/>
      <c r="D1" s="39" t="s">
        <v>8</v>
      </c>
      <c r="G1" s="40"/>
      <c r="H1" s="39"/>
      <c r="I1" s="40"/>
    </row>
    <row r="2" ht="8.25" customHeight="1">
      <c r="A2" s="42"/>
      <c r="G2" s="40"/>
      <c r="I2" s="40"/>
    </row>
    <row r="3" ht="8.25" customHeight="1">
      <c r="A3" s="42"/>
      <c r="G3" s="40"/>
      <c r="I3" s="40"/>
    </row>
    <row r="4" ht="8.25" customHeight="1">
      <c r="A4" s="42"/>
      <c r="G4" s="40"/>
      <c r="I4" s="40"/>
    </row>
    <row r="5" ht="8.25" customHeight="1">
      <c r="A5" s="42"/>
      <c r="G5" s="40"/>
      <c r="I5" s="40"/>
    </row>
    <row r="6" ht="8.25" customHeight="1">
      <c r="A6" s="42"/>
      <c r="G6" s="40"/>
      <c r="I6" s="40"/>
    </row>
    <row r="7" ht="8.25" customHeight="1">
      <c r="A7" s="42"/>
      <c r="G7" s="40"/>
      <c r="I7" s="40"/>
    </row>
    <row r="8" ht="8.25" customHeight="1">
      <c r="A8" s="42"/>
      <c r="G8" s="40"/>
      <c r="I8" s="40"/>
    </row>
    <row r="9" ht="8.25" customHeight="1">
      <c r="A9" s="43"/>
      <c r="B9" s="44"/>
      <c r="C9" s="44"/>
      <c r="G9" s="40"/>
      <c r="I9" s="40"/>
    </row>
    <row r="10">
      <c r="A10" s="41"/>
      <c r="B10" s="45"/>
      <c r="C10" s="45"/>
      <c r="D10" s="45"/>
      <c r="E10" s="41"/>
      <c r="F10" s="41"/>
      <c r="G10" s="45"/>
      <c r="H10" s="45"/>
      <c r="I10" s="45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</row>
    <row r="11">
      <c r="A11" s="46" t="s">
        <v>34</v>
      </c>
      <c r="B11" s="46" t="s">
        <v>10</v>
      </c>
      <c r="C11" s="46" t="s">
        <v>11</v>
      </c>
      <c r="D11" s="46" t="s">
        <v>12</v>
      </c>
      <c r="E11" s="41"/>
      <c r="F11" s="46" t="s">
        <v>35</v>
      </c>
      <c r="G11" s="46" t="s">
        <v>10</v>
      </c>
      <c r="H11" s="46" t="s">
        <v>11</v>
      </c>
      <c r="I11" s="46" t="s">
        <v>12</v>
      </c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</row>
    <row r="12">
      <c r="A12" s="61" t="s">
        <v>36</v>
      </c>
      <c r="B12" s="62">
        <f t="shared" ref="B12:C12" si="1">B13+B17+B21</f>
        <v>500</v>
      </c>
      <c r="C12" s="62">
        <f t="shared" si="1"/>
        <v>1000</v>
      </c>
      <c r="D12" s="49">
        <f t="shared" ref="D12:D64" si="4">B12-C12</f>
        <v>-500</v>
      </c>
      <c r="E12" s="41"/>
      <c r="F12" s="61" t="s">
        <v>36</v>
      </c>
      <c r="G12" s="63">
        <f t="shared" ref="G12:H12" si="2">B13+B17+B21</f>
        <v>500</v>
      </c>
      <c r="H12" s="64">
        <f t="shared" si="2"/>
        <v>1000</v>
      </c>
      <c r="I12" s="65">
        <f t="shared" ref="I12:I15" si="6">H12-G12</f>
        <v>500</v>
      </c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</row>
    <row r="13">
      <c r="A13" s="54" t="s">
        <v>13</v>
      </c>
      <c r="B13" s="55">
        <f t="shared" ref="B13:C13" si="3">sum(B14:B16)</f>
        <v>500</v>
      </c>
      <c r="C13" s="55">
        <f t="shared" si="3"/>
        <v>0</v>
      </c>
      <c r="D13" s="50">
        <f t="shared" si="4"/>
        <v>500</v>
      </c>
      <c r="E13" s="41"/>
      <c r="F13" s="61" t="s">
        <v>37</v>
      </c>
      <c r="G13" s="66">
        <f t="shared" ref="G13:H13" si="5">B26+B30+B34</f>
        <v>1000</v>
      </c>
      <c r="H13" s="62">
        <f t="shared" si="5"/>
        <v>500</v>
      </c>
      <c r="I13" s="67">
        <f t="shared" si="6"/>
        <v>-500</v>
      </c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</row>
    <row r="14">
      <c r="A14" s="56" t="s">
        <v>31</v>
      </c>
      <c r="B14" s="57"/>
      <c r="C14" s="57"/>
      <c r="D14" s="50">
        <f t="shared" si="4"/>
        <v>0</v>
      </c>
      <c r="E14" s="41"/>
      <c r="F14" s="61" t="s">
        <v>38</v>
      </c>
      <c r="G14" s="66">
        <f t="shared" ref="G14:H14" si="7">B39+B43+B47</f>
        <v>1000</v>
      </c>
      <c r="H14" s="62">
        <f t="shared" si="7"/>
        <v>500</v>
      </c>
      <c r="I14" s="67">
        <f t="shared" si="6"/>
        <v>-500</v>
      </c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</row>
    <row r="15">
      <c r="A15" s="56" t="s">
        <v>32</v>
      </c>
      <c r="B15" s="57">
        <v>500.0</v>
      </c>
      <c r="C15" s="57"/>
      <c r="D15" s="50">
        <f t="shared" si="4"/>
        <v>500</v>
      </c>
      <c r="E15" s="41"/>
      <c r="F15" s="61" t="s">
        <v>39</v>
      </c>
      <c r="G15" s="68">
        <f t="shared" ref="G15:H15" si="8">B60+B56+B52</f>
        <v>1000</v>
      </c>
      <c r="H15" s="69">
        <f t="shared" si="8"/>
        <v>500</v>
      </c>
      <c r="I15" s="70">
        <f t="shared" si="6"/>
        <v>-500</v>
      </c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</row>
    <row r="16">
      <c r="A16" s="56" t="s">
        <v>33</v>
      </c>
      <c r="B16" s="57"/>
      <c r="C16" s="57"/>
      <c r="D16" s="50">
        <f t="shared" si="4"/>
        <v>0</v>
      </c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</row>
    <row r="17">
      <c r="A17" s="54" t="s">
        <v>14</v>
      </c>
      <c r="B17" s="55">
        <f t="shared" ref="B17:C17" si="9">sum(B18:B20)</f>
        <v>0</v>
      </c>
      <c r="C17" s="55">
        <f t="shared" si="9"/>
        <v>500</v>
      </c>
      <c r="D17" s="50">
        <f t="shared" si="4"/>
        <v>-500</v>
      </c>
      <c r="E17" s="41"/>
      <c r="F17" s="46" t="s">
        <v>40</v>
      </c>
      <c r="G17" s="46" t="s">
        <v>10</v>
      </c>
      <c r="H17" s="46" t="s">
        <v>11</v>
      </c>
      <c r="I17" s="46" t="s">
        <v>12</v>
      </c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</row>
    <row r="18">
      <c r="A18" s="56" t="s">
        <v>31</v>
      </c>
      <c r="B18" s="57"/>
      <c r="C18" s="57"/>
      <c r="D18" s="50">
        <f t="shared" si="4"/>
        <v>0</v>
      </c>
      <c r="E18" s="41"/>
      <c r="F18" s="54" t="s">
        <v>36</v>
      </c>
      <c r="G18" s="71">
        <f t="shared" ref="G18:H18" si="10">B13+B17+B21</f>
        <v>500</v>
      </c>
      <c r="H18" s="72">
        <f t="shared" si="10"/>
        <v>1000</v>
      </c>
      <c r="I18" s="65">
        <f t="shared" ref="I18:I33" si="12">H18-G18</f>
        <v>500</v>
      </c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</row>
    <row r="19">
      <c r="A19" s="56" t="s">
        <v>32</v>
      </c>
      <c r="B19" s="57"/>
      <c r="C19" s="57">
        <v>500.0</v>
      </c>
      <c r="D19" s="50">
        <f t="shared" si="4"/>
        <v>-500</v>
      </c>
      <c r="E19" s="41"/>
      <c r="F19" s="56" t="s">
        <v>31</v>
      </c>
      <c r="G19" s="73">
        <f t="shared" ref="G19:H19" si="11">B14+B18+B22</f>
        <v>0</v>
      </c>
      <c r="H19" s="57">
        <f t="shared" si="11"/>
        <v>0</v>
      </c>
      <c r="I19" s="67">
        <f t="shared" si="12"/>
        <v>0</v>
      </c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</row>
    <row r="20">
      <c r="A20" s="56" t="s">
        <v>33</v>
      </c>
      <c r="B20" s="57"/>
      <c r="C20" s="57"/>
      <c r="D20" s="50">
        <f t="shared" si="4"/>
        <v>0</v>
      </c>
      <c r="E20" s="41"/>
      <c r="F20" s="56" t="s">
        <v>32</v>
      </c>
      <c r="G20" s="73">
        <f t="shared" ref="G20:H20" si="13">B15+B19+B23</f>
        <v>500</v>
      </c>
      <c r="H20" s="57">
        <f t="shared" si="13"/>
        <v>1000</v>
      </c>
      <c r="I20" s="67">
        <f t="shared" si="12"/>
        <v>500</v>
      </c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</row>
    <row r="21">
      <c r="A21" s="54" t="s">
        <v>15</v>
      </c>
      <c r="B21" s="55">
        <f t="shared" ref="B21:C21" si="14">sum(B22:B24)</f>
        <v>0</v>
      </c>
      <c r="C21" s="55">
        <f t="shared" si="14"/>
        <v>500</v>
      </c>
      <c r="D21" s="50">
        <f t="shared" si="4"/>
        <v>-500</v>
      </c>
      <c r="E21" s="41"/>
      <c r="F21" s="56" t="s">
        <v>33</v>
      </c>
      <c r="G21" s="73">
        <f t="shared" ref="G21:H21" si="15">B16+B20+B24</f>
        <v>0</v>
      </c>
      <c r="H21" s="57">
        <f t="shared" si="15"/>
        <v>0</v>
      </c>
      <c r="I21" s="67">
        <f t="shared" si="12"/>
        <v>0</v>
      </c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</row>
    <row r="22">
      <c r="A22" s="56" t="s">
        <v>31</v>
      </c>
      <c r="B22" s="57"/>
      <c r="C22" s="57"/>
      <c r="D22" s="50">
        <f t="shared" si="4"/>
        <v>0</v>
      </c>
      <c r="E22" s="41"/>
      <c r="F22" s="54" t="s">
        <v>37</v>
      </c>
      <c r="G22" s="74">
        <f t="shared" ref="G22:H22" si="16">sum(B26+B30+B34)</f>
        <v>1000</v>
      </c>
      <c r="H22" s="55">
        <f t="shared" si="16"/>
        <v>500</v>
      </c>
      <c r="I22" s="67">
        <f t="shared" si="12"/>
        <v>-500</v>
      </c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</row>
    <row r="23">
      <c r="A23" s="56" t="s">
        <v>32</v>
      </c>
      <c r="B23" s="57"/>
      <c r="C23" s="57">
        <v>500.0</v>
      </c>
      <c r="D23" s="50">
        <f t="shared" si="4"/>
        <v>-500</v>
      </c>
      <c r="E23" s="41"/>
      <c r="F23" s="56" t="s">
        <v>31</v>
      </c>
      <c r="G23" s="73">
        <f t="shared" ref="G23:H23" si="17">sum(B27+B31+B35)</f>
        <v>500</v>
      </c>
      <c r="H23" s="57">
        <f t="shared" si="17"/>
        <v>500</v>
      </c>
      <c r="I23" s="67">
        <f t="shared" si="12"/>
        <v>0</v>
      </c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</row>
    <row r="24">
      <c r="A24" s="56" t="s">
        <v>33</v>
      </c>
      <c r="B24" s="57"/>
      <c r="C24" s="57"/>
      <c r="D24" s="50">
        <f t="shared" si="4"/>
        <v>0</v>
      </c>
      <c r="E24" s="41"/>
      <c r="F24" s="56" t="s">
        <v>32</v>
      </c>
      <c r="G24" s="73">
        <f t="shared" ref="G24:H24" si="18">sum(B28+B32+B36)</f>
        <v>500</v>
      </c>
      <c r="H24" s="57">
        <f t="shared" si="18"/>
        <v>0</v>
      </c>
      <c r="I24" s="67">
        <f t="shared" si="12"/>
        <v>-500</v>
      </c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</row>
    <row r="25">
      <c r="A25" s="61" t="s">
        <v>37</v>
      </c>
      <c r="B25" s="62">
        <f t="shared" ref="B25:C25" si="19">B26+B30+B34</f>
        <v>1000</v>
      </c>
      <c r="C25" s="62">
        <f t="shared" si="19"/>
        <v>500</v>
      </c>
      <c r="D25" s="50">
        <f t="shared" si="4"/>
        <v>500</v>
      </c>
      <c r="E25" s="41"/>
      <c r="F25" s="56" t="s">
        <v>33</v>
      </c>
      <c r="G25" s="73">
        <f t="shared" ref="G25:H25" si="20">sum(B29+B33+B37)</f>
        <v>0</v>
      </c>
      <c r="H25" s="57">
        <f t="shared" si="20"/>
        <v>0</v>
      </c>
      <c r="I25" s="67">
        <f t="shared" si="12"/>
        <v>0</v>
      </c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</row>
    <row r="26">
      <c r="A26" s="54" t="s">
        <v>16</v>
      </c>
      <c r="B26" s="55">
        <f t="shared" ref="B26:C26" si="21">sum(B27:B29)</f>
        <v>500</v>
      </c>
      <c r="C26" s="55">
        <f t="shared" si="21"/>
        <v>0</v>
      </c>
      <c r="D26" s="50">
        <f t="shared" si="4"/>
        <v>500</v>
      </c>
      <c r="E26" s="41"/>
      <c r="F26" s="54" t="s">
        <v>38</v>
      </c>
      <c r="G26" s="74">
        <f t="shared" ref="G26:H26" si="22">B39+B43+B47</f>
        <v>1000</v>
      </c>
      <c r="H26" s="55">
        <f t="shared" si="22"/>
        <v>500</v>
      </c>
      <c r="I26" s="67">
        <f t="shared" si="12"/>
        <v>-500</v>
      </c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</row>
    <row r="27">
      <c r="A27" s="56" t="s">
        <v>31</v>
      </c>
      <c r="B27" s="57">
        <v>500.0</v>
      </c>
      <c r="C27" s="57"/>
      <c r="D27" s="50">
        <f t="shared" si="4"/>
        <v>500</v>
      </c>
      <c r="E27" s="41"/>
      <c r="F27" s="56" t="s">
        <v>31</v>
      </c>
      <c r="G27" s="73">
        <f t="shared" ref="G27:H27" si="23">B40+B44+B48</f>
        <v>500</v>
      </c>
      <c r="H27" s="57">
        <f t="shared" si="23"/>
        <v>500</v>
      </c>
      <c r="I27" s="67">
        <f t="shared" si="12"/>
        <v>0</v>
      </c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</row>
    <row r="28">
      <c r="A28" s="56" t="s">
        <v>32</v>
      </c>
      <c r="B28" s="57"/>
      <c r="C28" s="57"/>
      <c r="D28" s="50">
        <f t="shared" si="4"/>
        <v>0</v>
      </c>
      <c r="E28" s="41"/>
      <c r="F28" s="56" t="s">
        <v>32</v>
      </c>
      <c r="G28" s="73">
        <f t="shared" ref="G28:H28" si="24">B41+B45+B49</f>
        <v>500</v>
      </c>
      <c r="H28" s="57">
        <f t="shared" si="24"/>
        <v>0</v>
      </c>
      <c r="I28" s="67">
        <f t="shared" si="12"/>
        <v>-500</v>
      </c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</row>
    <row r="29">
      <c r="A29" s="56" t="s">
        <v>33</v>
      </c>
      <c r="B29" s="57"/>
      <c r="C29" s="57"/>
      <c r="D29" s="50">
        <f t="shared" si="4"/>
        <v>0</v>
      </c>
      <c r="E29" s="41"/>
      <c r="F29" s="56" t="s">
        <v>33</v>
      </c>
      <c r="G29" s="73">
        <f t="shared" ref="G29:H29" si="25">B42+B46+B50</f>
        <v>0</v>
      </c>
      <c r="H29" s="57">
        <f t="shared" si="25"/>
        <v>0</v>
      </c>
      <c r="I29" s="67">
        <f t="shared" si="12"/>
        <v>0</v>
      </c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</row>
    <row r="30">
      <c r="A30" s="54" t="s">
        <v>17</v>
      </c>
      <c r="B30" s="55">
        <f t="shared" ref="B30:C30" si="26">sum(B31:B33)</f>
        <v>500</v>
      </c>
      <c r="C30" s="55">
        <f t="shared" si="26"/>
        <v>0</v>
      </c>
      <c r="D30" s="50">
        <f t="shared" si="4"/>
        <v>500</v>
      </c>
      <c r="E30" s="41"/>
      <c r="F30" s="54" t="s">
        <v>39</v>
      </c>
      <c r="G30" s="74">
        <f t="shared" ref="G30:H30" si="27">sum(B60+B56+B52)</f>
        <v>1000</v>
      </c>
      <c r="H30" s="55">
        <f t="shared" si="27"/>
        <v>500</v>
      </c>
      <c r="I30" s="67">
        <f t="shared" si="12"/>
        <v>-500</v>
      </c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</row>
    <row r="31">
      <c r="A31" s="56" t="s">
        <v>31</v>
      </c>
      <c r="B31" s="57"/>
      <c r="C31" s="57"/>
      <c r="D31" s="50">
        <f t="shared" si="4"/>
        <v>0</v>
      </c>
      <c r="E31" s="41"/>
      <c r="F31" s="56" t="s">
        <v>31</v>
      </c>
      <c r="G31" s="73">
        <f t="shared" ref="G31:H31" si="28">sum(B61+B57+B53)</f>
        <v>0</v>
      </c>
      <c r="H31" s="57">
        <f t="shared" si="28"/>
        <v>0</v>
      </c>
      <c r="I31" s="67">
        <f t="shared" si="12"/>
        <v>0</v>
      </c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</row>
    <row r="32">
      <c r="A32" s="56" t="s">
        <v>32</v>
      </c>
      <c r="B32" s="57">
        <v>500.0</v>
      </c>
      <c r="C32" s="57"/>
      <c r="D32" s="50">
        <f t="shared" si="4"/>
        <v>500</v>
      </c>
      <c r="E32" s="41"/>
      <c r="F32" s="56" t="s">
        <v>32</v>
      </c>
      <c r="G32" s="73">
        <f t="shared" ref="G32:H32" si="29">sum(B62+B58+B54)</f>
        <v>1000</v>
      </c>
      <c r="H32" s="57">
        <f t="shared" si="29"/>
        <v>500</v>
      </c>
      <c r="I32" s="67">
        <f t="shared" si="12"/>
        <v>-500</v>
      </c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</row>
    <row r="33">
      <c r="A33" s="56" t="s">
        <v>33</v>
      </c>
      <c r="B33" s="57"/>
      <c r="C33" s="57"/>
      <c r="D33" s="50">
        <f t="shared" si="4"/>
        <v>0</v>
      </c>
      <c r="E33" s="41"/>
      <c r="F33" s="56" t="s">
        <v>33</v>
      </c>
      <c r="G33" s="75">
        <f t="shared" ref="G33:H33" si="30">sum(B63+B59+B55)</f>
        <v>0</v>
      </c>
      <c r="H33" s="76">
        <f t="shared" si="30"/>
        <v>0</v>
      </c>
      <c r="I33" s="70">
        <f t="shared" si="12"/>
        <v>0</v>
      </c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</row>
    <row r="34">
      <c r="A34" s="54" t="s">
        <v>18</v>
      </c>
      <c r="B34" s="55">
        <f t="shared" ref="B34:C34" si="31">sum(B35:B37)</f>
        <v>0</v>
      </c>
      <c r="C34" s="55">
        <f t="shared" si="31"/>
        <v>500</v>
      </c>
      <c r="D34" s="50">
        <f t="shared" si="4"/>
        <v>-500</v>
      </c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</row>
    <row r="35">
      <c r="A35" s="56" t="s">
        <v>31</v>
      </c>
      <c r="B35" s="57"/>
      <c r="C35" s="57">
        <v>500.0</v>
      </c>
      <c r="D35" s="50">
        <f t="shared" si="4"/>
        <v>-500</v>
      </c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</row>
    <row r="36">
      <c r="A36" s="56" t="s">
        <v>32</v>
      </c>
      <c r="B36" s="57"/>
      <c r="C36" s="57"/>
      <c r="D36" s="50">
        <f t="shared" si="4"/>
        <v>0</v>
      </c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</row>
    <row r="37">
      <c r="A37" s="56" t="s">
        <v>33</v>
      </c>
      <c r="B37" s="57"/>
      <c r="C37" s="57"/>
      <c r="D37" s="50">
        <f t="shared" si="4"/>
        <v>0</v>
      </c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</row>
    <row r="38">
      <c r="A38" s="61" t="s">
        <v>38</v>
      </c>
      <c r="B38" s="62">
        <f t="shared" ref="B38:C38" si="32">B39+B43+B47</f>
        <v>1000</v>
      </c>
      <c r="C38" s="62">
        <f t="shared" si="32"/>
        <v>500</v>
      </c>
      <c r="D38" s="50">
        <f t="shared" si="4"/>
        <v>500</v>
      </c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</row>
    <row r="39">
      <c r="A39" s="54" t="s">
        <v>19</v>
      </c>
      <c r="B39" s="55">
        <f t="shared" ref="B39:C39" si="33">sum(B40:B42)</f>
        <v>500</v>
      </c>
      <c r="C39" s="55">
        <f t="shared" si="33"/>
        <v>0</v>
      </c>
      <c r="D39" s="50">
        <f t="shared" si="4"/>
        <v>500</v>
      </c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</row>
    <row r="40">
      <c r="A40" s="56" t="s">
        <v>31</v>
      </c>
      <c r="B40" s="57"/>
      <c r="C40" s="57"/>
      <c r="D40" s="50">
        <f t="shared" si="4"/>
        <v>0</v>
      </c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</row>
    <row r="41">
      <c r="A41" s="56" t="s">
        <v>32</v>
      </c>
      <c r="B41" s="57">
        <v>500.0</v>
      </c>
      <c r="C41" s="57"/>
      <c r="D41" s="50">
        <f t="shared" si="4"/>
        <v>500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</row>
    <row r="42">
      <c r="A42" s="56" t="s">
        <v>33</v>
      </c>
      <c r="B42" s="57"/>
      <c r="C42" s="57"/>
      <c r="D42" s="50">
        <f t="shared" si="4"/>
        <v>0</v>
      </c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</row>
    <row r="43">
      <c r="A43" s="54" t="s">
        <v>20</v>
      </c>
      <c r="B43" s="55">
        <f t="shared" ref="B43:C43" si="34">sum(B44:B46)</f>
        <v>0</v>
      </c>
      <c r="C43" s="55">
        <f t="shared" si="34"/>
        <v>500</v>
      </c>
      <c r="D43" s="50">
        <f t="shared" si="4"/>
        <v>-500</v>
      </c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</row>
    <row r="44">
      <c r="A44" s="56" t="s">
        <v>31</v>
      </c>
      <c r="B44" s="57"/>
      <c r="C44" s="57">
        <v>500.0</v>
      </c>
      <c r="D44" s="50">
        <f t="shared" si="4"/>
        <v>-500</v>
      </c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</row>
    <row r="45">
      <c r="A45" s="56" t="s">
        <v>32</v>
      </c>
      <c r="B45" s="57"/>
      <c r="C45" s="57"/>
      <c r="D45" s="50">
        <f t="shared" si="4"/>
        <v>0</v>
      </c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</row>
    <row r="46">
      <c r="A46" s="56" t="s">
        <v>33</v>
      </c>
      <c r="B46" s="57"/>
      <c r="C46" s="57"/>
      <c r="D46" s="50">
        <f t="shared" si="4"/>
        <v>0</v>
      </c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</row>
    <row r="47">
      <c r="A47" s="54" t="s">
        <v>21</v>
      </c>
      <c r="B47" s="55">
        <f t="shared" ref="B47:C47" si="35">sum(B48:B50)</f>
        <v>500</v>
      </c>
      <c r="C47" s="55">
        <f t="shared" si="35"/>
        <v>0</v>
      </c>
      <c r="D47" s="50">
        <f t="shared" si="4"/>
        <v>500</v>
      </c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</row>
    <row r="48">
      <c r="A48" s="56" t="s">
        <v>31</v>
      </c>
      <c r="B48" s="57">
        <v>500.0</v>
      </c>
      <c r="C48" s="57"/>
      <c r="D48" s="50">
        <f t="shared" si="4"/>
        <v>500</v>
      </c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</row>
    <row r="49">
      <c r="A49" s="56" t="s">
        <v>32</v>
      </c>
      <c r="B49" s="57"/>
      <c r="C49" s="57"/>
      <c r="D49" s="50">
        <f t="shared" si="4"/>
        <v>0</v>
      </c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</row>
    <row r="50">
      <c r="A50" s="56" t="s">
        <v>33</v>
      </c>
      <c r="B50" s="57"/>
      <c r="C50" s="57"/>
      <c r="D50" s="50">
        <f t="shared" si="4"/>
        <v>0</v>
      </c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</row>
    <row r="51">
      <c r="A51" s="61" t="s">
        <v>39</v>
      </c>
      <c r="B51" s="62">
        <f t="shared" ref="B51:C51" si="36">B52+B56+B60</f>
        <v>1000</v>
      </c>
      <c r="C51" s="62">
        <f t="shared" si="36"/>
        <v>500</v>
      </c>
      <c r="D51" s="50">
        <f t="shared" si="4"/>
        <v>500</v>
      </c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</row>
    <row r="52">
      <c r="A52" s="54" t="s">
        <v>22</v>
      </c>
      <c r="B52" s="55">
        <f t="shared" ref="B52:C52" si="37">sum(B53:B55)</f>
        <v>500</v>
      </c>
      <c r="C52" s="55">
        <f t="shared" si="37"/>
        <v>0</v>
      </c>
      <c r="D52" s="50">
        <f t="shared" si="4"/>
        <v>500</v>
      </c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</row>
    <row r="53">
      <c r="A53" s="56" t="s">
        <v>31</v>
      </c>
      <c r="B53" s="57"/>
      <c r="C53" s="57"/>
      <c r="D53" s="50">
        <f t="shared" si="4"/>
        <v>0</v>
      </c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</row>
    <row r="54">
      <c r="A54" s="56" t="s">
        <v>32</v>
      </c>
      <c r="B54" s="57">
        <v>500.0</v>
      </c>
      <c r="C54" s="57"/>
      <c r="D54" s="50">
        <f t="shared" si="4"/>
        <v>500</v>
      </c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</row>
    <row r="55">
      <c r="A55" s="56" t="s">
        <v>33</v>
      </c>
      <c r="B55" s="57"/>
      <c r="C55" s="57"/>
      <c r="D55" s="50">
        <f t="shared" si="4"/>
        <v>0</v>
      </c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</row>
    <row r="56">
      <c r="A56" s="54" t="s">
        <v>23</v>
      </c>
      <c r="B56" s="55">
        <f t="shared" ref="B56:C56" si="38">sum(B57:B59)</f>
        <v>0</v>
      </c>
      <c r="C56" s="55">
        <f t="shared" si="38"/>
        <v>500</v>
      </c>
      <c r="D56" s="50">
        <f t="shared" si="4"/>
        <v>-500</v>
      </c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</row>
    <row r="57">
      <c r="A57" s="56" t="s">
        <v>31</v>
      </c>
      <c r="B57" s="57"/>
      <c r="C57" s="57"/>
      <c r="D57" s="50">
        <f t="shared" si="4"/>
        <v>0</v>
      </c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</row>
    <row r="58">
      <c r="A58" s="56" t="s">
        <v>32</v>
      </c>
      <c r="B58" s="57"/>
      <c r="C58" s="57">
        <v>500.0</v>
      </c>
      <c r="D58" s="50">
        <f t="shared" si="4"/>
        <v>-500</v>
      </c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</row>
    <row r="59">
      <c r="A59" s="56" t="s">
        <v>33</v>
      </c>
      <c r="B59" s="57"/>
      <c r="C59" s="57"/>
      <c r="D59" s="50">
        <f t="shared" si="4"/>
        <v>0</v>
      </c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</row>
    <row r="60">
      <c r="A60" s="54" t="s">
        <v>24</v>
      </c>
      <c r="B60" s="55">
        <f t="shared" ref="B60:C60" si="39">sum(B61:B63)</f>
        <v>500</v>
      </c>
      <c r="C60" s="55">
        <f t="shared" si="39"/>
        <v>0</v>
      </c>
      <c r="D60" s="50">
        <f t="shared" si="4"/>
        <v>500</v>
      </c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</row>
    <row r="61">
      <c r="A61" s="56" t="s">
        <v>31</v>
      </c>
      <c r="B61" s="57"/>
      <c r="C61" s="57"/>
      <c r="D61" s="50">
        <f t="shared" si="4"/>
        <v>0</v>
      </c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</row>
    <row r="62">
      <c r="A62" s="56" t="s">
        <v>32</v>
      </c>
      <c r="B62" s="57">
        <v>500.0</v>
      </c>
      <c r="C62" s="57"/>
      <c r="D62" s="50">
        <f t="shared" si="4"/>
        <v>500</v>
      </c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</row>
    <row r="63">
      <c r="A63" s="56" t="s">
        <v>33</v>
      </c>
      <c r="B63" s="57"/>
      <c r="C63" s="57"/>
      <c r="D63" s="50">
        <f t="shared" si="4"/>
        <v>0</v>
      </c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</row>
    <row r="64">
      <c r="A64" s="61" t="s">
        <v>25</v>
      </c>
      <c r="B64" s="77">
        <f t="shared" ref="B64:C64" si="40">B60+B56+B52+B47+B43+B39+B34+B30+B26+B21+B17+B13</f>
        <v>3500</v>
      </c>
      <c r="C64" s="77">
        <f t="shared" si="40"/>
        <v>2500</v>
      </c>
      <c r="D64" s="53">
        <f t="shared" si="4"/>
        <v>1000</v>
      </c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</row>
    <row r="65">
      <c r="A65" s="41"/>
      <c r="B65" s="78"/>
      <c r="C65" s="78"/>
      <c r="D65" s="78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</row>
    <row r="66">
      <c r="A66" s="41"/>
      <c r="B66" s="78"/>
      <c r="C66" s="78"/>
      <c r="D66" s="78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</row>
    <row r="67">
      <c r="A67" s="41"/>
      <c r="B67" s="78"/>
      <c r="C67" s="78"/>
      <c r="D67" s="78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</row>
    <row r="68">
      <c r="A68" s="41"/>
      <c r="B68" s="78"/>
      <c r="C68" s="78"/>
      <c r="D68" s="78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</row>
    <row r="69">
      <c r="A69" s="41"/>
      <c r="B69" s="78"/>
      <c r="C69" s="78"/>
      <c r="D69" s="78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</row>
    <row r="70">
      <c r="A70" s="41"/>
      <c r="B70" s="78"/>
      <c r="C70" s="78"/>
      <c r="D70" s="78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</row>
    <row r="71">
      <c r="A71" s="41"/>
      <c r="B71" s="78"/>
      <c r="C71" s="78"/>
      <c r="D71" s="78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</row>
    <row r="72">
      <c r="A72" s="41"/>
      <c r="B72" s="78"/>
      <c r="C72" s="78"/>
      <c r="D72" s="78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</row>
    <row r="73">
      <c r="A73" s="41"/>
      <c r="B73" s="78"/>
      <c r="C73" s="78"/>
      <c r="D73" s="78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</row>
    <row r="74">
      <c r="A74" s="41"/>
      <c r="B74" s="78"/>
      <c r="C74" s="78"/>
      <c r="D74" s="78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</row>
    <row r="75">
      <c r="A75" s="41"/>
      <c r="B75" s="78"/>
      <c r="C75" s="78"/>
      <c r="D75" s="78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</row>
    <row r="76">
      <c r="A76" s="41"/>
      <c r="B76" s="78"/>
      <c r="C76" s="78"/>
      <c r="D76" s="78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</row>
    <row r="77">
      <c r="A77" s="41"/>
      <c r="B77" s="78"/>
      <c r="C77" s="78"/>
      <c r="D77" s="78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</row>
    <row r="78">
      <c r="A78" s="41"/>
      <c r="B78" s="78"/>
      <c r="C78" s="78"/>
      <c r="D78" s="78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</row>
    <row r="79">
      <c r="A79" s="41"/>
      <c r="B79" s="78"/>
      <c r="C79" s="78"/>
      <c r="D79" s="78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</row>
    <row r="80">
      <c r="A80" s="41"/>
      <c r="B80" s="78"/>
      <c r="C80" s="78"/>
      <c r="D80" s="78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</row>
    <row r="81">
      <c r="A81" s="41"/>
      <c r="B81" s="78"/>
      <c r="C81" s="78"/>
      <c r="D81" s="78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</row>
    <row r="82">
      <c r="A82" s="41"/>
      <c r="B82" s="78"/>
      <c r="C82" s="78"/>
      <c r="D82" s="78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</row>
    <row r="83">
      <c r="A83" s="41"/>
      <c r="B83" s="78"/>
      <c r="C83" s="78"/>
      <c r="D83" s="78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</row>
    <row r="84">
      <c r="A84" s="41"/>
      <c r="B84" s="78"/>
      <c r="C84" s="78"/>
      <c r="D84" s="78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</row>
    <row r="85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</row>
    <row r="86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</row>
    <row r="87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</row>
    <row r="88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</row>
    <row r="89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</row>
    <row r="90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</row>
    <row r="9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</row>
    <row r="92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</row>
    <row r="93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</row>
    <row r="94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</row>
    <row r="95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</row>
    <row r="96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</row>
    <row r="97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</row>
    <row r="98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</row>
    <row r="99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</row>
    <row r="100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</row>
    <row r="10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</row>
    <row r="102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</row>
    <row r="103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</row>
    <row r="104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</row>
    <row r="105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</row>
    <row r="106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</row>
    <row r="107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</row>
    <row r="108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</row>
    <row r="109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</row>
    <row r="110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</row>
    <row r="11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</row>
    <row r="112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</row>
    <row r="113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</row>
    <row r="114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</row>
    <row r="115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</row>
    <row r="116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</row>
    <row r="117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</row>
    <row r="118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</row>
    <row r="119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</row>
    <row r="120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</row>
    <row r="12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</row>
    <row r="122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</row>
    <row r="123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</row>
    <row r="124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</row>
    <row r="125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</row>
    <row r="126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</row>
    <row r="127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</row>
    <row r="128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</row>
    <row r="129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</row>
    <row r="130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</row>
    <row r="13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</row>
    <row r="132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</row>
    <row r="133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</row>
    <row r="134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</row>
    <row r="135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</row>
    <row r="136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</row>
    <row r="137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</row>
    <row r="138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</row>
    <row r="139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</row>
    <row r="140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</row>
    <row r="14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</row>
    <row r="142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</row>
    <row r="143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</row>
    <row r="144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</row>
    <row r="145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</row>
    <row r="146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</row>
    <row r="147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</row>
    <row r="148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</row>
    <row r="149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</row>
    <row r="150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</row>
    <row r="15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</row>
    <row r="152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</row>
    <row r="153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</row>
    <row r="154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</row>
    <row r="155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</row>
    <row r="156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</row>
    <row r="157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</row>
    <row r="158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</row>
    <row r="159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</row>
    <row r="160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</row>
    <row r="16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</row>
    <row r="162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</row>
    <row r="163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</row>
    <row r="164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</row>
    <row r="165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</row>
    <row r="166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</row>
    <row r="167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</row>
    <row r="168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</row>
    <row r="169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</row>
    <row r="170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</row>
    <row r="17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</row>
    <row r="172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</row>
    <row r="173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</row>
    <row r="174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</row>
    <row r="175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</row>
    <row r="176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</row>
    <row r="177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</row>
    <row r="178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</row>
    <row r="179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</row>
    <row r="180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</row>
    <row r="18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</row>
    <row r="182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</row>
    <row r="183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</row>
    <row r="184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</row>
    <row r="185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</row>
    <row r="186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</row>
    <row r="187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</row>
    <row r="188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</row>
    <row r="189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</row>
    <row r="190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</row>
    <row r="19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</row>
    <row r="192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</row>
    <row r="193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</row>
    <row r="194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</row>
    <row r="195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</row>
    <row r="196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</row>
    <row r="197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</row>
    <row r="198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</row>
    <row r="199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</row>
    <row r="200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</row>
    <row r="20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</row>
    <row r="202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</row>
    <row r="203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</row>
    <row r="204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</row>
    <row r="205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</row>
    <row r="206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</row>
    <row r="207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</row>
    <row r="208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</row>
    <row r="209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</row>
    <row r="210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</row>
    <row r="21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</row>
    <row r="212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</row>
    <row r="213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</row>
    <row r="214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</row>
    <row r="215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</row>
    <row r="216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</row>
    <row r="217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</row>
    <row r="218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</row>
    <row r="219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</row>
    <row r="220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</row>
    <row r="22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</row>
    <row r="222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</row>
    <row r="223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</row>
    <row r="224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</row>
    <row r="225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</row>
    <row r="226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</row>
    <row r="227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</row>
    <row r="228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</row>
    <row r="229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</row>
    <row r="230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</row>
    <row r="23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</row>
    <row r="232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</row>
    <row r="233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</row>
    <row r="234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</row>
    <row r="235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</row>
    <row r="236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</row>
    <row r="237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</row>
    <row r="238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</row>
    <row r="239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</row>
    <row r="240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</row>
    <row r="24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</row>
    <row r="242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</row>
    <row r="243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</row>
    <row r="244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</row>
    <row r="245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</row>
    <row r="246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</row>
    <row r="247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</row>
    <row r="248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</row>
    <row r="249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</row>
    <row r="250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</row>
    <row r="25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</row>
    <row r="252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</row>
    <row r="253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</row>
    <row r="254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</row>
    <row r="255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</row>
    <row r="256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</row>
    <row r="257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</row>
    <row r="258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</row>
    <row r="259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</row>
    <row r="260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</row>
    <row r="26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</row>
    <row r="262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</row>
    <row r="263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</row>
    <row r="264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</row>
    <row r="265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</row>
    <row r="266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</row>
    <row r="267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</row>
    <row r="268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</row>
    <row r="269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</row>
    <row r="270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</row>
    <row r="27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</row>
    <row r="272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</row>
    <row r="273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</row>
    <row r="274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</row>
    <row r="275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</row>
    <row r="276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</row>
    <row r="277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</row>
    <row r="278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</row>
    <row r="279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</row>
    <row r="280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</row>
    <row r="28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</row>
    <row r="282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</row>
    <row r="283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</row>
    <row r="284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</row>
    <row r="285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</row>
    <row r="286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</row>
    <row r="287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</row>
    <row r="288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</row>
    <row r="289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</row>
    <row r="290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</row>
    <row r="29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</row>
    <row r="292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</row>
    <row r="293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</row>
    <row r="294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</row>
    <row r="295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</row>
    <row r="296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</row>
    <row r="297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</row>
    <row r="298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</row>
    <row r="299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</row>
    <row r="300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</row>
    <row r="30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</row>
    <row r="302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</row>
    <row r="303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</row>
    <row r="304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</row>
    <row r="305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</row>
    <row r="306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</row>
    <row r="307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</row>
    <row r="308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</row>
    <row r="309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</row>
    <row r="310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</row>
    <row r="31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</row>
    <row r="312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</row>
    <row r="313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</row>
    <row r="314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</row>
    <row r="315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</row>
    <row r="316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</row>
    <row r="317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</row>
    <row r="318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</row>
    <row r="319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</row>
    <row r="320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</row>
    <row r="32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</row>
    <row r="322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</row>
    <row r="323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</row>
    <row r="324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</row>
    <row r="325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</row>
    <row r="326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</row>
    <row r="327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</row>
    <row r="328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</row>
    <row r="329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</row>
    <row r="330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</row>
    <row r="33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</row>
    <row r="332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</row>
    <row r="333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</row>
    <row r="334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</row>
    <row r="335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</row>
    <row r="336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</row>
    <row r="337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</row>
    <row r="338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</row>
    <row r="339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</row>
    <row r="340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</row>
    <row r="34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</row>
    <row r="342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</row>
    <row r="343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</row>
    <row r="344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</row>
    <row r="345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</row>
    <row r="346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</row>
    <row r="347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</row>
    <row r="348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</row>
    <row r="349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</row>
    <row r="350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</row>
    <row r="35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</row>
    <row r="352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</row>
    <row r="353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</row>
    <row r="354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</row>
    <row r="355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</row>
    <row r="356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</row>
    <row r="357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</row>
    <row r="358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</row>
    <row r="359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</row>
    <row r="360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</row>
    <row r="36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</row>
    <row r="362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</row>
    <row r="363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</row>
    <row r="364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</row>
    <row r="365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</row>
    <row r="366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</row>
    <row r="367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</row>
    <row r="368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</row>
    <row r="369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</row>
    <row r="370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</row>
    <row r="37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</row>
    <row r="372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</row>
    <row r="373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</row>
    <row r="374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</row>
    <row r="375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</row>
    <row r="376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</row>
    <row r="377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</row>
    <row r="378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</row>
    <row r="379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</row>
    <row r="380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</row>
    <row r="38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</row>
    <row r="382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</row>
    <row r="383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</row>
    <row r="384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</row>
    <row r="385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</row>
    <row r="386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</row>
    <row r="387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</row>
    <row r="388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</row>
    <row r="389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</row>
    <row r="390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</row>
    <row r="39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</row>
    <row r="392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</row>
    <row r="393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</row>
    <row r="394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</row>
    <row r="395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</row>
    <row r="396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</row>
    <row r="397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</row>
    <row r="398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</row>
    <row r="399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</row>
    <row r="400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</row>
    <row r="40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</row>
    <row r="402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</row>
    <row r="403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</row>
    <row r="404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</row>
    <row r="405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</row>
    <row r="406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</row>
    <row r="407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</row>
    <row r="408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</row>
    <row r="409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</row>
    <row r="410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</row>
    <row r="41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</row>
    <row r="412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</row>
    <row r="413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</row>
    <row r="414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</row>
    <row r="415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</row>
    <row r="416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</row>
    <row r="417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</row>
    <row r="418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</row>
    <row r="419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</row>
    <row r="420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</row>
    <row r="42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</row>
    <row r="422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</row>
    <row r="423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</row>
    <row r="424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</row>
    <row r="425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</row>
    <row r="426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</row>
    <row r="427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</row>
    <row r="428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</row>
    <row r="429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</row>
    <row r="430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</row>
    <row r="43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</row>
    <row r="432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</row>
    <row r="433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</row>
    <row r="434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</row>
    <row r="435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</row>
    <row r="436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</row>
    <row r="437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</row>
    <row r="438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</row>
    <row r="439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</row>
    <row r="440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</row>
    <row r="44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</row>
    <row r="442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</row>
    <row r="443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</row>
    <row r="444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</row>
    <row r="445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</row>
    <row r="446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</row>
    <row r="447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</row>
    <row r="448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</row>
    <row r="449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</row>
    <row r="450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</row>
    <row r="45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</row>
    <row r="452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</row>
    <row r="453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</row>
    <row r="454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</row>
    <row r="455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</row>
    <row r="456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</row>
    <row r="457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</row>
    <row r="458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</row>
    <row r="459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</row>
    <row r="460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</row>
    <row r="46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</row>
    <row r="462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</row>
    <row r="463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</row>
    <row r="464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</row>
    <row r="465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</row>
    <row r="466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</row>
    <row r="467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</row>
    <row r="468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</row>
    <row r="469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</row>
    <row r="470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</row>
    <row r="47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</row>
    <row r="472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</row>
    <row r="473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</row>
    <row r="474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</row>
    <row r="475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</row>
    <row r="476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</row>
    <row r="477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</row>
    <row r="478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</row>
    <row r="479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</row>
    <row r="480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</row>
    <row r="48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</row>
    <row r="482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</row>
    <row r="483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</row>
    <row r="484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</row>
    <row r="485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</row>
    <row r="486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</row>
    <row r="487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</row>
    <row r="488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</row>
    <row r="489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</row>
    <row r="490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</row>
    <row r="49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</row>
    <row r="492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</row>
    <row r="493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</row>
    <row r="494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</row>
    <row r="495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</row>
    <row r="496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</row>
    <row r="497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</row>
    <row r="498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</row>
    <row r="499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</row>
    <row r="500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</row>
    <row r="50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</row>
    <row r="502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</row>
    <row r="503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</row>
    <row r="504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</row>
    <row r="505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</row>
    <row r="506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</row>
    <row r="507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</row>
    <row r="508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</row>
    <row r="509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</row>
    <row r="510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</row>
    <row r="51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</row>
    <row r="512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</row>
    <row r="513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</row>
    <row r="514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</row>
    <row r="515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</row>
    <row r="516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</row>
    <row r="517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</row>
    <row r="518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</row>
    <row r="519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</row>
    <row r="520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</row>
    <row r="52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</row>
    <row r="522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</row>
    <row r="523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</row>
    <row r="524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</row>
    <row r="525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</row>
    <row r="526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</row>
    <row r="527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</row>
    <row r="528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</row>
    <row r="529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</row>
    <row r="530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</row>
    <row r="53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</row>
    <row r="532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</row>
    <row r="533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</row>
    <row r="534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</row>
    <row r="535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</row>
    <row r="536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</row>
    <row r="537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</row>
    <row r="538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</row>
    <row r="539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</row>
    <row r="540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</row>
    <row r="54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</row>
    <row r="542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</row>
    <row r="543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</row>
    <row r="544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</row>
    <row r="545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</row>
    <row r="546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</row>
    <row r="547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</row>
    <row r="548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</row>
    <row r="549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</row>
    <row r="550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</row>
    <row r="55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</row>
    <row r="552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</row>
    <row r="553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</row>
    <row r="554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</row>
    <row r="555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</row>
    <row r="556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</row>
    <row r="557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</row>
    <row r="558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</row>
    <row r="559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</row>
    <row r="560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</row>
    <row r="56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</row>
    <row r="562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</row>
    <row r="563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</row>
    <row r="564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</row>
    <row r="565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</row>
    <row r="566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</row>
    <row r="567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</row>
    <row r="568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</row>
    <row r="569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</row>
    <row r="570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</row>
    <row r="57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</row>
    <row r="572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</row>
    <row r="573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</row>
    <row r="574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</row>
    <row r="575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</row>
    <row r="576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</row>
    <row r="577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</row>
    <row r="578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</row>
    <row r="579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</row>
    <row r="580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</row>
    <row r="58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</row>
    <row r="582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</row>
    <row r="583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</row>
    <row r="584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</row>
    <row r="585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</row>
    <row r="586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</row>
    <row r="587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</row>
    <row r="588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</row>
    <row r="589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</row>
    <row r="590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</row>
    <row r="59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</row>
    <row r="592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</row>
    <row r="593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</row>
    <row r="594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</row>
    <row r="595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</row>
    <row r="596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</row>
    <row r="597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</row>
    <row r="598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</row>
    <row r="599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</row>
    <row r="600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</row>
    <row r="60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</row>
    <row r="602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</row>
    <row r="603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</row>
    <row r="604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</row>
    <row r="605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</row>
    <row r="606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</row>
    <row r="607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</row>
    <row r="608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</row>
    <row r="609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</row>
    <row r="610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</row>
    <row r="61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</row>
    <row r="612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</row>
    <row r="613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</row>
    <row r="614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</row>
    <row r="615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</row>
    <row r="616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</row>
    <row r="617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</row>
    <row r="618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</row>
    <row r="619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</row>
    <row r="620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</row>
    <row r="62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</row>
    <row r="622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</row>
    <row r="623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</row>
    <row r="624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</row>
    <row r="625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</row>
    <row r="626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</row>
    <row r="627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</row>
    <row r="628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</row>
    <row r="629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</row>
    <row r="630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</row>
    <row r="63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</row>
    <row r="632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</row>
    <row r="633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</row>
    <row r="634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</row>
    <row r="635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</row>
    <row r="636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</row>
    <row r="637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</row>
    <row r="638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</row>
    <row r="639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</row>
    <row r="640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</row>
    <row r="64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</row>
    <row r="642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</row>
    <row r="643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</row>
    <row r="644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</row>
    <row r="645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</row>
    <row r="646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</row>
    <row r="647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</row>
    <row r="648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</row>
    <row r="649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</row>
    <row r="650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</row>
    <row r="65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</row>
    <row r="652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</row>
    <row r="653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</row>
    <row r="654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</row>
    <row r="655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</row>
    <row r="656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</row>
    <row r="657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</row>
    <row r="658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</row>
    <row r="659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</row>
    <row r="660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</row>
    <row r="66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</row>
    <row r="662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</row>
    <row r="663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</row>
    <row r="664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</row>
    <row r="665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</row>
    <row r="666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</row>
    <row r="667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</row>
    <row r="668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</row>
    <row r="669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</row>
    <row r="670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</row>
    <row r="67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</row>
    <row r="672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</row>
    <row r="673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</row>
    <row r="674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</row>
    <row r="675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</row>
    <row r="676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</row>
    <row r="677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</row>
    <row r="678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</row>
    <row r="679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</row>
    <row r="680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</row>
    <row r="68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</row>
    <row r="682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</row>
    <row r="683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</row>
    <row r="684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</row>
    <row r="685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</row>
    <row r="686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</row>
    <row r="687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</row>
    <row r="688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</row>
    <row r="689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</row>
    <row r="690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</row>
    <row r="69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</row>
    <row r="692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</row>
    <row r="693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</row>
    <row r="694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</row>
    <row r="695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</row>
    <row r="696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</row>
    <row r="697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</row>
    <row r="698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</row>
    <row r="699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</row>
    <row r="700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</row>
    <row r="70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</row>
    <row r="702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</row>
    <row r="703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</row>
    <row r="704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</row>
    <row r="705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</row>
    <row r="706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</row>
    <row r="707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</row>
    <row r="708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</row>
    <row r="709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</row>
    <row r="710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</row>
    <row r="71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</row>
    <row r="712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</row>
    <row r="713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</row>
    <row r="714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</row>
    <row r="715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</row>
    <row r="716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</row>
    <row r="717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</row>
    <row r="718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</row>
    <row r="719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</row>
    <row r="720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</row>
    <row r="72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</row>
    <row r="722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</row>
    <row r="723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</row>
    <row r="724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</row>
    <row r="725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</row>
    <row r="726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</row>
    <row r="727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</row>
    <row r="728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</row>
    <row r="729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</row>
    <row r="730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</row>
    <row r="73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</row>
    <row r="732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</row>
    <row r="733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</row>
    <row r="734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</row>
    <row r="735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</row>
    <row r="736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</row>
    <row r="737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</row>
    <row r="738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</row>
    <row r="739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</row>
    <row r="740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</row>
    <row r="74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</row>
    <row r="742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</row>
    <row r="743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</row>
    <row r="744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</row>
    <row r="745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</row>
    <row r="746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</row>
    <row r="747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</row>
    <row r="748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</row>
    <row r="749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</row>
    <row r="750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</row>
    <row r="75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</row>
    <row r="752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</row>
    <row r="753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</row>
    <row r="754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</row>
    <row r="755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</row>
    <row r="756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</row>
    <row r="757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</row>
    <row r="758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</row>
    <row r="759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</row>
    <row r="760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</row>
    <row r="76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</row>
    <row r="762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</row>
    <row r="763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</row>
    <row r="764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</row>
    <row r="765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</row>
    <row r="766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</row>
    <row r="767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</row>
    <row r="768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</row>
    <row r="769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</row>
    <row r="770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</row>
    <row r="77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</row>
    <row r="772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</row>
    <row r="773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</row>
    <row r="774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</row>
    <row r="775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</row>
    <row r="776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</row>
    <row r="777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</row>
    <row r="778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</row>
    <row r="779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</row>
    <row r="780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</row>
    <row r="78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</row>
    <row r="782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</row>
    <row r="783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</row>
    <row r="784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</row>
    <row r="785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</row>
    <row r="786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</row>
    <row r="787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</row>
    <row r="788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</row>
    <row r="789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</row>
    <row r="790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</row>
    <row r="79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</row>
    <row r="792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</row>
    <row r="793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</row>
    <row r="794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</row>
    <row r="795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</row>
    <row r="796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</row>
    <row r="797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</row>
    <row r="798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</row>
    <row r="799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</row>
    <row r="800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</row>
    <row r="80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</row>
    <row r="802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</row>
    <row r="803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</row>
    <row r="804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</row>
    <row r="805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</row>
    <row r="806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</row>
    <row r="807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</row>
    <row r="808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</row>
    <row r="809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</row>
    <row r="810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</row>
    <row r="81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</row>
    <row r="812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</row>
    <row r="813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</row>
    <row r="814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</row>
    <row r="815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</row>
    <row r="816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</row>
    <row r="817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</row>
    <row r="818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</row>
    <row r="819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</row>
    <row r="820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</row>
    <row r="82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</row>
    <row r="822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</row>
    <row r="823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</row>
    <row r="824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</row>
    <row r="825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</row>
    <row r="826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</row>
    <row r="827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</row>
    <row r="828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</row>
    <row r="829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</row>
    <row r="830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</row>
    <row r="83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</row>
    <row r="832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</row>
    <row r="833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</row>
    <row r="834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</row>
    <row r="835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</row>
    <row r="836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</row>
    <row r="837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</row>
    <row r="838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</row>
    <row r="839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</row>
    <row r="840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</row>
    <row r="84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</row>
    <row r="842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</row>
    <row r="843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</row>
    <row r="844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</row>
    <row r="845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</row>
    <row r="846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</row>
    <row r="847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</row>
    <row r="848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</row>
    <row r="849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</row>
    <row r="850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</row>
    <row r="85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</row>
    <row r="852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</row>
    <row r="853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</row>
    <row r="854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</row>
    <row r="855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</row>
    <row r="856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</row>
    <row r="857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</row>
    <row r="858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</row>
    <row r="859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</row>
    <row r="860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</row>
    <row r="86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</row>
    <row r="862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</row>
    <row r="863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</row>
    <row r="864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</row>
    <row r="865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</row>
    <row r="866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</row>
    <row r="867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</row>
    <row r="868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</row>
    <row r="869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</row>
    <row r="870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</row>
    <row r="87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</row>
    <row r="872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</row>
    <row r="873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</row>
    <row r="874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</row>
    <row r="875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</row>
    <row r="876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</row>
    <row r="877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</row>
    <row r="878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</row>
    <row r="879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</row>
    <row r="880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</row>
    <row r="88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</row>
    <row r="882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</row>
    <row r="883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</row>
    <row r="884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</row>
    <row r="885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</row>
    <row r="886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</row>
    <row r="887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</row>
    <row r="888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</row>
    <row r="889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</row>
    <row r="890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</row>
    <row r="89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</row>
    <row r="892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</row>
    <row r="893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</row>
    <row r="894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</row>
    <row r="895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</row>
    <row r="896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</row>
    <row r="897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</row>
    <row r="898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</row>
    <row r="899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</row>
    <row r="900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</row>
    <row r="90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</row>
    <row r="902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</row>
    <row r="903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</row>
    <row r="904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</row>
    <row r="905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</row>
    <row r="906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</row>
    <row r="907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</row>
    <row r="908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</row>
    <row r="909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</row>
    <row r="910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</row>
    <row r="91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</row>
    <row r="912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</row>
    <row r="913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</row>
    <row r="914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</row>
    <row r="915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</row>
    <row r="916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</row>
    <row r="917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</row>
    <row r="918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</row>
    <row r="919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</row>
    <row r="920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</row>
    <row r="92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</row>
    <row r="922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</row>
    <row r="923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</row>
    <row r="924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</row>
    <row r="925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</row>
    <row r="926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</row>
    <row r="927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</row>
    <row r="928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</row>
    <row r="929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</row>
    <row r="930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</row>
    <row r="93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</row>
    <row r="932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</row>
    <row r="933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</row>
    <row r="934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</row>
    <row r="935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</row>
    <row r="936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</row>
    <row r="937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</row>
    <row r="938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</row>
    <row r="939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</row>
    <row r="940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</row>
    <row r="94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</row>
    <row r="942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</row>
    <row r="943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</row>
    <row r="944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</row>
    <row r="945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</row>
    <row r="946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</row>
    <row r="947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</row>
    <row r="948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</row>
    <row r="949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</row>
    <row r="950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</row>
    <row r="95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</row>
    <row r="952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</row>
    <row r="953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</row>
    <row r="954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</row>
    <row r="955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</row>
    <row r="956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</row>
    <row r="957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</row>
    <row r="958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</row>
    <row r="959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</row>
    <row r="960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</row>
    <row r="96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</row>
    <row r="962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</row>
    <row r="963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</row>
    <row r="964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</row>
    <row r="965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</row>
    <row r="966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</row>
    <row r="967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</row>
    <row r="968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</row>
    <row r="969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</row>
    <row r="970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</row>
    <row r="97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</row>
    <row r="972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</row>
    <row r="973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</row>
    <row r="974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</row>
    <row r="975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</row>
    <row r="976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</row>
    <row r="977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</row>
    <row r="978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</row>
    <row r="979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</row>
    <row r="980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</row>
    <row r="98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</row>
    <row r="982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</row>
    <row r="983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</row>
    <row r="984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</row>
    <row r="985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</row>
    <row r="986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</row>
    <row r="987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</row>
    <row r="988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</row>
    <row r="989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</row>
    <row r="990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</row>
    <row r="99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</row>
    <row r="992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</row>
    <row r="993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</row>
    <row r="994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</row>
    <row r="995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</row>
    <row r="996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</row>
    <row r="997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</row>
    <row r="998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</row>
    <row r="999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</row>
    <row r="1000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</row>
    <row r="1001">
      <c r="A1001" s="41"/>
      <c r="B1001" s="41"/>
      <c r="C1001" s="41"/>
      <c r="D1001" s="41"/>
      <c r="E1001" s="41"/>
      <c r="F1001" s="41"/>
      <c r="G1001" s="41"/>
      <c r="H1001" s="41"/>
      <c r="I1001" s="41"/>
      <c r="J1001" s="41"/>
      <c r="K1001" s="41"/>
      <c r="L1001" s="41"/>
      <c r="M1001" s="41"/>
      <c r="N1001" s="41"/>
      <c r="O1001" s="41"/>
      <c r="P1001" s="41"/>
      <c r="Q1001" s="41"/>
      <c r="R1001" s="41"/>
      <c r="S1001" s="41"/>
      <c r="T1001" s="41"/>
      <c r="U1001" s="41"/>
      <c r="V1001" s="41"/>
      <c r="W1001" s="41"/>
      <c r="X1001" s="41"/>
    </row>
    <row r="1002">
      <c r="A1002" s="41"/>
      <c r="B1002" s="41"/>
      <c r="C1002" s="41"/>
      <c r="D1002" s="41"/>
      <c r="E1002" s="41"/>
      <c r="F1002" s="41"/>
      <c r="G1002" s="41"/>
      <c r="H1002" s="41"/>
      <c r="I1002" s="41"/>
      <c r="J1002" s="41"/>
      <c r="K1002" s="41"/>
      <c r="L1002" s="41"/>
      <c r="M1002" s="41"/>
      <c r="N1002" s="41"/>
      <c r="O1002" s="41"/>
      <c r="P1002" s="41"/>
      <c r="Q1002" s="41"/>
      <c r="R1002" s="41"/>
      <c r="S1002" s="41"/>
      <c r="T1002" s="41"/>
      <c r="U1002" s="41"/>
      <c r="V1002" s="41"/>
      <c r="W1002" s="41"/>
      <c r="X1002" s="41"/>
    </row>
    <row r="1003">
      <c r="A1003" s="41"/>
      <c r="B1003" s="41"/>
      <c r="C1003" s="41"/>
      <c r="D1003" s="41"/>
      <c r="E1003" s="41"/>
      <c r="F1003" s="41"/>
      <c r="G1003" s="41"/>
      <c r="H1003" s="41"/>
      <c r="I1003" s="41"/>
      <c r="J1003" s="41"/>
      <c r="K1003" s="41"/>
      <c r="L1003" s="41"/>
      <c r="M1003" s="41"/>
      <c r="N1003" s="41"/>
      <c r="O1003" s="41"/>
      <c r="P1003" s="41"/>
      <c r="Q1003" s="41"/>
      <c r="R1003" s="41"/>
      <c r="S1003" s="41"/>
      <c r="T1003" s="41"/>
      <c r="U1003" s="41"/>
      <c r="V1003" s="41"/>
      <c r="W1003" s="41"/>
      <c r="X1003" s="41"/>
    </row>
    <row r="1004">
      <c r="A1004" s="41"/>
      <c r="B1004" s="41"/>
      <c r="C1004" s="41"/>
      <c r="D1004" s="41"/>
      <c r="E1004" s="41"/>
      <c r="F1004" s="41"/>
      <c r="G1004" s="41"/>
      <c r="H1004" s="41"/>
      <c r="I1004" s="41"/>
      <c r="J1004" s="41"/>
      <c r="K1004" s="41"/>
      <c r="L1004" s="41"/>
      <c r="M1004" s="41"/>
      <c r="N1004" s="41"/>
      <c r="O1004" s="41"/>
      <c r="P1004" s="41"/>
      <c r="Q1004" s="41"/>
      <c r="R1004" s="41"/>
      <c r="S1004" s="41"/>
      <c r="T1004" s="41"/>
      <c r="U1004" s="41"/>
      <c r="V1004" s="41"/>
      <c r="W1004" s="41"/>
      <c r="X1004" s="41"/>
    </row>
    <row r="1005">
      <c r="A1005" s="41"/>
      <c r="B1005" s="41"/>
      <c r="C1005" s="41"/>
      <c r="D1005" s="41"/>
      <c r="E1005" s="41"/>
      <c r="F1005" s="41"/>
      <c r="G1005" s="41"/>
      <c r="H1005" s="41"/>
      <c r="I1005" s="41"/>
      <c r="J1005" s="41"/>
      <c r="K1005" s="41"/>
      <c r="L1005" s="41"/>
      <c r="M1005" s="41"/>
      <c r="N1005" s="41"/>
      <c r="O1005" s="41"/>
      <c r="P1005" s="41"/>
      <c r="Q1005" s="41"/>
      <c r="R1005" s="41"/>
      <c r="S1005" s="41"/>
      <c r="T1005" s="41"/>
      <c r="U1005" s="41"/>
      <c r="V1005" s="41"/>
      <c r="W1005" s="41"/>
      <c r="X1005" s="41"/>
    </row>
    <row r="1006">
      <c r="A1006" s="41"/>
      <c r="B1006" s="41"/>
      <c r="C1006" s="41"/>
      <c r="D1006" s="41"/>
      <c r="E1006" s="41"/>
      <c r="F1006" s="41"/>
      <c r="G1006" s="41"/>
      <c r="H1006" s="41"/>
      <c r="I1006" s="41"/>
      <c r="J1006" s="41"/>
      <c r="K1006" s="41"/>
      <c r="L1006" s="41"/>
      <c r="M1006" s="41"/>
      <c r="N1006" s="41"/>
      <c r="O1006" s="41"/>
      <c r="P1006" s="41"/>
      <c r="Q1006" s="41"/>
      <c r="R1006" s="41"/>
      <c r="S1006" s="41"/>
      <c r="T1006" s="41"/>
      <c r="U1006" s="41"/>
      <c r="V1006" s="41"/>
      <c r="W1006" s="41"/>
      <c r="X1006" s="41"/>
    </row>
    <row r="1007">
      <c r="A1007" s="41"/>
      <c r="B1007" s="41"/>
      <c r="C1007" s="41"/>
      <c r="D1007" s="41"/>
      <c r="E1007" s="41"/>
      <c r="F1007" s="41"/>
      <c r="G1007" s="41"/>
      <c r="H1007" s="41"/>
      <c r="I1007" s="41"/>
      <c r="J1007" s="41"/>
      <c r="K1007" s="41"/>
      <c r="L1007" s="41"/>
      <c r="M1007" s="41"/>
      <c r="N1007" s="41"/>
      <c r="O1007" s="41"/>
      <c r="P1007" s="41"/>
      <c r="Q1007" s="41"/>
      <c r="R1007" s="41"/>
      <c r="S1007" s="41"/>
      <c r="T1007" s="41"/>
      <c r="U1007" s="41"/>
      <c r="V1007" s="41"/>
      <c r="W1007" s="41"/>
      <c r="X1007" s="41"/>
    </row>
    <row r="1008">
      <c r="A1008" s="41"/>
      <c r="B1008" s="41"/>
      <c r="C1008" s="41"/>
      <c r="D1008" s="41"/>
      <c r="E1008" s="41"/>
      <c r="F1008" s="41"/>
      <c r="G1008" s="41"/>
      <c r="H1008" s="41"/>
      <c r="I1008" s="41"/>
      <c r="J1008" s="41"/>
      <c r="K1008" s="41"/>
      <c r="L1008" s="41"/>
      <c r="M1008" s="41"/>
      <c r="N1008" s="41"/>
      <c r="O1008" s="41"/>
      <c r="P1008" s="41"/>
      <c r="Q1008" s="41"/>
      <c r="R1008" s="41"/>
      <c r="S1008" s="41"/>
      <c r="T1008" s="41"/>
      <c r="U1008" s="41"/>
      <c r="V1008" s="41"/>
      <c r="W1008" s="41"/>
      <c r="X1008" s="41"/>
    </row>
    <row r="1009">
      <c r="A1009" s="41"/>
      <c r="B1009" s="41"/>
      <c r="C1009" s="41"/>
      <c r="D1009" s="41"/>
      <c r="E1009" s="41"/>
      <c r="F1009" s="41"/>
      <c r="G1009" s="41"/>
      <c r="H1009" s="41"/>
      <c r="I1009" s="41"/>
      <c r="J1009" s="41"/>
      <c r="K1009" s="41"/>
      <c r="L1009" s="41"/>
      <c r="M1009" s="41"/>
      <c r="N1009" s="41"/>
      <c r="O1009" s="41"/>
      <c r="P1009" s="41"/>
      <c r="Q1009" s="41"/>
      <c r="R1009" s="41"/>
      <c r="S1009" s="41"/>
      <c r="T1009" s="41"/>
      <c r="U1009" s="41"/>
      <c r="V1009" s="41"/>
      <c r="W1009" s="41"/>
      <c r="X1009" s="41"/>
    </row>
    <row r="1010">
      <c r="A1010" s="41"/>
      <c r="B1010" s="41"/>
      <c r="C1010" s="41"/>
      <c r="D1010" s="41"/>
      <c r="E1010" s="41"/>
      <c r="F1010" s="41"/>
      <c r="G1010" s="41"/>
      <c r="H1010" s="41"/>
      <c r="I1010" s="41"/>
      <c r="J1010" s="41"/>
      <c r="K1010" s="41"/>
      <c r="L1010" s="41"/>
      <c r="M1010" s="41"/>
      <c r="N1010" s="41"/>
      <c r="O1010" s="41"/>
      <c r="P1010" s="41"/>
      <c r="Q1010" s="41"/>
      <c r="R1010" s="41"/>
      <c r="S1010" s="41"/>
      <c r="T1010" s="41"/>
      <c r="U1010" s="41"/>
      <c r="V1010" s="41"/>
      <c r="W1010" s="41"/>
      <c r="X1010" s="41"/>
    </row>
  </sheetData>
  <mergeCells count="3">
    <mergeCell ref="A1:C9"/>
    <mergeCell ref="D1:G9"/>
    <mergeCell ref="H1:I9"/>
  </mergeCells>
  <conditionalFormatting sqref="D12:D64 I12:I15 I18:I33">
    <cfRule type="cellIs" dxfId="0" priority="1" operator="greaterThan">
      <formula>0</formula>
    </cfRule>
  </conditionalFormatting>
  <conditionalFormatting sqref="D12:D64 I12:I15 I18:I33">
    <cfRule type="cellIs" dxfId="1" priority="2" operator="equal">
      <formula>0</formula>
    </cfRule>
  </conditionalFormatting>
  <conditionalFormatting sqref="D12:D64 I12:I15 I18:I33">
    <cfRule type="cellIs" dxfId="2" priority="3" operator="lessThan">
      <formula>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6" width="25.38"/>
    <col customWidth="1" min="7" max="7" width="25.88"/>
  </cols>
  <sheetData>
    <row r="1" ht="2.25" customHeight="1">
      <c r="A1" s="37"/>
      <c r="B1" s="38"/>
      <c r="C1" s="38"/>
      <c r="D1" s="39" t="s">
        <v>41</v>
      </c>
      <c r="G1" s="40"/>
    </row>
    <row r="2" ht="8.25" customHeight="1">
      <c r="A2" s="42"/>
      <c r="G2" s="40"/>
    </row>
    <row r="3" ht="8.25" customHeight="1">
      <c r="A3" s="42"/>
      <c r="G3" s="40"/>
    </row>
    <row r="4" ht="8.25" customHeight="1">
      <c r="A4" s="42"/>
      <c r="G4" s="40"/>
    </row>
    <row r="5" ht="8.25" customHeight="1">
      <c r="A5" s="42"/>
      <c r="G5" s="40"/>
    </row>
    <row r="6" ht="8.25" customHeight="1">
      <c r="A6" s="42"/>
      <c r="G6" s="40"/>
    </row>
    <row r="7" ht="8.25" customHeight="1">
      <c r="A7" s="42"/>
      <c r="G7" s="40"/>
    </row>
    <row r="8" ht="8.25" customHeight="1">
      <c r="A8" s="42"/>
      <c r="G8" s="40"/>
    </row>
    <row r="9" ht="8.25" customHeight="1">
      <c r="A9" s="43"/>
      <c r="B9" s="44"/>
      <c r="C9" s="44"/>
      <c r="G9" s="40"/>
    </row>
    <row r="10">
      <c r="A10" s="41"/>
      <c r="B10" s="45"/>
      <c r="C10" s="45"/>
      <c r="D10" s="45"/>
    </row>
    <row r="11">
      <c r="A11" s="46" t="s">
        <v>42</v>
      </c>
      <c r="B11" s="46" t="s">
        <v>10</v>
      </c>
      <c r="C11" s="46" t="s">
        <v>11</v>
      </c>
      <c r="D11" s="46" t="s">
        <v>12</v>
      </c>
      <c r="E11" s="46" t="s">
        <v>28</v>
      </c>
      <c r="F11" s="46" t="s">
        <v>29</v>
      </c>
      <c r="G11" s="46" t="s">
        <v>30</v>
      </c>
    </row>
    <row r="12">
      <c r="A12" s="47" t="s">
        <v>43</v>
      </c>
      <c r="B12" s="48">
        <v>1000.0</v>
      </c>
      <c r="C12" s="48">
        <v>0.0</v>
      </c>
      <c r="D12" s="49">
        <f t="shared" ref="D12:D23" si="1">B12-C12</f>
        <v>1000</v>
      </c>
      <c r="E12" s="58"/>
      <c r="F12" s="58"/>
      <c r="G12" s="58"/>
    </row>
    <row r="13">
      <c r="A13" s="47" t="s">
        <v>44</v>
      </c>
      <c r="B13" s="48">
        <v>1000.0</v>
      </c>
      <c r="C13" s="48">
        <v>0.0</v>
      </c>
      <c r="D13" s="50">
        <f t="shared" si="1"/>
        <v>1000</v>
      </c>
      <c r="E13" s="58"/>
      <c r="F13" s="58"/>
      <c r="G13" s="58"/>
    </row>
    <row r="14">
      <c r="A14" s="47" t="s">
        <v>45</v>
      </c>
      <c r="B14" s="48">
        <v>1000.0</v>
      </c>
      <c r="C14" s="48">
        <v>0.0</v>
      </c>
      <c r="D14" s="50">
        <f t="shared" si="1"/>
        <v>1000</v>
      </c>
      <c r="E14" s="58"/>
      <c r="F14" s="58"/>
      <c r="G14" s="58"/>
    </row>
    <row r="15">
      <c r="A15" s="47" t="s">
        <v>46</v>
      </c>
      <c r="B15" s="48">
        <v>1000.0</v>
      </c>
      <c r="C15" s="48">
        <v>0.0</v>
      </c>
      <c r="D15" s="50">
        <f t="shared" si="1"/>
        <v>1000</v>
      </c>
      <c r="E15" s="58"/>
      <c r="F15" s="58"/>
      <c r="G15" s="58"/>
    </row>
    <row r="16">
      <c r="A16" s="47" t="s">
        <v>47</v>
      </c>
      <c r="B16" s="48">
        <v>1000.0</v>
      </c>
      <c r="C16" s="48">
        <v>0.0</v>
      </c>
      <c r="D16" s="50">
        <f t="shared" si="1"/>
        <v>1000</v>
      </c>
      <c r="E16" s="58"/>
      <c r="F16" s="58"/>
      <c r="G16" s="58"/>
    </row>
    <row r="17">
      <c r="A17" s="47" t="s">
        <v>48</v>
      </c>
      <c r="B17" s="48">
        <v>1000.0</v>
      </c>
      <c r="C17" s="48">
        <v>0.0</v>
      </c>
      <c r="D17" s="50">
        <f t="shared" si="1"/>
        <v>1000</v>
      </c>
      <c r="E17" s="58"/>
      <c r="F17" s="58"/>
      <c r="G17" s="58"/>
    </row>
    <row r="18">
      <c r="A18" s="47" t="s">
        <v>49</v>
      </c>
      <c r="B18" s="48">
        <v>1000.0</v>
      </c>
      <c r="C18" s="48">
        <v>0.0</v>
      </c>
      <c r="D18" s="50">
        <f t="shared" si="1"/>
        <v>1000</v>
      </c>
      <c r="E18" s="58"/>
      <c r="F18" s="58"/>
      <c r="G18" s="58"/>
    </row>
    <row r="19">
      <c r="A19" s="47" t="s">
        <v>50</v>
      </c>
      <c r="B19" s="48">
        <v>1000.0</v>
      </c>
      <c r="C19" s="48">
        <v>0.0</v>
      </c>
      <c r="D19" s="50">
        <f t="shared" si="1"/>
        <v>1000</v>
      </c>
      <c r="E19" s="58"/>
      <c r="F19" s="58"/>
      <c r="G19" s="58"/>
    </row>
    <row r="20">
      <c r="A20" s="47" t="s">
        <v>51</v>
      </c>
      <c r="B20" s="48">
        <v>1000.0</v>
      </c>
      <c r="C20" s="48">
        <v>0.0</v>
      </c>
      <c r="D20" s="50">
        <f t="shared" si="1"/>
        <v>1000</v>
      </c>
      <c r="E20" s="58"/>
      <c r="F20" s="58"/>
      <c r="G20" s="58"/>
    </row>
    <row r="21">
      <c r="A21" s="47" t="s">
        <v>52</v>
      </c>
      <c r="B21" s="48">
        <v>1000.0</v>
      </c>
      <c r="C21" s="48">
        <v>0.0</v>
      </c>
      <c r="D21" s="50">
        <f t="shared" si="1"/>
        <v>1000</v>
      </c>
      <c r="E21" s="58"/>
      <c r="F21" s="58"/>
      <c r="G21" s="58"/>
    </row>
    <row r="22">
      <c r="A22" s="47" t="s">
        <v>53</v>
      </c>
      <c r="B22" s="48">
        <v>1000.0</v>
      </c>
      <c r="C22" s="48">
        <v>0.0</v>
      </c>
      <c r="D22" s="50">
        <f t="shared" si="1"/>
        <v>1000</v>
      </c>
      <c r="E22" s="58"/>
      <c r="F22" s="58"/>
      <c r="G22" s="58"/>
    </row>
    <row r="23">
      <c r="A23" s="47" t="s">
        <v>54</v>
      </c>
      <c r="B23" s="48">
        <v>1000.0</v>
      </c>
      <c r="C23" s="48">
        <v>0.0</v>
      </c>
      <c r="D23" s="50">
        <f t="shared" si="1"/>
        <v>1000</v>
      </c>
      <c r="E23" s="58"/>
      <c r="F23" s="58"/>
      <c r="G23" s="58"/>
    </row>
    <row r="24">
      <c r="A24" s="51" t="s">
        <v>25</v>
      </c>
      <c r="B24" s="52">
        <f t="shared" ref="B24:D24" si="2">SUM(B12:B23)</f>
        <v>12000</v>
      </c>
      <c r="C24" s="52">
        <f t="shared" si="2"/>
        <v>0</v>
      </c>
      <c r="D24" s="53">
        <f t="shared" si="2"/>
        <v>12000</v>
      </c>
      <c r="E24" s="51"/>
      <c r="F24" s="51"/>
      <c r="G24" s="51"/>
    </row>
  </sheetData>
  <mergeCells count="2">
    <mergeCell ref="A1:C9"/>
    <mergeCell ref="D1:G9"/>
  </mergeCells>
  <conditionalFormatting sqref="D12:D24">
    <cfRule type="cellIs" dxfId="0" priority="1" operator="greaterThan">
      <formula>0</formula>
    </cfRule>
  </conditionalFormatting>
  <conditionalFormatting sqref="D12:D24">
    <cfRule type="cellIs" dxfId="1" priority="2" operator="equal">
      <formula>0</formula>
    </cfRule>
  </conditionalFormatting>
  <conditionalFormatting sqref="D12:D24">
    <cfRule type="cellIs" dxfId="2" priority="3" operator="lessThan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5.63"/>
    <col customWidth="1" min="6" max="6" width="25.5"/>
    <col customWidth="1" min="7" max="7" width="25.75"/>
  </cols>
  <sheetData>
    <row r="1" ht="2.25" customHeight="1">
      <c r="A1" s="37"/>
      <c r="B1" s="38"/>
      <c r="C1" s="38"/>
      <c r="D1" s="39" t="s">
        <v>55</v>
      </c>
      <c r="G1" s="40"/>
    </row>
    <row r="2" ht="8.25" customHeight="1">
      <c r="A2" s="42"/>
      <c r="G2" s="40"/>
    </row>
    <row r="3" ht="8.25" customHeight="1">
      <c r="A3" s="42"/>
      <c r="G3" s="40"/>
    </row>
    <row r="4" ht="8.25" customHeight="1">
      <c r="A4" s="42"/>
      <c r="G4" s="40"/>
    </row>
    <row r="5" ht="8.25" customHeight="1">
      <c r="A5" s="42"/>
      <c r="G5" s="40"/>
    </row>
    <row r="6" ht="8.25" customHeight="1">
      <c r="A6" s="42"/>
      <c r="G6" s="40"/>
    </row>
    <row r="7" ht="8.25" customHeight="1">
      <c r="A7" s="42"/>
      <c r="G7" s="40"/>
    </row>
    <row r="8" ht="8.25" customHeight="1">
      <c r="A8" s="42"/>
      <c r="G8" s="40"/>
    </row>
    <row r="9" ht="8.25" customHeight="1">
      <c r="A9" s="43"/>
      <c r="B9" s="44"/>
      <c r="C9" s="44"/>
      <c r="G9" s="40"/>
    </row>
    <row r="10">
      <c r="A10" s="41"/>
      <c r="B10" s="45"/>
      <c r="C10" s="45"/>
      <c r="D10" s="45"/>
    </row>
    <row r="11">
      <c r="A11" s="46" t="s">
        <v>42</v>
      </c>
      <c r="B11" s="46" t="s">
        <v>10</v>
      </c>
      <c r="C11" s="46" t="s">
        <v>11</v>
      </c>
      <c r="D11" s="46" t="s">
        <v>12</v>
      </c>
      <c r="E11" s="46" t="s">
        <v>28</v>
      </c>
      <c r="F11" s="46" t="s">
        <v>56</v>
      </c>
      <c r="G11" s="46" t="s">
        <v>30</v>
      </c>
    </row>
    <row r="12">
      <c r="A12" s="47" t="s">
        <v>43</v>
      </c>
      <c r="B12" s="48">
        <v>1000.0</v>
      </c>
      <c r="C12" s="48">
        <v>0.0</v>
      </c>
      <c r="D12" s="49">
        <f t="shared" ref="D12:D23" si="1">B12-C12</f>
        <v>1000</v>
      </c>
      <c r="E12" s="58"/>
      <c r="F12" s="58"/>
      <c r="G12" s="58"/>
    </row>
    <row r="13">
      <c r="A13" s="47" t="s">
        <v>44</v>
      </c>
      <c r="B13" s="48">
        <v>1000.0</v>
      </c>
      <c r="C13" s="48">
        <v>0.0</v>
      </c>
      <c r="D13" s="50">
        <f t="shared" si="1"/>
        <v>1000</v>
      </c>
      <c r="E13" s="58"/>
      <c r="F13" s="58"/>
      <c r="G13" s="58"/>
    </row>
    <row r="14">
      <c r="A14" s="47" t="s">
        <v>45</v>
      </c>
      <c r="B14" s="48">
        <v>1000.0</v>
      </c>
      <c r="C14" s="48">
        <v>0.0</v>
      </c>
      <c r="D14" s="50">
        <f t="shared" si="1"/>
        <v>1000</v>
      </c>
      <c r="E14" s="58"/>
      <c r="F14" s="58"/>
      <c r="G14" s="58"/>
    </row>
    <row r="15">
      <c r="A15" s="47" t="s">
        <v>46</v>
      </c>
      <c r="B15" s="48">
        <v>1000.0</v>
      </c>
      <c r="C15" s="48">
        <v>0.0</v>
      </c>
      <c r="D15" s="50">
        <f t="shared" si="1"/>
        <v>1000</v>
      </c>
      <c r="E15" s="58"/>
      <c r="F15" s="58"/>
      <c r="G15" s="58"/>
    </row>
    <row r="16">
      <c r="A16" s="47" t="s">
        <v>47</v>
      </c>
      <c r="B16" s="48">
        <v>1000.0</v>
      </c>
      <c r="C16" s="48">
        <v>0.0</v>
      </c>
      <c r="D16" s="50">
        <f t="shared" si="1"/>
        <v>1000</v>
      </c>
      <c r="E16" s="58"/>
      <c r="F16" s="58"/>
      <c r="G16" s="58"/>
    </row>
    <row r="17">
      <c r="A17" s="47" t="s">
        <v>48</v>
      </c>
      <c r="B17" s="48">
        <v>1000.0</v>
      </c>
      <c r="C17" s="48">
        <v>0.0</v>
      </c>
      <c r="D17" s="50">
        <f t="shared" si="1"/>
        <v>1000</v>
      </c>
      <c r="E17" s="58"/>
      <c r="F17" s="58"/>
      <c r="G17" s="58"/>
    </row>
    <row r="18">
      <c r="A18" s="47" t="s">
        <v>49</v>
      </c>
      <c r="B18" s="48">
        <v>1000.0</v>
      </c>
      <c r="C18" s="48">
        <v>0.0</v>
      </c>
      <c r="D18" s="50">
        <f t="shared" si="1"/>
        <v>1000</v>
      </c>
      <c r="E18" s="58"/>
      <c r="F18" s="58"/>
      <c r="G18" s="58"/>
    </row>
    <row r="19">
      <c r="A19" s="47" t="s">
        <v>50</v>
      </c>
      <c r="B19" s="48">
        <v>1000.0</v>
      </c>
      <c r="C19" s="48">
        <v>0.0</v>
      </c>
      <c r="D19" s="50">
        <f t="shared" si="1"/>
        <v>1000</v>
      </c>
      <c r="E19" s="58"/>
      <c r="F19" s="58"/>
      <c r="G19" s="58"/>
    </row>
    <row r="20">
      <c r="A20" s="47" t="s">
        <v>51</v>
      </c>
      <c r="B20" s="48">
        <v>1000.0</v>
      </c>
      <c r="C20" s="48">
        <v>0.0</v>
      </c>
      <c r="D20" s="50">
        <f t="shared" si="1"/>
        <v>1000</v>
      </c>
      <c r="E20" s="58"/>
      <c r="F20" s="58"/>
      <c r="G20" s="58"/>
    </row>
    <row r="21">
      <c r="A21" s="47" t="s">
        <v>52</v>
      </c>
      <c r="B21" s="48">
        <v>1000.0</v>
      </c>
      <c r="C21" s="48">
        <v>0.0</v>
      </c>
      <c r="D21" s="50">
        <f t="shared" si="1"/>
        <v>1000</v>
      </c>
      <c r="E21" s="58"/>
      <c r="F21" s="58"/>
      <c r="G21" s="58"/>
    </row>
    <row r="22">
      <c r="A22" s="47" t="s">
        <v>53</v>
      </c>
      <c r="B22" s="48">
        <v>1000.0</v>
      </c>
      <c r="C22" s="48">
        <v>0.0</v>
      </c>
      <c r="D22" s="50">
        <f t="shared" si="1"/>
        <v>1000</v>
      </c>
      <c r="E22" s="58"/>
      <c r="F22" s="58"/>
      <c r="G22" s="58"/>
    </row>
    <row r="23">
      <c r="A23" s="47" t="s">
        <v>54</v>
      </c>
      <c r="B23" s="48">
        <v>1000.0</v>
      </c>
      <c r="C23" s="48">
        <v>0.0</v>
      </c>
      <c r="D23" s="50">
        <f t="shared" si="1"/>
        <v>1000</v>
      </c>
      <c r="E23" s="58"/>
      <c r="F23" s="58"/>
      <c r="G23" s="58"/>
    </row>
    <row r="24">
      <c r="A24" s="51" t="s">
        <v>25</v>
      </c>
      <c r="B24" s="52">
        <f t="shared" ref="B24:D24" si="2">SUM(B12:B23)</f>
        <v>12000</v>
      </c>
      <c r="C24" s="52">
        <f t="shared" si="2"/>
        <v>0</v>
      </c>
      <c r="D24" s="53">
        <f t="shared" si="2"/>
        <v>12000</v>
      </c>
      <c r="E24" s="51"/>
      <c r="F24" s="51"/>
      <c r="G24" s="51"/>
    </row>
  </sheetData>
  <mergeCells count="2">
    <mergeCell ref="A1:C9"/>
    <mergeCell ref="D1:G9"/>
  </mergeCells>
  <conditionalFormatting sqref="D12:D24">
    <cfRule type="cellIs" dxfId="0" priority="1" operator="greaterThan">
      <formula>0</formula>
    </cfRule>
  </conditionalFormatting>
  <conditionalFormatting sqref="D12:D24">
    <cfRule type="cellIs" dxfId="1" priority="2" operator="equal">
      <formula>0</formula>
    </cfRule>
  </conditionalFormatting>
  <conditionalFormatting sqref="D12:D24">
    <cfRule type="cellIs" dxfId="2" priority="3" operator="lessThan">
      <formula>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75"/>
    <col customWidth="1" min="5" max="5" width="13.5"/>
    <col customWidth="1" min="6" max="6" width="12.75"/>
    <col customWidth="1" min="8" max="8" width="14.13"/>
  </cols>
  <sheetData>
    <row r="1" ht="2.25" customHeight="1">
      <c r="A1" s="37"/>
      <c r="B1" s="38"/>
      <c r="C1" s="38"/>
      <c r="D1" s="39" t="s">
        <v>57</v>
      </c>
      <c r="F1" s="40"/>
      <c r="G1" s="39"/>
      <c r="J1" s="40"/>
    </row>
    <row r="2" ht="8.25" customHeight="1">
      <c r="A2" s="42"/>
      <c r="F2" s="40"/>
      <c r="J2" s="40"/>
    </row>
    <row r="3" ht="8.25" customHeight="1">
      <c r="A3" s="42"/>
      <c r="F3" s="40"/>
      <c r="J3" s="40"/>
    </row>
    <row r="4" ht="8.25" customHeight="1">
      <c r="A4" s="42"/>
      <c r="F4" s="40"/>
      <c r="J4" s="40"/>
    </row>
    <row r="5" ht="8.25" customHeight="1">
      <c r="A5" s="42"/>
      <c r="F5" s="40"/>
      <c r="J5" s="40"/>
    </row>
    <row r="6" ht="8.25" customHeight="1">
      <c r="A6" s="42"/>
      <c r="F6" s="40"/>
      <c r="J6" s="40"/>
    </row>
    <row r="7" ht="8.25" customHeight="1">
      <c r="A7" s="42"/>
      <c r="F7" s="40"/>
      <c r="J7" s="40"/>
    </row>
    <row r="8" ht="8.25" customHeight="1">
      <c r="A8" s="42"/>
      <c r="F8" s="40"/>
      <c r="J8" s="40"/>
    </row>
    <row r="9" ht="8.25" customHeight="1">
      <c r="A9" s="43"/>
      <c r="B9" s="44"/>
      <c r="C9" s="44"/>
      <c r="F9" s="40"/>
      <c r="J9" s="40"/>
    </row>
    <row r="10">
      <c r="A10" s="41"/>
      <c r="B10" s="45"/>
      <c r="C10" s="45"/>
      <c r="D10" s="45"/>
    </row>
    <row r="11">
      <c r="B11" s="79" t="s">
        <v>58</v>
      </c>
      <c r="D11" s="80">
        <v>10000.0</v>
      </c>
      <c r="G11" s="79" t="s">
        <v>59</v>
      </c>
      <c r="I11" s="81">
        <f>D11-sum(B15:B26)</f>
        <v>-2000</v>
      </c>
      <c r="J11" s="82"/>
    </row>
    <row r="12">
      <c r="I12" s="83"/>
      <c r="J12" s="84"/>
    </row>
    <row r="14">
      <c r="A14" s="46" t="s">
        <v>42</v>
      </c>
      <c r="B14" s="46" t="s">
        <v>10</v>
      </c>
      <c r="C14" s="46" t="s">
        <v>11</v>
      </c>
      <c r="D14" s="46" t="s">
        <v>60</v>
      </c>
      <c r="E14" s="46" t="s">
        <v>61</v>
      </c>
    </row>
    <row r="15">
      <c r="A15" s="47" t="s">
        <v>43</v>
      </c>
      <c r="B15" s="48">
        <v>1000.0</v>
      </c>
      <c r="C15" s="48">
        <v>0.0</v>
      </c>
      <c r="D15" s="58"/>
      <c r="E15" s="58"/>
      <c r="G15" s="79" t="s">
        <v>62</v>
      </c>
      <c r="I15" s="81">
        <f>D11-sum(C15:C26)</f>
        <v>10000</v>
      </c>
      <c r="J15" s="82"/>
    </row>
    <row r="16">
      <c r="A16" s="47" t="s">
        <v>44</v>
      </c>
      <c r="B16" s="48">
        <v>1000.0</v>
      </c>
      <c r="C16" s="48">
        <v>0.0</v>
      </c>
      <c r="D16" s="58"/>
      <c r="E16" s="58"/>
      <c r="I16" s="83"/>
      <c r="J16" s="84"/>
    </row>
    <row r="17">
      <c r="A17" s="47" t="s">
        <v>45</v>
      </c>
      <c r="B17" s="48">
        <v>1000.0</v>
      </c>
      <c r="C17" s="48">
        <v>0.0</v>
      </c>
      <c r="D17" s="58"/>
      <c r="E17" s="58"/>
    </row>
    <row r="18">
      <c r="A18" s="47" t="s">
        <v>46</v>
      </c>
      <c r="B18" s="48">
        <v>1000.0</v>
      </c>
      <c r="C18" s="48">
        <v>0.0</v>
      </c>
      <c r="D18" s="58"/>
      <c r="E18" s="58"/>
    </row>
    <row r="19">
      <c r="A19" s="47" t="s">
        <v>47</v>
      </c>
      <c r="B19" s="48">
        <v>1000.0</v>
      </c>
      <c r="C19" s="48">
        <v>0.0</v>
      </c>
      <c r="D19" s="58"/>
      <c r="E19" s="58"/>
    </row>
    <row r="20">
      <c r="A20" s="47" t="s">
        <v>48</v>
      </c>
      <c r="B20" s="48">
        <v>1000.0</v>
      </c>
      <c r="C20" s="48">
        <v>0.0</v>
      </c>
      <c r="D20" s="58"/>
      <c r="E20" s="58"/>
    </row>
    <row r="21">
      <c r="A21" s="47" t="s">
        <v>49</v>
      </c>
      <c r="B21" s="48">
        <v>1000.0</v>
      </c>
      <c r="C21" s="48">
        <v>0.0</v>
      </c>
      <c r="D21" s="58"/>
      <c r="E21" s="58"/>
    </row>
    <row r="22">
      <c r="A22" s="47" t="s">
        <v>50</v>
      </c>
      <c r="B22" s="48">
        <v>1000.0</v>
      </c>
      <c r="C22" s="48">
        <v>0.0</v>
      </c>
      <c r="D22" s="58"/>
      <c r="E22" s="58"/>
    </row>
    <row r="23">
      <c r="A23" s="47" t="s">
        <v>51</v>
      </c>
      <c r="B23" s="48">
        <v>1000.0</v>
      </c>
      <c r="C23" s="48">
        <v>0.0</v>
      </c>
      <c r="D23" s="58"/>
      <c r="E23" s="58"/>
    </row>
    <row r="24">
      <c r="A24" s="47" t="s">
        <v>52</v>
      </c>
      <c r="B24" s="48">
        <v>1000.0</v>
      </c>
      <c r="C24" s="48">
        <v>0.0</v>
      </c>
      <c r="D24" s="58"/>
      <c r="E24" s="58"/>
    </row>
    <row r="25">
      <c r="A25" s="47" t="s">
        <v>53</v>
      </c>
      <c r="B25" s="48">
        <v>1000.0</v>
      </c>
      <c r="C25" s="48">
        <v>0.0</v>
      </c>
      <c r="D25" s="58"/>
      <c r="E25" s="58"/>
    </row>
    <row r="26">
      <c r="A26" s="47" t="s">
        <v>54</v>
      </c>
      <c r="B26" s="48">
        <v>1000.0</v>
      </c>
      <c r="C26" s="48">
        <v>0.0</v>
      </c>
      <c r="D26" s="58"/>
      <c r="E26" s="58"/>
    </row>
    <row r="27">
      <c r="A27" s="51" t="s">
        <v>25</v>
      </c>
      <c r="B27" s="52">
        <f t="shared" ref="B27:C27" si="1">SUM(B15:B26)</f>
        <v>12000</v>
      </c>
      <c r="C27" s="52">
        <f t="shared" si="1"/>
        <v>0</v>
      </c>
      <c r="D27" s="51"/>
      <c r="E27" s="51"/>
    </row>
  </sheetData>
  <mergeCells count="9">
    <mergeCell ref="G15:H16"/>
    <mergeCell ref="I15:J16"/>
    <mergeCell ref="A1:C9"/>
    <mergeCell ref="D1:F9"/>
    <mergeCell ref="G1:J9"/>
    <mergeCell ref="B11:C12"/>
    <mergeCell ref="D11:E12"/>
    <mergeCell ref="G11:H12"/>
    <mergeCell ref="I11:J12"/>
  </mergeCells>
  <conditionalFormatting sqref="D13">
    <cfRule type="cellIs" dxfId="0" priority="1" operator="greaterThan">
      <formula>0</formula>
    </cfRule>
  </conditionalFormatting>
  <conditionalFormatting sqref="D13">
    <cfRule type="cellIs" dxfId="1" priority="2" operator="equal">
      <formula>0</formula>
    </cfRule>
  </conditionalFormatting>
  <conditionalFormatting sqref="D13">
    <cfRule type="cellIs" dxfId="2" priority="3" operator="lessThan">
      <formula>0</formula>
    </cfRule>
  </conditionalFormatting>
  <conditionalFormatting sqref="I15:J16 I11:J12">
    <cfRule type="cellIs" dxfId="0" priority="4" operator="greaterThan">
      <formula>0</formula>
    </cfRule>
  </conditionalFormatting>
  <conditionalFormatting sqref="I15:J16 I11:J12">
    <cfRule type="cellIs" dxfId="3" priority="5" operator="equal">
      <formula>0</formula>
    </cfRule>
  </conditionalFormatting>
  <conditionalFormatting sqref="I15:J16 I11:J12">
    <cfRule type="cellIs" dxfId="4" priority="6" operator="lessThan">
      <formula>0</formula>
    </cfRule>
  </conditionalFormatting>
  <dataValidations>
    <dataValidation type="list" allowBlank="1" showErrorMessage="1" sqref="E15:E26">
      <formula1>"Yes,No"</formula1>
    </dataValidation>
  </dataValidations>
  <drawing r:id="rId1"/>
</worksheet>
</file>