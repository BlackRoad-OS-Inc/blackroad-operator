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Lead Scoring Framework Workshee" sheetId="2" r:id="rId6"/>
    <sheet state="visible" name="Sheet6" sheetId="3" r:id="rId7"/>
    <sheet state="visible" name="Lead Scoring Calculator" sheetId="4" r:id="rId8"/>
  </sheets>
  <definedNames/>
  <calcPr/>
</workbook>
</file>

<file path=xl/sharedStrings.xml><?xml version="1.0" encoding="utf-8"?>
<sst xmlns="http://schemas.openxmlformats.org/spreadsheetml/2006/main" count="145" uniqueCount="101">
  <si>
    <t>How to Use This Template:</t>
  </si>
  <si>
    <t xml:space="preserve">This file contains two worksheets and a calculator. The worksheets are designed to help you customize your lead scoring framework in a way that makes sense to your business. 
You are welcome to add to or remove the fields provided in any way that makes sense for your company. Your maximum lead score can be anything you'd like—whether it's 100 or 1,000, it should just be something that makes sense to you and for your company. Be sure that any changes made to the worksheet are also updated on the calculator. </t>
  </si>
  <si>
    <t>Free Lead Scoring Framework Template</t>
  </si>
  <si>
    <t>CRM Powered Marketing Tools</t>
  </si>
  <si>
    <t>Manage contacts &amp; get valuable analytics on traffic and conversion to grow your business.</t>
  </si>
  <si>
    <t>Get Started</t>
  </si>
  <si>
    <t xml:space="preserve">Lead Scoring Worksheet </t>
  </si>
  <si>
    <t>In simple terms, lead scoring is comparable to giving a grade to each potential customer based on the likelihood that they will purchase from your company. Lead scoring helps businesses focus on the most promising prospects and improve their chances of making a sale. 
Some useful factors when determining a lead score come from explicit data. This refers to information that is stated or shared by prospects through any direct interaction—like a survey, form, or registration. Explicit data typically includes details like job title, company size, or industry.</t>
  </si>
  <si>
    <t>Demographics</t>
  </si>
  <si>
    <t>Notes</t>
  </si>
  <si>
    <t>Max Score</t>
  </si>
  <si>
    <t>Firmographics</t>
  </si>
  <si>
    <t>Job Title</t>
  </si>
  <si>
    <t>Is this title a good fit for your product/service?</t>
  </si>
  <si>
    <t>Number of employees</t>
  </si>
  <si>
    <t>Job Role</t>
  </si>
  <si>
    <t>Industry</t>
  </si>
  <si>
    <t>Purchasing Authority</t>
  </si>
  <si>
    <t>Does this role have the ability to purchase easily?</t>
  </si>
  <si>
    <t>Annual Revenue</t>
  </si>
  <si>
    <t>Industry/Field of expertise</t>
  </si>
  <si>
    <t>Revenue Growth/Decline</t>
  </si>
  <si>
    <t>Designations/Certifications</t>
  </si>
  <si>
    <t>Average Sales Cycle</t>
  </si>
  <si>
    <t>Career Interests</t>
  </si>
  <si>
    <t>Headquarters Location</t>
  </si>
  <si>
    <t>Years at Current Position</t>
  </si>
  <si>
    <t>Year Founded</t>
  </si>
  <si>
    <t>Number of Direct Reports</t>
  </si>
  <si>
    <t>Organizational Structure</t>
  </si>
  <si>
    <t>Public Recommendations</t>
  </si>
  <si>
    <t>Geographic Market Served</t>
  </si>
  <si>
    <t>Affiliations—groups and associations</t>
  </si>
  <si>
    <t>Monthly Web Traffic</t>
  </si>
  <si>
    <t>Social Networking Usage</t>
  </si>
  <si>
    <t xml:space="preserve">[Add Another Trait/Behavior Here] </t>
  </si>
  <si>
    <t>Lead Scoring Worksheet - Implicit Data</t>
  </si>
  <si>
    <t xml:space="preserve">Implicit data for lead scoring refers to information that is indirectly inferred or collected from a prospect's behavior or interactions with a business. Understanding implicit data involves the capturing and analyzing of data points that are collected from monitoring and tracking prospect activities. 
Implicit data can include a wide variety of behavioral information, and your marketing channels and campaign objectives should inform what you decide to collect. For example, collecting information about landing page views wouldn't be useful if your marketing funnel primarily directs users to product pages. </t>
  </si>
  <si>
    <t>Behaviors - Positive Score</t>
  </si>
  <si>
    <t>Behaviors - Negative Score</t>
  </si>
  <si>
    <t>Landing Page - View</t>
  </si>
  <si>
    <t xml:space="preserve">Email - Unsubscribe </t>
  </si>
  <si>
    <t>Landing Page - Conversion</t>
  </si>
  <si>
    <t>Website - Viewed Non-Product Page</t>
  </si>
  <si>
    <t xml:space="preserve">Use of Chat Functionality </t>
  </si>
  <si>
    <t>Website - No Activity for 30 Days</t>
  </si>
  <si>
    <t>Request for Call Back</t>
  </si>
  <si>
    <t>Email - Spam Complaint</t>
  </si>
  <si>
    <t>Viewed Web Page - Any</t>
  </si>
  <si>
    <t>Social Media - Negative Comment</t>
  </si>
  <si>
    <t>Viewed Web Page - Product</t>
  </si>
  <si>
    <t>Social Media - Unfollow</t>
  </si>
  <si>
    <t>Viewed Web Page - Pricing</t>
  </si>
  <si>
    <t xml:space="preserve">Email - No Engagement </t>
  </si>
  <si>
    <t>Viewed Web Page - Review</t>
  </si>
  <si>
    <t>Viewed Web Page - Multiple</t>
  </si>
  <si>
    <t>Multiple Web Page Visits Per Week</t>
  </si>
  <si>
    <t>Email - Opened</t>
  </si>
  <si>
    <t>Emal - Clicked Link</t>
  </si>
  <si>
    <t>Email - Forwarded</t>
  </si>
  <si>
    <t>Social Media - Follows Company Page</t>
  </si>
  <si>
    <t>Social Media - Positive Comment</t>
  </si>
  <si>
    <t>Lead Scoring Calculator</t>
  </si>
  <si>
    <r>
      <rPr>
        <rFont val="Lexend Deca"/>
        <color rgb="FF30465D"/>
        <sz val="9.0"/>
      </rPr>
      <t xml:space="preserve">After you have completed the framework worksheets to determine and define your scoring criteria, you can use this calculator to input lead data and calculate a final lead score. Make as many copies as you'd like—and if you want to make lead scoring even easier, explore the functionalities that live within HubSpot. Check out the </t>
    </r>
    <r>
      <rPr>
        <rFont val="Lexend Deca"/>
        <color rgb="FF1155CC"/>
        <sz val="9.0"/>
        <u/>
      </rPr>
      <t>free HubSpot Academy course</t>
    </r>
    <r>
      <rPr>
        <rFont val="Lexend Deca"/>
        <color rgb="FF30465D"/>
        <sz val="9.0"/>
      </rPr>
      <t xml:space="preserve"> on lead scoring. </t>
    </r>
  </si>
  <si>
    <t>Score</t>
  </si>
  <si>
    <t>Total Score</t>
  </si>
  <si>
    <t>Normalized Score</t>
  </si>
  <si>
    <t>Chief Marketing Officer</t>
  </si>
  <si>
    <t>250-500</t>
  </si>
  <si>
    <t>Visited LP from LinkedIn ad</t>
  </si>
  <si>
    <t>n/a</t>
  </si>
  <si>
    <t>C-Suite</t>
  </si>
  <si>
    <t>Software and Technology</t>
  </si>
  <si>
    <t>Completed form on LP</t>
  </si>
  <si>
    <t>Viewed Careers page</t>
  </si>
  <si>
    <t>Yes</t>
  </si>
  <si>
    <t>&gt;2,000,000 (USD)</t>
  </si>
  <si>
    <t>Did not use</t>
  </si>
  <si>
    <t>SaaS</t>
  </si>
  <si>
    <t>26%+ YoY</t>
  </si>
  <si>
    <t>HubSpot Inbound Marketing Certification</t>
  </si>
  <si>
    <t>&lt;90 days</t>
  </si>
  <si>
    <t>Viewed +6 web pages</t>
  </si>
  <si>
    <t>Sales and Marketing Alignment</t>
  </si>
  <si>
    <t>Boston, MA, USA</t>
  </si>
  <si>
    <t>Viewed +2 product pages</t>
  </si>
  <si>
    <t>Viewed x2</t>
  </si>
  <si>
    <t xml:space="preserve">Product-Based </t>
  </si>
  <si>
    <t>Did not view</t>
  </si>
  <si>
    <t>NAM</t>
  </si>
  <si>
    <t>Member, American Marketing Association</t>
  </si>
  <si>
    <t>&gt;1.5M monthly visits</t>
  </si>
  <si>
    <t>Viewed website 2x last week</t>
  </si>
  <si>
    <t>LinkedIn (inactive)</t>
  </si>
  <si>
    <t>Opened drip campaign email</t>
  </si>
  <si>
    <t>Did not click link</t>
  </si>
  <si>
    <t>Did not forward</t>
  </si>
  <si>
    <t>Does not follow</t>
  </si>
  <si>
    <t>No comments from user</t>
  </si>
  <si>
    <t>Max Score:</t>
  </si>
  <si>
    <t>300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</si>
</sst>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d&quot;-&quot;mmm&quot;-&quot;yy"/>
  </numFmts>
  <fonts count="40">
    <font>
      <sz val="10.0"/>
      <color rgb="FF000000"/>
      <name val="Arial"/>
      <scheme val="minor"/>
    </font>
    <font>
      <sz val="12.0"/>
      <color theme="1"/>
      <name val="Calibri"/>
    </font>
    <font>
      <b/>
      <sz val="14.0"/>
      <color rgb="FF2D3E50"/>
      <name val="Lexend Deca"/>
    </font>
    <font/>
    <font>
      <sz val="11.0"/>
      <color rgb="FF2D3E50"/>
      <name val="Lexend Deca"/>
    </font>
    <font>
      <color theme="1"/>
      <name val="Arial"/>
      <scheme val="minor"/>
    </font>
    <font>
      <sz val="18.0"/>
      <color rgb="FFFFFFFF"/>
      <name val="Lexend Deca"/>
    </font>
    <font>
      <sz val="20.0"/>
      <color rgb="FFFFFFFF"/>
      <name val="Lexend Deca"/>
    </font>
    <font>
      <b/>
      <sz val="16.0"/>
      <color rgb="FF2D3E50"/>
      <name val="Lexend Deca"/>
    </font>
    <font>
      <color rgb="FF2D3E50"/>
      <name val="Lexend Deca"/>
    </font>
    <font>
      <u/>
      <sz val="12.0"/>
      <color rgb="FFFFFFFF"/>
      <name val="Lexend Deca"/>
    </font>
    <font>
      <sz val="12.0"/>
      <color rgb="FF2D3E50"/>
      <name val="Lexend Deca"/>
    </font>
    <font>
      <sz val="24.0"/>
      <color rgb="FFFFFFFF"/>
      <name val="Lexend Deca"/>
    </font>
    <font>
      <sz val="9.0"/>
      <color rgb="FF30465D"/>
      <name val="Lexend Deca"/>
    </font>
    <font>
      <b/>
      <color rgb="FFFFFFFF"/>
      <name val="Lexend Deca"/>
    </font>
    <font>
      <b/>
      <sz val="9.0"/>
      <color rgb="FFFFFFFF"/>
      <name val="Lexend Deca"/>
    </font>
    <font>
      <color rgb="FF30465D"/>
      <name val="Lexend Deca"/>
    </font>
    <font>
      <i/>
      <color rgb="FF000000"/>
      <name val="Lexend Deca"/>
    </font>
    <font>
      <sz val="9.0"/>
      <color theme="1"/>
      <name val="Lexend Deca"/>
    </font>
    <font>
      <color theme="1"/>
      <name val="Lexend Deca"/>
    </font>
    <font>
      <color rgb="FF000000"/>
      <name val="Lexend Deca"/>
    </font>
    <font>
      <i/>
      <color rgb="FF30465D"/>
      <name val="Lexend Deca"/>
    </font>
    <font>
      <color rgb="FF30465D"/>
      <name val="Arial"/>
      <scheme val="minor"/>
    </font>
    <font>
      <color rgb="FFFFFFFF"/>
      <name val="Lexend Deca"/>
    </font>
    <font>
      <sz val="10.0"/>
      <color rgb="FF30465D"/>
      <name val="Lexend Deca"/>
    </font>
    <font>
      <b/>
      <sz val="10.0"/>
      <color rgb="FFFFFFFF"/>
      <name val="Lexend Deca"/>
    </font>
    <font>
      <b/>
      <sz val="10.0"/>
      <color rgb="FFEFEFEF"/>
      <name val="Lexend Deca"/>
    </font>
    <font>
      <sz val="10.0"/>
      <color theme="1"/>
      <name val="Lexend Deca"/>
    </font>
    <font>
      <i/>
      <sz val="10.0"/>
      <color theme="1"/>
      <name val="Lexend Deca"/>
    </font>
    <font>
      <i/>
      <sz val="10.0"/>
      <color rgb="FF30465D"/>
      <name val="Lexend Deca"/>
    </font>
    <font>
      <u/>
      <sz val="9.0"/>
      <color rgb="FF30465D"/>
      <name val="Lexend Deca"/>
    </font>
    <font>
      <b/>
      <sz val="9.0"/>
      <color rgb="FFFFFFFF"/>
      <name val="&quot;docs-Lexend Deca&quot;"/>
    </font>
    <font>
      <b/>
      <sz val="9.0"/>
      <color rgb="FFFFFFFF"/>
      <name val="Docs-Lexend Deca"/>
    </font>
    <font>
      <i/>
      <sz val="9.0"/>
      <color rgb="FF30465D"/>
      <name val="Lexend Deca"/>
    </font>
    <font>
      <b/>
      <sz val="9.0"/>
      <color rgb="FF30465D"/>
      <name val="Lexend Deca"/>
    </font>
    <font>
      <i/>
      <sz val="9.0"/>
      <color theme="1"/>
      <name val="Lexend Deca"/>
    </font>
    <font>
      <sz val="9.0"/>
      <color theme="1"/>
      <name val="Arial"/>
      <scheme val="minor"/>
    </font>
    <font>
      <i/>
      <sz val="9.0"/>
      <color theme="1"/>
      <name val="Arial"/>
      <scheme val="minor"/>
    </font>
    <font>
      <sz val="9.0"/>
      <color rgb="FF30465D"/>
      <name val="Arial"/>
      <scheme val="minor"/>
    </font>
    <font>
      <b/>
      <sz val="12.0"/>
      <color rgb="FFFFFFFF"/>
      <name val="Lexend Deca"/>
    </font>
  </fonts>
  <fills count="7">
    <fill>
      <patternFill patternType="none"/>
    </fill>
    <fill>
      <patternFill patternType="lightGray"/>
    </fill>
    <fill>
      <patternFill patternType="solid">
        <fgColor rgb="FF30465D"/>
        <bgColor rgb="FF30465D"/>
      </patternFill>
    </fill>
    <fill>
      <patternFill patternType="solid">
        <fgColor rgb="FFF5C26B"/>
        <bgColor rgb="FFF5C26B"/>
      </patternFill>
    </fill>
    <fill>
      <patternFill patternType="solid">
        <fgColor rgb="FFFFFFFF"/>
        <bgColor rgb="FFFFFFFF"/>
      </patternFill>
    </fill>
    <fill>
      <patternFill patternType="solid">
        <fgColor rgb="FFFF8F59"/>
        <bgColor rgb="FFFF8F59"/>
      </patternFill>
    </fill>
    <fill>
      <patternFill patternType="solid">
        <fgColor rgb="FFEFEFEF"/>
        <bgColor rgb="FFEFEFEF"/>
      </patternFill>
    </fill>
  </fills>
  <borders count="7">
    <border/>
    <border>
      <right style="thin">
        <color rgb="FFF5C26B"/>
      </right>
    </border>
    <border>
      <right style="thin">
        <color rgb="FFF5C26B"/>
      </right>
      <bottom style="thin">
        <color rgb="FFF5C26B"/>
      </bottom>
    </border>
    <border>
      <bottom style="thin">
        <color rgb="FFF5C26B"/>
      </bottom>
    </border>
    <border>
      <bottom style="thin">
        <color rgb="FFFFFFFF"/>
      </bottom>
    </border>
    <border>
      <right style="thin">
        <color rgb="FFFFFFFF"/>
      </right>
    </border>
    <border>
      <right style="thin">
        <color rgb="FFFFFFFF"/>
      </right>
      <bottom style="thin">
        <color rgb="FFFFFFFF"/>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0" fillId="2" fontId="1" numFmtId="0" xfId="0" applyAlignment="1" applyFill="1" applyFont="1">
      <alignment vertical="bottom"/>
    </xf>
    <xf borderId="1" fillId="2" fontId="1" numFmtId="0" xfId="0" applyAlignment="1" applyBorder="1" applyFont="1">
      <alignment vertical="bottom"/>
    </xf>
    <xf borderId="2" fillId="3" fontId="1" numFmtId="0" xfId="0" applyAlignment="1" applyBorder="1" applyFill="1" applyFont="1">
      <alignment vertical="bottom"/>
    </xf>
    <xf borderId="0" fillId="3" fontId="2" numFmtId="0" xfId="0" applyAlignment="1" applyFont="1">
      <alignment readingOrder="0" vertical="bottom"/>
    </xf>
    <xf borderId="1" fillId="0" fontId="3" numFmtId="0" xfId="0" applyBorder="1" applyFont="1"/>
    <xf borderId="2" fillId="3" fontId="1" numFmtId="0" xfId="0" applyAlignment="1" applyBorder="1" applyFont="1">
      <alignment vertical="top"/>
    </xf>
    <xf borderId="3" fillId="0" fontId="3" numFmtId="0" xfId="0" applyBorder="1" applyFont="1"/>
    <xf borderId="2" fillId="0" fontId="3" numFmtId="0" xfId="0" applyBorder="1" applyFont="1"/>
    <xf borderId="0" fillId="3" fontId="4" numFmtId="0" xfId="0" applyAlignment="1" applyFont="1">
      <alignment readingOrder="0" shrinkToFit="0" vertical="center" wrapText="1"/>
    </xf>
    <xf borderId="0" fillId="2" fontId="5" numFmtId="0" xfId="0" applyFont="1"/>
    <xf borderId="0" fillId="2" fontId="6" numFmtId="0" xfId="0" applyAlignment="1" applyFont="1">
      <alignment horizontal="center" readingOrder="0" vertical="bottom"/>
    </xf>
    <xf borderId="0" fillId="2" fontId="7" numFmtId="0" xfId="0" applyAlignment="1" applyFont="1">
      <alignment readingOrder="0" vertical="bottom"/>
    </xf>
    <xf borderId="0" fillId="2" fontId="7" numFmtId="0" xfId="0" applyAlignment="1" applyFont="1">
      <alignment horizontal="center" readingOrder="0" vertical="top"/>
    </xf>
    <xf borderId="0" fillId="2" fontId="1" numFmtId="0" xfId="0" applyAlignment="1" applyFont="1">
      <alignment horizontal="center" vertical="bottom"/>
    </xf>
    <xf borderId="4" fillId="2" fontId="1" numFmtId="0" xfId="0" applyAlignment="1" applyBorder="1" applyFont="1">
      <alignment vertical="bottom"/>
    </xf>
    <xf borderId="5" fillId="2" fontId="1" numFmtId="0" xfId="0" applyAlignment="1" applyBorder="1" applyFont="1">
      <alignment vertical="bottom"/>
    </xf>
    <xf borderId="0" fillId="4" fontId="8" numFmtId="0" xfId="0" applyAlignment="1" applyFill="1" applyFont="1">
      <alignment horizontal="center" readingOrder="0" vertical="bottom"/>
    </xf>
    <xf borderId="5" fillId="0" fontId="3" numFmtId="0" xfId="0" applyBorder="1" applyFont="1"/>
    <xf borderId="4" fillId="0" fontId="3" numFmtId="0" xfId="0" applyBorder="1" applyFont="1"/>
    <xf borderId="6" fillId="0" fontId="3" numFmtId="0" xfId="0" applyBorder="1" applyFont="1"/>
    <xf borderId="0" fillId="4" fontId="9" numFmtId="0" xfId="0" applyAlignment="1" applyFont="1">
      <alignment horizontal="center" readingOrder="0" vertical="center"/>
    </xf>
    <xf borderId="6" fillId="4" fontId="1" numFmtId="0" xfId="0" applyAlignment="1" applyBorder="1" applyFont="1">
      <alignment vertical="bottom"/>
    </xf>
    <xf borderId="0" fillId="5" fontId="10" numFmtId="0" xfId="0" applyAlignment="1" applyFill="1" applyFont="1">
      <alignment horizontal="center" readingOrder="0" vertical="center"/>
    </xf>
    <xf borderId="0" fillId="3" fontId="11" numFmtId="0" xfId="0" applyAlignment="1" applyFont="1">
      <alignment readingOrder="0" shrinkToFit="0" vertical="center" wrapText="1"/>
    </xf>
    <xf borderId="0" fillId="2" fontId="12" numFmtId="0" xfId="0" applyAlignment="1" applyFont="1">
      <alignment horizontal="left" readingOrder="0" vertical="center"/>
    </xf>
    <xf borderId="0" fillId="6" fontId="13" numFmtId="0" xfId="0" applyAlignment="1" applyFill="1" applyFont="1">
      <alignment horizontal="left" readingOrder="0" shrinkToFit="0" vertical="center" wrapText="1"/>
    </xf>
    <xf borderId="0" fillId="2" fontId="14" numFmtId="0" xfId="0" applyAlignment="1" applyFont="1">
      <alignment horizontal="left" readingOrder="0" vertical="bottom"/>
    </xf>
    <xf borderId="0" fillId="2" fontId="15" numFmtId="0" xfId="0" applyAlignment="1" applyFont="1">
      <alignment horizontal="left" readingOrder="0"/>
    </xf>
    <xf borderId="0" fillId="2" fontId="14" numFmtId="0" xfId="0" applyAlignment="1" applyFont="1">
      <alignment horizontal="left" readingOrder="0"/>
    </xf>
    <xf borderId="0" fillId="6" fontId="16" numFmtId="0" xfId="0" applyAlignment="1" applyFont="1">
      <alignment horizontal="left" readingOrder="0" vertical="bottom"/>
    </xf>
    <xf borderId="0" fillId="4" fontId="17" numFmtId="0" xfId="0" applyAlignment="1" applyFont="1">
      <alignment horizontal="left" readingOrder="0" vertical="bottom"/>
    </xf>
    <xf borderId="0" fillId="4" fontId="18" numFmtId="0" xfId="0" applyAlignment="1" applyFont="1">
      <alignment horizontal="left" readingOrder="0" vertical="bottom"/>
    </xf>
    <xf borderId="0" fillId="4" fontId="19" numFmtId="3" xfId="0" applyAlignment="1" applyFont="1" applyNumberFormat="1">
      <alignment horizontal="left" readingOrder="0" vertical="bottom"/>
    </xf>
    <xf borderId="0" fillId="4" fontId="20" numFmtId="0" xfId="0" applyAlignment="1" applyFont="1">
      <alignment horizontal="left" readingOrder="0" vertical="bottom"/>
    </xf>
    <xf borderId="0" fillId="4" fontId="19" numFmtId="0" xfId="0" applyAlignment="1" applyFont="1">
      <alignment horizontal="left" readingOrder="0" vertical="bottom"/>
    </xf>
    <xf borderId="0" fillId="4" fontId="19" numFmtId="164" xfId="0" applyAlignment="1" applyFont="1" applyNumberFormat="1">
      <alignment horizontal="left" vertical="bottom"/>
    </xf>
    <xf borderId="0" fillId="0" fontId="20" numFmtId="164" xfId="0" applyAlignment="1" applyFont="1" applyNumberFormat="1">
      <alignment horizontal="left" vertical="bottom"/>
    </xf>
    <xf borderId="0" fillId="0" fontId="18" numFmtId="0" xfId="0" applyAlignment="1" applyFont="1">
      <alignment horizontal="left" readingOrder="0" vertical="bottom"/>
    </xf>
    <xf borderId="0" fillId="0" fontId="19" numFmtId="164" xfId="0" applyAlignment="1" applyFont="1" applyNumberFormat="1">
      <alignment horizontal="left" vertical="bottom"/>
    </xf>
    <xf borderId="0" fillId="6" fontId="16" numFmtId="0" xfId="0" applyAlignment="1" applyFont="1">
      <alignment horizontal="left" readingOrder="0" shrinkToFit="0" vertical="bottom" wrapText="1"/>
    </xf>
    <xf borderId="0" fillId="6" fontId="21" numFmtId="0" xfId="0" applyAlignment="1" applyFont="1">
      <alignment horizontal="left" readingOrder="0" shrinkToFit="0" vertical="bottom" wrapText="1"/>
    </xf>
    <xf borderId="0" fillId="0" fontId="18" numFmtId="0" xfId="0" applyAlignment="1" applyFont="1">
      <alignment horizontal="left" vertical="bottom"/>
    </xf>
    <xf borderId="0" fillId="6" fontId="22" numFmtId="0" xfId="0" applyFont="1"/>
    <xf borderId="0" fillId="6" fontId="16" numFmtId="165" xfId="0" applyAlignment="1" applyFont="1" applyNumberFormat="1">
      <alignment horizontal="left" vertical="bottom"/>
    </xf>
    <xf borderId="0" fillId="0" fontId="23" numFmtId="164" xfId="0" applyAlignment="1" applyFont="1" applyNumberFormat="1">
      <alignment horizontal="left" vertical="bottom"/>
    </xf>
    <xf borderId="0" fillId="6" fontId="18" numFmtId="49" xfId="0" applyAlignment="1" applyFont="1" applyNumberFormat="1">
      <alignment horizontal="left" vertical="bottom"/>
    </xf>
    <xf borderId="0" fillId="2" fontId="7" numFmtId="0" xfId="0" applyAlignment="1" applyFont="1">
      <alignment horizontal="left" readingOrder="0" vertical="center"/>
    </xf>
    <xf borderId="0" fillId="6" fontId="24" numFmtId="0" xfId="0" applyAlignment="1" applyFont="1">
      <alignment horizontal="left" readingOrder="0" shrinkToFit="0" vertical="center" wrapText="1"/>
    </xf>
    <xf borderId="0" fillId="2" fontId="25" numFmtId="0" xfId="0" applyAlignment="1" applyFont="1">
      <alignment horizontal="left" readingOrder="0" vertical="bottom"/>
    </xf>
    <xf borderId="0" fillId="2" fontId="26" numFmtId="0" xfId="0" applyAlignment="1" applyFont="1">
      <alignment horizontal="left" readingOrder="0"/>
    </xf>
    <xf borderId="0" fillId="2" fontId="25" numFmtId="0" xfId="0" applyAlignment="1" applyFont="1">
      <alignment horizontal="left" readingOrder="0"/>
    </xf>
    <xf borderId="0" fillId="6" fontId="24" numFmtId="0" xfId="0" applyAlignment="1" applyFont="1">
      <alignment horizontal="left" readingOrder="0" vertical="bottom"/>
    </xf>
    <xf borderId="0" fillId="4" fontId="27" numFmtId="164" xfId="0" applyAlignment="1" applyFont="1" applyNumberFormat="1">
      <alignment horizontal="left" vertical="bottom"/>
    </xf>
    <xf borderId="0" fillId="4" fontId="27" numFmtId="0" xfId="0" applyAlignment="1" applyFont="1">
      <alignment horizontal="left" readingOrder="0" vertical="bottom"/>
    </xf>
    <xf borderId="0" fillId="4" fontId="28" numFmtId="0" xfId="0" applyAlignment="1" applyFont="1">
      <alignment horizontal="left" readingOrder="0" vertical="bottom"/>
    </xf>
    <xf borderId="0" fillId="0" fontId="27" numFmtId="164" xfId="0" applyAlignment="1" applyFont="1" applyNumberFormat="1">
      <alignment horizontal="left" vertical="bottom"/>
    </xf>
    <xf borderId="0" fillId="0" fontId="27" numFmtId="0" xfId="0" applyAlignment="1" applyFont="1">
      <alignment horizontal="left" readingOrder="0" vertical="bottom"/>
    </xf>
    <xf borderId="0" fillId="0" fontId="27" numFmtId="0" xfId="0" applyAlignment="1" applyFont="1">
      <alignment horizontal="left" vertical="bottom"/>
    </xf>
    <xf borderId="0" fillId="6" fontId="29" numFmtId="0" xfId="0" applyAlignment="1" applyFont="1">
      <alignment horizontal="left" readingOrder="0" shrinkToFit="0" vertical="bottom" wrapText="1"/>
    </xf>
    <xf borderId="0" fillId="6" fontId="24" numFmtId="165" xfId="0" applyAlignment="1" applyFont="1" applyNumberFormat="1">
      <alignment horizontal="left" vertical="bottom"/>
    </xf>
    <xf borderId="0" fillId="6" fontId="27" numFmtId="0" xfId="0" applyAlignment="1" applyFont="1">
      <alignment horizontal="left" vertical="bottom"/>
    </xf>
    <xf borderId="0" fillId="2" fontId="7" numFmtId="0" xfId="0" applyAlignment="1" applyFont="1">
      <alignment horizontal="left" readingOrder="0" shrinkToFit="0" vertical="center" wrapText="1"/>
    </xf>
    <xf borderId="0" fillId="2" fontId="12" numFmtId="0" xfId="0" applyAlignment="1" applyFont="1">
      <alignment horizontal="left" readingOrder="0" shrinkToFit="0" vertical="center" wrapText="1"/>
    </xf>
    <xf borderId="0" fillId="6" fontId="30" numFmtId="0" xfId="0" applyAlignment="1" applyFont="1">
      <alignment horizontal="left" readingOrder="0" shrinkToFit="0" vertical="center" wrapText="1"/>
    </xf>
    <xf borderId="0" fillId="6" fontId="13" numFmtId="0" xfId="0" applyAlignment="1" applyFont="1">
      <alignment horizontal="left" readingOrder="0" shrinkToFit="0" vertical="center" wrapText="1"/>
    </xf>
    <xf borderId="0" fillId="2" fontId="15" numFmtId="0" xfId="0" applyAlignment="1" applyFont="1">
      <alignment horizontal="left" readingOrder="0" shrinkToFit="0" vertical="bottom" wrapText="1"/>
    </xf>
    <xf borderId="0" fillId="2" fontId="15" numFmtId="0" xfId="0" applyAlignment="1" applyFont="1">
      <alignment horizontal="left" readingOrder="0" shrinkToFit="0" wrapText="1"/>
    </xf>
    <xf borderId="0" fillId="2" fontId="31" numFmtId="0" xfId="0" applyAlignment="1" applyFont="1">
      <alignment horizontal="left" readingOrder="0" shrinkToFit="0" wrapText="1"/>
    </xf>
    <xf borderId="0" fillId="2" fontId="15" numFmtId="0" xfId="0" applyAlignment="1" applyFont="1">
      <alignment shrinkToFit="0" vertical="bottom" wrapText="1"/>
    </xf>
    <xf borderId="0" fillId="2" fontId="32" numFmtId="0" xfId="0" applyAlignment="1" applyFont="1">
      <alignment shrinkToFit="0" vertical="bottom" wrapText="1"/>
    </xf>
    <xf borderId="0" fillId="6" fontId="13" numFmtId="0" xfId="0" applyAlignment="1" applyFont="1">
      <alignment horizontal="left" readingOrder="0" shrinkToFit="0" vertical="bottom" wrapText="1"/>
    </xf>
    <xf borderId="0" fillId="4" fontId="33" numFmtId="0" xfId="0" applyAlignment="1" applyFont="1">
      <alignment horizontal="left" readingOrder="0" shrinkToFit="0" vertical="bottom" wrapText="1"/>
    </xf>
    <xf borderId="0" fillId="4" fontId="13" numFmtId="0" xfId="0" applyAlignment="1" applyFont="1">
      <alignment horizontal="left" readingOrder="0" shrinkToFit="0" vertical="bottom" wrapText="1"/>
    </xf>
    <xf borderId="0" fillId="6" fontId="13" numFmtId="0" xfId="0" applyAlignment="1" applyFont="1">
      <alignment shrinkToFit="0" vertical="bottom" wrapText="1"/>
    </xf>
    <xf borderId="0" fillId="4" fontId="33" numFmtId="0" xfId="0" applyAlignment="1" applyFont="1">
      <alignment shrinkToFit="0" vertical="bottom" wrapText="1"/>
    </xf>
    <xf borderId="0" fillId="4" fontId="13" numFmtId="0" xfId="0" applyAlignment="1" applyFont="1">
      <alignment shrinkToFit="0" vertical="bottom" wrapText="1"/>
    </xf>
    <xf borderId="0" fillId="4" fontId="18" numFmtId="0" xfId="0" applyAlignment="1" applyFont="1">
      <alignment horizontal="left" readingOrder="0" shrinkToFit="0" vertical="bottom" wrapText="1"/>
    </xf>
    <xf borderId="0" fillId="6" fontId="34" numFmtId="0" xfId="0" applyAlignment="1" applyFont="1">
      <alignment horizontal="left" readingOrder="0" shrinkToFit="0" wrapText="1"/>
    </xf>
    <xf borderId="0" fillId="0" fontId="33" numFmtId="0" xfId="0" applyAlignment="1" applyFont="1">
      <alignment horizontal="left" readingOrder="0" shrinkToFit="0" vertical="bottom" wrapText="1"/>
    </xf>
    <xf borderId="0" fillId="0" fontId="13" numFmtId="0" xfId="0" applyAlignment="1" applyFont="1">
      <alignment horizontal="left" readingOrder="0" shrinkToFit="0" vertical="bottom" wrapText="1"/>
    </xf>
    <xf borderId="0" fillId="0" fontId="33" numFmtId="0" xfId="0" applyAlignment="1" applyFont="1">
      <alignment shrinkToFit="0" vertical="bottom" wrapText="1"/>
    </xf>
    <xf borderId="0" fillId="0" fontId="18" numFmtId="0" xfId="0" applyAlignment="1" applyFont="1">
      <alignment horizontal="left" readingOrder="0" shrinkToFit="0" vertical="bottom" wrapText="1"/>
    </xf>
    <xf borderId="0" fillId="6" fontId="33" numFmtId="0" xfId="0" applyAlignment="1" applyFont="1">
      <alignment horizontal="left" readingOrder="0" shrinkToFit="0" vertical="bottom" wrapText="1"/>
    </xf>
    <xf borderId="0" fillId="0" fontId="35" numFmtId="0" xfId="0" applyAlignment="1" applyFont="1">
      <alignment horizontal="left" shrinkToFit="0" vertical="bottom" wrapText="1"/>
    </xf>
    <xf borderId="0" fillId="0" fontId="18" numFmtId="0" xfId="0" applyAlignment="1" applyFont="1">
      <alignment horizontal="left" shrinkToFit="0" vertical="bottom" wrapText="1"/>
    </xf>
    <xf borderId="0" fillId="6" fontId="13" numFmtId="165" xfId="0" applyAlignment="1" applyFont="1" applyNumberFormat="1">
      <alignment horizontal="left" shrinkToFit="0" vertical="bottom" wrapText="1"/>
    </xf>
    <xf borderId="0" fillId="0" fontId="13" numFmtId="0" xfId="0" applyAlignment="1" applyFont="1">
      <alignment horizontal="left" shrinkToFit="0" vertical="bottom" wrapText="1"/>
    </xf>
    <xf borderId="0" fillId="4" fontId="13" numFmtId="165" xfId="0" applyAlignment="1" applyFont="1" applyNumberFormat="1">
      <alignment horizontal="left" shrinkToFit="0" vertical="bottom" wrapText="1"/>
    </xf>
    <xf borderId="0" fillId="0" fontId="33" numFmtId="164" xfId="0" applyAlignment="1" applyFont="1" applyNumberFormat="1">
      <alignment horizontal="left" shrinkToFit="0" vertical="bottom" wrapText="1"/>
    </xf>
    <xf borderId="0" fillId="0" fontId="36" numFmtId="0" xfId="0" applyAlignment="1" applyFont="1">
      <alignment shrinkToFit="0" wrapText="1"/>
    </xf>
    <xf borderId="0" fillId="0" fontId="37" numFmtId="0" xfId="0" applyAlignment="1" applyFont="1">
      <alignment shrinkToFit="0" wrapText="1"/>
    </xf>
    <xf borderId="0" fillId="6" fontId="13" numFmtId="165" xfId="0" applyAlignment="1" applyFont="1" applyNumberFormat="1">
      <alignment shrinkToFit="0" vertical="bottom" wrapText="1"/>
    </xf>
    <xf borderId="0" fillId="4" fontId="13" numFmtId="165" xfId="0" applyAlignment="1" applyFont="1" applyNumberFormat="1">
      <alignment shrinkToFit="0" vertical="bottom" wrapText="1"/>
    </xf>
    <xf borderId="0" fillId="0" fontId="38" numFmtId="0" xfId="0" applyAlignment="1" applyFont="1">
      <alignment shrinkToFit="0" wrapText="1"/>
    </xf>
    <xf borderId="0" fillId="0" fontId="13" numFmtId="164" xfId="0" applyAlignment="1" applyFont="1" applyNumberFormat="1">
      <alignment horizontal="left" shrinkToFit="0" vertical="bottom" wrapText="1"/>
    </xf>
    <xf borderId="0" fillId="2" fontId="15" numFmtId="165" xfId="0" applyAlignment="1" applyFont="1" applyNumberFormat="1">
      <alignment horizontal="left" shrinkToFit="0" vertical="bottom" wrapText="1"/>
    </xf>
    <xf borderId="0" fillId="2" fontId="15" numFmtId="164" xfId="0" applyAlignment="1" applyFont="1" applyNumberFormat="1">
      <alignment horizontal="left" shrinkToFit="0" vertical="bottom" wrapText="1"/>
    </xf>
    <xf borderId="0" fillId="6" fontId="34" numFmtId="0" xfId="0" applyAlignment="1" applyFont="1">
      <alignment horizontal="left" shrinkToFit="0" vertical="bottom" wrapText="1"/>
    </xf>
    <xf borderId="0" fillId="2" fontId="15" numFmtId="0" xfId="0" applyAlignment="1" applyFont="1">
      <alignment horizontal="left" shrinkToFit="0" vertical="bottom" wrapText="1"/>
    </xf>
    <xf borderId="0" fillId="2" fontId="15" numFmtId="49" xfId="0" applyAlignment="1" applyFont="1" applyNumberFormat="1">
      <alignment horizontal="left" shrinkToFit="0" vertical="bottom" wrapText="1"/>
    </xf>
    <xf borderId="0" fillId="2" fontId="39" numFmtId="10" xfId="0" applyAlignment="1" applyFont="1" applyNumberFormat="1">
      <alignment horizontal="center" shrinkToFit="0" vertical="center" wrapText="1"/>
    </xf>
    <xf borderId="0" fillId="6" fontId="34" numFmtId="49" xfId="0" applyAlignment="1" applyFont="1" applyNumberFormat="1">
      <alignment horizontal="left" readingOrder="0" shrinkToFit="0" vertical="bottom" wrapText="1"/>
    </xf>
    <xf borderId="0" fillId="6" fontId="34" numFmtId="0" xfId="0" applyAlignment="1" applyFont="1">
      <alignment horizontal="left" readingOrder="0" shrinkToFit="0" vertical="bottom" wrapText="1"/>
    </xf>
    <xf borderId="0" fillId="2" fontId="15" numFmtId="49" xfId="0" applyAlignment="1" applyFont="1" applyNumberFormat="1">
      <alignment horizontal="lef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276225</xdr:colOff>
      <xdr:row>5</xdr:row>
      <xdr:rowOff>85725</xdr:rowOff>
    </xdr:from>
    <xdr:ext cx="2476500" cy="8667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hubspot.com/products/marketing/get-started?utm_source=offers&amp;utm_medium=offers&amp;utm_campaign=seondary-conversion_utm-generating-template_template?utm_source=offers&amp;utm_medium=offers&amp;utm_campaign=seondary-conversion_lead-scoring-template_templat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cademy.hubspot.com/lessons/understanding-hubspot-lead-scoring?utm_source=offers&amp;utm_medium=offers&amp;utm_campaign=seondary-conversion_lead-scoring-template_template"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25"/>
    <col customWidth="1" min="9" max="9" width="6.38"/>
  </cols>
  <sheetData>
    <row r="1">
      <c r="A1" s="1"/>
      <c r="B1" s="1"/>
      <c r="C1" s="1"/>
      <c r="D1" s="1"/>
      <c r="E1" s="1"/>
      <c r="F1" s="1"/>
      <c r="G1" s="1"/>
      <c r="H1" s="1"/>
      <c r="I1" s="2"/>
      <c r="J1" s="3"/>
      <c r="K1" s="4" t="s">
        <v>0</v>
      </c>
      <c r="M1" s="5"/>
      <c r="N1" s="3"/>
    </row>
    <row r="2">
      <c r="A2" s="1"/>
      <c r="B2" s="1"/>
      <c r="C2" s="1"/>
      <c r="D2" s="1"/>
      <c r="E2" s="1"/>
      <c r="F2" s="1"/>
      <c r="G2" s="1"/>
      <c r="H2" s="1"/>
      <c r="I2" s="2"/>
      <c r="J2" s="3"/>
      <c r="M2" s="5"/>
      <c r="N2" s="6"/>
    </row>
    <row r="3">
      <c r="A3" s="1"/>
      <c r="B3" s="1"/>
      <c r="C3" s="1"/>
      <c r="D3" s="1"/>
      <c r="E3" s="1"/>
      <c r="F3" s="1"/>
      <c r="G3" s="1"/>
      <c r="H3" s="1"/>
      <c r="I3" s="2"/>
      <c r="J3" s="3"/>
      <c r="K3" s="7"/>
      <c r="L3" s="7"/>
      <c r="M3" s="8"/>
      <c r="N3" s="6"/>
    </row>
    <row r="4">
      <c r="A4" s="1"/>
      <c r="B4" s="1"/>
      <c r="C4" s="1"/>
      <c r="D4" s="1"/>
      <c r="E4" s="1"/>
      <c r="F4" s="1"/>
      <c r="G4" s="1"/>
      <c r="H4" s="1"/>
      <c r="I4" s="2"/>
      <c r="J4" s="3"/>
      <c r="K4" s="9" t="s">
        <v>1</v>
      </c>
      <c r="M4" s="5"/>
      <c r="N4" s="6"/>
    </row>
    <row r="5">
      <c r="A5" s="1"/>
      <c r="B5" s="1"/>
      <c r="C5" s="1"/>
      <c r="D5" s="1"/>
      <c r="E5" s="1"/>
      <c r="F5" s="1"/>
      <c r="G5" s="1"/>
      <c r="H5" s="1"/>
      <c r="I5" s="2"/>
      <c r="J5" s="3"/>
      <c r="M5" s="5"/>
      <c r="N5" s="6"/>
    </row>
    <row r="6">
      <c r="A6" s="1"/>
      <c r="B6" s="10"/>
      <c r="F6" s="1"/>
      <c r="G6" s="1"/>
      <c r="H6" s="1"/>
      <c r="I6" s="2"/>
      <c r="J6" s="3"/>
      <c r="M6" s="5"/>
      <c r="N6" s="6"/>
    </row>
    <row r="7">
      <c r="A7" s="1"/>
      <c r="B7" s="11"/>
      <c r="C7" s="11"/>
      <c r="D7" s="11"/>
      <c r="E7" s="11"/>
      <c r="F7" s="11"/>
      <c r="G7" s="12"/>
      <c r="H7" s="12"/>
      <c r="I7" s="2"/>
      <c r="J7" s="3"/>
      <c r="M7" s="5"/>
      <c r="N7" s="6"/>
    </row>
    <row r="8">
      <c r="A8" s="1"/>
      <c r="B8" s="11"/>
      <c r="C8" s="11"/>
      <c r="D8" s="11"/>
      <c r="E8" s="11"/>
      <c r="F8" s="11"/>
      <c r="G8" s="12"/>
      <c r="H8" s="12"/>
      <c r="I8" s="2"/>
      <c r="J8" s="3"/>
      <c r="M8" s="5"/>
      <c r="N8" s="6"/>
    </row>
    <row r="9">
      <c r="A9" s="1"/>
      <c r="B9" s="11"/>
      <c r="C9" s="11" t="s">
        <v>2</v>
      </c>
      <c r="H9" s="12"/>
      <c r="I9" s="2"/>
      <c r="J9" s="3"/>
      <c r="M9" s="5"/>
      <c r="N9" s="6"/>
    </row>
    <row r="10">
      <c r="A10" s="1"/>
      <c r="B10" s="13"/>
      <c r="H10" s="1"/>
      <c r="I10" s="2"/>
      <c r="J10" s="3"/>
      <c r="M10" s="5"/>
      <c r="N10" s="6"/>
    </row>
    <row r="11">
      <c r="A11" s="1"/>
      <c r="B11" s="13"/>
      <c r="H11" s="14"/>
      <c r="I11" s="2"/>
      <c r="J11" s="3"/>
      <c r="M11" s="5"/>
      <c r="N11" s="6"/>
    </row>
    <row r="12">
      <c r="A12" s="1"/>
      <c r="B12" s="1"/>
      <c r="H12" s="1"/>
      <c r="I12" s="2"/>
      <c r="J12" s="3"/>
      <c r="M12" s="5"/>
      <c r="N12" s="6"/>
    </row>
    <row r="13">
      <c r="A13" s="1"/>
      <c r="B13" s="15"/>
      <c r="C13" s="15"/>
      <c r="D13" s="15"/>
      <c r="E13" s="15"/>
      <c r="F13" s="15"/>
      <c r="G13" s="15"/>
      <c r="H13" s="15"/>
      <c r="I13" s="2"/>
      <c r="J13" s="3"/>
      <c r="M13" s="5"/>
      <c r="N13" s="6"/>
    </row>
    <row r="14">
      <c r="A14" s="16"/>
      <c r="B14" s="17" t="s">
        <v>3</v>
      </c>
      <c r="H14" s="18"/>
      <c r="I14" s="2"/>
      <c r="J14" s="3"/>
      <c r="M14" s="5"/>
      <c r="N14" s="6"/>
    </row>
    <row r="15">
      <c r="A15" s="16"/>
      <c r="B15" s="19"/>
      <c r="C15" s="19"/>
      <c r="D15" s="19"/>
      <c r="E15" s="19"/>
      <c r="F15" s="19"/>
      <c r="G15" s="19"/>
      <c r="H15" s="20"/>
      <c r="I15" s="2"/>
      <c r="J15" s="3"/>
      <c r="M15" s="5"/>
      <c r="N15" s="6"/>
    </row>
    <row r="16">
      <c r="A16" s="16"/>
      <c r="B16" s="21" t="s">
        <v>4</v>
      </c>
      <c r="H16" s="18"/>
      <c r="I16" s="2"/>
      <c r="J16" s="3"/>
      <c r="M16" s="5"/>
      <c r="N16" s="6"/>
    </row>
    <row r="17">
      <c r="A17" s="16"/>
      <c r="B17" s="19"/>
      <c r="C17" s="19"/>
      <c r="D17" s="19"/>
      <c r="E17" s="19"/>
      <c r="F17" s="19"/>
      <c r="G17" s="19"/>
      <c r="H17" s="20"/>
      <c r="I17" s="2"/>
      <c r="J17" s="3"/>
      <c r="K17" s="7"/>
      <c r="L17" s="7"/>
      <c r="M17" s="8"/>
      <c r="N17" s="6"/>
    </row>
    <row r="18">
      <c r="A18" s="1"/>
      <c r="B18" s="22"/>
      <c r="C18" s="22"/>
      <c r="D18" s="23" t="s">
        <v>5</v>
      </c>
      <c r="F18" s="18"/>
      <c r="G18" s="22"/>
      <c r="H18" s="22"/>
      <c r="I18" s="2"/>
      <c r="J18" s="3"/>
      <c r="K18" s="24"/>
      <c r="M18" s="5"/>
      <c r="N18" s="3"/>
    </row>
    <row r="19">
      <c r="A19" s="16"/>
      <c r="B19" s="22"/>
      <c r="C19" s="22"/>
      <c r="D19" s="19"/>
      <c r="E19" s="19"/>
      <c r="F19" s="20"/>
      <c r="G19" s="22"/>
      <c r="H19" s="22"/>
      <c r="I19" s="2"/>
      <c r="J19" s="3"/>
      <c r="M19" s="5"/>
      <c r="N19" s="3"/>
    </row>
    <row r="20">
      <c r="A20" s="16"/>
      <c r="B20" s="22"/>
      <c r="C20" s="22"/>
      <c r="D20" s="22"/>
      <c r="E20" s="22"/>
      <c r="F20" s="22"/>
      <c r="G20" s="22"/>
      <c r="H20" s="22"/>
      <c r="I20" s="2"/>
      <c r="J20" s="3"/>
      <c r="M20" s="5"/>
      <c r="N20" s="3"/>
    </row>
    <row r="21">
      <c r="A21" s="1"/>
      <c r="B21" s="1"/>
      <c r="C21" s="1"/>
      <c r="D21" s="1"/>
      <c r="E21" s="1"/>
      <c r="F21" s="1"/>
      <c r="G21" s="1"/>
      <c r="H21" s="1"/>
      <c r="I21" s="2"/>
      <c r="J21" s="3"/>
      <c r="K21" s="7"/>
      <c r="L21" s="7"/>
      <c r="M21" s="8"/>
      <c r="N21" s="3"/>
    </row>
  </sheetData>
  <mergeCells count="8">
    <mergeCell ref="K1:M3"/>
    <mergeCell ref="K4:M17"/>
    <mergeCell ref="B6:E6"/>
    <mergeCell ref="C9:G12"/>
    <mergeCell ref="B14:H15"/>
    <mergeCell ref="B16:H17"/>
    <mergeCell ref="D18:F19"/>
    <mergeCell ref="K18:M21"/>
  </mergeCells>
  <hyperlinks>
    <hyperlink r:id="rId1" ref="D1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88"/>
    <col customWidth="1" hidden="1" min="2" max="2" width="48.38"/>
    <col customWidth="1" min="3" max="3" width="11.0"/>
    <col customWidth="1" min="4" max="4" width="54.75"/>
    <col customWidth="1" hidden="1" min="5" max="5" width="42.5"/>
    <col customWidth="1" min="6" max="6" width="9.88"/>
  </cols>
  <sheetData>
    <row r="1">
      <c r="A1" s="25" t="s">
        <v>6</v>
      </c>
    </row>
    <row r="4" ht="32.25" customHeight="1">
      <c r="A4" s="26" t="s">
        <v>7</v>
      </c>
    </row>
    <row r="6" ht="24.0" customHeight="1"/>
    <row r="7">
      <c r="A7" s="27" t="s">
        <v>8</v>
      </c>
      <c r="B7" s="27" t="s">
        <v>9</v>
      </c>
      <c r="C7" s="28" t="s">
        <v>10</v>
      </c>
      <c r="D7" s="27" t="s">
        <v>11</v>
      </c>
      <c r="E7" s="29" t="s">
        <v>9</v>
      </c>
      <c r="F7" s="28" t="s">
        <v>10</v>
      </c>
    </row>
    <row r="8">
      <c r="A8" s="30" t="s">
        <v>12</v>
      </c>
      <c r="B8" s="31" t="s">
        <v>13</v>
      </c>
      <c r="C8" s="32">
        <v>15.0</v>
      </c>
      <c r="D8" s="30" t="s">
        <v>14</v>
      </c>
      <c r="E8" s="33"/>
      <c r="F8" s="32">
        <v>15.0</v>
      </c>
    </row>
    <row r="9">
      <c r="A9" s="30" t="s">
        <v>15</v>
      </c>
      <c r="B9" s="34"/>
      <c r="C9" s="32">
        <v>15.0</v>
      </c>
      <c r="D9" s="30" t="s">
        <v>16</v>
      </c>
      <c r="E9" s="35"/>
      <c r="F9" s="32">
        <v>15.0</v>
      </c>
    </row>
    <row r="10">
      <c r="A10" s="30" t="s">
        <v>17</v>
      </c>
      <c r="B10" s="31" t="s">
        <v>18</v>
      </c>
      <c r="C10" s="32">
        <v>15.0</v>
      </c>
      <c r="D10" s="30" t="s">
        <v>19</v>
      </c>
      <c r="E10" s="36"/>
      <c r="F10" s="32">
        <v>15.0</v>
      </c>
    </row>
    <row r="11">
      <c r="A11" s="30" t="s">
        <v>20</v>
      </c>
      <c r="B11" s="37"/>
      <c r="C11" s="38">
        <v>10.0</v>
      </c>
      <c r="D11" s="30" t="s">
        <v>21</v>
      </c>
      <c r="E11" s="39"/>
      <c r="F11" s="38">
        <v>10.0</v>
      </c>
    </row>
    <row r="12">
      <c r="A12" s="30" t="s">
        <v>22</v>
      </c>
      <c r="B12" s="37"/>
      <c r="C12" s="38">
        <v>5.0</v>
      </c>
      <c r="D12" s="30" t="s">
        <v>23</v>
      </c>
      <c r="E12" s="39"/>
      <c r="F12" s="38">
        <v>10.0</v>
      </c>
    </row>
    <row r="13">
      <c r="A13" s="30" t="s">
        <v>24</v>
      </c>
      <c r="B13" s="37"/>
      <c r="C13" s="38">
        <v>10.0</v>
      </c>
      <c r="D13" s="30" t="s">
        <v>25</v>
      </c>
      <c r="E13" s="39"/>
      <c r="F13" s="38">
        <v>10.0</v>
      </c>
    </row>
    <row r="14">
      <c r="A14" s="30" t="s">
        <v>26</v>
      </c>
      <c r="B14" s="37"/>
      <c r="C14" s="38">
        <v>10.0</v>
      </c>
      <c r="D14" s="30" t="s">
        <v>27</v>
      </c>
      <c r="E14" s="39"/>
      <c r="F14" s="38">
        <v>5.0</v>
      </c>
    </row>
    <row r="15">
      <c r="A15" s="30" t="s">
        <v>28</v>
      </c>
      <c r="B15" s="37"/>
      <c r="C15" s="38">
        <v>5.0</v>
      </c>
      <c r="D15" s="30" t="s">
        <v>29</v>
      </c>
      <c r="E15" s="39"/>
      <c r="F15" s="38">
        <v>5.0</v>
      </c>
    </row>
    <row r="16">
      <c r="A16" s="30" t="s">
        <v>30</v>
      </c>
      <c r="B16" s="37"/>
      <c r="C16" s="38">
        <v>5.0</v>
      </c>
      <c r="D16" s="30" t="s">
        <v>31</v>
      </c>
      <c r="E16" s="39"/>
      <c r="F16" s="38">
        <v>10.0</v>
      </c>
    </row>
    <row r="17">
      <c r="A17" s="40" t="s">
        <v>32</v>
      </c>
      <c r="B17" s="37"/>
      <c r="C17" s="38">
        <v>5.0</v>
      </c>
      <c r="D17" s="30" t="s">
        <v>33</v>
      </c>
      <c r="E17" s="39"/>
      <c r="F17" s="38">
        <v>5.0</v>
      </c>
    </row>
    <row r="18">
      <c r="A18" s="40" t="s">
        <v>34</v>
      </c>
      <c r="B18" s="37"/>
      <c r="C18" s="38">
        <v>5.0</v>
      </c>
      <c r="D18" s="41" t="s">
        <v>35</v>
      </c>
      <c r="E18" s="39"/>
      <c r="F18" s="38"/>
    </row>
    <row r="19">
      <c r="A19" s="41" t="s">
        <v>35</v>
      </c>
      <c r="B19" s="37"/>
      <c r="C19" s="42"/>
      <c r="D19" s="41" t="s">
        <v>35</v>
      </c>
      <c r="E19" s="39"/>
      <c r="F19" s="38"/>
    </row>
    <row r="20">
      <c r="A20" s="30"/>
      <c r="B20" s="37"/>
      <c r="C20" s="42"/>
      <c r="D20" s="30"/>
      <c r="E20" s="39"/>
      <c r="F20" s="42"/>
    </row>
    <row r="21">
      <c r="A21" s="43"/>
      <c r="B21" s="37"/>
      <c r="C21" s="42"/>
      <c r="D21" s="30"/>
      <c r="E21" s="39"/>
      <c r="F21" s="42"/>
    </row>
    <row r="22">
      <c r="A22" s="44"/>
      <c r="B22" s="37"/>
      <c r="C22" s="38"/>
      <c r="D22" s="30"/>
      <c r="E22" s="39"/>
      <c r="F22" s="38"/>
    </row>
    <row r="23">
      <c r="A23" s="44"/>
      <c r="B23" s="37"/>
      <c r="C23" s="38"/>
      <c r="D23" s="30"/>
      <c r="E23" s="39"/>
      <c r="F23" s="38"/>
    </row>
    <row r="24">
      <c r="A24" s="44"/>
      <c r="B24" s="45"/>
      <c r="C24" s="46">
        <f>SUM(C8:C23)</f>
        <v>100</v>
      </c>
      <c r="D24" s="43"/>
      <c r="E24" s="39"/>
      <c r="F24" s="46">
        <f>SUM(F8:F23)</f>
        <v>100</v>
      </c>
    </row>
  </sheetData>
  <mergeCells count="2">
    <mergeCell ref="A1:F3"/>
    <mergeCell ref="A4:F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88"/>
    <col customWidth="1" hidden="1" min="2" max="2" width="37.25"/>
    <col customWidth="1" min="3" max="3" width="18.75"/>
    <col customWidth="1" min="4" max="4" width="42.88"/>
    <col customWidth="1" hidden="1" min="5" max="5" width="25.38"/>
    <col customWidth="1" min="6" max="6" width="26.5"/>
  </cols>
  <sheetData>
    <row r="1">
      <c r="A1" s="47" t="s">
        <v>36</v>
      </c>
    </row>
    <row r="4" ht="28.5" customHeight="1">
      <c r="A4" s="48" t="s">
        <v>37</v>
      </c>
    </row>
    <row r="6" ht="18.75" customHeight="1"/>
    <row r="7">
      <c r="A7" s="49" t="s">
        <v>38</v>
      </c>
      <c r="B7" s="50" t="s">
        <v>9</v>
      </c>
      <c r="C7" s="50" t="s">
        <v>10</v>
      </c>
      <c r="D7" s="49" t="s">
        <v>39</v>
      </c>
      <c r="E7" s="51" t="s">
        <v>9</v>
      </c>
      <c r="F7" s="51" t="s">
        <v>10</v>
      </c>
    </row>
    <row r="8">
      <c r="A8" s="52" t="s">
        <v>40</v>
      </c>
      <c r="B8" s="53"/>
      <c r="C8" s="54">
        <v>5.0</v>
      </c>
      <c r="D8" s="52" t="s">
        <v>41</v>
      </c>
      <c r="E8" s="54"/>
      <c r="F8" s="54">
        <v>-15.0</v>
      </c>
    </row>
    <row r="9">
      <c r="A9" s="52" t="s">
        <v>42</v>
      </c>
      <c r="B9" s="53"/>
      <c r="C9" s="54">
        <v>10.0</v>
      </c>
      <c r="D9" s="52" t="s">
        <v>43</v>
      </c>
      <c r="E9" s="55"/>
      <c r="F9" s="54">
        <v>-10.0</v>
      </c>
    </row>
    <row r="10">
      <c r="A10" s="52" t="s">
        <v>44</v>
      </c>
      <c r="B10" s="56"/>
      <c r="C10" s="57">
        <v>10.0</v>
      </c>
      <c r="D10" s="52" t="s">
        <v>45</v>
      </c>
      <c r="E10" s="58"/>
      <c r="F10" s="57">
        <v>-10.0</v>
      </c>
    </row>
    <row r="11">
      <c r="A11" s="52" t="s">
        <v>46</v>
      </c>
      <c r="B11" s="56"/>
      <c r="C11" s="57">
        <v>10.0</v>
      </c>
      <c r="D11" s="52" t="s">
        <v>47</v>
      </c>
      <c r="E11" s="58"/>
      <c r="F11" s="57">
        <v>-15.0</v>
      </c>
    </row>
    <row r="12">
      <c r="A12" s="52" t="s">
        <v>48</v>
      </c>
      <c r="B12" s="56"/>
      <c r="C12" s="57">
        <v>5.0</v>
      </c>
      <c r="D12" s="52" t="s">
        <v>49</v>
      </c>
      <c r="E12" s="58"/>
      <c r="F12" s="57">
        <v>-10.0</v>
      </c>
    </row>
    <row r="13">
      <c r="A13" s="52" t="s">
        <v>50</v>
      </c>
      <c r="B13" s="56"/>
      <c r="C13" s="57">
        <v>5.0</v>
      </c>
      <c r="D13" s="52" t="s">
        <v>51</v>
      </c>
      <c r="E13" s="58"/>
      <c r="F13" s="57">
        <v>-10.0</v>
      </c>
    </row>
    <row r="14">
      <c r="A14" s="52" t="s">
        <v>52</v>
      </c>
      <c r="B14" s="56"/>
      <c r="C14" s="57">
        <v>10.0</v>
      </c>
      <c r="D14" s="52" t="s">
        <v>53</v>
      </c>
      <c r="E14" s="58"/>
      <c r="F14" s="57">
        <v>-10.0</v>
      </c>
    </row>
    <row r="15">
      <c r="A15" s="52" t="s">
        <v>54</v>
      </c>
      <c r="B15" s="56"/>
      <c r="C15" s="57">
        <v>5.0</v>
      </c>
      <c r="D15" s="59" t="s">
        <v>35</v>
      </c>
      <c r="E15" s="58"/>
      <c r="F15" s="58"/>
    </row>
    <row r="16">
      <c r="A16" s="52" t="s">
        <v>55</v>
      </c>
      <c r="B16" s="56"/>
      <c r="C16" s="57">
        <v>5.0</v>
      </c>
      <c r="D16" s="60"/>
      <c r="E16" s="58"/>
      <c r="F16" s="58"/>
    </row>
    <row r="17">
      <c r="A17" s="52" t="s">
        <v>56</v>
      </c>
      <c r="B17" s="56"/>
      <c r="C17" s="57">
        <v>10.0</v>
      </c>
      <c r="D17" s="60"/>
      <c r="E17" s="58"/>
      <c r="F17" s="58"/>
    </row>
    <row r="18">
      <c r="A18" s="52" t="s">
        <v>57</v>
      </c>
      <c r="B18" s="56"/>
      <c r="C18" s="57">
        <v>5.0</v>
      </c>
      <c r="D18" s="60"/>
      <c r="E18" s="58"/>
      <c r="F18" s="58"/>
    </row>
    <row r="19">
      <c r="A19" s="52" t="s">
        <v>58</v>
      </c>
      <c r="B19" s="56"/>
      <c r="C19" s="57">
        <v>5.0</v>
      </c>
      <c r="D19" s="60"/>
      <c r="E19" s="58"/>
      <c r="F19" s="58"/>
    </row>
    <row r="20">
      <c r="A20" s="52" t="s">
        <v>59</v>
      </c>
      <c r="B20" s="56"/>
      <c r="C20" s="57">
        <v>5.0</v>
      </c>
      <c r="D20" s="60"/>
      <c r="E20" s="58"/>
      <c r="F20" s="58"/>
    </row>
    <row r="21">
      <c r="A21" s="52" t="s">
        <v>60</v>
      </c>
      <c r="B21" s="56"/>
      <c r="C21" s="57">
        <v>5.0</v>
      </c>
      <c r="D21" s="60"/>
      <c r="E21" s="58"/>
      <c r="F21" s="58"/>
    </row>
    <row r="22">
      <c r="A22" s="52" t="s">
        <v>61</v>
      </c>
      <c r="B22" s="56"/>
      <c r="C22" s="57">
        <v>5.0</v>
      </c>
      <c r="D22" s="60"/>
      <c r="E22" s="58"/>
      <c r="F22" s="58"/>
    </row>
    <row r="23">
      <c r="A23" s="59" t="s">
        <v>35</v>
      </c>
      <c r="B23" s="56"/>
      <c r="C23" s="58"/>
      <c r="D23" s="60"/>
      <c r="E23" s="58"/>
      <c r="F23" s="58"/>
    </row>
    <row r="24">
      <c r="A24" s="60"/>
      <c r="B24" s="56"/>
      <c r="C24" s="61">
        <f>SUM(C8:C23)</f>
        <v>100</v>
      </c>
      <c r="D24" s="60"/>
      <c r="E24" s="58"/>
      <c r="F24" s="61">
        <f>SUM(F8:F23)</f>
        <v>-80</v>
      </c>
    </row>
  </sheetData>
  <mergeCells count="2">
    <mergeCell ref="A1:F3"/>
    <mergeCell ref="A4:F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16.38"/>
    <col customWidth="1" min="3" max="3" width="8.75"/>
    <col customWidth="1" min="4" max="4" width="8.5"/>
    <col customWidth="1" min="5" max="6" width="12.25"/>
    <col customWidth="1" min="7" max="7" width="9.25"/>
    <col customWidth="1" min="8" max="8" width="8.38"/>
    <col customWidth="1" min="9" max="9" width="13.63"/>
    <col customWidth="1" min="10" max="10" width="14.13"/>
    <col customWidth="1" min="11" max="11" width="9.63"/>
    <col customWidth="1" min="12" max="12" width="9.13"/>
    <col customWidth="1" min="13" max="13" width="14.38"/>
    <col customWidth="1" min="14" max="14" width="13.25"/>
    <col customWidth="1" min="15" max="15" width="10.63"/>
    <col customWidth="1" min="16" max="16" width="7.75"/>
    <col customWidth="1" min="17" max="18" width="10.75"/>
  </cols>
  <sheetData>
    <row r="1">
      <c r="A1" s="62" t="s">
        <v>62</v>
      </c>
      <c r="R1" s="63"/>
    </row>
    <row r="4">
      <c r="A4" s="64" t="s">
        <v>63</v>
      </c>
      <c r="O4" s="65"/>
      <c r="R4" s="65"/>
    </row>
    <row r="7">
      <c r="A7" s="66" t="s">
        <v>8</v>
      </c>
      <c r="B7" s="67" t="s">
        <v>9</v>
      </c>
      <c r="C7" s="67" t="s">
        <v>10</v>
      </c>
      <c r="D7" s="67" t="s">
        <v>64</v>
      </c>
      <c r="E7" s="66" t="s">
        <v>11</v>
      </c>
      <c r="F7" s="68" t="s">
        <v>9</v>
      </c>
      <c r="G7" s="67" t="s">
        <v>10</v>
      </c>
      <c r="H7" s="67" t="s">
        <v>64</v>
      </c>
      <c r="I7" s="69" t="s">
        <v>38</v>
      </c>
      <c r="J7" s="70" t="s">
        <v>9</v>
      </c>
      <c r="K7" s="69" t="s">
        <v>10</v>
      </c>
      <c r="L7" s="69" t="s">
        <v>64</v>
      </c>
      <c r="M7" s="66" t="s">
        <v>39</v>
      </c>
      <c r="N7" s="68" t="s">
        <v>9</v>
      </c>
      <c r="O7" s="67" t="s">
        <v>10</v>
      </c>
      <c r="P7" s="67" t="s">
        <v>64</v>
      </c>
      <c r="Q7" s="67" t="s">
        <v>65</v>
      </c>
      <c r="R7" s="67" t="s">
        <v>66</v>
      </c>
    </row>
    <row r="8">
      <c r="A8" s="71" t="str">
        <f>'Lead Scoring Framework Workshee'!A8</f>
        <v>Job Title</v>
      </c>
      <c r="B8" s="72" t="s">
        <v>67</v>
      </c>
      <c r="C8" s="73">
        <f>'Lead Scoring Framework Workshee'!C8</f>
        <v>15</v>
      </c>
      <c r="D8" s="73">
        <v>15.0</v>
      </c>
      <c r="E8" s="71" t="str">
        <f>'Lead Scoring Framework Workshee'!D8</f>
        <v>Number of employees</v>
      </c>
      <c r="F8" s="72" t="s">
        <v>68</v>
      </c>
      <c r="G8" s="73">
        <f>'Lead Scoring Framework Workshee'!F8</f>
        <v>15</v>
      </c>
      <c r="H8" s="73">
        <v>9.0</v>
      </c>
      <c r="I8" s="74" t="str">
        <f>Sheet6!A8</f>
        <v>Landing Page - View</v>
      </c>
      <c r="J8" s="75" t="s">
        <v>69</v>
      </c>
      <c r="K8" s="76">
        <f>Sheet6!C8</f>
        <v>5</v>
      </c>
      <c r="L8" s="76">
        <v>5.0</v>
      </c>
      <c r="M8" s="71" t="s">
        <v>41</v>
      </c>
      <c r="N8" s="72" t="s">
        <v>70</v>
      </c>
      <c r="O8" s="77">
        <v>-15.0</v>
      </c>
      <c r="P8" s="73">
        <v>0.0</v>
      </c>
      <c r="Q8" s="78" t="s">
        <v>65</v>
      </c>
      <c r="R8" s="78" t="s">
        <v>66</v>
      </c>
    </row>
    <row r="9">
      <c r="A9" s="71" t="str">
        <f>'Lead Scoring Framework Workshee'!A9</f>
        <v>Job Role</v>
      </c>
      <c r="B9" s="72" t="s">
        <v>71</v>
      </c>
      <c r="C9" s="73">
        <f>'Lead Scoring Framework Workshee'!C9</f>
        <v>15</v>
      </c>
      <c r="D9" s="73">
        <v>15.0</v>
      </c>
      <c r="E9" s="71" t="str">
        <f>'Lead Scoring Framework Workshee'!D9</f>
        <v>Industry</v>
      </c>
      <c r="F9" s="79" t="s">
        <v>72</v>
      </c>
      <c r="G9" s="73">
        <f>'Lead Scoring Framework Workshee'!F9</f>
        <v>15</v>
      </c>
      <c r="H9" s="73">
        <v>10.0</v>
      </c>
      <c r="I9" s="74" t="str">
        <f>Sheet6!A9</f>
        <v>Landing Page - Conversion</v>
      </c>
      <c r="J9" s="75" t="s">
        <v>73</v>
      </c>
      <c r="K9" s="76">
        <f>Sheet6!C9</f>
        <v>10</v>
      </c>
      <c r="L9" s="76">
        <v>10.0</v>
      </c>
      <c r="M9" s="71" t="s">
        <v>43</v>
      </c>
      <c r="N9" s="72" t="s">
        <v>74</v>
      </c>
      <c r="O9" s="77">
        <v>-10.0</v>
      </c>
      <c r="P9" s="73">
        <v>-5.0</v>
      </c>
    </row>
    <row r="10">
      <c r="A10" s="71" t="str">
        <f>'Lead Scoring Framework Workshee'!A10</f>
        <v>Purchasing Authority</v>
      </c>
      <c r="B10" s="79" t="s">
        <v>75</v>
      </c>
      <c r="C10" s="73">
        <f>'Lead Scoring Framework Workshee'!C10</f>
        <v>15</v>
      </c>
      <c r="D10" s="80">
        <v>15.0</v>
      </c>
      <c r="E10" s="71" t="str">
        <f>'Lead Scoring Framework Workshee'!D10</f>
        <v>Annual Revenue</v>
      </c>
      <c r="F10" s="79" t="s">
        <v>76</v>
      </c>
      <c r="G10" s="73">
        <f>'Lead Scoring Framework Workshee'!F10</f>
        <v>15</v>
      </c>
      <c r="H10" s="80">
        <v>13.0</v>
      </c>
      <c r="I10" s="74" t="str">
        <f>Sheet6!A10</f>
        <v>Use of Chat Functionality </v>
      </c>
      <c r="J10" s="81" t="s">
        <v>77</v>
      </c>
      <c r="K10" s="76">
        <f>Sheet6!C10</f>
        <v>10</v>
      </c>
      <c r="L10" s="76">
        <v>0.0</v>
      </c>
      <c r="M10" s="71" t="s">
        <v>45</v>
      </c>
      <c r="N10" s="72" t="s">
        <v>70</v>
      </c>
      <c r="O10" s="82">
        <v>-10.0</v>
      </c>
      <c r="P10" s="73">
        <v>0.0</v>
      </c>
    </row>
    <row r="11">
      <c r="A11" s="71" t="str">
        <f>'Lead Scoring Framework Workshee'!A11</f>
        <v>Industry/Field of expertise</v>
      </c>
      <c r="B11" s="79" t="s">
        <v>78</v>
      </c>
      <c r="C11" s="73">
        <f>'Lead Scoring Framework Workshee'!C11</f>
        <v>10</v>
      </c>
      <c r="D11" s="80">
        <v>8.0</v>
      </c>
      <c r="E11" s="71" t="str">
        <f>'Lead Scoring Framework Workshee'!D11</f>
        <v>Revenue Growth/Decline</v>
      </c>
      <c r="F11" s="79" t="s">
        <v>79</v>
      </c>
      <c r="G11" s="73">
        <f>'Lead Scoring Framework Workshee'!F11</f>
        <v>10</v>
      </c>
      <c r="H11" s="80">
        <v>10.0</v>
      </c>
      <c r="I11" s="74" t="str">
        <f>Sheet6!A11</f>
        <v>Request for Call Back</v>
      </c>
      <c r="J11" s="81" t="s">
        <v>77</v>
      </c>
      <c r="K11" s="76">
        <f>Sheet6!C11</f>
        <v>10</v>
      </c>
      <c r="L11" s="76">
        <v>0.0</v>
      </c>
      <c r="M11" s="71" t="s">
        <v>47</v>
      </c>
      <c r="N11" s="72" t="s">
        <v>70</v>
      </c>
      <c r="O11" s="82">
        <v>-15.0</v>
      </c>
      <c r="P11" s="73">
        <v>0.0</v>
      </c>
    </row>
    <row r="12">
      <c r="A12" s="71" t="str">
        <f>'Lead Scoring Framework Workshee'!A12</f>
        <v>Designations/Certifications</v>
      </c>
      <c r="B12" s="79" t="s">
        <v>80</v>
      </c>
      <c r="C12" s="73">
        <f>'Lead Scoring Framework Workshee'!C12</f>
        <v>5</v>
      </c>
      <c r="D12" s="80">
        <v>3.0</v>
      </c>
      <c r="E12" s="71" t="str">
        <f>'Lead Scoring Framework Workshee'!D12</f>
        <v>Average Sales Cycle</v>
      </c>
      <c r="F12" s="79" t="s">
        <v>81</v>
      </c>
      <c r="G12" s="73">
        <f>'Lead Scoring Framework Workshee'!F12</f>
        <v>10</v>
      </c>
      <c r="H12" s="80">
        <v>8.0</v>
      </c>
      <c r="I12" s="74" t="str">
        <f>Sheet6!A12</f>
        <v>Viewed Web Page - Any</v>
      </c>
      <c r="J12" s="81" t="s">
        <v>82</v>
      </c>
      <c r="K12" s="76">
        <f>Sheet6!C12</f>
        <v>5</v>
      </c>
      <c r="L12" s="76">
        <v>5.0</v>
      </c>
      <c r="M12" s="71" t="s">
        <v>49</v>
      </c>
      <c r="N12" s="72" t="s">
        <v>70</v>
      </c>
      <c r="O12" s="82">
        <v>-10.0</v>
      </c>
      <c r="P12" s="73">
        <v>0.0</v>
      </c>
    </row>
    <row r="13">
      <c r="A13" s="71" t="str">
        <f>'Lead Scoring Framework Workshee'!A13</f>
        <v>Career Interests</v>
      </c>
      <c r="B13" s="79" t="s">
        <v>83</v>
      </c>
      <c r="C13" s="73">
        <f>'Lead Scoring Framework Workshee'!C13</f>
        <v>10</v>
      </c>
      <c r="D13" s="80">
        <v>8.0</v>
      </c>
      <c r="E13" s="71" t="str">
        <f>'Lead Scoring Framework Workshee'!D13</f>
        <v>Headquarters Location</v>
      </c>
      <c r="F13" s="79" t="s">
        <v>84</v>
      </c>
      <c r="G13" s="73">
        <f>'Lead Scoring Framework Workshee'!F13</f>
        <v>10</v>
      </c>
      <c r="H13" s="80">
        <v>4.0</v>
      </c>
      <c r="I13" s="74" t="str">
        <f>Sheet6!A13</f>
        <v>Viewed Web Page - Product</v>
      </c>
      <c r="J13" s="81" t="s">
        <v>85</v>
      </c>
      <c r="K13" s="76">
        <f>Sheet6!C13</f>
        <v>5</v>
      </c>
      <c r="L13" s="76">
        <v>4.0</v>
      </c>
      <c r="M13" s="71" t="s">
        <v>51</v>
      </c>
      <c r="N13" s="72" t="s">
        <v>70</v>
      </c>
      <c r="O13" s="82">
        <v>-10.0</v>
      </c>
      <c r="P13" s="73">
        <v>0.0</v>
      </c>
    </row>
    <row r="14">
      <c r="A14" s="71" t="str">
        <f>'Lead Scoring Framework Workshee'!A14</f>
        <v>Years at Current Position</v>
      </c>
      <c r="B14" s="79">
        <v>1.0</v>
      </c>
      <c r="C14" s="73">
        <f>'Lead Scoring Framework Workshee'!C14</f>
        <v>10</v>
      </c>
      <c r="D14" s="80">
        <v>6.0</v>
      </c>
      <c r="E14" s="71" t="str">
        <f>'Lead Scoring Framework Workshee'!D14</f>
        <v>Year Founded</v>
      </c>
      <c r="F14" s="79">
        <v>2006.0</v>
      </c>
      <c r="G14" s="73">
        <f>'Lead Scoring Framework Workshee'!F14</f>
        <v>5</v>
      </c>
      <c r="H14" s="80">
        <v>4.0</v>
      </c>
      <c r="I14" s="74" t="str">
        <f>Sheet6!A14</f>
        <v>Viewed Web Page - Pricing</v>
      </c>
      <c r="J14" s="81" t="s">
        <v>86</v>
      </c>
      <c r="K14" s="76">
        <f>Sheet6!C14</f>
        <v>10</v>
      </c>
      <c r="L14" s="76">
        <v>8.0</v>
      </c>
      <c r="M14" s="71" t="s">
        <v>53</v>
      </c>
      <c r="N14" s="72" t="s">
        <v>70</v>
      </c>
      <c r="O14" s="82">
        <v>-10.0</v>
      </c>
      <c r="P14" s="73">
        <v>0.0</v>
      </c>
    </row>
    <row r="15">
      <c r="A15" s="71" t="str">
        <f>'Lead Scoring Framework Workshee'!A15</f>
        <v>Number of Direct Reports</v>
      </c>
      <c r="B15" s="79">
        <v>4.0</v>
      </c>
      <c r="C15" s="73">
        <f>'Lead Scoring Framework Workshee'!C15</f>
        <v>5</v>
      </c>
      <c r="D15" s="80">
        <v>4.0</v>
      </c>
      <c r="E15" s="71" t="str">
        <f>'Lead Scoring Framework Workshee'!D15</f>
        <v>Organizational Structure</v>
      </c>
      <c r="F15" s="79" t="s">
        <v>87</v>
      </c>
      <c r="G15" s="73">
        <f>'Lead Scoring Framework Workshee'!F15</f>
        <v>5</v>
      </c>
      <c r="H15" s="80">
        <v>5.0</v>
      </c>
      <c r="I15" s="74" t="str">
        <f>Sheet6!A15</f>
        <v>Viewed Web Page - Review</v>
      </c>
      <c r="J15" s="81" t="s">
        <v>88</v>
      </c>
      <c r="K15" s="76">
        <f>Sheet6!C15</f>
        <v>5</v>
      </c>
      <c r="L15" s="76">
        <v>0.0</v>
      </c>
      <c r="M15" s="83"/>
      <c r="N15" s="84"/>
      <c r="O15" s="85"/>
      <c r="P15" s="73"/>
    </row>
    <row r="16">
      <c r="A16" s="71" t="str">
        <f>'Lead Scoring Framework Workshee'!A16</f>
        <v>Public Recommendations</v>
      </c>
      <c r="B16" s="79">
        <v>4.0</v>
      </c>
      <c r="C16" s="73">
        <f>'Lead Scoring Framework Workshee'!C16</f>
        <v>5</v>
      </c>
      <c r="D16" s="80">
        <v>3.0</v>
      </c>
      <c r="E16" s="71" t="str">
        <f>'Lead Scoring Framework Workshee'!D16</f>
        <v>Geographic Market Served</v>
      </c>
      <c r="F16" s="79" t="s">
        <v>89</v>
      </c>
      <c r="G16" s="73">
        <f>'Lead Scoring Framework Workshee'!F16</f>
        <v>10</v>
      </c>
      <c r="H16" s="80">
        <v>5.0</v>
      </c>
      <c r="I16" s="74" t="str">
        <f>Sheet6!A16</f>
        <v>Viewed Web Page - Multiple</v>
      </c>
      <c r="J16" s="81" t="s">
        <v>82</v>
      </c>
      <c r="K16" s="76">
        <f>Sheet6!C16</f>
        <v>5</v>
      </c>
      <c r="L16" s="76">
        <v>5.0</v>
      </c>
      <c r="M16" s="71"/>
      <c r="N16" s="79"/>
      <c r="O16" s="80"/>
      <c r="P16" s="73"/>
    </row>
    <row r="17">
      <c r="A17" s="71" t="str">
        <f>'Lead Scoring Framework Workshee'!A17</f>
        <v>Affiliations—groups and associations</v>
      </c>
      <c r="B17" s="79" t="s">
        <v>90</v>
      </c>
      <c r="C17" s="73">
        <f>'Lead Scoring Framework Workshee'!C17</f>
        <v>5</v>
      </c>
      <c r="D17" s="80">
        <v>3.0</v>
      </c>
      <c r="E17" s="71" t="str">
        <f>'Lead Scoring Framework Workshee'!D17</f>
        <v>Monthly Web Traffic</v>
      </c>
      <c r="F17" s="79" t="s">
        <v>91</v>
      </c>
      <c r="G17" s="73">
        <f>'Lead Scoring Framework Workshee'!F17</f>
        <v>5</v>
      </c>
      <c r="H17" s="80">
        <v>4.0</v>
      </c>
      <c r="I17" s="74" t="str">
        <f>Sheet6!A17</f>
        <v>Multiple Web Page Visits Per Week</v>
      </c>
      <c r="J17" s="81" t="s">
        <v>92</v>
      </c>
      <c r="K17" s="76">
        <f>Sheet6!C17</f>
        <v>10</v>
      </c>
      <c r="L17" s="76">
        <v>8.0</v>
      </c>
      <c r="M17" s="71"/>
      <c r="N17" s="79"/>
      <c r="O17" s="80"/>
      <c r="P17" s="73"/>
    </row>
    <row r="18">
      <c r="A18" s="71" t="str">
        <f>'Lead Scoring Framework Workshee'!A18</f>
        <v>Social Networking Usage</v>
      </c>
      <c r="B18" s="79" t="s">
        <v>93</v>
      </c>
      <c r="C18" s="73">
        <f>'Lead Scoring Framework Workshee'!C18</f>
        <v>5</v>
      </c>
      <c r="D18" s="80">
        <v>2.0</v>
      </c>
      <c r="E18" s="86" t="str">
        <f>'Lead Scoring Framework Workshee'!D18</f>
        <v>[Add Another Trait/Behavior Here] </v>
      </c>
      <c r="F18" s="87"/>
      <c r="G18" s="88" t="str">
        <f>'Lead Scoring Framework Workshee'!F18</f>
        <v/>
      </c>
      <c r="H18" s="87"/>
      <c r="I18" s="74" t="str">
        <f>Sheet6!A18</f>
        <v>Email - Opened</v>
      </c>
      <c r="J18" s="81" t="s">
        <v>94</v>
      </c>
      <c r="K18" s="76">
        <f>Sheet6!C18</f>
        <v>5</v>
      </c>
      <c r="L18" s="76">
        <v>5.0</v>
      </c>
      <c r="M18" s="71"/>
      <c r="N18" s="79"/>
      <c r="O18" s="80"/>
      <c r="P18" s="73"/>
    </row>
    <row r="19">
      <c r="A19" s="83" t="str">
        <f>'Lead Scoring Framework Workshee'!A19</f>
        <v>[Add Another Trait/Behavior Here] </v>
      </c>
      <c r="B19" s="89"/>
      <c r="C19" s="72" t="str">
        <f>'Lead Scoring Framework Workshee'!C19</f>
        <v/>
      </c>
      <c r="D19" s="87"/>
      <c r="E19" s="86" t="str">
        <f>'Lead Scoring Framework Workshee'!D19</f>
        <v>[Add Another Trait/Behavior Here] </v>
      </c>
      <c r="F19" s="87"/>
      <c r="G19" s="88" t="str">
        <f>'Lead Scoring Framework Workshee'!F19</f>
        <v/>
      </c>
      <c r="H19" s="87"/>
      <c r="I19" s="74" t="str">
        <f>Sheet6!A19</f>
        <v>Emal - Clicked Link</v>
      </c>
      <c r="J19" s="81" t="s">
        <v>95</v>
      </c>
      <c r="K19" s="76">
        <f>Sheet6!C19</f>
        <v>5</v>
      </c>
      <c r="L19" s="76">
        <v>0.0</v>
      </c>
      <c r="M19" s="71"/>
      <c r="N19" s="79"/>
      <c r="O19" s="80"/>
      <c r="P19" s="73"/>
    </row>
    <row r="20">
      <c r="A20" s="86" t="str">
        <f>'Lead Scoring Framework Workshee'!A20</f>
        <v/>
      </c>
      <c r="B20" s="89"/>
      <c r="C20" s="88" t="str">
        <f>'Lead Scoring Framework Workshee'!C20</f>
        <v/>
      </c>
      <c r="D20" s="87"/>
      <c r="E20" s="86" t="str">
        <f>'Lead Scoring Framework Workshee'!D20</f>
        <v/>
      </c>
      <c r="F20" s="87"/>
      <c r="G20" s="88" t="str">
        <f>'Lead Scoring Framework Workshee'!F20</f>
        <v/>
      </c>
      <c r="H20" s="87"/>
      <c r="I20" s="74" t="str">
        <f>Sheet6!A20</f>
        <v>Email - Forwarded</v>
      </c>
      <c r="J20" s="81" t="s">
        <v>96</v>
      </c>
      <c r="K20" s="76">
        <f>Sheet6!C20</f>
        <v>5</v>
      </c>
      <c r="L20" s="76">
        <v>0.0</v>
      </c>
      <c r="M20" s="71"/>
      <c r="N20" s="79"/>
      <c r="O20" s="80"/>
      <c r="P20" s="73"/>
    </row>
    <row r="21">
      <c r="A21" s="86" t="str">
        <f>'Lead Scoring Framework Workshee'!A21</f>
        <v/>
      </c>
      <c r="B21" s="89"/>
      <c r="C21" s="88" t="str">
        <f>'Lead Scoring Framework Workshee'!C21</f>
        <v/>
      </c>
      <c r="D21" s="87"/>
      <c r="E21" s="86" t="str">
        <f>'Lead Scoring Framework Workshee'!D21</f>
        <v/>
      </c>
      <c r="F21" s="87"/>
      <c r="G21" s="88" t="str">
        <f>'Lead Scoring Framework Workshee'!F21</f>
        <v/>
      </c>
      <c r="H21" s="87"/>
      <c r="I21" s="74" t="str">
        <f>Sheet6!A21</f>
        <v>Social Media - Follows Company Page</v>
      </c>
      <c r="J21" s="81" t="s">
        <v>97</v>
      </c>
      <c r="K21" s="76">
        <f>Sheet6!C21</f>
        <v>5</v>
      </c>
      <c r="L21" s="76">
        <v>0.0</v>
      </c>
      <c r="M21" s="71"/>
      <c r="N21" s="79"/>
      <c r="O21" s="80"/>
      <c r="P21" s="73"/>
    </row>
    <row r="22">
      <c r="A22" s="86"/>
      <c r="B22" s="89"/>
      <c r="C22" s="88"/>
      <c r="D22" s="87"/>
      <c r="E22" s="86" t="str">
        <f>'Lead Scoring Framework Workshee'!D22</f>
        <v/>
      </c>
      <c r="F22" s="87"/>
      <c r="G22" s="88" t="str">
        <f>'Lead Scoring Framework Workshee'!F22</f>
        <v/>
      </c>
      <c r="H22" s="87"/>
      <c r="I22" s="74" t="str">
        <f>Sheet6!A22</f>
        <v>Social Media - Positive Comment</v>
      </c>
      <c r="J22" s="81" t="s">
        <v>98</v>
      </c>
      <c r="K22" s="76">
        <f>Sheet6!C22</f>
        <v>5</v>
      </c>
      <c r="L22" s="76">
        <v>0.0</v>
      </c>
      <c r="M22" s="71"/>
      <c r="N22" s="79"/>
      <c r="O22" s="80"/>
      <c r="P22" s="73"/>
    </row>
    <row r="23" hidden="1">
      <c r="A23" s="86" t="str">
        <f>'Lead Scoring Framework Workshee'!A22</f>
        <v/>
      </c>
      <c r="B23" s="89"/>
      <c r="C23" s="88" t="str">
        <f>'Lead Scoring Framework Workshee'!C22</f>
        <v/>
      </c>
      <c r="D23" s="87"/>
      <c r="E23" s="86" t="str">
        <f>'Lead Scoring Framework Workshee'!D23</f>
        <v/>
      </c>
      <c r="F23" s="87"/>
      <c r="G23" s="88" t="str">
        <f>'Lead Scoring Framework Workshee'!F23</f>
        <v/>
      </c>
      <c r="H23" s="87"/>
      <c r="I23" s="74" t="str">
        <f>Sheet6!A23</f>
        <v>[Add Another Trait/Behavior Here] </v>
      </c>
      <c r="J23" s="76"/>
      <c r="K23" s="76" t="str">
        <f>Sheet6!C23</f>
        <v/>
      </c>
      <c r="L23" s="76"/>
      <c r="M23" s="90"/>
      <c r="N23" s="91"/>
      <c r="O23" s="90"/>
      <c r="P23" s="90"/>
    </row>
    <row r="24" hidden="1">
      <c r="A24" s="86" t="str">
        <f>'Lead Scoring Framework Workshee'!A23</f>
        <v/>
      </c>
      <c r="B24" s="89"/>
      <c r="C24" s="88" t="str">
        <f>'Lead Scoring Framework Workshee'!C23</f>
        <v/>
      </c>
      <c r="D24" s="87"/>
      <c r="E24" s="86" t="str">
        <f>'Lead Scoring Framework Workshee'!D24</f>
        <v/>
      </c>
      <c r="F24" s="87"/>
      <c r="G24" s="88"/>
      <c r="H24" s="87"/>
      <c r="I24" s="92" t="str">
        <f>Sheet6!A24</f>
        <v/>
      </c>
      <c r="J24" s="93"/>
      <c r="K24" s="76"/>
      <c r="L24" s="93"/>
      <c r="M24" s="90"/>
      <c r="N24" s="91"/>
      <c r="O24" s="90"/>
      <c r="P24" s="90"/>
    </row>
    <row r="25" hidden="1">
      <c r="A25" s="86"/>
      <c r="B25" s="89"/>
      <c r="C25" s="88"/>
      <c r="D25" s="87"/>
      <c r="E25" s="86" t="str">
        <f>'Lead Scoring Framework Workshee'!D25</f>
        <v/>
      </c>
      <c r="F25" s="87"/>
      <c r="G25" s="88" t="str">
        <f>'Lead Scoring Framework Workshee'!F25</f>
        <v/>
      </c>
      <c r="H25" s="87"/>
      <c r="I25" s="74" t="str">
        <f>Sheet6!A25</f>
        <v/>
      </c>
      <c r="J25" s="76"/>
      <c r="K25" s="76" t="str">
        <f>Sheet6!C25</f>
        <v/>
      </c>
      <c r="L25" s="76"/>
      <c r="M25" s="90"/>
      <c r="N25" s="91"/>
      <c r="O25" s="90"/>
      <c r="P25" s="90"/>
    </row>
    <row r="26" hidden="1">
      <c r="A26" s="86" t="str">
        <f>'Lead Scoring Framework Workshee'!A24</f>
        <v/>
      </c>
      <c r="B26" s="89"/>
      <c r="C26" s="88"/>
      <c r="D26" s="87"/>
      <c r="E26" s="86" t="str">
        <f>'Lead Scoring Framework Workshee'!D26</f>
        <v/>
      </c>
      <c r="F26" s="94"/>
      <c r="G26" s="88" t="str">
        <f>'Lead Scoring Framework Workshee'!F26</f>
        <v/>
      </c>
      <c r="H26" s="94"/>
      <c r="I26" s="74" t="str">
        <f>Sheet6!A26</f>
        <v/>
      </c>
      <c r="J26" s="76"/>
      <c r="K26" s="76" t="str">
        <f>Sheet6!C26</f>
        <v/>
      </c>
      <c r="L26" s="76"/>
      <c r="M26" s="90"/>
      <c r="N26" s="91"/>
      <c r="O26" s="90"/>
      <c r="P26" s="90"/>
    </row>
    <row r="27" hidden="1">
      <c r="A27" s="86"/>
      <c r="B27" s="95"/>
      <c r="C27" s="88"/>
      <c r="D27" s="87"/>
      <c r="E27" s="86" t="str">
        <f>'Lead Scoring Framework Workshee'!D27</f>
        <v/>
      </c>
      <c r="F27" s="87"/>
      <c r="G27" s="88" t="str">
        <f>'Lead Scoring Framework Workshee'!F27</f>
        <v/>
      </c>
      <c r="H27" s="87"/>
      <c r="I27" s="74" t="str">
        <f>Sheet6!A27</f>
        <v/>
      </c>
      <c r="J27" s="76"/>
      <c r="K27" s="76" t="str">
        <f>Sheet6!C27</f>
        <v/>
      </c>
      <c r="L27" s="76"/>
      <c r="M27" s="90"/>
      <c r="N27" s="91"/>
      <c r="O27" s="90"/>
      <c r="P27" s="90"/>
    </row>
    <row r="28">
      <c r="A28" s="86" t="str">
        <f>'Lead Scoring Framework Workshee'!A25</f>
        <v/>
      </c>
      <c r="B28" s="95"/>
      <c r="C28" s="88" t="str">
        <f>'Lead Scoring Framework Workshee'!C25</f>
        <v/>
      </c>
      <c r="D28" s="87"/>
      <c r="E28" s="86" t="str">
        <f>'Lead Scoring Framework Workshee'!D28</f>
        <v/>
      </c>
      <c r="F28" s="87"/>
      <c r="G28" s="88" t="str">
        <f>'Lead Scoring Framework Workshee'!F28</f>
        <v/>
      </c>
      <c r="H28" s="87"/>
      <c r="I28" s="74" t="str">
        <f>Sheet6!A28</f>
        <v/>
      </c>
      <c r="J28" s="76"/>
      <c r="K28" s="76" t="str">
        <f>Sheet6!C28</f>
        <v/>
      </c>
      <c r="L28" s="76"/>
      <c r="M28" s="90"/>
      <c r="N28" s="91"/>
      <c r="O28" s="90"/>
      <c r="P28" s="90"/>
    </row>
    <row r="29">
      <c r="A29" s="86" t="str">
        <f>'Lead Scoring Framework Workshee'!A26</f>
        <v/>
      </c>
      <c r="B29" s="95"/>
      <c r="C29" s="88" t="str">
        <f>'Lead Scoring Framework Workshee'!C26</f>
        <v/>
      </c>
      <c r="D29" s="87"/>
      <c r="E29" s="86" t="str">
        <f>'Lead Scoring Framework Workshee'!D29</f>
        <v/>
      </c>
      <c r="F29" s="87"/>
      <c r="G29" s="88" t="str">
        <f>'Lead Scoring Framework Workshee'!F29</f>
        <v/>
      </c>
      <c r="H29" s="87"/>
      <c r="I29" s="74" t="str">
        <f>Sheet6!A29</f>
        <v/>
      </c>
      <c r="J29" s="76"/>
      <c r="K29" s="76" t="str">
        <f>Sheet6!C29</f>
        <v/>
      </c>
      <c r="L29" s="76"/>
      <c r="M29" s="90"/>
      <c r="N29" s="91"/>
      <c r="O29" s="90"/>
      <c r="P29" s="90"/>
    </row>
    <row r="30">
      <c r="A30" s="96"/>
      <c r="B30" s="97"/>
      <c r="C30" s="97"/>
      <c r="D30" s="98">
        <f>SUM(D8:D25)</f>
        <v>82</v>
      </c>
      <c r="E30" s="96"/>
      <c r="F30" s="99"/>
      <c r="G30" s="97"/>
      <c r="H30" s="98">
        <f>SUM(H8:H25)</f>
        <v>72</v>
      </c>
      <c r="I30" s="96"/>
      <c r="J30" s="96"/>
      <c r="K30" s="97"/>
      <c r="L30" s="98">
        <f>SUM(L8:L25)</f>
        <v>50</v>
      </c>
      <c r="M30" s="96"/>
      <c r="N30" s="99"/>
      <c r="O30" s="99"/>
      <c r="P30" s="98">
        <f>SUM(P8:P22)</f>
        <v>-5</v>
      </c>
      <c r="Q30" s="100">
        <f>SUM(A30:P30)</f>
        <v>199</v>
      </c>
      <c r="R30" s="101">
        <f>Q30/Q31</f>
        <v>0.6633333333</v>
      </c>
    </row>
    <row r="31">
      <c r="A31" s="96"/>
      <c r="B31" s="97"/>
      <c r="C31" s="66" t="s">
        <v>99</v>
      </c>
      <c r="D31" s="102">
        <f>'Lead Scoring Framework Workshee'!C24</f>
        <v>100</v>
      </c>
      <c r="E31" s="96"/>
      <c r="F31" s="99"/>
      <c r="G31" s="66" t="s">
        <v>99</v>
      </c>
      <c r="H31" s="103">
        <v>100.0</v>
      </c>
      <c r="I31" s="96"/>
      <c r="J31" s="96"/>
      <c r="K31" s="66" t="s">
        <v>99</v>
      </c>
      <c r="L31" s="103">
        <v>100.0</v>
      </c>
      <c r="M31" s="96"/>
      <c r="N31" s="99"/>
      <c r="O31" s="66" t="s">
        <v>99</v>
      </c>
      <c r="P31" s="103">
        <v>100.0</v>
      </c>
      <c r="Q31" s="104" t="s">
        <v>100</v>
      </c>
    </row>
  </sheetData>
  <mergeCells count="8">
    <mergeCell ref="A1:Q3"/>
    <mergeCell ref="R1:R3"/>
    <mergeCell ref="A4:N6"/>
    <mergeCell ref="O4:Q6"/>
    <mergeCell ref="R4:R6"/>
    <mergeCell ref="Q8:Q29"/>
    <mergeCell ref="R8:R29"/>
    <mergeCell ref="R30:R31"/>
  </mergeCells>
  <hyperlinks>
    <hyperlink r:id="rId1" ref="A4"/>
  </hyperlinks>
  <drawing r:id="rId2"/>
</worksheet>
</file>