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ll Inputs" sheetId="1" r:id="rId4"/>
    <sheet state="visible" name="Best Solution" sheetId="2" r:id="rId5"/>
    <sheet state="visible" name="Automated Analysis" sheetId="3" r:id="rId6"/>
    <sheet state="visible" name="Growth Calculator" sheetId="4" r:id="rId7"/>
    <sheet state="visible" name="Surrender &amp; Withdrawal Strategy" sheetId="5" r:id="rId8"/>
    <sheet state="visible" name="Legacy &amp; Death Benefit" sheetId="6" r:id="rId9"/>
    <sheet state="visible" name="Annuity Issue Ages &amp; Benefits" sheetId="7" r:id="rId10"/>
    <sheet state="visible" name="Filter by Age" sheetId="8" r:id="rId11"/>
    <sheet state="visible" name="Index Crediting Rates" sheetId="9" r:id="rId12"/>
    <sheet state="visible" name="Visual Analysis" sheetId="10" r:id="rId13"/>
  </sheets>
  <definedNames/>
  <calcPr/>
  <extLst>
    <ext uri="GoogleSheetsCustomDataVersion2">
      <go:sheetsCustomData xmlns:go="http://customooxmlschemas.google.com/" r:id="rId14" roundtripDataChecksum="BEwbhSGx8xHT9T1fSsVpolzStMOGeKuQAzqfoqp65gI="/>
    </ext>
  </extLst>
</workbook>
</file>

<file path=xl/sharedStrings.xml><?xml version="1.0" encoding="utf-8"?>
<sst xmlns="http://schemas.openxmlformats.org/spreadsheetml/2006/main" count="113" uniqueCount="92">
  <si>
    <t>Click 'Submit' to process inputs and refresh all calculations.</t>
  </si>
  <si>
    <t>Instructions:</t>
  </si>
  <si>
    <t>This sheet highlights the best annuity option for Growth, Income, Legacy, and Protection based on user inputs. The highest-performing product in each category is automatically highlighted.</t>
  </si>
  <si>
    <t>Best Annuity Solution Based on Your Inputs</t>
  </si>
  <si>
    <t>Your Selected Goal</t>
  </si>
  <si>
    <t>Your Age</t>
  </si>
  <si>
    <t>Years Until Goal</t>
  </si>
  <si>
    <t>Initial Contributions</t>
  </si>
  <si>
    <t>Best Option for Growth</t>
  </si>
  <si>
    <t>Best Option for Income</t>
  </si>
  <si>
    <t>Best Option for Legacy</t>
  </si>
  <si>
    <t>Best Option for Protection</t>
  </si>
  <si>
    <t>This section provides a summary of all key calculations, including the best annuity choice based on inputs. Review for consistency and correctness.</t>
  </si>
  <si>
    <t>Securian Annuity Comparison - Automated Analysis</t>
  </si>
  <si>
    <t>Your Selected Goal:</t>
  </si>
  <si>
    <t>Your Age:</t>
  </si>
  <si>
    <t>Years Until Goal:</t>
  </si>
  <si>
    <t>Initial Contributions:</t>
  </si>
  <si>
    <t>Selected Product:</t>
  </si>
  <si>
    <t>Selected Riders:</t>
  </si>
  <si>
    <t>Best Recommended Option for Your Goal:</t>
  </si>
  <si>
    <t>Projected Growth Rate:</t>
  </si>
  <si>
    <t>Projected Surrender Value in Year 10:</t>
  </si>
  <si>
    <t>Legacy Benefit Projection:</t>
  </si>
  <si>
    <t>This sheet projects potential annuity growth over time based on user inputs, including SecureLink Ultra crediting rates. Ensure that correct cap rates and participation rates are entered.</t>
  </si>
  <si>
    <t>Expanded Automated Annuity Comparison Tool</t>
  </si>
  <si>
    <t>Enter Initial Investment</t>
  </si>
  <si>
    <t>Enter Expected Net Rate of Return (%)</t>
  </si>
  <si>
    <t>Enter Number of Years</t>
  </si>
  <si>
    <t>Enter SecureLink Ultra 7 S&amp;P 500 Participation Rate (%)</t>
  </si>
  <si>
    <t>Enter SecureLink Chronic Illness Access S&amp;P 500 Cap Rate (%)</t>
  </si>
  <si>
    <t>Enter MultiOption Momentum Historical Return (%)</t>
  </si>
  <si>
    <t>Enter Guide B HAV II Net Return (%)</t>
  </si>
  <si>
    <t>Enter Extra HAV II Net Return (%)</t>
  </si>
  <si>
    <t>Enter MyPath Journey Roll-Up Rate (%)</t>
  </si>
  <si>
    <t>Enter Premier Protector Growth Rate (%)</t>
  </si>
  <si>
    <t>Year</t>
  </si>
  <si>
    <t>SecureLink Ultra 7 Surrender Value</t>
  </si>
  <si>
    <t>SecureLink Ultra 5 Contract Value</t>
  </si>
  <si>
    <t>SecureLink Ultra 5 Surrender Value</t>
  </si>
  <si>
    <t>SecureLink Chronic Illness Access Contract Value</t>
  </si>
  <si>
    <t>SecureLink Chronic Illness Access Surrender Value</t>
  </si>
  <si>
    <t>MultiOption Momentum Contract Value</t>
  </si>
  <si>
    <t>MultiOption Momentum Surrender Value</t>
  </si>
  <si>
    <t>Guide B HAV II Contract Value</t>
  </si>
  <si>
    <t>Guide B HAV II Surrender Value</t>
  </si>
  <si>
    <t>Guide B Premier II Contract Value</t>
  </si>
  <si>
    <t>Guide B Premier II Surrender Value</t>
  </si>
  <si>
    <t>Extra HAV II Contract Value</t>
  </si>
  <si>
    <t>Extra HAV II Surrender Value</t>
  </si>
  <si>
    <t>Extra Premier II Contract Value</t>
  </si>
  <si>
    <t>Extra Premier II Surrender Value</t>
  </si>
  <si>
    <t>Momentum Premier Protector Contract Value</t>
  </si>
  <si>
    <t>Momentum Premier Protector Surrender Value</t>
  </si>
  <si>
    <t>MyPath Journey Contract Value</t>
  </si>
  <si>
    <t>MyPath Journey Surrender Value</t>
  </si>
  <si>
    <t>If S&amp;P 500 Return is less than Cap Rate, apply actual return. If greater, apply cap.</t>
  </si>
  <si>
    <t>SecureLink Ultra 5 Interest Credit (%)</t>
  </si>
  <si>
    <t>SecureLink Ultra 7 Interest Credit (%)</t>
  </si>
  <si>
    <t>SecureLink Chronic Illness Access Interest Credit (%)</t>
  </si>
  <si>
    <t>SecureLink Ultra 5 Inverse Performance Credit (%)</t>
  </si>
  <si>
    <t>SecureLink Ultra 7 Inverse Performance Credit (%)</t>
  </si>
  <si>
    <t>This sheet analyzes withdrawal scenarios, factoring in surrender charges and penalty-free access. Verify withdrawal rates and timing for accuracy.</t>
  </si>
  <si>
    <t>Surrender &amp; Withdrawal Strategy Calculator</t>
  </si>
  <si>
    <t>Enter Initial Contract Value</t>
  </si>
  <si>
    <t>Enter Annual Withdrawal Amount (%)</t>
  </si>
  <si>
    <t>Enter Fixed Annual Withdrawal ($)</t>
  </si>
  <si>
    <t>Enter Years for Strategy</t>
  </si>
  <si>
    <t>Guide B Contract Value</t>
  </si>
  <si>
    <t>Guide B Surrender Value</t>
  </si>
  <si>
    <t>Extra Contract Value</t>
  </si>
  <si>
    <t>Extra Surrender Value</t>
  </si>
  <si>
    <t>SecureOption Choice Contract Value</t>
  </si>
  <si>
    <t>SecureOption Choice Surrender Value</t>
  </si>
  <si>
    <t>This section compares death benefits and legacy strategies based on selected annuities and riders. Ensure that any roll-up rates or guaranteed growth factors are properly considered.</t>
  </si>
  <si>
    <t>Legacy &amp; Death Benefit Comparison Calculator</t>
  </si>
  <si>
    <t>Enter Expected Growth Rate (%)</t>
  </si>
  <si>
    <t>Guide B HAV II Death Benefit</t>
  </si>
  <si>
    <t>Guide B Premier II Death Benefit</t>
  </si>
  <si>
    <t>Extra HAV II Death Benefit</t>
  </si>
  <si>
    <t>Momentum Premier Protector Death Benefit</t>
  </si>
  <si>
    <t>SecureLink Chronic Illness Access Death Benefit</t>
  </si>
  <si>
    <t>Estate Enhancement Benefit II Contract Value</t>
  </si>
  <si>
    <t>Estate Enhancement Benefit II Death Benefit</t>
  </si>
  <si>
    <t>Indexed Product (S&amp;P 500)</t>
  </si>
  <si>
    <t>User Input: Crediting Rate (%)</t>
  </si>
  <si>
    <t>SecureLink Chronic Illness Access (S&amp;P 500 Cap)</t>
  </si>
  <si>
    <t>SecureLink Ultra 5 (S&amp;P 500 Cap)</t>
  </si>
  <si>
    <t>SecureLink Ultra 7 (S&amp;P 500 Cap)</t>
  </si>
  <si>
    <t>MultiOption Momentum (S&amp;P 500 Cap)</t>
  </si>
  <si>
    <t>Visual Analysis of Annuity Solutions</t>
  </si>
  <si>
    <t>Below are graphical representations of the impact of growth and withdrawals based on user inputs.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</si>
</sst>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.00"/>
  </numFmts>
  <fonts count="9">
    <font>
      <sz val="11.0"/>
      <color theme="1"/>
      <name val="Calibri"/>
      <scheme val="minor"/>
    </font>
    <font>
      <b/>
      <sz val="14.0"/>
      <color rgb="FF0AA147"/>
      <name val="Arial"/>
    </font>
    <font>
      <b/>
      <color rgb="FFFFFFFF"/>
      <name val="Arial"/>
    </font>
    <font>
      <b/>
      <sz val="12.0"/>
      <color rgb="FF006DAF"/>
      <name val="Arial"/>
    </font>
    <font>
      <color theme="1"/>
      <name val="Calibri"/>
      <scheme val="minor"/>
    </font>
    <font>
      <sz val="11.0"/>
      <color theme="1"/>
      <name val="Calibri"/>
    </font>
    <font>
      <color rgb="FF333333"/>
      <name val="Arial"/>
    </font>
    <font>
      <i/>
      <sz val="11.0"/>
      <color rgb="FF333333"/>
      <name val="Arial"/>
    </font>
    <font>
      <b/>
      <color rgb="FF0AA147"/>
      <name val="Arial"/>
    </font>
  </fonts>
  <fills count="6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FFFF99"/>
        <bgColor rgb="FFFFFF99"/>
      </patternFill>
    </fill>
    <fill>
      <patternFill patternType="solid">
        <fgColor rgb="FF006DAF"/>
        <bgColor rgb="FF006DAF"/>
      </patternFill>
    </fill>
    <fill>
      <patternFill patternType="solid">
        <fgColor rgb="FF95C93D"/>
        <bgColor rgb="FF95C93D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1" fillId="2" fontId="2" numFmtId="0" xfId="0" applyAlignment="1" applyBorder="1" applyFont="1">
      <alignment horizontal="center" vertical="center"/>
    </xf>
    <xf borderId="0" fillId="0" fontId="3" numFmtId="0" xfId="0" applyFont="1"/>
    <xf borderId="0" fillId="0" fontId="4" numFmtId="0" xfId="0" applyFont="1"/>
    <xf borderId="1" fillId="3" fontId="5" numFmtId="0" xfId="0" applyBorder="1" applyFill="1" applyFont="1"/>
    <xf borderId="1" fillId="4" fontId="3" numFmtId="0" xfId="0" applyAlignment="1" applyBorder="1" applyFill="1" applyFont="1">
      <alignment horizontal="left" vertical="center"/>
    </xf>
    <xf borderId="1" fillId="3" fontId="6" numFmtId="0" xfId="0" applyAlignment="1" applyBorder="1" applyFont="1">
      <alignment horizontal="left" vertical="center"/>
    </xf>
    <xf borderId="0" fillId="0" fontId="3" numFmtId="0" xfId="0" applyAlignment="1" applyFont="1">
      <alignment horizontal="left" vertical="center"/>
    </xf>
    <xf borderId="1" fillId="5" fontId="2" numFmtId="0" xfId="0" applyAlignment="1" applyBorder="1" applyFill="1" applyFont="1">
      <alignment horizontal="center" vertical="center"/>
    </xf>
    <xf borderId="0" fillId="0" fontId="6" numFmtId="0" xfId="0" applyAlignment="1" applyFont="1">
      <alignment horizontal="left" vertical="center"/>
    </xf>
    <xf borderId="0" fillId="0" fontId="7" numFmtId="0" xfId="0" applyFont="1"/>
    <xf borderId="0" fillId="0" fontId="8" numFmtId="164" xfId="0" applyAlignment="1" applyFont="1" applyNumberFormat="1">
      <alignment horizontal="left" vertical="center"/>
    </xf>
    <xf borderId="1" fillId="5" fontId="6" numFmtId="0" xfId="0" applyAlignment="1" applyBorder="1" applyFont="1">
      <alignment horizontal="left" vertical="center"/>
    </xf>
  </cellXfs>
  <cellStyles count="1">
    <cellStyle xfId="0" name="Normal" builtinId="0"/>
  </cellStyles>
  <dxfs count="1">
    <dxf>
      <font/>
      <fill>
        <patternFill patternType="solid">
          <fgColor rgb="FFC6EFCE"/>
          <bgColor rgb="FFC6EFCE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4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>
        <f>INT((TODAY()-C4)/365.25)</f>
        <v>125</v>
      </c>
      <c r="B1" s="2"/>
    </row>
    <row r="2">
      <c r="A2" s="3"/>
      <c r="B2" s="4"/>
    </row>
    <row r="3">
      <c r="A3" s="3"/>
      <c r="B3" s="5"/>
    </row>
    <row r="4">
      <c r="A4" s="6"/>
      <c r="B4" s="7"/>
    </row>
    <row r="5">
      <c r="A5" s="3"/>
      <c r="B5" s="5"/>
    </row>
    <row r="6">
      <c r="A6" s="8"/>
      <c r="B6" s="7"/>
    </row>
    <row r="7">
      <c r="A7" s="3"/>
      <c r="B7" s="5"/>
    </row>
    <row r="8">
      <c r="A8" s="3"/>
      <c r="B8" s="5"/>
    </row>
    <row r="9">
      <c r="A9" s="3"/>
      <c r="B9" s="5"/>
    </row>
    <row r="10">
      <c r="A10" s="3"/>
      <c r="B10" s="5"/>
    </row>
    <row r="11">
      <c r="A11" s="3"/>
      <c r="B11" s="5"/>
    </row>
    <row r="12">
      <c r="A12" s="8"/>
      <c r="B12" s="7"/>
    </row>
    <row r="13">
      <c r="A13" s="8"/>
      <c r="B13" s="7"/>
    </row>
    <row r="14">
      <c r="A14" s="8"/>
      <c r="B14" s="7"/>
    </row>
    <row r="15">
      <c r="A15" s="8"/>
      <c r="B15" s="7"/>
    </row>
    <row r="16">
      <c r="A16" s="8"/>
      <c r="B16" s="7"/>
    </row>
    <row r="17">
      <c r="A17" s="8"/>
      <c r="B17" s="7"/>
    </row>
    <row r="18">
      <c r="A18" s="8"/>
      <c r="B18" s="7"/>
    </row>
    <row r="19">
      <c r="A19" s="8"/>
      <c r="B19" s="7"/>
    </row>
    <row r="20">
      <c r="A20" s="8"/>
      <c r="B20" s="7"/>
    </row>
    <row r="21" ht="15.75" customHeight="1">
      <c r="A21" s="8"/>
      <c r="B21" s="7"/>
    </row>
    <row r="22" ht="15.75" customHeight="1">
      <c r="A22" s="8"/>
      <c r="B22" s="7"/>
    </row>
    <row r="23" ht="15.75" customHeight="1">
      <c r="A23" s="8"/>
      <c r="B23" s="7"/>
    </row>
    <row r="24" ht="15.75" customHeight="1">
      <c r="A24" s="8"/>
      <c r="B24" s="7"/>
    </row>
    <row r="25" ht="15.75" customHeight="1">
      <c r="A25" s="8"/>
      <c r="B25" s="7"/>
    </row>
    <row r="26" ht="15.75" customHeight="1">
      <c r="A26" s="8"/>
      <c r="B26" s="7"/>
    </row>
    <row r="27" ht="15.75" customHeight="1">
      <c r="A27" s="8"/>
      <c r="B27" s="7"/>
    </row>
    <row r="28" ht="15.75" customHeight="1">
      <c r="A28" s="8"/>
      <c r="B28" s="7"/>
    </row>
    <row r="29" ht="15.75" customHeight="1">
      <c r="A29" s="9"/>
      <c r="B29" s="10"/>
    </row>
    <row r="30" ht="15.75" customHeight="1">
      <c r="A30" s="10"/>
      <c r="B30" s="10"/>
    </row>
    <row r="31" ht="15.75" customHeight="1">
      <c r="A31" s="10"/>
      <c r="B31" s="10"/>
    </row>
    <row r="32" ht="15.75" customHeight="1">
      <c r="A32" s="10"/>
      <c r="B32" s="10"/>
    </row>
    <row r="33" ht="15.75" customHeight="1">
      <c r="A33" s="10"/>
      <c r="B33" s="10"/>
    </row>
    <row r="34" ht="15.75" customHeight="1">
      <c r="A34" s="10"/>
      <c r="B34" s="10"/>
    </row>
    <row r="35" ht="15.75" customHeight="1">
      <c r="A35" s="10"/>
      <c r="B35" s="10"/>
    </row>
    <row r="36" ht="15.75" customHeight="1">
      <c r="A36" s="10"/>
      <c r="B36" s="10"/>
    </row>
    <row r="37" ht="15.75" customHeight="1">
      <c r="A37" s="10" t="s">
        <v>0</v>
      </c>
      <c r="B37" s="10"/>
    </row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howDropDown="1" showErrorMessage="1" sqref="B8 B10">
      <formula1>"Non-Qualified,IRA,Roth-IRA"</formula1>
    </dataValidation>
    <dataValidation type="list" allowBlank="1" showDropDown="1" showErrorMessage="1" sqref="B2:B3">
      <formula1>"Income,Legacy,Protection,Growth"</formula1>
    </dataValidation>
    <dataValidation type="list" allowBlank="1" showDropDown="1" showErrorMessage="1" sqref="B4 B9 B11">
      <formula1>"SecureLink Ultra 5,SecureLink Ultra 7,SecureOption Choice 3,SecureOption Choice 5,SecureOption Choice 7,SecureOption Choice 9,MultiOption Momentum,MultiOption Guide B,MultiOption Extra,SecureLink Chronic Illness Access,Income Today! 2.0"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3" t="s">
        <v>1</v>
      </c>
    </row>
    <row r="2">
      <c r="A2" s="11" t="s">
        <v>2</v>
      </c>
      <c r="B2" s="4" t="str">
        <f>'All Inputs'!B13</f>
        <v/>
      </c>
    </row>
    <row r="3">
      <c r="A3" s="2" t="s">
        <v>3</v>
      </c>
      <c r="B3" s="2" t="str">
        <f>'All Inputs'!B3</f>
        <v/>
      </c>
    </row>
    <row r="4">
      <c r="A4" s="10" t="s">
        <v>4</v>
      </c>
      <c r="B4" s="10" t="str">
        <f>'All Inputs'!B4</f>
        <v/>
      </c>
    </row>
    <row r="5">
      <c r="A5" s="10" t="s">
        <v>5</v>
      </c>
      <c r="B5" s="10" t="str">
        <f>'All Inputs'!B5</f>
        <v/>
      </c>
    </row>
    <row r="6">
      <c r="A6" s="10" t="s">
        <v>6</v>
      </c>
      <c r="B6" s="10" t="str">
        <f>'All Inputs'!B6</f>
        <v/>
      </c>
    </row>
    <row r="7">
      <c r="A7" s="10" t="s">
        <v>7</v>
      </c>
      <c r="B7" s="10" t="str">
        <f>'All Inputs'!B7</f>
        <v/>
      </c>
    </row>
    <row r="8">
      <c r="A8" s="10" t="s">
        <v>8</v>
      </c>
      <c r="B8" s="10" t="str">
        <f>'All Inputs'!B8</f>
        <v/>
      </c>
    </row>
    <row r="9">
      <c r="A9" s="10" t="s">
        <v>9</v>
      </c>
      <c r="B9" s="10" t="str">
        <f>'All Inputs'!B9</f>
        <v/>
      </c>
    </row>
    <row r="10">
      <c r="A10" s="10" t="s">
        <v>10</v>
      </c>
      <c r="B10" s="10" t="str">
        <f>'All Inputs'!B10</f>
        <v/>
      </c>
    </row>
    <row r="11">
      <c r="A11" s="10" t="s">
        <v>11</v>
      </c>
      <c r="B11" s="10" t="str">
        <f>'All Inputs'!B11</f>
        <v/>
      </c>
    </row>
    <row r="12">
      <c r="B12" s="4" t="str">
        <f>'All Inputs'!B12</f>
        <v/>
      </c>
    </row>
    <row r="13">
      <c r="B13" s="4" t="str">
        <f>'All Inputs'!B13</f>
        <v/>
      </c>
    </row>
    <row r="14">
      <c r="B14" s="4" t="str">
        <f>'All Inputs'!B14</f>
        <v/>
      </c>
    </row>
    <row r="15">
      <c r="B15" s="4" t="str">
        <f>'All Inputs'!B15</f>
        <v/>
      </c>
    </row>
    <row r="16">
      <c r="B16" s="4" t="str">
        <f>'All Inputs'!B16</f>
        <v/>
      </c>
    </row>
    <row r="17">
      <c r="B17" s="4" t="str">
        <f>'All Inputs'!B17</f>
        <v/>
      </c>
    </row>
    <row r="18">
      <c r="B18" s="4" t="str">
        <f>'All Inputs'!B18</f>
        <v/>
      </c>
    </row>
    <row r="19">
      <c r="B19" s="4" t="str">
        <f>'All Inputs'!B19</f>
        <v/>
      </c>
    </row>
    <row r="20">
      <c r="B20" s="4" t="str">
        <f>'All Inputs'!B20</f>
        <v/>
      </c>
    </row>
    <row r="21" ht="15.75" customHeight="1">
      <c r="B21" s="4" t="str">
        <f>'All Inputs'!B21</f>
        <v/>
      </c>
    </row>
    <row r="22" ht="15.75" customHeight="1">
      <c r="B22" s="4" t="str">
        <f>'All Inputs'!B22</f>
        <v/>
      </c>
    </row>
    <row r="23" ht="15.75" customHeight="1">
      <c r="B23" s="4" t="str">
        <f>'All Inputs'!B23</f>
        <v/>
      </c>
    </row>
    <row r="24" ht="15.75" customHeight="1">
      <c r="B24" s="4" t="str">
        <f>'All Inputs'!B24</f>
        <v/>
      </c>
    </row>
    <row r="25" ht="15.75" customHeight="1">
      <c r="B25" s="4" t="str">
        <f>'All Inputs'!B25</f>
        <v/>
      </c>
    </row>
    <row r="26" ht="15.75" customHeight="1">
      <c r="B26" s="4" t="str">
        <f>'All Inputs'!B26</f>
        <v/>
      </c>
    </row>
    <row r="27" ht="15.75" customHeight="1">
      <c r="B27" s="4" t="str">
        <f>'All Inputs'!B27</f>
        <v/>
      </c>
    </row>
    <row r="28" ht="15.75" customHeight="1">
      <c r="B28" s="4" t="str">
        <f>'All Inputs'!B28</f>
        <v/>
      </c>
    </row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B2:B9">
    <cfRule type="cellIs" dxfId="0" priority="1" operator="equal">
      <formula>MAX(B2:B9)</formula>
    </cfRule>
  </conditionalFormatting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3" t="s">
        <v>1</v>
      </c>
    </row>
    <row r="2">
      <c r="A2" s="11" t="s">
        <v>12</v>
      </c>
      <c r="B2" s="4" t="str">
        <f>'All Inputs'!B13</f>
        <v/>
      </c>
    </row>
    <row r="3">
      <c r="A3" s="2" t="s">
        <v>13</v>
      </c>
      <c r="B3" s="2" t="str">
        <f>'All Inputs'!B3</f>
        <v/>
      </c>
    </row>
    <row r="4">
      <c r="A4" s="10" t="s">
        <v>14</v>
      </c>
      <c r="B4" s="10" t="str">
        <f>'All Inputs'!B4</f>
        <v/>
      </c>
    </row>
    <row r="5">
      <c r="A5" s="10" t="s">
        <v>15</v>
      </c>
      <c r="B5" s="10" t="str">
        <f>'All Inputs'!B5</f>
        <v/>
      </c>
    </row>
    <row r="6">
      <c r="A6" s="10" t="s">
        <v>16</v>
      </c>
      <c r="B6" s="10" t="str">
        <f>'All Inputs'!B6</f>
        <v/>
      </c>
    </row>
    <row r="7">
      <c r="A7" s="10" t="s">
        <v>17</v>
      </c>
      <c r="B7" s="10" t="str">
        <f>'All Inputs'!B7</f>
        <v/>
      </c>
    </row>
    <row r="8">
      <c r="A8" s="10" t="s">
        <v>18</v>
      </c>
      <c r="B8" s="10" t="str">
        <f>'All Inputs'!B8</f>
        <v/>
      </c>
    </row>
    <row r="9">
      <c r="A9" s="10" t="s">
        <v>19</v>
      </c>
      <c r="B9" s="10" t="str">
        <f>'All Inputs'!B9</f>
        <v/>
      </c>
    </row>
    <row r="10">
      <c r="A10" s="10" t="s">
        <v>20</v>
      </c>
      <c r="B10" s="10" t="str">
        <f>'All Inputs'!B10</f>
        <v/>
      </c>
    </row>
    <row r="11">
      <c r="A11" s="10" t="s">
        <v>21</v>
      </c>
      <c r="B11" s="10" t="str">
        <f>'All Inputs'!B11</f>
        <v/>
      </c>
    </row>
    <row r="12">
      <c r="A12" s="10" t="s">
        <v>22</v>
      </c>
      <c r="B12" s="10" t="str">
        <f>'All Inputs'!B12</f>
        <v/>
      </c>
    </row>
    <row r="13">
      <c r="A13" s="10" t="s">
        <v>23</v>
      </c>
      <c r="B13" s="10" t="str">
        <f>'All Inputs'!B13</f>
        <v/>
      </c>
    </row>
    <row r="14">
      <c r="B14" s="4" t="str">
        <f>'All Inputs'!B14</f>
        <v/>
      </c>
    </row>
    <row r="15">
      <c r="B15" s="4" t="str">
        <f>'All Inputs'!B15</f>
        <v/>
      </c>
    </row>
    <row r="16">
      <c r="B16" s="4" t="str">
        <f>'All Inputs'!B16</f>
        <v/>
      </c>
    </row>
    <row r="17">
      <c r="B17" s="4" t="str">
        <f>'All Inputs'!B17</f>
        <v/>
      </c>
    </row>
    <row r="18">
      <c r="B18" s="4" t="str">
        <f>'All Inputs'!B18</f>
        <v/>
      </c>
    </row>
    <row r="19">
      <c r="B19" s="4" t="str">
        <f>'All Inputs'!B19</f>
        <v/>
      </c>
    </row>
    <row r="20">
      <c r="B20" s="4" t="str">
        <f>'All Inputs'!B20</f>
        <v/>
      </c>
    </row>
    <row r="21" ht="15.75" customHeight="1">
      <c r="B21" s="4" t="str">
        <f>'All Inputs'!B21</f>
        <v/>
      </c>
    </row>
    <row r="22" ht="15.75" customHeight="1">
      <c r="B22" s="4" t="str">
        <f>'All Inputs'!B22</f>
        <v/>
      </c>
    </row>
    <row r="23" ht="15.75" customHeight="1">
      <c r="B23" s="4" t="str">
        <f>'All Inputs'!B23</f>
        <v/>
      </c>
    </row>
    <row r="24" ht="15.75" customHeight="1">
      <c r="B24" s="4" t="str">
        <f>'All Inputs'!B24</f>
        <v/>
      </c>
    </row>
    <row r="25" ht="15.75" customHeight="1">
      <c r="B25" s="4" t="str">
        <f>'All Inputs'!B25</f>
        <v/>
      </c>
    </row>
    <row r="26" ht="15.75" customHeight="1">
      <c r="B26" s="4" t="str">
        <f>'All Inputs'!B26</f>
        <v/>
      </c>
    </row>
    <row r="27" ht="15.75" customHeight="1">
      <c r="B27" s="4" t="str">
        <f>'All Inputs'!B27</f>
        <v/>
      </c>
    </row>
    <row r="28" ht="15.75" customHeight="1">
      <c r="B28" s="4" t="str">
        <f>'All Inputs'!B28</f>
        <v/>
      </c>
    </row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3" t="s">
        <v>1</v>
      </c>
    </row>
    <row r="2">
      <c r="A2" s="11" t="s">
        <v>24</v>
      </c>
      <c r="B2" s="4" t="str">
        <f>'All Inputs'!B13</f>
        <v/>
      </c>
    </row>
    <row r="3">
      <c r="A3" s="2" t="s">
        <v>25</v>
      </c>
      <c r="B3" s="2" t="str">
        <f>'All Inputs'!B3</f>
        <v/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</row>
    <row r="4">
      <c r="A4" s="10" t="s">
        <v>26</v>
      </c>
      <c r="B4" s="10" t="str">
        <f>'All Inputs'!B4</f>
        <v/>
      </c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</row>
    <row r="5">
      <c r="A5" s="10" t="s">
        <v>27</v>
      </c>
      <c r="B5" s="10" t="str">
        <f>'All Inputs'!B5</f>
        <v/>
      </c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</row>
    <row r="6">
      <c r="A6" s="10" t="s">
        <v>28</v>
      </c>
      <c r="B6" s="10" t="str">
        <f>'All Inputs'!B6</f>
        <v/>
      </c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</row>
    <row r="7">
      <c r="A7" s="10" t="s">
        <v>29</v>
      </c>
      <c r="B7" s="12" t="str">
        <f>'All Inputs'!B7</f>
        <v/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>
      <c r="A8" s="10" t="s">
        <v>30</v>
      </c>
      <c r="B8" s="12" t="str">
        <f>'All Inputs'!B8</f>
        <v/>
      </c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</row>
    <row r="9">
      <c r="A9" s="10" t="s">
        <v>31</v>
      </c>
      <c r="B9" s="12" t="str">
        <f>'All Inputs'!B9</f>
        <v/>
      </c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</row>
    <row r="10">
      <c r="A10" s="10" t="s">
        <v>32</v>
      </c>
      <c r="B10" s="12" t="str">
        <f>'All Inputs'!B10</f>
        <v/>
      </c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</row>
    <row r="11">
      <c r="A11" s="10" t="s">
        <v>33</v>
      </c>
      <c r="B11" s="12" t="str">
        <f>'All Inputs'!B11</f>
        <v/>
      </c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</row>
    <row r="12">
      <c r="A12" s="10" t="s">
        <v>34</v>
      </c>
      <c r="B12" s="12" t="str">
        <f>'All Inputs'!B12</f>
        <v/>
      </c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</row>
    <row r="13">
      <c r="A13" s="10" t="s">
        <v>35</v>
      </c>
      <c r="B13" s="12" t="str">
        <f>'All Inputs'!B13</f>
        <v/>
      </c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</row>
    <row r="14">
      <c r="A14" s="10" t="s">
        <v>36</v>
      </c>
      <c r="B14" s="10" t="str">
        <f>'All Inputs'!B14</f>
        <v/>
      </c>
      <c r="C14" s="10" t="s">
        <v>37</v>
      </c>
      <c r="D14" s="10" t="s">
        <v>38</v>
      </c>
      <c r="E14" s="10" t="s">
        <v>39</v>
      </c>
      <c r="F14" s="10" t="s">
        <v>40</v>
      </c>
      <c r="G14" s="10" t="s">
        <v>41</v>
      </c>
      <c r="H14" s="10" t="s">
        <v>42</v>
      </c>
      <c r="I14" s="10" t="s">
        <v>43</v>
      </c>
      <c r="J14" s="10" t="s">
        <v>44</v>
      </c>
      <c r="K14" s="10" t="s">
        <v>45</v>
      </c>
      <c r="L14" s="10" t="s">
        <v>46</v>
      </c>
      <c r="M14" s="10" t="s">
        <v>47</v>
      </c>
      <c r="N14" s="10" t="s">
        <v>48</v>
      </c>
      <c r="O14" s="10" t="s">
        <v>49</v>
      </c>
      <c r="P14" s="10" t="s">
        <v>50</v>
      </c>
      <c r="Q14" s="10" t="s">
        <v>51</v>
      </c>
      <c r="R14" s="10" t="s">
        <v>52</v>
      </c>
      <c r="S14" s="10" t="s">
        <v>53</v>
      </c>
      <c r="T14" s="10" t="s">
        <v>54</v>
      </c>
      <c r="U14" s="10" t="s">
        <v>55</v>
      </c>
    </row>
    <row r="15">
      <c r="A15" s="10">
        <v>1.0</v>
      </c>
      <c r="B15" s="12" t="str">
        <f>'All Inputs'!B15</f>
        <v/>
      </c>
      <c r="C15" s="12">
        <v>153900.0</v>
      </c>
      <c r="D15" s="12">
        <v>160000.0</v>
      </c>
      <c r="E15" s="12">
        <v>150400.0</v>
      </c>
      <c r="F15" s="12">
        <v>108500.0</v>
      </c>
      <c r="G15" s="12">
        <v>97650.0</v>
      </c>
      <c r="H15" s="12">
        <v>113620.0</v>
      </c>
      <c r="I15" s="12">
        <v>105666.6</v>
      </c>
      <c r="J15" s="12">
        <v>107840.0</v>
      </c>
      <c r="K15" s="12">
        <v>99212.8</v>
      </c>
      <c r="L15" s="12">
        <v>105000.0</v>
      </c>
      <c r="M15" s="12">
        <v>95550.0</v>
      </c>
      <c r="N15" s="12">
        <v>113240.0</v>
      </c>
      <c r="O15" s="12">
        <v>103048.4</v>
      </c>
      <c r="P15" s="12">
        <v>106000.0</v>
      </c>
      <c r="Q15" s="12">
        <v>96460.0</v>
      </c>
      <c r="R15" s="12">
        <v>104000.0</v>
      </c>
      <c r="S15" s="12">
        <v>95680.0</v>
      </c>
      <c r="T15" s="12">
        <v>105000.0</v>
      </c>
      <c r="U15" s="12">
        <v>97650.0</v>
      </c>
    </row>
    <row r="16">
      <c r="A16" s="10">
        <v>2.0</v>
      </c>
      <c r="B16" s="12" t="str">
        <f>'All Inputs'!B16</f>
        <v/>
      </c>
      <c r="C16" s="12">
        <v>249318.0</v>
      </c>
      <c r="D16" s="12">
        <v>256000.0</v>
      </c>
      <c r="E16" s="12">
        <v>240640.0</v>
      </c>
      <c r="F16" s="12">
        <v>117722.5</v>
      </c>
      <c r="G16" s="12">
        <v>105950.25</v>
      </c>
      <c r="H16" s="12">
        <v>129095.044</v>
      </c>
      <c r="I16" s="12">
        <v>120058.39092</v>
      </c>
      <c r="J16" s="12">
        <v>116294.656</v>
      </c>
      <c r="K16" s="12">
        <v>106991.08352</v>
      </c>
      <c r="L16" s="12">
        <v>110250.0</v>
      </c>
      <c r="M16" s="12">
        <v>100327.5</v>
      </c>
      <c r="N16" s="12">
        <v>128232.976</v>
      </c>
      <c r="O16" s="12">
        <v>116692.00816</v>
      </c>
      <c r="P16" s="12">
        <v>112360.0</v>
      </c>
      <c r="Q16" s="12">
        <v>102247.6</v>
      </c>
      <c r="R16" s="12">
        <v>108160.0</v>
      </c>
      <c r="S16" s="12">
        <v>99507.2</v>
      </c>
      <c r="T16" s="12">
        <v>110250.0</v>
      </c>
      <c r="U16" s="12">
        <v>102532.5</v>
      </c>
    </row>
    <row r="17">
      <c r="A17" s="10">
        <v>3.0</v>
      </c>
      <c r="B17" s="12" t="str">
        <f>'All Inputs'!B17</f>
        <v/>
      </c>
      <c r="C17" s="12">
        <v>403895.16</v>
      </c>
      <c r="D17" s="12">
        <v>409600.0</v>
      </c>
      <c r="E17" s="12">
        <v>385024.0</v>
      </c>
      <c r="F17" s="12">
        <v>127728.9125</v>
      </c>
      <c r="G17" s="12">
        <v>114956.02125</v>
      </c>
      <c r="H17" s="12">
        <v>146677.7889928001</v>
      </c>
      <c r="I17" s="12">
        <v>136410.3437633041</v>
      </c>
      <c r="J17" s="12">
        <v>125412.1570304</v>
      </c>
      <c r="K17" s="12">
        <v>115379.184467968</v>
      </c>
      <c r="L17" s="12">
        <v>115762.5</v>
      </c>
      <c r="M17" s="12">
        <v>105343.875</v>
      </c>
      <c r="N17" s="12">
        <v>145211.0220224001</v>
      </c>
      <c r="O17" s="12">
        <v>132142.030040384</v>
      </c>
      <c r="P17" s="12">
        <v>119101.6</v>
      </c>
      <c r="Q17" s="12">
        <v>108382.456</v>
      </c>
      <c r="R17" s="12">
        <v>112486.4</v>
      </c>
      <c r="S17" s="12">
        <v>103487.488</v>
      </c>
      <c r="T17" s="12">
        <v>115762.5</v>
      </c>
      <c r="U17" s="12">
        <v>107659.125</v>
      </c>
    </row>
    <row r="18">
      <c r="A18" s="10">
        <v>4.0</v>
      </c>
      <c r="B18" s="12" t="str">
        <f>'All Inputs'!B18</f>
        <v/>
      </c>
      <c r="C18" s="12">
        <v>654310.1592</v>
      </c>
      <c r="D18" s="12">
        <v>655360.0</v>
      </c>
      <c r="E18" s="12">
        <v>616038.3999999999</v>
      </c>
      <c r="F18" s="12">
        <v>138585.8700625</v>
      </c>
      <c r="G18" s="12">
        <v>124727.28305625</v>
      </c>
      <c r="H18" s="12">
        <v>166655.3038536194</v>
      </c>
      <c r="I18" s="12">
        <v>154989.4325838661</v>
      </c>
      <c r="J18" s="12">
        <v>135244.4701415834</v>
      </c>
      <c r="K18" s="12">
        <v>124424.9125302567</v>
      </c>
      <c r="L18" s="12">
        <v>121550.625</v>
      </c>
      <c r="M18" s="12">
        <v>110611.06875</v>
      </c>
      <c r="N18" s="12">
        <v>164436.9613381658</v>
      </c>
      <c r="O18" s="12">
        <v>149637.6348177309</v>
      </c>
      <c r="P18" s="12">
        <v>126247.696</v>
      </c>
      <c r="Q18" s="12">
        <v>114885.40336</v>
      </c>
      <c r="R18" s="12">
        <v>116985.856</v>
      </c>
      <c r="S18" s="12">
        <v>107626.98752</v>
      </c>
      <c r="T18" s="12">
        <v>121550.625</v>
      </c>
      <c r="U18" s="12">
        <v>113042.08125</v>
      </c>
    </row>
    <row r="19">
      <c r="A19" s="10">
        <v>5.0</v>
      </c>
      <c r="B19" s="12" t="str">
        <f>'All Inputs'!B19</f>
        <v/>
      </c>
      <c r="C19" s="12">
        <v>1059982.457904</v>
      </c>
      <c r="D19" s="12">
        <v>1048576.0</v>
      </c>
      <c r="E19" s="12">
        <v>985661.44</v>
      </c>
      <c r="F19" s="12">
        <v>150365.6690178125</v>
      </c>
      <c r="G19" s="12">
        <v>135329.1021160312</v>
      </c>
      <c r="H19" s="12">
        <v>189353.7562384824</v>
      </c>
      <c r="I19" s="12">
        <v>176098.9933017887</v>
      </c>
      <c r="J19" s="12">
        <v>145847.6366006835</v>
      </c>
      <c r="K19" s="12">
        <v>134179.8256726288</v>
      </c>
      <c r="L19" s="12">
        <v>127628.15625</v>
      </c>
      <c r="M19" s="12">
        <v>116141.6221875</v>
      </c>
      <c r="N19" s="12">
        <v>186208.415019339</v>
      </c>
      <c r="O19" s="12">
        <v>169449.6576675985</v>
      </c>
      <c r="P19" s="12">
        <v>133822.55776</v>
      </c>
      <c r="Q19" s="12">
        <v>121778.5275616</v>
      </c>
      <c r="R19" s="12">
        <v>121665.29024</v>
      </c>
      <c r="S19" s="12">
        <v>111932.0670208</v>
      </c>
      <c r="T19" s="12">
        <v>127628.15625</v>
      </c>
      <c r="U19" s="12">
        <v>118694.1853125</v>
      </c>
    </row>
    <row r="20">
      <c r="A20" s="10">
        <v>6.0</v>
      </c>
      <c r="B20" s="12" t="str">
        <f>'All Inputs'!B20</f>
        <v/>
      </c>
      <c r="C20" s="12">
        <v>1717171.58180448</v>
      </c>
      <c r="D20" s="12">
        <v>1677721.6</v>
      </c>
      <c r="E20" s="12">
        <v>1577058.304</v>
      </c>
      <c r="F20" s="12">
        <v>163146.7508843265</v>
      </c>
      <c r="G20" s="12">
        <v>146832.0757958939</v>
      </c>
      <c r="H20" s="12">
        <v>215143.7378381637</v>
      </c>
      <c r="I20" s="12">
        <v>200083.6761894923</v>
      </c>
      <c r="J20" s="12">
        <v>157282.0913101771</v>
      </c>
      <c r="K20" s="12">
        <v>144699.5240053629</v>
      </c>
      <c r="L20" s="12">
        <v>134009.5640625</v>
      </c>
      <c r="M20" s="12">
        <v>121948.703296875</v>
      </c>
      <c r="N20" s="12">
        <v>210862.4091678995</v>
      </c>
      <c r="O20" s="12">
        <v>191884.7923427886</v>
      </c>
      <c r="P20" s="12">
        <v>141851.9112256</v>
      </c>
      <c r="Q20" s="12">
        <v>129085.239215296</v>
      </c>
      <c r="R20" s="12">
        <v>126531.9018496</v>
      </c>
      <c r="S20" s="12">
        <v>116409.349701632</v>
      </c>
      <c r="T20" s="12">
        <v>134009.5640625</v>
      </c>
      <c r="U20" s="12">
        <v>124628.894578125</v>
      </c>
    </row>
    <row r="21" ht="15.75" customHeight="1">
      <c r="A21" s="10">
        <v>7.0</v>
      </c>
      <c r="B21" s="12" t="str">
        <f>'All Inputs'!B21</f>
        <v/>
      </c>
      <c r="C21" s="12">
        <v>2781817.962523258</v>
      </c>
      <c r="D21" s="12">
        <v>2684354.560000001</v>
      </c>
      <c r="E21" s="12">
        <v>2523293.286400001</v>
      </c>
      <c r="F21" s="12">
        <v>177014.2247094943</v>
      </c>
      <c r="G21" s="12">
        <v>159312.8022385449</v>
      </c>
      <c r="H21" s="12">
        <v>244446.3149317217</v>
      </c>
      <c r="I21" s="12">
        <v>227335.0728865011</v>
      </c>
      <c r="J21" s="12">
        <v>169613.007268895</v>
      </c>
      <c r="K21" s="12">
        <v>156043.9666873834</v>
      </c>
      <c r="L21" s="12">
        <v>140710.042265625</v>
      </c>
      <c r="M21" s="12">
        <v>128046.1384617188</v>
      </c>
      <c r="N21" s="12">
        <v>238780.5921417294</v>
      </c>
      <c r="O21" s="12">
        <v>217290.3388489738</v>
      </c>
      <c r="P21" s="12">
        <v>150363.025899136</v>
      </c>
      <c r="Q21" s="12">
        <v>136830.3535682138</v>
      </c>
      <c r="R21" s="12">
        <v>131593.177923584</v>
      </c>
      <c r="S21" s="12">
        <v>121065.7236896973</v>
      </c>
      <c r="T21" s="12">
        <v>140710.042265625</v>
      </c>
      <c r="U21" s="12">
        <v>130860.3393070313</v>
      </c>
    </row>
    <row r="22" ht="15.75" customHeight="1">
      <c r="A22" s="10">
        <v>8.0</v>
      </c>
      <c r="B22" s="12" t="str">
        <f>'All Inputs'!B22</f>
        <v/>
      </c>
      <c r="C22" s="12">
        <v>4506545.099287678</v>
      </c>
      <c r="D22" s="12">
        <v>4294967.296000001</v>
      </c>
      <c r="E22" s="12">
        <v>4037269.258240001</v>
      </c>
      <c r="F22" s="12">
        <v>192060.4338098013</v>
      </c>
      <c r="G22" s="12">
        <v>172854.3904288211</v>
      </c>
      <c r="H22" s="12">
        <v>277739.9030254222</v>
      </c>
      <c r="I22" s="12">
        <v>258298.1098136427</v>
      </c>
      <c r="J22" s="12">
        <v>182910.6670387764</v>
      </c>
      <c r="K22" s="12">
        <v>168277.8136756743</v>
      </c>
      <c r="L22" s="12">
        <v>147745.5443789063</v>
      </c>
      <c r="M22" s="12">
        <v>134448.4453848047</v>
      </c>
      <c r="N22" s="12">
        <v>270395.1425412945</v>
      </c>
      <c r="O22" s="12">
        <v>246059.5797125779</v>
      </c>
      <c r="P22" s="12">
        <v>159384.8074530842</v>
      </c>
      <c r="Q22" s="12">
        <v>145040.1747823066</v>
      </c>
      <c r="R22" s="12">
        <v>136856.9050405274</v>
      </c>
      <c r="S22" s="12">
        <v>125908.3526372852</v>
      </c>
      <c r="T22" s="12">
        <v>147745.5443789063</v>
      </c>
      <c r="U22" s="12">
        <v>137403.3562723828</v>
      </c>
    </row>
    <row r="23" ht="15.75" customHeight="1">
      <c r="A23" s="10">
        <v>9.0</v>
      </c>
      <c r="B23" s="12" t="str">
        <f>'All Inputs'!B23</f>
        <v/>
      </c>
      <c r="C23" s="12">
        <v>7300603.060846039</v>
      </c>
      <c r="D23" s="12">
        <v>6871947.673600002</v>
      </c>
      <c r="E23" s="12">
        <v>6459630.813184001</v>
      </c>
      <c r="F23" s="12">
        <v>208385.5706836344</v>
      </c>
      <c r="G23" s="12">
        <v>187547.0136152709</v>
      </c>
      <c r="H23" s="12">
        <v>315568.0778174847</v>
      </c>
      <c r="I23" s="12">
        <v>293478.3123702608</v>
      </c>
      <c r="J23" s="12">
        <v>197250.8633346164</v>
      </c>
      <c r="K23" s="12">
        <v>181470.7942678471</v>
      </c>
      <c r="L23" s="12">
        <v>155132.8215978516</v>
      </c>
      <c r="M23" s="12">
        <v>141170.8676540449</v>
      </c>
      <c r="N23" s="12">
        <v>306195.4594137619</v>
      </c>
      <c r="O23" s="12">
        <v>278637.8680665233</v>
      </c>
      <c r="P23" s="12">
        <v>168947.8959002693</v>
      </c>
      <c r="Q23" s="12">
        <v>153742.5852692451</v>
      </c>
      <c r="R23" s="12">
        <v>142331.1812421485</v>
      </c>
      <c r="S23" s="12">
        <v>130944.6867427766</v>
      </c>
      <c r="T23" s="12">
        <v>155132.8215978516</v>
      </c>
      <c r="U23" s="12">
        <v>144273.524086002</v>
      </c>
    </row>
    <row r="24" ht="15.75" customHeight="1">
      <c r="A24" s="10">
        <v>10.0</v>
      </c>
      <c r="B24" s="12" t="str">
        <f>'All Inputs'!B24</f>
        <v/>
      </c>
      <c r="C24" s="12">
        <v>1.182697695857058E7</v>
      </c>
      <c r="D24" s="12">
        <v>1.099511627776E7</v>
      </c>
      <c r="E24" s="12">
        <v>1.03354093010944E7</v>
      </c>
      <c r="F24" s="12">
        <v>226098.3441917433</v>
      </c>
      <c r="G24" s="12">
        <v>203488.509772569</v>
      </c>
      <c r="H24" s="12">
        <v>358548.4500162262</v>
      </c>
      <c r="I24" s="12">
        <v>333450.0585150904</v>
      </c>
      <c r="J24" s="12">
        <v>212715.3310200504</v>
      </c>
      <c r="K24" s="12">
        <v>195698.1045384464</v>
      </c>
      <c r="L24" s="12">
        <v>162889.4626777442</v>
      </c>
      <c r="M24" s="12">
        <v>148229.4110367472</v>
      </c>
      <c r="N24" s="12">
        <v>346735.7382401439</v>
      </c>
      <c r="O24" s="12">
        <v>315529.521798531</v>
      </c>
      <c r="P24" s="12">
        <v>179084.7696542854</v>
      </c>
      <c r="Q24" s="12">
        <v>162967.1403853997</v>
      </c>
      <c r="R24" s="12">
        <v>148024.4284918345</v>
      </c>
      <c r="S24" s="12">
        <v>136182.4742124877</v>
      </c>
      <c r="T24" s="12">
        <v>162889.4626777442</v>
      </c>
      <c r="U24" s="12">
        <v>151487.2002903021</v>
      </c>
    </row>
    <row r="25" ht="15.75" customHeight="1">
      <c r="A25" s="10" t="s">
        <v>56</v>
      </c>
      <c r="B25" s="10" t="str">
        <f>'All Inputs'!B25</f>
        <v/>
      </c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</row>
    <row r="26" ht="15.75" customHeight="1">
      <c r="A26" s="10" t="s">
        <v>57</v>
      </c>
      <c r="B26" s="10" t="str">
        <f>'All Inputs'!B26</f>
        <v/>
      </c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</row>
    <row r="27" ht="15.75" customHeight="1">
      <c r="A27" s="10" t="s">
        <v>58</v>
      </c>
      <c r="B27" s="10" t="str">
        <f>'All Inputs'!B27</f>
        <v/>
      </c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</row>
    <row r="28" ht="15.75" customHeight="1">
      <c r="A28" s="10" t="s">
        <v>59</v>
      </c>
      <c r="B28" s="10" t="str">
        <f>'All Inputs'!B28</f>
        <v/>
      </c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</row>
    <row r="29" ht="15.75" customHeight="1">
      <c r="A29" s="10" t="s">
        <v>60</v>
      </c>
      <c r="B29" s="10" t="str">
        <f>IF(User Inputs!B12&lt;0, User Inputs!B9, 0)</f>
        <v>#ERROR!</v>
      </c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</row>
    <row r="30" ht="15.75" customHeight="1">
      <c r="A30" s="10" t="s">
        <v>61</v>
      </c>
      <c r="B30" s="10" t="str">
        <f>IF(User Inputs!B12&lt;0, User Inputs!B10, 0)</f>
        <v>#ERROR!</v>
      </c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</row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B2:B28">
    <cfRule type="cellIs" dxfId="0" priority="1" operator="equal">
      <formula>MAX(B2:B28)</formula>
    </cfRule>
  </conditionalFormatting>
  <conditionalFormatting sqref="C2:C28">
    <cfRule type="cellIs" dxfId="0" priority="2" operator="equal">
      <formula>MAX(C2:C28)</formula>
    </cfRule>
  </conditionalFormatting>
  <conditionalFormatting sqref="D2:D28">
    <cfRule type="cellIs" dxfId="0" priority="3" operator="equal">
      <formula>MAX(D2:D28)</formula>
    </cfRule>
  </conditionalFormatting>
  <conditionalFormatting sqref="E2:E28">
    <cfRule type="cellIs" dxfId="0" priority="4" operator="equal">
      <formula>MAX(E2:E28)</formula>
    </cfRule>
  </conditionalFormatting>
  <conditionalFormatting sqref="F2:F28">
    <cfRule type="cellIs" dxfId="0" priority="5" operator="equal">
      <formula>MAX(F2:F28)</formula>
    </cfRule>
  </conditionalFormatting>
  <conditionalFormatting sqref="G2:G28">
    <cfRule type="cellIs" dxfId="0" priority="6" operator="equal">
      <formula>MAX(G2:G28)</formula>
    </cfRule>
  </conditionalFormatting>
  <conditionalFormatting sqref="H2:H28">
    <cfRule type="cellIs" dxfId="0" priority="7" operator="equal">
      <formula>MAX(H2:H28)</formula>
    </cfRule>
  </conditionalFormatting>
  <conditionalFormatting sqref="I2:I28">
    <cfRule type="cellIs" dxfId="0" priority="8" operator="equal">
      <formula>MAX(I2:I28)</formula>
    </cfRule>
  </conditionalFormatting>
  <conditionalFormatting sqref="J2:J28">
    <cfRule type="cellIs" dxfId="0" priority="9" operator="equal">
      <formula>MAX(J2:J28)</formula>
    </cfRule>
  </conditionalFormatting>
  <conditionalFormatting sqref="K2:K28">
    <cfRule type="cellIs" dxfId="0" priority="10" operator="equal">
      <formula>MAX(K2:K28)</formula>
    </cfRule>
  </conditionalFormatting>
  <conditionalFormatting sqref="L2:L28">
    <cfRule type="cellIs" dxfId="0" priority="11" operator="equal">
      <formula>MAX(L2:L28)</formula>
    </cfRule>
  </conditionalFormatting>
  <conditionalFormatting sqref="M2:M28">
    <cfRule type="cellIs" dxfId="0" priority="12" operator="equal">
      <formula>MAX(M2:M28)</formula>
    </cfRule>
  </conditionalFormatting>
  <conditionalFormatting sqref="N2:N28">
    <cfRule type="cellIs" dxfId="0" priority="13" operator="equal">
      <formula>MAX(N2:N28)</formula>
    </cfRule>
  </conditionalFormatting>
  <conditionalFormatting sqref="O2:O28">
    <cfRule type="cellIs" dxfId="0" priority="14" operator="equal">
      <formula>MAX(O2:O28)</formula>
    </cfRule>
  </conditionalFormatting>
  <conditionalFormatting sqref="P2:P28">
    <cfRule type="cellIs" dxfId="0" priority="15" operator="equal">
      <formula>MAX(P2:P28)</formula>
    </cfRule>
  </conditionalFormatting>
  <conditionalFormatting sqref="Q2:Q28">
    <cfRule type="cellIs" dxfId="0" priority="16" operator="equal">
      <formula>MAX(Q2:Q28)</formula>
    </cfRule>
  </conditionalFormatting>
  <conditionalFormatting sqref="R2:R28">
    <cfRule type="cellIs" dxfId="0" priority="17" operator="equal">
      <formula>MAX(R2:R28)</formula>
    </cfRule>
  </conditionalFormatting>
  <conditionalFormatting sqref="S2:S28">
    <cfRule type="cellIs" dxfId="0" priority="18" operator="equal">
      <formula>MAX(S2:S28)</formula>
    </cfRule>
  </conditionalFormatting>
  <conditionalFormatting sqref="T2:T28">
    <cfRule type="cellIs" dxfId="0" priority="19" operator="equal">
      <formula>MAX(T2:T28)</formula>
    </cfRule>
  </conditionalFormatting>
  <conditionalFormatting sqref="U2:U28">
    <cfRule type="cellIs" dxfId="0" priority="20" operator="equal">
      <formula>MAX(U2:U28)</formula>
    </cfRule>
  </conditionalFormatting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3" t="s">
        <v>1</v>
      </c>
    </row>
    <row r="2">
      <c r="A2" s="11" t="s">
        <v>62</v>
      </c>
      <c r="B2" s="4" t="str">
        <f>'All Inputs'!B13</f>
        <v/>
      </c>
    </row>
    <row r="3">
      <c r="A3" s="2" t="s">
        <v>63</v>
      </c>
      <c r="B3" s="2" t="str">
        <f>'All Inputs'!B3</f>
        <v/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</row>
    <row r="4">
      <c r="A4" s="10" t="s">
        <v>64</v>
      </c>
      <c r="B4" s="10" t="str">
        <f>'All Inputs'!B4</f>
        <v/>
      </c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</row>
    <row r="5">
      <c r="A5" s="10" t="s">
        <v>65</v>
      </c>
      <c r="B5" s="10" t="str">
        <f>'All Inputs'!B5</f>
        <v/>
      </c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</row>
    <row r="6">
      <c r="A6" s="10" t="s">
        <v>66</v>
      </c>
      <c r="B6" s="10" t="str">
        <f>'All Inputs'!B6</f>
        <v/>
      </c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</row>
    <row r="7">
      <c r="A7" s="10" t="s">
        <v>67</v>
      </c>
      <c r="B7" s="12" t="str">
        <f>'All Inputs'!B7</f>
        <v/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</row>
    <row r="8">
      <c r="A8" s="10" t="s">
        <v>36</v>
      </c>
      <c r="B8" s="10" t="str">
        <f>'All Inputs'!B8</f>
        <v/>
      </c>
      <c r="C8" s="10" t="s">
        <v>37</v>
      </c>
      <c r="D8" s="10" t="s">
        <v>38</v>
      </c>
      <c r="E8" s="10" t="s">
        <v>39</v>
      </c>
      <c r="F8" s="10" t="s">
        <v>40</v>
      </c>
      <c r="G8" s="10" t="s">
        <v>41</v>
      </c>
      <c r="H8" s="10" t="s">
        <v>42</v>
      </c>
      <c r="I8" s="10" t="s">
        <v>43</v>
      </c>
      <c r="J8" s="10" t="s">
        <v>68</v>
      </c>
      <c r="K8" s="10" t="s">
        <v>69</v>
      </c>
      <c r="L8" s="10" t="s">
        <v>70</v>
      </c>
      <c r="M8" s="10" t="s">
        <v>71</v>
      </c>
      <c r="N8" s="10" t="s">
        <v>72</v>
      </c>
      <c r="O8" s="10" t="s">
        <v>73</v>
      </c>
    </row>
    <row r="9">
      <c r="A9" s="10">
        <v>1.0</v>
      </c>
      <c r="B9" s="12" t="str">
        <f>'All Inputs'!B9</f>
        <v/>
      </c>
      <c r="C9" s="12">
        <v>81900.0</v>
      </c>
      <c r="D9" s="12">
        <v>90000.0</v>
      </c>
      <c r="E9" s="12">
        <v>81900.0</v>
      </c>
      <c r="F9" s="12">
        <v>90000.0</v>
      </c>
      <c r="G9" s="12">
        <v>83700.0</v>
      </c>
      <c r="H9" s="12">
        <v>90000.0</v>
      </c>
      <c r="I9" s="12">
        <v>82800.0</v>
      </c>
      <c r="J9" s="12">
        <v>90000.0</v>
      </c>
      <c r="K9" s="12">
        <v>82800.0</v>
      </c>
      <c r="L9" s="12">
        <v>90000.0</v>
      </c>
      <c r="M9" s="12">
        <v>84150.0</v>
      </c>
      <c r="N9" s="12">
        <v>90000.0</v>
      </c>
      <c r="O9" s="12">
        <v>81900.0</v>
      </c>
    </row>
    <row r="10">
      <c r="A10" s="10">
        <v>2.0</v>
      </c>
      <c r="B10" s="12" t="str">
        <f>'All Inputs'!B10</f>
        <v/>
      </c>
      <c r="C10" s="12">
        <v>74520.0</v>
      </c>
      <c r="D10" s="12">
        <v>81000.0</v>
      </c>
      <c r="E10" s="12">
        <v>74520.0</v>
      </c>
      <c r="F10" s="12">
        <v>81000.0</v>
      </c>
      <c r="G10" s="12">
        <v>76140.0</v>
      </c>
      <c r="H10" s="12">
        <v>81000.0</v>
      </c>
      <c r="I10" s="12">
        <v>74520.0</v>
      </c>
      <c r="J10" s="12">
        <v>81000.0</v>
      </c>
      <c r="K10" s="12">
        <v>74520.0</v>
      </c>
      <c r="L10" s="12">
        <v>81000.0</v>
      </c>
      <c r="M10" s="12">
        <v>75735.0</v>
      </c>
      <c r="N10" s="12">
        <v>81000.0</v>
      </c>
      <c r="O10" s="12">
        <v>74520.0</v>
      </c>
    </row>
    <row r="11">
      <c r="A11" s="10">
        <v>3.0</v>
      </c>
      <c r="B11" s="12" t="str">
        <f>'All Inputs'!B11</f>
        <v/>
      </c>
      <c r="C11" s="12">
        <v>67797.0</v>
      </c>
      <c r="D11" s="12">
        <v>72900.0</v>
      </c>
      <c r="E11" s="12">
        <v>67797.0</v>
      </c>
      <c r="F11" s="12">
        <v>72900.0</v>
      </c>
      <c r="G11" s="12">
        <v>69255.0</v>
      </c>
      <c r="H11" s="12">
        <v>72900.0</v>
      </c>
      <c r="I11" s="12">
        <v>67797.0</v>
      </c>
      <c r="J11" s="12">
        <v>72900.0</v>
      </c>
      <c r="K11" s="12">
        <v>67797.0</v>
      </c>
      <c r="L11" s="12">
        <v>72900.0</v>
      </c>
      <c r="M11" s="12">
        <v>68598.9</v>
      </c>
      <c r="N11" s="12">
        <v>72900.0</v>
      </c>
      <c r="O11" s="12">
        <v>67797.0</v>
      </c>
    </row>
    <row r="12">
      <c r="A12" s="10">
        <v>4.0</v>
      </c>
      <c r="B12" s="12" t="str">
        <f>'All Inputs'!B12</f>
        <v/>
      </c>
      <c r="C12" s="12">
        <v>61673.39999999999</v>
      </c>
      <c r="D12" s="12">
        <v>65610.0</v>
      </c>
      <c r="E12" s="12">
        <v>61673.39999999999</v>
      </c>
      <c r="F12" s="12">
        <v>65610.0</v>
      </c>
      <c r="G12" s="12">
        <v>62985.6</v>
      </c>
      <c r="H12" s="12">
        <v>65610.0</v>
      </c>
      <c r="I12" s="12">
        <v>61673.39999999999</v>
      </c>
      <c r="J12" s="12">
        <v>65610.0</v>
      </c>
      <c r="K12" s="12">
        <v>61673.39999999999</v>
      </c>
      <c r="L12" s="12">
        <v>65610.0</v>
      </c>
      <c r="M12" s="12">
        <v>61739.00999999999</v>
      </c>
      <c r="N12" s="12">
        <v>65610.0</v>
      </c>
      <c r="O12" s="12">
        <v>61673.39999999999</v>
      </c>
    </row>
    <row r="13">
      <c r="A13" s="10">
        <v>5.0</v>
      </c>
      <c r="B13" s="12" t="str">
        <f>'All Inputs'!B13</f>
        <v/>
      </c>
      <c r="C13" s="12">
        <v>56096.55</v>
      </c>
      <c r="D13" s="12">
        <v>59049.0</v>
      </c>
      <c r="E13" s="12">
        <v>56096.55</v>
      </c>
      <c r="F13" s="12">
        <v>59049.0</v>
      </c>
      <c r="G13" s="12">
        <v>57277.53</v>
      </c>
      <c r="H13" s="12">
        <v>59049.0</v>
      </c>
      <c r="I13" s="12">
        <v>56096.55</v>
      </c>
      <c r="J13" s="12">
        <v>59049.0</v>
      </c>
      <c r="K13" s="12">
        <v>56096.55</v>
      </c>
      <c r="L13" s="12">
        <v>59049.0</v>
      </c>
      <c r="M13" s="12">
        <v>55565.109</v>
      </c>
      <c r="N13" s="12">
        <v>59049.0</v>
      </c>
      <c r="O13" s="12">
        <v>56096.55</v>
      </c>
    </row>
    <row r="14">
      <c r="A14" s="10">
        <v>6.0</v>
      </c>
      <c r="B14" s="12" t="str">
        <f>'All Inputs'!B14</f>
        <v/>
      </c>
      <c r="C14" s="12">
        <v>51018.336</v>
      </c>
      <c r="D14" s="12">
        <v>53144.1</v>
      </c>
      <c r="E14" s="12">
        <v>53144.1</v>
      </c>
      <c r="F14" s="12">
        <v>53144.1</v>
      </c>
      <c r="G14" s="12">
        <v>52081.218</v>
      </c>
      <c r="H14" s="12">
        <v>53144.1</v>
      </c>
      <c r="I14" s="12">
        <v>53144.1</v>
      </c>
      <c r="J14" s="12">
        <v>53144.1</v>
      </c>
      <c r="K14" s="12">
        <v>51018.336</v>
      </c>
      <c r="L14" s="12">
        <v>53144.1</v>
      </c>
      <c r="M14" s="12">
        <v>50486.895</v>
      </c>
      <c r="N14" s="12">
        <v>53144.1</v>
      </c>
      <c r="O14" s="12">
        <v>51018.336</v>
      </c>
    </row>
    <row r="15">
      <c r="A15" s="10">
        <v>7.0</v>
      </c>
      <c r="B15" s="12" t="str">
        <f>'All Inputs'!B15</f>
        <v/>
      </c>
      <c r="C15" s="12">
        <v>46394.7993</v>
      </c>
      <c r="D15" s="12">
        <v>47829.69</v>
      </c>
      <c r="E15" s="12">
        <v>47829.69</v>
      </c>
      <c r="F15" s="12">
        <v>47829.69</v>
      </c>
      <c r="G15" s="12">
        <v>47351.3931</v>
      </c>
      <c r="H15" s="12">
        <v>47829.69</v>
      </c>
      <c r="I15" s="12">
        <v>47829.69</v>
      </c>
      <c r="J15" s="12">
        <v>47829.69</v>
      </c>
      <c r="K15" s="12">
        <v>46394.7993</v>
      </c>
      <c r="L15" s="12">
        <v>47829.69</v>
      </c>
      <c r="M15" s="12">
        <v>45916.5024</v>
      </c>
      <c r="N15" s="12">
        <v>47829.69</v>
      </c>
      <c r="O15" s="12">
        <v>46394.7993</v>
      </c>
    </row>
    <row r="16">
      <c r="A16" s="10">
        <v>8.0</v>
      </c>
      <c r="B16" s="12" t="str">
        <f>'All Inputs'!B16</f>
        <v/>
      </c>
      <c r="C16" s="12">
        <v>42185.78658000001</v>
      </c>
      <c r="D16" s="12">
        <v>43046.72100000001</v>
      </c>
      <c r="E16" s="12">
        <v>43046.72100000001</v>
      </c>
      <c r="F16" s="12">
        <v>43046.72100000001</v>
      </c>
      <c r="G16" s="12">
        <v>43046.72100000001</v>
      </c>
      <c r="H16" s="12">
        <v>43046.72100000001</v>
      </c>
      <c r="I16" s="12">
        <v>43046.72100000001</v>
      </c>
      <c r="J16" s="12">
        <v>43046.72100000001</v>
      </c>
      <c r="K16" s="12">
        <v>43046.72100000001</v>
      </c>
      <c r="L16" s="12">
        <v>43046.72100000001</v>
      </c>
      <c r="M16" s="12">
        <v>41755.31937</v>
      </c>
      <c r="N16" s="12">
        <v>43046.72100000001</v>
      </c>
      <c r="O16" s="12">
        <v>43046.72100000001</v>
      </c>
    </row>
    <row r="17">
      <c r="A17" s="10">
        <v>9.0</v>
      </c>
      <c r="B17" s="12" t="str">
        <f>'All Inputs'!B17</f>
        <v/>
      </c>
      <c r="C17" s="12">
        <v>38354.628411</v>
      </c>
      <c r="D17" s="12">
        <v>38742.0489</v>
      </c>
      <c r="E17" s="12">
        <v>38742.0489</v>
      </c>
      <c r="F17" s="12">
        <v>38742.0489</v>
      </c>
      <c r="G17" s="12">
        <v>38742.0489</v>
      </c>
      <c r="H17" s="12">
        <v>38742.0489</v>
      </c>
      <c r="I17" s="12">
        <v>38742.0489</v>
      </c>
      <c r="J17" s="12">
        <v>38742.0489</v>
      </c>
      <c r="K17" s="12">
        <v>38742.0489</v>
      </c>
      <c r="L17" s="12">
        <v>38742.0489</v>
      </c>
      <c r="M17" s="12">
        <v>37967.207922</v>
      </c>
      <c r="N17" s="12">
        <v>38742.0489</v>
      </c>
      <c r="O17" s="12">
        <v>38742.0489</v>
      </c>
    </row>
    <row r="18">
      <c r="A18" s="10">
        <v>10.0</v>
      </c>
      <c r="B18" s="12" t="str">
        <f>'All Inputs'!B18</f>
        <v/>
      </c>
      <c r="C18" s="12">
        <v>34867.84401</v>
      </c>
      <c r="D18" s="12">
        <v>34867.84401</v>
      </c>
      <c r="E18" s="12">
        <v>34867.84401</v>
      </c>
      <c r="F18" s="12">
        <v>34867.84401</v>
      </c>
      <c r="G18" s="12">
        <v>34867.84401</v>
      </c>
      <c r="H18" s="12">
        <v>34867.84401</v>
      </c>
      <c r="I18" s="12">
        <v>34867.84401</v>
      </c>
      <c r="J18" s="12">
        <v>34867.84401</v>
      </c>
      <c r="K18" s="12">
        <v>34867.84401</v>
      </c>
      <c r="L18" s="12">
        <v>34867.84401</v>
      </c>
      <c r="M18" s="12">
        <v>34867.84401</v>
      </c>
      <c r="N18" s="12">
        <v>34867.84401</v>
      </c>
      <c r="O18" s="12">
        <v>34867.84401</v>
      </c>
    </row>
    <row r="19">
      <c r="B19" s="4" t="str">
        <f>'All Inputs'!B19</f>
        <v/>
      </c>
    </row>
    <row r="20">
      <c r="B20" s="4" t="str">
        <f>'All Inputs'!B20</f>
        <v/>
      </c>
    </row>
    <row r="21" ht="15.75" customHeight="1">
      <c r="B21" s="4" t="str">
        <f>'All Inputs'!B21</f>
        <v/>
      </c>
    </row>
    <row r="22" ht="15.75" customHeight="1">
      <c r="B22" s="4" t="str">
        <f>'All Inputs'!B22</f>
        <v/>
      </c>
    </row>
    <row r="23" ht="15.75" customHeight="1">
      <c r="B23" s="4" t="str">
        <f>'All Inputs'!B23</f>
        <v/>
      </c>
    </row>
    <row r="24" ht="15.75" customHeight="1">
      <c r="B24" s="4" t="str">
        <f>'All Inputs'!B24</f>
        <v/>
      </c>
    </row>
    <row r="25" ht="15.75" customHeight="1">
      <c r="B25" s="4" t="str">
        <f>'All Inputs'!B25</f>
        <v/>
      </c>
    </row>
    <row r="26" ht="15.75" customHeight="1">
      <c r="B26" s="4" t="str">
        <f>'All Inputs'!B26</f>
        <v/>
      </c>
    </row>
    <row r="27" ht="15.75" customHeight="1">
      <c r="B27" s="4" t="str">
        <f>'All Inputs'!B27</f>
        <v/>
      </c>
    </row>
    <row r="28" ht="15.75" customHeight="1">
      <c r="B28" s="4" t="str">
        <f>'All Inputs'!B28</f>
        <v/>
      </c>
    </row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B2:B16">
    <cfRule type="cellIs" dxfId="0" priority="1" operator="equal">
      <formula>MAX(B2:B16)</formula>
    </cfRule>
  </conditionalFormatting>
  <conditionalFormatting sqref="C2:C16">
    <cfRule type="cellIs" dxfId="0" priority="2" operator="equal">
      <formula>MAX(C2:C16)</formula>
    </cfRule>
  </conditionalFormatting>
  <conditionalFormatting sqref="D2:D16">
    <cfRule type="cellIs" dxfId="0" priority="3" operator="equal">
      <formula>MAX(D2:D16)</formula>
    </cfRule>
  </conditionalFormatting>
  <conditionalFormatting sqref="E2:E16">
    <cfRule type="cellIs" dxfId="0" priority="4" operator="equal">
      <formula>MAX(E2:E16)</formula>
    </cfRule>
  </conditionalFormatting>
  <conditionalFormatting sqref="F2:F16">
    <cfRule type="cellIs" dxfId="0" priority="5" operator="equal">
      <formula>MAX(F2:F16)</formula>
    </cfRule>
  </conditionalFormatting>
  <conditionalFormatting sqref="G2:G16">
    <cfRule type="cellIs" dxfId="0" priority="6" operator="equal">
      <formula>MAX(G2:G16)</formula>
    </cfRule>
  </conditionalFormatting>
  <conditionalFormatting sqref="H2:H16">
    <cfRule type="cellIs" dxfId="0" priority="7" operator="equal">
      <formula>MAX(H2:H16)</formula>
    </cfRule>
  </conditionalFormatting>
  <conditionalFormatting sqref="I2:I16">
    <cfRule type="cellIs" dxfId="0" priority="8" operator="equal">
      <formula>MAX(I2:I16)</formula>
    </cfRule>
  </conditionalFormatting>
  <conditionalFormatting sqref="J2:J16">
    <cfRule type="cellIs" dxfId="0" priority="9" operator="equal">
      <formula>MAX(J2:J16)</formula>
    </cfRule>
  </conditionalFormatting>
  <conditionalFormatting sqref="K2:K16">
    <cfRule type="cellIs" dxfId="0" priority="10" operator="equal">
      <formula>MAX(K2:K16)</formula>
    </cfRule>
  </conditionalFormatting>
  <conditionalFormatting sqref="L2:L16">
    <cfRule type="cellIs" dxfId="0" priority="11" operator="equal">
      <formula>MAX(L2:L16)</formula>
    </cfRule>
  </conditionalFormatting>
  <conditionalFormatting sqref="M2:M16">
    <cfRule type="cellIs" dxfId="0" priority="12" operator="equal">
      <formula>MAX(M2:M16)</formula>
    </cfRule>
  </conditionalFormatting>
  <conditionalFormatting sqref="N2:N16">
    <cfRule type="cellIs" dxfId="0" priority="13" operator="equal">
      <formula>MAX(N2:N16)</formula>
    </cfRule>
  </conditionalFormatting>
  <conditionalFormatting sqref="O2:O16">
    <cfRule type="cellIs" dxfId="0" priority="14" operator="equal">
      <formula>MAX(O2:O16)</formula>
    </cfRule>
  </conditionalFormatting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3" t="s">
        <v>1</v>
      </c>
    </row>
    <row r="2">
      <c r="A2" s="11" t="s">
        <v>74</v>
      </c>
      <c r="B2" s="4" t="str">
        <f>'All Inputs'!B13</f>
        <v/>
      </c>
    </row>
    <row r="3">
      <c r="A3" s="2" t="s">
        <v>75</v>
      </c>
      <c r="B3" s="2" t="str">
        <f>'All Inputs'!B3</f>
        <v/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</row>
    <row r="4">
      <c r="A4" s="10" t="s">
        <v>64</v>
      </c>
      <c r="B4" s="10" t="str">
        <f>'All Inputs'!B4</f>
        <v/>
      </c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</row>
    <row r="5">
      <c r="A5" s="10" t="s">
        <v>76</v>
      </c>
      <c r="B5" s="10" t="str">
        <f>'All Inputs'!B5</f>
        <v/>
      </c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</row>
    <row r="6">
      <c r="A6" s="10" t="s">
        <v>28</v>
      </c>
      <c r="B6" s="10" t="str">
        <f>'All Inputs'!B6</f>
        <v/>
      </c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</row>
    <row r="7">
      <c r="A7" s="10" t="s">
        <v>65</v>
      </c>
      <c r="B7" s="12" t="str">
        <f>'All Inputs'!B7</f>
        <v/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</row>
    <row r="8">
      <c r="A8" s="10" t="s">
        <v>66</v>
      </c>
      <c r="B8" s="12" t="str">
        <f>'All Inputs'!B8</f>
        <v/>
      </c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</row>
    <row r="9">
      <c r="A9" s="10" t="s">
        <v>36</v>
      </c>
      <c r="B9" s="10" t="str">
        <f>'All Inputs'!B9</f>
        <v/>
      </c>
      <c r="C9" s="10" t="s">
        <v>77</v>
      </c>
      <c r="D9" s="10" t="s">
        <v>46</v>
      </c>
      <c r="E9" s="10" t="s">
        <v>78</v>
      </c>
      <c r="F9" s="10" t="s">
        <v>48</v>
      </c>
      <c r="G9" s="10" t="s">
        <v>79</v>
      </c>
      <c r="H9" s="10" t="s">
        <v>52</v>
      </c>
      <c r="I9" s="10" t="s">
        <v>80</v>
      </c>
      <c r="J9" s="10" t="s">
        <v>40</v>
      </c>
      <c r="K9" s="10" t="s">
        <v>81</v>
      </c>
      <c r="L9" s="10" t="s">
        <v>82</v>
      </c>
      <c r="M9" s="10" t="s">
        <v>83</v>
      </c>
    </row>
    <row r="10">
      <c r="A10" s="10">
        <v>1.0</v>
      </c>
      <c r="B10" s="12" t="str">
        <f>'All Inputs'!B10</f>
        <v/>
      </c>
      <c r="C10" s="12">
        <v>95400.0</v>
      </c>
      <c r="D10" s="12">
        <v>99750.0</v>
      </c>
      <c r="E10" s="12">
        <v>99473.68421052632</v>
      </c>
      <c r="F10" s="12">
        <v>101175.0</v>
      </c>
      <c r="G10" s="12">
        <v>95850.0</v>
      </c>
      <c r="H10" s="12">
        <v>98800.0</v>
      </c>
      <c r="I10" s="12">
        <v>98526.3157894737</v>
      </c>
      <c r="J10" s="12">
        <v>102600.0</v>
      </c>
      <c r="K10" s="12">
        <v>110808.0</v>
      </c>
      <c r="L10" s="12">
        <v>133000.0</v>
      </c>
      <c r="M10" s="12">
        <v>126000.0</v>
      </c>
    </row>
    <row r="11">
      <c r="A11" s="10">
        <v>2.0</v>
      </c>
      <c r="B11" s="12" t="str">
        <f>'All Inputs'!B11</f>
        <v/>
      </c>
      <c r="C11" s="12">
        <v>96067.79999999999</v>
      </c>
      <c r="D11" s="12">
        <v>99500.625</v>
      </c>
      <c r="E11" s="12">
        <v>98950.13850415514</v>
      </c>
      <c r="F11" s="12">
        <v>102363.80625</v>
      </c>
      <c r="G11" s="12">
        <v>96976.23749999999</v>
      </c>
      <c r="H11" s="12">
        <v>97614.4</v>
      </c>
      <c r="I11" s="12">
        <v>97074.34903047091</v>
      </c>
      <c r="J11" s="12">
        <v>105267.6</v>
      </c>
      <c r="K11" s="12">
        <v>113689.008</v>
      </c>
      <c r="L11" s="12">
        <v>176890.0</v>
      </c>
      <c r="M11" s="12">
        <v>167580.0</v>
      </c>
    </row>
    <row r="12">
      <c r="A12" s="10">
        <v>3.0</v>
      </c>
      <c r="B12" s="12" t="str">
        <f>'All Inputs'!B12</f>
        <v/>
      </c>
      <c r="C12" s="12">
        <v>96740.27459999999</v>
      </c>
      <c r="D12" s="12">
        <v>99251.8734375</v>
      </c>
      <c r="E12" s="12">
        <v>98429.3483015017</v>
      </c>
      <c r="F12" s="12">
        <v>103566.5809734375</v>
      </c>
      <c r="G12" s="12">
        <v>98115.70829062499</v>
      </c>
      <c r="H12" s="12">
        <v>96443.0272</v>
      </c>
      <c r="I12" s="12">
        <v>95643.77967633765</v>
      </c>
      <c r="J12" s="12">
        <v>108004.5576</v>
      </c>
      <c r="K12" s="12">
        <v>116644.922208</v>
      </c>
      <c r="L12" s="12">
        <v>235263.7</v>
      </c>
      <c r="M12" s="12">
        <v>222881.4</v>
      </c>
    </row>
    <row r="13">
      <c r="A13" s="10">
        <v>4.0</v>
      </c>
      <c r="B13" s="12" t="str">
        <f>'All Inputs'!B13</f>
        <v/>
      </c>
      <c r="C13" s="12">
        <v>97417.4565222</v>
      </c>
      <c r="D13" s="12">
        <v>99003.74375390625</v>
      </c>
      <c r="E13" s="12">
        <v>97911.29909991485</v>
      </c>
      <c r="F13" s="12">
        <v>104783.4882998754</v>
      </c>
      <c r="G13" s="12">
        <v>99268.56786303983</v>
      </c>
      <c r="H13" s="12">
        <v>95285.71087360001</v>
      </c>
      <c r="I13" s="12">
        <v>94234.29239689688</v>
      </c>
      <c r="J13" s="12">
        <v>110812.6760976</v>
      </c>
      <c r="K13" s="12">
        <v>119677.690185408</v>
      </c>
      <c r="L13" s="12">
        <v>312900.721</v>
      </c>
      <c r="M13" s="12">
        <v>296432.2619999999</v>
      </c>
    </row>
    <row r="14">
      <c r="A14" s="10">
        <v>5.0</v>
      </c>
      <c r="B14" s="12" t="str">
        <f>'All Inputs'!B14</f>
        <v/>
      </c>
      <c r="C14" s="12">
        <v>98099.3787178554</v>
      </c>
      <c r="D14" s="12">
        <v>98756.2343945215</v>
      </c>
      <c r="E14" s="12">
        <v>97395.9764730732</v>
      </c>
      <c r="F14" s="12">
        <v>106014.6942873989</v>
      </c>
      <c r="G14" s="12">
        <v>100434.9735354305</v>
      </c>
      <c r="H14" s="12">
        <v>94142.2823431168</v>
      </c>
      <c r="I14" s="12">
        <v>92845.57650894261</v>
      </c>
      <c r="J14" s="12">
        <v>113693.8056761376</v>
      </c>
      <c r="K14" s="12">
        <v>122789.3101302287</v>
      </c>
      <c r="L14" s="12">
        <v>416157.9589299999</v>
      </c>
      <c r="M14" s="12">
        <v>394254.9084599999</v>
      </c>
    </row>
    <row r="15">
      <c r="A15" s="10">
        <v>6.0</v>
      </c>
      <c r="B15" s="12" t="str">
        <f>'All Inputs'!B15</f>
        <v/>
      </c>
      <c r="C15" s="12">
        <v>98786.07436888039</v>
      </c>
      <c r="D15" s="12">
        <v>98509.3438085352</v>
      </c>
      <c r="E15" s="12">
        <v>96883.36607058333</v>
      </c>
      <c r="F15" s="12">
        <v>107260.3669452758</v>
      </c>
      <c r="G15" s="12">
        <v>101615.0844744718</v>
      </c>
      <c r="H15" s="12">
        <v>93012.5749549994</v>
      </c>
      <c r="I15" s="12">
        <v>91477.32590775819</v>
      </c>
      <c r="J15" s="12">
        <v>116649.8446237172</v>
      </c>
      <c r="K15" s="12">
        <v>125981.8321936146</v>
      </c>
      <c r="L15" s="12">
        <v>553490.0853768999</v>
      </c>
      <c r="M15" s="12">
        <v>524359.0282518</v>
      </c>
    </row>
    <row r="16">
      <c r="A16" s="10">
        <v>7.0</v>
      </c>
      <c r="B16" s="12" t="str">
        <f>'All Inputs'!B16</f>
        <v/>
      </c>
      <c r="C16" s="12">
        <v>99477.57688946257</v>
      </c>
      <c r="D16" s="12">
        <v>98263.07044901386</v>
      </c>
      <c r="E16" s="12">
        <v>96373.45361758025</v>
      </c>
      <c r="F16" s="12">
        <v>108520.6762568828</v>
      </c>
      <c r="G16" s="12">
        <v>102809.0617170469</v>
      </c>
      <c r="H16" s="12">
        <v>91896.42405553942</v>
      </c>
      <c r="I16" s="12">
        <v>90129.23899964386</v>
      </c>
      <c r="J16" s="12">
        <v>119682.7405839339</v>
      </c>
      <c r="K16" s="12">
        <v>129257.3598306486</v>
      </c>
      <c r="L16" s="12">
        <v>736141.8135512768</v>
      </c>
      <c r="M16" s="12">
        <v>697397.5075748938</v>
      </c>
    </row>
    <row r="17">
      <c r="A17" s="10">
        <v>8.0</v>
      </c>
      <c r="B17" s="12" t="str">
        <f>'All Inputs'!B17</f>
        <v/>
      </c>
      <c r="C17" s="12">
        <v>100173.9199276888</v>
      </c>
      <c r="D17" s="12">
        <v>98017.41277289133</v>
      </c>
      <c r="E17" s="12">
        <v>95866.22491432982</v>
      </c>
      <c r="F17" s="12">
        <v>109795.7942029012</v>
      </c>
      <c r="G17" s="12">
        <v>104017.0681922222</v>
      </c>
      <c r="H17" s="12">
        <v>90793.66696687296</v>
      </c>
      <c r="I17" s="12">
        <v>88801.01863543858</v>
      </c>
      <c r="J17" s="12">
        <v>122794.4918391162</v>
      </c>
      <c r="K17" s="12">
        <v>132618.0511862455</v>
      </c>
      <c r="L17" s="12">
        <v>979068.612023198</v>
      </c>
      <c r="M17" s="12">
        <v>927538.6850746087</v>
      </c>
    </row>
    <row r="18">
      <c r="A18" s="10">
        <v>9.0</v>
      </c>
      <c r="B18" s="12" t="str">
        <f>'All Inputs'!B18</f>
        <v/>
      </c>
      <c r="C18" s="12">
        <v>100875.1373671826</v>
      </c>
      <c r="D18" s="12">
        <v>97772.3692409591</v>
      </c>
      <c r="E18" s="12">
        <v>95361.66583583335</v>
      </c>
      <c r="F18" s="12">
        <v>111085.8947847853</v>
      </c>
      <c r="G18" s="12">
        <v>105239.2687434808</v>
      </c>
      <c r="H18" s="12">
        <v>89704.1429632705</v>
      </c>
      <c r="I18" s="12">
        <v>87492.37204502159</v>
      </c>
      <c r="J18" s="12">
        <v>125987.1486269332</v>
      </c>
      <c r="K18" s="12">
        <v>136066.1205170878</v>
      </c>
      <c r="L18" s="12">
        <v>1302161.253990853</v>
      </c>
      <c r="M18" s="12">
        <v>1233626.451149229</v>
      </c>
    </row>
    <row r="19">
      <c r="A19" s="10">
        <v>10.0</v>
      </c>
      <c r="B19" s="12" t="str">
        <f>'All Inputs'!B19</f>
        <v/>
      </c>
      <c r="C19" s="12">
        <v>101581.2633287529</v>
      </c>
      <c r="D19" s="12">
        <v>97527.93831785671</v>
      </c>
      <c r="E19" s="12">
        <v>94859.76233143422</v>
      </c>
      <c r="F19" s="12">
        <v>112391.1540485065</v>
      </c>
      <c r="G19" s="12">
        <v>106475.8301512167</v>
      </c>
      <c r="H19" s="12">
        <v>88627.69324771126</v>
      </c>
      <c r="I19" s="12">
        <v>86203.01077277916</v>
      </c>
      <c r="J19" s="12">
        <v>129262.8144912334</v>
      </c>
      <c r="K19" s="12">
        <v>139603.8396505321</v>
      </c>
      <c r="L19" s="12">
        <v>1731874.467807835</v>
      </c>
      <c r="M19" s="12">
        <v>1640723.180028475</v>
      </c>
    </row>
    <row r="20">
      <c r="B20" s="4" t="str">
        <f>'All Inputs'!B20</f>
        <v/>
      </c>
    </row>
    <row r="21" ht="15.75" customHeight="1">
      <c r="B21" s="4" t="str">
        <f>'All Inputs'!B21</f>
        <v/>
      </c>
    </row>
    <row r="22" ht="15.75" customHeight="1">
      <c r="B22" s="4" t="str">
        <f>'All Inputs'!B22</f>
        <v/>
      </c>
    </row>
    <row r="23" ht="15.75" customHeight="1">
      <c r="B23" s="4" t="str">
        <f>'All Inputs'!B23</f>
        <v/>
      </c>
    </row>
    <row r="24" ht="15.75" customHeight="1">
      <c r="B24" s="4" t="str">
        <f>'All Inputs'!B24</f>
        <v/>
      </c>
    </row>
    <row r="25" ht="15.75" customHeight="1">
      <c r="B25" s="4" t="str">
        <f>'All Inputs'!B25</f>
        <v/>
      </c>
    </row>
    <row r="26" ht="15.75" customHeight="1">
      <c r="B26" s="4" t="str">
        <f>'All Inputs'!B26</f>
        <v/>
      </c>
    </row>
    <row r="27" ht="15.75" customHeight="1">
      <c r="B27" s="4" t="str">
        <f>'All Inputs'!B27</f>
        <v/>
      </c>
    </row>
    <row r="28" ht="15.75" customHeight="1">
      <c r="B28" s="4" t="str">
        <f>'All Inputs'!B28</f>
        <v/>
      </c>
    </row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B2:B17">
    <cfRule type="cellIs" dxfId="0" priority="1" operator="equal">
      <formula>MAX(B2:B17)</formula>
    </cfRule>
  </conditionalFormatting>
  <conditionalFormatting sqref="C2:C17">
    <cfRule type="cellIs" dxfId="0" priority="2" operator="equal">
      <formula>MAX(C2:C17)</formula>
    </cfRule>
  </conditionalFormatting>
  <conditionalFormatting sqref="D2:D17">
    <cfRule type="cellIs" dxfId="0" priority="3" operator="equal">
      <formula>MAX(D2:D17)</formula>
    </cfRule>
  </conditionalFormatting>
  <conditionalFormatting sqref="E2:E17">
    <cfRule type="cellIs" dxfId="0" priority="4" operator="equal">
      <formula>MAX(E2:E17)</formula>
    </cfRule>
  </conditionalFormatting>
  <conditionalFormatting sqref="F2:F17">
    <cfRule type="cellIs" dxfId="0" priority="5" operator="equal">
      <formula>MAX(F2:F17)</formula>
    </cfRule>
  </conditionalFormatting>
  <conditionalFormatting sqref="G2:G17">
    <cfRule type="cellIs" dxfId="0" priority="6" operator="equal">
      <formula>MAX(G2:G17)</formula>
    </cfRule>
  </conditionalFormatting>
  <conditionalFormatting sqref="H2:H17">
    <cfRule type="cellIs" dxfId="0" priority="7" operator="equal">
      <formula>MAX(H2:H17)</formula>
    </cfRule>
  </conditionalFormatting>
  <conditionalFormatting sqref="I2:I17">
    <cfRule type="cellIs" dxfId="0" priority="8" operator="equal">
      <formula>MAX(I2:I17)</formula>
    </cfRule>
  </conditionalFormatting>
  <conditionalFormatting sqref="J2:J17">
    <cfRule type="cellIs" dxfId="0" priority="9" operator="equal">
      <formula>MAX(J2:J17)</formula>
    </cfRule>
  </conditionalFormatting>
  <conditionalFormatting sqref="K2:K17">
    <cfRule type="cellIs" dxfId="0" priority="10" operator="equal">
      <formula>MAX(K2:K17)</formula>
    </cfRule>
  </conditionalFormatting>
  <conditionalFormatting sqref="L2:L17">
    <cfRule type="cellIs" dxfId="0" priority="11" operator="equal">
      <formula>MAX(L2:L17)</formula>
    </cfRule>
  </conditionalFormatting>
  <conditionalFormatting sqref="M2:M17">
    <cfRule type="cellIs" dxfId="0" priority="12" operator="equal">
      <formula>MAX(M2:M17)</formula>
    </cfRule>
  </conditionalFormatting>
  <printOptions/>
  <pageMargins bottom="1.0" footer="0.0" header="0.0" left="0.75" right="0.75" top="1.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2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2"/>
      <c r="B1" s="2"/>
    </row>
    <row r="2">
      <c r="A2" s="10"/>
      <c r="B2" s="10"/>
    </row>
    <row r="3">
      <c r="A3" s="10"/>
      <c r="B3" s="13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2" t="s">
        <v>84</v>
      </c>
      <c r="B1" s="2" t="s">
        <v>85</v>
      </c>
    </row>
    <row r="2">
      <c r="A2" s="10" t="s">
        <v>86</v>
      </c>
      <c r="B2" s="10">
        <v>8.5</v>
      </c>
    </row>
    <row r="3">
      <c r="A3" s="10" t="s">
        <v>87</v>
      </c>
      <c r="B3" s="10">
        <v>0.0</v>
      </c>
    </row>
    <row r="4">
      <c r="A4" s="10" t="s">
        <v>88</v>
      </c>
      <c r="B4" s="10">
        <v>0.0</v>
      </c>
    </row>
    <row r="5">
      <c r="A5" s="10" t="s">
        <v>89</v>
      </c>
      <c r="B5" s="10">
        <v>0.0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2" t="s">
        <v>90</v>
      </c>
    </row>
    <row r="2">
      <c r="A2" s="4" t="s">
        <v>91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2025-03-02T21:48:08Z</dcterms:created>
  <dc:creator>openpyxl</dc:creator>
</cp:coreProperties>
</file>