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QRMYH\OneDrive - Securian Financial\"/>
    </mc:Choice>
  </mc:AlternateContent>
  <xr:revisionPtr revIDLastSave="0" documentId="8_{C88B8EEA-D0A4-4054-9100-B63308418017}" xr6:coauthVersionLast="47" xr6:coauthVersionMax="47" xr10:uidLastSave="{00000000-0000-0000-0000-000000000000}"/>
  <bookViews>
    <workbookView xWindow="-110" yWindow="-110" windowWidth="19420" windowHeight="10300" xr2:uid="{A399CEE6-69C6-44DD-98CA-088B00638C32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39" i="1"/>
  <c r="F41" i="1"/>
  <c r="I16" i="1"/>
  <c r="M16" i="1" s="1"/>
  <c r="I12" i="1"/>
  <c r="H24" i="1" s="1"/>
  <c r="I17" i="1"/>
  <c r="H29" i="1" s="1"/>
  <c r="I15" i="1"/>
  <c r="H27" i="1" s="1"/>
  <c r="I14" i="1"/>
  <c r="H26" i="1" s="1"/>
  <c r="I13" i="1"/>
  <c r="M13" i="1" s="1"/>
  <c r="H48" i="1" l="1"/>
  <c r="F48" i="1" s="1"/>
  <c r="H47" i="1"/>
  <c r="F47" i="1" s="1"/>
  <c r="H43" i="1"/>
  <c r="F43" i="1" s="1"/>
  <c r="H44" i="1"/>
  <c r="F44" i="1" s="1"/>
  <c r="H45" i="1"/>
  <c r="F45" i="1" s="1"/>
  <c r="H46" i="1"/>
  <c r="F46" i="1" s="1"/>
  <c r="F42" i="1"/>
  <c r="M17" i="1"/>
  <c r="H28" i="1"/>
  <c r="M15" i="1"/>
  <c r="M14" i="1"/>
  <c r="H25" i="1"/>
  <c r="M12" i="1"/>
  <c r="H30" i="1" l="1"/>
  <c r="M21" i="1" s="1"/>
  <c r="M20" i="1"/>
</calcChain>
</file>

<file path=xl/sharedStrings.xml><?xml version="1.0" encoding="utf-8"?>
<sst xmlns="http://schemas.openxmlformats.org/spreadsheetml/2006/main" count="59" uniqueCount="38">
  <si>
    <t>Ultra Returns</t>
  </si>
  <si>
    <t>Expected S&amp;P 500 Performance %</t>
  </si>
  <si>
    <t>Current Rates</t>
  </si>
  <si>
    <t xml:space="preserve">Method </t>
  </si>
  <si>
    <t>Interest Credited</t>
  </si>
  <si>
    <t>Method</t>
  </si>
  <si>
    <t>Account Value</t>
  </si>
  <si>
    <t>Cap</t>
  </si>
  <si>
    <t xml:space="preserve">Cap </t>
  </si>
  <si>
    <t xml:space="preserve">Guaranteed Cap </t>
  </si>
  <si>
    <t xml:space="preserve">Guaranteed Cap  </t>
  </si>
  <si>
    <t xml:space="preserve">Participation </t>
  </si>
  <si>
    <t xml:space="preserve">Participation  </t>
  </si>
  <si>
    <t xml:space="preserve">Trigger </t>
  </si>
  <si>
    <t xml:space="preserve">Inverse Trigger </t>
  </si>
  <si>
    <t xml:space="preserve">Fixed </t>
  </si>
  <si>
    <t>Initial Contribution</t>
  </si>
  <si>
    <t>Single Allocation Highest:</t>
  </si>
  <si>
    <t>Ultra Allocation Returns</t>
  </si>
  <si>
    <t>Mixed Allocation Highest:</t>
  </si>
  <si>
    <t>Allocations</t>
  </si>
  <si>
    <t>Input</t>
  </si>
  <si>
    <t>Return</t>
  </si>
  <si>
    <t xml:space="preserve">Performance Trigger </t>
  </si>
  <si>
    <t xml:space="preserve">Inverse Performance Trigger </t>
  </si>
  <si>
    <t>Totals</t>
  </si>
  <si>
    <t>Bond Returns</t>
  </si>
  <si>
    <t>Alexa Amundson</t>
  </si>
  <si>
    <t>Value</t>
  </si>
  <si>
    <t>Internal Annuity Wholesaler</t>
  </si>
  <si>
    <t>Bond Returns %</t>
  </si>
  <si>
    <t>651-665-4495</t>
  </si>
  <si>
    <t>Inflation Rate %</t>
  </si>
  <si>
    <t>alexa.amundson@securian.com</t>
  </si>
  <si>
    <t>Investment Period</t>
  </si>
  <si>
    <t xml:space="preserve">Real Bond Return </t>
  </si>
  <si>
    <t>FV of Bond Investment</t>
  </si>
  <si>
    <t>Real Crediting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</si>
</sst>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b/>
      <sz val="8"/>
      <color theme="1"/>
      <name val="Tahoma"/>
      <family val="2"/>
    </font>
    <font>
      <b/>
      <sz val="8"/>
      <color rgb="FF00B050"/>
      <name val="Tahoma"/>
      <family val="2"/>
    </font>
    <font>
      <b/>
      <sz val="8"/>
      <name val="Tahoma"/>
      <family val="2"/>
    </font>
    <font>
      <u/>
      <sz val="11"/>
      <color theme="10"/>
      <name val="Aptos Narrow"/>
      <family val="2"/>
      <scheme val="minor"/>
    </font>
    <font>
      <b/>
      <u/>
      <sz val="11"/>
      <name val="Tahoma"/>
      <family val="2"/>
    </font>
    <font>
      <b/>
      <sz val="14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3">
    <xf numFmtId="0" fontId="0" fillId="0" borderId="0" xfId="0"/>
    <xf numFmtId="0" fontId="3" fillId="3" borderId="0" xfId="0" applyFont="1" applyFill="1"/>
    <xf numFmtId="0" fontId="3" fillId="4" borderId="0" xfId="0" applyFont="1" applyFill="1"/>
    <xf numFmtId="0" fontId="4" fillId="4" borderId="1" xfId="0" applyFont="1" applyFill="1" applyBorder="1"/>
    <xf numFmtId="0" fontId="4" fillId="4" borderId="9" xfId="0" applyFont="1" applyFill="1" applyBorder="1"/>
    <xf numFmtId="0" fontId="4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5" fillId="4" borderId="0" xfId="0" applyFont="1" applyFill="1"/>
    <xf numFmtId="0" fontId="4" fillId="4" borderId="0" xfId="0" applyFont="1" applyFill="1"/>
    <xf numFmtId="0" fontId="3" fillId="4" borderId="7" xfId="0" applyFont="1" applyFill="1" applyBorder="1"/>
    <xf numFmtId="9" fontId="3" fillId="2" borderId="8" xfId="0" applyNumberFormat="1" applyFont="1" applyFill="1" applyBorder="1"/>
    <xf numFmtId="9" fontId="3" fillId="0" borderId="0" xfId="0" applyNumberFormat="1" applyFont="1"/>
    <xf numFmtId="10" fontId="3" fillId="4" borderId="0" xfId="0" applyNumberFormat="1" applyFont="1" applyFill="1"/>
    <xf numFmtId="0" fontId="3" fillId="4" borderId="1" xfId="0" applyFont="1" applyFill="1" applyBorder="1"/>
    <xf numFmtId="10" fontId="3" fillId="2" borderId="2" xfId="0" applyNumberFormat="1" applyFont="1" applyFill="1" applyBorder="1"/>
    <xf numFmtId="0" fontId="3" fillId="4" borderId="9" xfId="0" applyFont="1" applyFill="1" applyBorder="1"/>
    <xf numFmtId="10" fontId="3" fillId="4" borderId="9" xfId="2" applyNumberFormat="1" applyFont="1" applyFill="1" applyBorder="1"/>
    <xf numFmtId="10" fontId="3" fillId="4" borderId="2" xfId="2" applyNumberFormat="1" applyFont="1" applyFill="1" applyBorder="1"/>
    <xf numFmtId="44" fontId="3" fillId="4" borderId="2" xfId="1" applyFont="1" applyFill="1" applyBorder="1"/>
    <xf numFmtId="10" fontId="3" fillId="2" borderId="4" xfId="0" applyNumberFormat="1" applyFont="1" applyFill="1" applyBorder="1"/>
    <xf numFmtId="10" fontId="3" fillId="4" borderId="0" xfId="2" applyNumberFormat="1" applyFont="1" applyFill="1" applyBorder="1"/>
    <xf numFmtId="10" fontId="3" fillId="4" borderId="4" xfId="2" applyNumberFormat="1" applyFont="1" applyFill="1" applyBorder="1"/>
    <xf numFmtId="44" fontId="3" fillId="4" borderId="4" xfId="1" applyFont="1" applyFill="1" applyBorder="1"/>
    <xf numFmtId="0" fontId="3" fillId="4" borderId="5" xfId="0" applyFont="1" applyFill="1" applyBorder="1"/>
    <xf numFmtId="0" fontId="3" fillId="4" borderId="10" xfId="0" applyFont="1" applyFill="1" applyBorder="1"/>
    <xf numFmtId="10" fontId="3" fillId="4" borderId="10" xfId="2" applyNumberFormat="1" applyFont="1" applyFill="1" applyBorder="1"/>
    <xf numFmtId="10" fontId="3" fillId="4" borderId="6" xfId="2" applyNumberFormat="1" applyFont="1" applyFill="1" applyBorder="1"/>
    <xf numFmtId="44" fontId="3" fillId="4" borderId="6" xfId="1" applyFont="1" applyFill="1" applyBorder="1"/>
    <xf numFmtId="6" fontId="3" fillId="2" borderId="8" xfId="1" applyNumberFormat="1" applyFont="1" applyFill="1" applyBorder="1"/>
    <xf numFmtId="6" fontId="3" fillId="4" borderId="0" xfId="1" applyNumberFormat="1" applyFont="1" applyFill="1" applyBorder="1"/>
    <xf numFmtId="44" fontId="3" fillId="4" borderId="2" xfId="0" applyNumberFormat="1" applyFont="1" applyFill="1" applyBorder="1"/>
    <xf numFmtId="44" fontId="3" fillId="4" borderId="0" xfId="1" applyFont="1" applyFill="1" applyBorder="1"/>
    <xf numFmtId="0" fontId="3" fillId="4" borderId="0" xfId="0" applyFont="1" applyFill="1" applyAlignment="1">
      <alignment horizontal="right"/>
    </xf>
    <xf numFmtId="9" fontId="3" fillId="2" borderId="2" xfId="0" applyNumberFormat="1" applyFont="1" applyFill="1" applyBorder="1"/>
    <xf numFmtId="8" fontId="3" fillId="4" borderId="2" xfId="0" applyNumberFormat="1" applyFont="1" applyFill="1" applyBorder="1"/>
    <xf numFmtId="8" fontId="3" fillId="4" borderId="0" xfId="0" applyNumberFormat="1" applyFont="1" applyFill="1"/>
    <xf numFmtId="9" fontId="3" fillId="2" borderId="4" xfId="0" applyNumberFormat="1" applyFont="1" applyFill="1" applyBorder="1"/>
    <xf numFmtId="8" fontId="3" fillId="4" borderId="4" xfId="0" applyNumberFormat="1" applyFont="1" applyFill="1" applyBorder="1"/>
    <xf numFmtId="9" fontId="3" fillId="2" borderId="6" xfId="0" applyNumberFormat="1" applyFont="1" applyFill="1" applyBorder="1"/>
    <xf numFmtId="8" fontId="3" fillId="4" borderId="6" xfId="0" applyNumberFormat="1" applyFont="1" applyFill="1" applyBorder="1"/>
    <xf numFmtId="0" fontId="5" fillId="4" borderId="3" xfId="0" applyFont="1" applyFill="1" applyBorder="1"/>
    <xf numFmtId="9" fontId="5" fillId="4" borderId="0" xfId="0" applyNumberFormat="1" applyFont="1" applyFill="1"/>
    <xf numFmtId="8" fontId="5" fillId="4" borderId="0" xfId="0" applyNumberFormat="1" applyFont="1" applyFill="1"/>
    <xf numFmtId="0" fontId="5" fillId="4" borderId="4" xfId="0" applyFont="1" applyFill="1" applyBorder="1"/>
    <xf numFmtId="0" fontId="3" fillId="2" borderId="6" xfId="0" applyFont="1" applyFill="1" applyBorder="1"/>
    <xf numFmtId="6" fontId="3" fillId="4" borderId="0" xfId="0" applyNumberFormat="1" applyFont="1" applyFill="1"/>
    <xf numFmtId="10" fontId="3" fillId="4" borderId="9" xfId="0" applyNumberFormat="1" applyFont="1" applyFill="1" applyBorder="1"/>
    <xf numFmtId="10" fontId="3" fillId="4" borderId="2" xfId="0" applyNumberFormat="1" applyFont="1" applyFill="1" applyBorder="1"/>
    <xf numFmtId="10" fontId="5" fillId="4" borderId="4" xfId="0" applyNumberFormat="1" applyFont="1" applyFill="1" applyBorder="1"/>
    <xf numFmtId="8" fontId="3" fillId="4" borderId="10" xfId="0" applyNumberFormat="1" applyFont="1" applyFill="1" applyBorder="1"/>
    <xf numFmtId="10" fontId="5" fillId="4" borderId="6" xfId="0" applyNumberFormat="1" applyFont="1" applyFill="1" applyBorder="1"/>
    <xf numFmtId="0" fontId="3" fillId="4" borderId="6" xfId="0" applyFont="1" applyFill="1" applyBorder="1"/>
    <xf numFmtId="0" fontId="3" fillId="5" borderId="0" xfId="0" applyFont="1" applyFill="1"/>
    <xf numFmtId="0" fontId="5" fillId="5" borderId="0" xfId="0" applyFont="1" applyFill="1"/>
    <xf numFmtId="10" fontId="3" fillId="5" borderId="0" xfId="0" applyNumberFormat="1" applyFont="1" applyFill="1"/>
    <xf numFmtId="0" fontId="3" fillId="5" borderId="0" xfId="0" applyFont="1" applyFill="1" applyAlignment="1">
      <alignment horizontal="right"/>
    </xf>
    <xf numFmtId="0" fontId="6" fillId="5" borderId="0" xfId="3" applyFill="1" applyBorder="1" applyAlignment="1"/>
    <xf numFmtId="10" fontId="5" fillId="4" borderId="4" xfId="0" applyNumberFormat="1" applyFont="1" applyFill="1" applyBorder="1" applyAlignment="1">
      <alignment horizontal="right"/>
    </xf>
    <xf numFmtId="0" fontId="8" fillId="5" borderId="0" xfId="0" applyFont="1" applyFill="1"/>
    <xf numFmtId="0" fontId="2" fillId="5" borderId="0" xfId="0" applyFont="1" applyFill="1"/>
    <xf numFmtId="0" fontId="7" fillId="5" borderId="0" xfId="3" applyFont="1" applyFill="1" applyBorder="1"/>
    <xf numFmtId="0" fontId="3" fillId="0" borderId="0" xfId="0" applyFo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28059</xdr:colOff>
      <xdr:row>26</xdr:row>
      <xdr:rowOff>61229</xdr:rowOff>
    </xdr:from>
    <xdr:to>
      <xdr:col>11</xdr:col>
      <xdr:colOff>612556</xdr:colOff>
      <xdr:row>31</xdr:row>
      <xdr:rowOff>151641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22CA1-EA44-67FF-38BA-E91ACFA1F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420596" y="3264662"/>
          <a:ext cx="584497" cy="725413"/>
        </a:xfrm>
        <a:prstGeom prst="rect">
          <a:avLst/>
        </a:prstGeom>
      </xdr:spPr>
    </xdr:pic>
    <xdr:clientData/>
  </xdr:twoCellAnchor>
  <xdr:twoCellAnchor editAs="oneCell">
    <xdr:from>
      <xdr:col>11</xdr:col>
      <xdr:colOff>32844</xdr:colOff>
      <xdr:row>38</xdr:row>
      <xdr:rowOff>42425</xdr:rowOff>
    </xdr:from>
    <xdr:to>
      <xdr:col>12</xdr:col>
      <xdr:colOff>1135680</xdr:colOff>
      <xdr:row>45</xdr:row>
      <xdr:rowOff>11982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4C9090-AA3A-CC74-FA0B-E0F36549A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7750" y="5158368"/>
          <a:ext cx="2864062" cy="892104"/>
        </a:xfrm>
        <a:prstGeom prst="rect">
          <a:avLst/>
        </a:prstGeom>
      </xdr:spPr>
    </xdr:pic>
    <xdr:clientData/>
  </xdr:twoCellAnchor>
  <xdr:twoCellAnchor editAs="oneCell">
    <xdr:from>
      <xdr:col>11</xdr:col>
      <xdr:colOff>1300366</xdr:colOff>
      <xdr:row>4</xdr:row>
      <xdr:rowOff>88860</xdr:rowOff>
    </xdr:from>
    <xdr:to>
      <xdr:col>14</xdr:col>
      <xdr:colOff>91874</xdr:colOff>
      <xdr:row>8</xdr:row>
      <xdr:rowOff>58711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41859E-1751-445C-A6DD-43F5485C2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5272" y="352445"/>
          <a:ext cx="2086319" cy="652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xa.amundson@securi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9172-7C74-490A-B8D3-E45FD8159A11}">
  <dimension ref="B4:P51"/>
  <sheetViews>
    <sheetView tabSelected="1" zoomScale="70" zoomScaleNormal="59" workbookViewId="0">
      <selection activeCell="I34" sqref="I34"/>
    </sheetView>
  </sheetViews>
  <sheetFormatPr defaultColWidth="8.7265625" defaultRowHeight="10" x14ac:dyDescent="0.2"/>
  <cols>
    <col min="1" max="1" width="8.7265625" style="2"/>
    <col min="2" max="2" width="3.1796875" style="2" customWidth="1"/>
    <col min="3" max="3" width="2.54296875" style="2" customWidth="1"/>
    <col min="4" max="4" width="2.453125" style="2" customWidth="1"/>
    <col min="5" max="5" width="32" style="2" customWidth="1"/>
    <col min="6" max="6" width="13.453125" style="2" customWidth="1"/>
    <col min="7" max="7" width="2.453125" style="2" customWidth="1"/>
    <col min="8" max="8" width="17.453125" style="2" customWidth="1"/>
    <col min="9" max="9" width="14.7265625" style="2" customWidth="1"/>
    <col min="10" max="10" width="1.81640625" style="2" customWidth="1"/>
    <col min="11" max="11" width="2.1796875" style="2" customWidth="1"/>
    <col min="12" max="12" width="25.1796875" style="2" customWidth="1"/>
    <col min="13" max="13" width="19.453125" style="2" customWidth="1"/>
    <col min="14" max="14" width="2.54296875" style="2" customWidth="1"/>
    <col min="15" max="15" width="2.7265625" style="2" customWidth="1"/>
    <col min="16" max="16" width="2.54296875" style="2" customWidth="1"/>
    <col min="17" max="18" width="8.7265625" style="2" customWidth="1"/>
    <col min="19" max="19" width="2.1796875" style="2" customWidth="1"/>
    <col min="20" max="16384" width="8.7265625" style="2"/>
  </cols>
  <sheetData>
    <row r="4" spans="2:16" ht="10.5" thickBo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x14ac:dyDescent="0.2">
      <c r="B5" s="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P5" s="1"/>
    </row>
    <row r="6" spans="2:16" x14ac:dyDescent="0.2">
      <c r="B6" s="1"/>
      <c r="C6" s="6"/>
      <c r="O6" s="7"/>
      <c r="P6" s="1"/>
    </row>
    <row r="7" spans="2:16" ht="22.5" customHeight="1" x14ac:dyDescent="0.2">
      <c r="B7" s="1"/>
      <c r="C7" s="6"/>
      <c r="E7" s="8" t="s">
        <v>0</v>
      </c>
      <c r="O7" s="7"/>
      <c r="P7" s="1"/>
    </row>
    <row r="8" spans="2:16" ht="10.5" thickBot="1" x14ac:dyDescent="0.25">
      <c r="B8" s="1"/>
      <c r="C8" s="6"/>
      <c r="E8" s="9"/>
      <c r="O8" s="7"/>
      <c r="P8" s="1"/>
    </row>
    <row r="9" spans="2:16" ht="10.5" thickBot="1" x14ac:dyDescent="0.25">
      <c r="B9" s="1"/>
      <c r="C9" s="6"/>
      <c r="E9" s="10" t="s">
        <v>1</v>
      </c>
      <c r="F9" s="11">
        <v>0.1</v>
      </c>
      <c r="O9" s="7"/>
      <c r="P9" s="1"/>
    </row>
    <row r="10" spans="2:16" x14ac:dyDescent="0.2">
      <c r="B10" s="1"/>
      <c r="C10" s="6"/>
      <c r="F10" s="12"/>
      <c r="O10" s="7"/>
      <c r="P10" s="1"/>
    </row>
    <row r="11" spans="2:16" ht="10.5" thickBot="1" x14ac:dyDescent="0.25">
      <c r="B11" s="1"/>
      <c r="C11" s="6"/>
      <c r="E11" s="2" t="s">
        <v>2</v>
      </c>
      <c r="F11" s="13"/>
      <c r="H11" s="2" t="s">
        <v>3</v>
      </c>
      <c r="I11" s="2" t="s">
        <v>4</v>
      </c>
      <c r="L11" s="2" t="s">
        <v>5</v>
      </c>
      <c r="M11" s="2" t="s">
        <v>6</v>
      </c>
      <c r="O11" s="7"/>
      <c r="P11" s="1"/>
    </row>
    <row r="12" spans="2:16" x14ac:dyDescent="0.2">
      <c r="B12" s="1"/>
      <c r="C12" s="6"/>
      <c r="E12" s="14" t="s">
        <v>7</v>
      </c>
      <c r="F12" s="15">
        <v>0.105</v>
      </c>
      <c r="G12" s="14"/>
      <c r="H12" s="16" t="s">
        <v>8</v>
      </c>
      <c r="I12" s="17">
        <f>IF(F9&lt;=F12,F9,F12)</f>
        <v>0.1</v>
      </c>
      <c r="J12" s="18"/>
      <c r="K12" s="16"/>
      <c r="L12" s="16" t="s">
        <v>8</v>
      </c>
      <c r="M12" s="19">
        <f>F18*(1+I12)</f>
        <v>550000</v>
      </c>
      <c r="O12" s="7"/>
      <c r="P12" s="1"/>
    </row>
    <row r="13" spans="2:16" x14ac:dyDescent="0.2">
      <c r="B13" s="1"/>
      <c r="C13" s="6"/>
      <c r="E13" s="6" t="s">
        <v>9</v>
      </c>
      <c r="F13" s="20">
        <v>8.5999999999999993E-2</v>
      </c>
      <c r="G13" s="6"/>
      <c r="H13" s="2" t="s">
        <v>10</v>
      </c>
      <c r="I13" s="21">
        <f>IF(F9&lt;=F13,F9,F13)</f>
        <v>8.5999999999999993E-2</v>
      </c>
      <c r="J13" s="22"/>
      <c r="L13" s="2" t="s">
        <v>10</v>
      </c>
      <c r="M13" s="23">
        <f>F18*(1+I13)</f>
        <v>543000</v>
      </c>
      <c r="O13" s="7"/>
      <c r="P13" s="1"/>
    </row>
    <row r="14" spans="2:16" x14ac:dyDescent="0.2">
      <c r="B14" s="1"/>
      <c r="C14" s="6"/>
      <c r="E14" s="6" t="s">
        <v>11</v>
      </c>
      <c r="F14" s="20">
        <v>0.6</v>
      </c>
      <c r="G14" s="6"/>
      <c r="H14" s="2" t="s">
        <v>12</v>
      </c>
      <c r="I14" s="21">
        <f>IF(F9&gt;0,F9*F14,F9)</f>
        <v>0.06</v>
      </c>
      <c r="J14" s="22"/>
      <c r="L14" s="2" t="s">
        <v>12</v>
      </c>
      <c r="M14" s="23">
        <f>F18*(1+I14)</f>
        <v>530000</v>
      </c>
      <c r="O14" s="7"/>
      <c r="P14" s="1"/>
    </row>
    <row r="15" spans="2:16" x14ac:dyDescent="0.2">
      <c r="B15" s="1"/>
      <c r="C15" s="6"/>
      <c r="E15" s="6" t="s">
        <v>13</v>
      </c>
      <c r="F15" s="20">
        <v>6.5000000000000002E-2</v>
      </c>
      <c r="G15" s="6"/>
      <c r="H15" s="2" t="s">
        <v>13</v>
      </c>
      <c r="I15" s="21">
        <f>IF(F9&gt;0,F15,0)</f>
        <v>6.5000000000000002E-2</v>
      </c>
      <c r="J15" s="22"/>
      <c r="L15" s="2" t="s">
        <v>13</v>
      </c>
      <c r="M15" s="23">
        <f>F18*(1+I15)</f>
        <v>532500</v>
      </c>
      <c r="O15" s="7"/>
      <c r="P15" s="1"/>
    </row>
    <row r="16" spans="2:16" x14ac:dyDescent="0.2">
      <c r="B16" s="1"/>
      <c r="C16" s="6"/>
      <c r="E16" s="6" t="s">
        <v>14</v>
      </c>
      <c r="F16" s="20">
        <v>0.14699999999999999</v>
      </c>
      <c r="G16" s="6"/>
      <c r="H16" s="2" t="s">
        <v>14</v>
      </c>
      <c r="I16" s="21">
        <f>IF(F9&lt;0,F16,0)</f>
        <v>0</v>
      </c>
      <c r="J16" s="22"/>
      <c r="L16" s="2" t="s">
        <v>14</v>
      </c>
      <c r="M16" s="23">
        <f>F18*(1+I16)</f>
        <v>500000</v>
      </c>
      <c r="O16" s="7"/>
      <c r="P16" s="1"/>
    </row>
    <row r="17" spans="2:16" ht="10.5" thickBot="1" x14ac:dyDescent="0.25">
      <c r="B17" s="1"/>
      <c r="C17" s="6"/>
      <c r="E17" s="6" t="s">
        <v>15</v>
      </c>
      <c r="F17" s="20">
        <v>4.2999999999999997E-2</v>
      </c>
      <c r="G17" s="24"/>
      <c r="H17" s="25" t="s">
        <v>15</v>
      </c>
      <c r="I17" s="26">
        <f>F17</f>
        <v>4.2999999999999997E-2</v>
      </c>
      <c r="J17" s="27"/>
      <c r="K17" s="25"/>
      <c r="L17" s="25" t="s">
        <v>15</v>
      </c>
      <c r="M17" s="28">
        <f>F18*(1+I17)</f>
        <v>521499.99999999994</v>
      </c>
      <c r="O17" s="7"/>
      <c r="P17" s="1"/>
    </row>
    <row r="18" spans="2:16" ht="10.5" thickBot="1" x14ac:dyDescent="0.25">
      <c r="B18" s="1"/>
      <c r="C18" s="6"/>
      <c r="E18" s="10" t="s">
        <v>16</v>
      </c>
      <c r="F18" s="29">
        <v>500000</v>
      </c>
      <c r="O18" s="7"/>
      <c r="P18" s="1"/>
    </row>
    <row r="19" spans="2:16" ht="10.5" thickBot="1" x14ac:dyDescent="0.25">
      <c r="B19" s="1"/>
      <c r="C19" s="6"/>
      <c r="F19" s="30"/>
      <c r="O19" s="7"/>
      <c r="P19" s="1"/>
    </row>
    <row r="20" spans="2:16" x14ac:dyDescent="0.2">
      <c r="B20" s="1"/>
      <c r="C20" s="6"/>
      <c r="F20" s="13"/>
      <c r="L20" s="14" t="s">
        <v>17</v>
      </c>
      <c r="M20" s="31">
        <f>MAX(M12,M13,M14,M15,M16,M17)</f>
        <v>550000</v>
      </c>
      <c r="O20" s="7"/>
      <c r="P20" s="1"/>
    </row>
    <row r="21" spans="2:16" ht="10.5" thickBot="1" x14ac:dyDescent="0.25">
      <c r="B21" s="1"/>
      <c r="C21" s="6"/>
      <c r="E21" s="8" t="s">
        <v>18</v>
      </c>
      <c r="F21" s="13"/>
      <c r="L21" s="24" t="s">
        <v>19</v>
      </c>
      <c r="M21" s="28">
        <f>H30</f>
        <v>544750</v>
      </c>
      <c r="O21" s="7"/>
      <c r="P21" s="1"/>
    </row>
    <row r="22" spans="2:16" x14ac:dyDescent="0.2">
      <c r="B22" s="1"/>
      <c r="C22" s="6"/>
      <c r="E22" s="8"/>
      <c r="F22" s="13"/>
      <c r="M22" s="32"/>
      <c r="O22" s="7"/>
      <c r="P22" s="1"/>
    </row>
    <row r="23" spans="2:16" ht="10.5" thickBot="1" x14ac:dyDescent="0.25">
      <c r="B23" s="1"/>
      <c r="C23" s="6"/>
      <c r="E23" s="2" t="s">
        <v>20</v>
      </c>
      <c r="F23" s="2" t="s">
        <v>21</v>
      </c>
      <c r="H23" s="33" t="s">
        <v>22</v>
      </c>
      <c r="O23" s="7"/>
      <c r="P23" s="1"/>
    </row>
    <row r="24" spans="2:16" x14ac:dyDescent="0.2">
      <c r="B24" s="1"/>
      <c r="C24" s="6"/>
      <c r="E24" s="14" t="s">
        <v>8</v>
      </c>
      <c r="F24" s="34">
        <v>0.25</v>
      </c>
      <c r="G24" s="14"/>
      <c r="H24" s="35">
        <f>F18*F24*(1+I12)</f>
        <v>137500</v>
      </c>
      <c r="L24" s="36"/>
      <c r="O24" s="7"/>
      <c r="P24" s="1"/>
    </row>
    <row r="25" spans="2:16" x14ac:dyDescent="0.2">
      <c r="B25" s="1"/>
      <c r="C25" s="6"/>
      <c r="E25" s="6" t="s">
        <v>10</v>
      </c>
      <c r="F25" s="37">
        <v>0.75</v>
      </c>
      <c r="G25" s="6"/>
      <c r="H25" s="38">
        <f>F18*(F25*(1+I13))</f>
        <v>407250</v>
      </c>
      <c r="K25" s="62"/>
      <c r="L25" s="62"/>
      <c r="M25" s="62"/>
      <c r="O25" s="7"/>
      <c r="P25" s="1"/>
    </row>
    <row r="26" spans="2:16" x14ac:dyDescent="0.2">
      <c r="B26" s="1"/>
      <c r="C26" s="6"/>
      <c r="E26" s="6" t="s">
        <v>12</v>
      </c>
      <c r="F26" s="37">
        <v>0</v>
      </c>
      <c r="G26" s="6"/>
      <c r="H26" s="38">
        <f>F18*(F26*(1+I14))</f>
        <v>0</v>
      </c>
      <c r="K26" s="53"/>
      <c r="L26" s="53"/>
      <c r="M26" s="53"/>
      <c r="O26" s="7"/>
      <c r="P26" s="1"/>
    </row>
    <row r="27" spans="2:16" x14ac:dyDescent="0.2">
      <c r="B27" s="1"/>
      <c r="C27" s="6"/>
      <c r="E27" s="6" t="s">
        <v>23</v>
      </c>
      <c r="F27" s="37">
        <v>0</v>
      </c>
      <c r="G27" s="6"/>
      <c r="H27" s="38">
        <f>F18*(F27*(1+I15))</f>
        <v>0</v>
      </c>
      <c r="K27" s="53"/>
      <c r="L27" s="53"/>
      <c r="M27" s="53"/>
      <c r="O27" s="7"/>
      <c r="P27" s="1"/>
    </row>
    <row r="28" spans="2:16" x14ac:dyDescent="0.2">
      <c r="B28" s="1"/>
      <c r="C28" s="6"/>
      <c r="E28" s="6" t="s">
        <v>24</v>
      </c>
      <c r="F28" s="37">
        <v>0</v>
      </c>
      <c r="G28" s="6"/>
      <c r="H28" s="38">
        <f>F18*(F28*(I16))</f>
        <v>0</v>
      </c>
      <c r="K28" s="53"/>
      <c r="L28" s="56"/>
      <c r="M28" s="53"/>
      <c r="O28" s="7"/>
      <c r="P28" s="1"/>
    </row>
    <row r="29" spans="2:16" ht="10.5" thickBot="1" x14ac:dyDescent="0.25">
      <c r="B29" s="1"/>
      <c r="C29" s="6"/>
      <c r="E29" s="24" t="s">
        <v>15</v>
      </c>
      <c r="F29" s="39">
        <v>0</v>
      </c>
      <c r="G29" s="24"/>
      <c r="H29" s="40">
        <f>F18*(F29*(1+I17))</f>
        <v>0</v>
      </c>
      <c r="K29" s="53"/>
      <c r="L29" s="56"/>
      <c r="M29" s="53"/>
      <c r="O29" s="7"/>
      <c r="P29" s="1"/>
    </row>
    <row r="30" spans="2:16" ht="14.5" x14ac:dyDescent="0.35">
      <c r="B30" s="1"/>
      <c r="C30" s="6"/>
      <c r="E30" s="2" t="s">
        <v>25</v>
      </c>
      <c r="F30" s="12">
        <f>SUM(F24:F29)</f>
        <v>1</v>
      </c>
      <c r="H30" s="36">
        <f>SUM(H24:H29)</f>
        <v>544750</v>
      </c>
      <c r="K30" s="53"/>
      <c r="L30" s="57"/>
      <c r="M30" s="53"/>
      <c r="O30" s="7"/>
      <c r="P30" s="1"/>
    </row>
    <row r="31" spans="2:16" ht="6" customHeight="1" x14ac:dyDescent="0.2">
      <c r="B31" s="1"/>
      <c r="C31" s="41"/>
      <c r="D31" s="8"/>
      <c r="E31" s="8"/>
      <c r="F31" s="42"/>
      <c r="G31" s="8"/>
      <c r="H31" s="43"/>
      <c r="I31" s="8"/>
      <c r="J31" s="8"/>
      <c r="K31" s="54"/>
      <c r="L31" s="54"/>
      <c r="M31" s="54"/>
      <c r="N31" s="8"/>
      <c r="O31" s="44"/>
      <c r="P31" s="1"/>
    </row>
    <row r="32" spans="2:16" ht="12.65" customHeight="1" x14ac:dyDescent="0.2">
      <c r="B32" s="1"/>
      <c r="C32" s="6"/>
      <c r="K32" s="53"/>
      <c r="L32" s="53"/>
      <c r="M32" s="53"/>
      <c r="O32" s="7"/>
      <c r="P32" s="1"/>
    </row>
    <row r="33" spans="2:16" x14ac:dyDescent="0.2">
      <c r="B33" s="1"/>
      <c r="C33" s="6"/>
      <c r="E33" s="8" t="s">
        <v>26</v>
      </c>
      <c r="K33" s="53"/>
      <c r="L33" s="53"/>
      <c r="M33" s="53"/>
      <c r="O33" s="7"/>
      <c r="P33" s="1"/>
    </row>
    <row r="34" spans="2:16" ht="17.5" x14ac:dyDescent="0.35">
      <c r="B34" s="1"/>
      <c r="C34" s="6"/>
      <c r="E34" s="9"/>
      <c r="K34" s="53"/>
      <c r="L34" s="59" t="s">
        <v>27</v>
      </c>
      <c r="M34" s="53"/>
      <c r="O34" s="7"/>
      <c r="P34" s="1"/>
    </row>
    <row r="35" spans="2:16" ht="13" thickBot="1" x14ac:dyDescent="0.3">
      <c r="B35" s="1"/>
      <c r="C35" s="6"/>
      <c r="E35" s="2" t="s">
        <v>21</v>
      </c>
      <c r="F35" s="2" t="s">
        <v>28</v>
      </c>
      <c r="K35" s="53"/>
      <c r="L35" s="60" t="s">
        <v>29</v>
      </c>
      <c r="M35" s="53"/>
      <c r="O35" s="7"/>
      <c r="P35" s="1"/>
    </row>
    <row r="36" spans="2:16" ht="12.5" x14ac:dyDescent="0.25">
      <c r="B36" s="1"/>
      <c r="C36" s="6"/>
      <c r="E36" s="14" t="s">
        <v>30</v>
      </c>
      <c r="F36" s="15">
        <v>2.7E-2</v>
      </c>
      <c r="K36" s="53"/>
      <c r="L36" s="60" t="s">
        <v>31</v>
      </c>
      <c r="M36" s="53"/>
      <c r="O36" s="7"/>
      <c r="P36" s="1"/>
    </row>
    <row r="37" spans="2:16" ht="14" x14ac:dyDescent="0.3">
      <c r="B37" s="1"/>
      <c r="C37" s="6"/>
      <c r="E37" s="6" t="s">
        <v>32</v>
      </c>
      <c r="F37" s="37">
        <v>0.02</v>
      </c>
      <c r="K37" s="53"/>
      <c r="L37" s="61" t="s">
        <v>33</v>
      </c>
      <c r="M37" s="53"/>
      <c r="O37" s="7"/>
      <c r="P37" s="1"/>
    </row>
    <row r="38" spans="2:16" ht="10.5" thickBot="1" x14ac:dyDescent="0.25">
      <c r="B38" s="1"/>
      <c r="C38" s="6"/>
      <c r="E38" s="24" t="s">
        <v>34</v>
      </c>
      <c r="F38" s="45">
        <v>1</v>
      </c>
      <c r="K38" s="53"/>
      <c r="L38" s="53"/>
      <c r="M38" s="53"/>
      <c r="O38" s="7"/>
      <c r="P38" s="1"/>
    </row>
    <row r="39" spans="2:16" x14ac:dyDescent="0.2">
      <c r="B39" s="1"/>
      <c r="C39" s="6"/>
      <c r="E39" s="2" t="s">
        <v>16</v>
      </c>
      <c r="F39" s="46">
        <f>F18</f>
        <v>500000</v>
      </c>
      <c r="H39" s="46"/>
      <c r="K39" s="53"/>
      <c r="L39" s="55"/>
      <c r="M39" s="53"/>
      <c r="O39" s="7"/>
      <c r="P39" s="1"/>
    </row>
    <row r="40" spans="2:16" ht="10.5" thickBot="1" x14ac:dyDescent="0.25">
      <c r="B40" s="1"/>
      <c r="C40" s="6"/>
      <c r="H40" s="46"/>
      <c r="K40" s="53"/>
      <c r="L40" s="55"/>
      <c r="M40" s="53"/>
      <c r="O40" s="7"/>
      <c r="P40" s="1"/>
    </row>
    <row r="41" spans="2:16" x14ac:dyDescent="0.2">
      <c r="B41" s="1"/>
      <c r="C41" s="6"/>
      <c r="E41" s="14" t="s">
        <v>35</v>
      </c>
      <c r="F41" s="47">
        <f>(1+F36)/(1+F37)-1</f>
        <v>6.8627450980391913E-3</v>
      </c>
      <c r="G41" s="47"/>
      <c r="H41" s="48"/>
      <c r="K41" s="53"/>
      <c r="L41" s="55"/>
      <c r="M41" s="53"/>
      <c r="O41" s="7"/>
      <c r="P41" s="1"/>
    </row>
    <row r="42" spans="2:16" x14ac:dyDescent="0.2">
      <c r="B42" s="1"/>
      <c r="C42" s="6"/>
      <c r="E42" s="6" t="s">
        <v>36</v>
      </c>
      <c r="F42" s="36">
        <f>(F39*(1+F41)^F38)</f>
        <v>503431.37254901958</v>
      </c>
      <c r="H42" s="58" t="s">
        <v>37</v>
      </c>
      <c r="I42" s="9"/>
      <c r="K42" s="53"/>
      <c r="L42" s="55"/>
      <c r="M42" s="53"/>
      <c r="O42" s="7"/>
      <c r="P42" s="1"/>
    </row>
    <row r="43" spans="2:16" x14ac:dyDescent="0.2">
      <c r="B43" s="1"/>
      <c r="C43" s="6"/>
      <c r="E43" s="6" t="s">
        <v>8</v>
      </c>
      <c r="F43" s="36">
        <f>(F39*(1+H43)^F38)</f>
        <v>539215.68627450988</v>
      </c>
      <c r="H43" s="49">
        <f>(1+I12)/(1+F37)-1</f>
        <v>7.8431372549019773E-2</v>
      </c>
      <c r="I43" s="9"/>
      <c r="K43" s="53"/>
      <c r="L43" s="55"/>
      <c r="M43" s="53"/>
      <c r="O43" s="7"/>
      <c r="P43" s="1"/>
    </row>
    <row r="44" spans="2:16" x14ac:dyDescent="0.2">
      <c r="B44" s="1"/>
      <c r="C44" s="6"/>
      <c r="E44" s="6" t="s">
        <v>10</v>
      </c>
      <c r="F44" s="36">
        <f>(F39*(1+H44)^F38)</f>
        <v>532352.9411764706</v>
      </c>
      <c r="H44" s="49">
        <f>(1+I13)/(1+F37)-1</f>
        <v>6.4705882352941169E-2</v>
      </c>
      <c r="I44" s="9"/>
      <c r="K44" s="53"/>
      <c r="L44" s="55"/>
      <c r="M44" s="53"/>
      <c r="O44" s="7"/>
      <c r="P44" s="1"/>
    </row>
    <row r="45" spans="2:16" x14ac:dyDescent="0.2">
      <c r="B45" s="1"/>
      <c r="C45" s="6"/>
      <c r="E45" s="6" t="s">
        <v>12</v>
      </c>
      <c r="F45" s="36">
        <f>(F39*(1+H45)^F38)</f>
        <v>519607.84313725494</v>
      </c>
      <c r="H45" s="49">
        <f>(1+I14)/(1+F37)-1</f>
        <v>3.9215686274509887E-2</v>
      </c>
      <c r="I45" s="9"/>
      <c r="K45" s="53"/>
      <c r="L45" s="53"/>
      <c r="M45" s="53"/>
      <c r="O45" s="7"/>
      <c r="P45" s="1"/>
    </row>
    <row r="46" spans="2:16" x14ac:dyDescent="0.2">
      <c r="B46" s="1"/>
      <c r="C46" s="6"/>
      <c r="E46" s="6" t="s">
        <v>13</v>
      </c>
      <c r="F46" s="36">
        <f>(F39*(1+H46)^F38)</f>
        <v>522058.82352941169</v>
      </c>
      <c r="H46" s="49">
        <f>(1+I15)/(1+F37)-1</f>
        <v>4.4117647058823373E-2</v>
      </c>
      <c r="I46" s="9"/>
      <c r="K46" s="53"/>
      <c r="L46" s="53"/>
      <c r="M46" s="53"/>
      <c r="O46" s="7"/>
      <c r="P46" s="1"/>
    </row>
    <row r="47" spans="2:16" x14ac:dyDescent="0.2">
      <c r="B47" s="1"/>
      <c r="C47" s="6"/>
      <c r="E47" s="6" t="s">
        <v>14</v>
      </c>
      <c r="F47" s="36">
        <f>(F39*(1+H47)^F38)</f>
        <v>490196.07843137253</v>
      </c>
      <c r="H47" s="49">
        <f>(1+I16)/(1+F37)-1</f>
        <v>-1.9607843137254943E-2</v>
      </c>
      <c r="I47" s="9"/>
      <c r="K47" s="53"/>
      <c r="L47" s="53"/>
      <c r="M47" s="53"/>
      <c r="O47" s="7"/>
      <c r="P47" s="1"/>
    </row>
    <row r="48" spans="2:16" ht="10.5" thickBot="1" x14ac:dyDescent="0.25">
      <c r="B48" s="1"/>
      <c r="C48" s="6"/>
      <c r="E48" s="24" t="s">
        <v>15</v>
      </c>
      <c r="F48" s="50">
        <f>(F39*(1+H48)^F38)</f>
        <v>511274.50980392151</v>
      </c>
      <c r="G48" s="25"/>
      <c r="H48" s="51">
        <f>(1+I17)/(1+F37)-1</f>
        <v>2.2549019607843057E-2</v>
      </c>
      <c r="I48" s="9"/>
      <c r="K48" s="53"/>
      <c r="L48" s="53"/>
      <c r="M48" s="53"/>
      <c r="O48" s="7"/>
      <c r="P48" s="1"/>
    </row>
    <row r="49" spans="2:16" x14ac:dyDescent="0.2">
      <c r="B49" s="1"/>
      <c r="C49" s="6"/>
      <c r="F49" s="36"/>
      <c r="I49" s="9"/>
      <c r="O49" s="7"/>
      <c r="P49" s="1"/>
    </row>
    <row r="50" spans="2:16" ht="10.5" thickBot="1" x14ac:dyDescent="0.25">
      <c r="B50" s="1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52"/>
      <c r="P50" s="1"/>
    </row>
    <row r="51" spans="2:16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</sheetData>
  <conditionalFormatting sqref="F42:F48">
    <cfRule type="top10" dxfId="4" priority="1" bottom="1" rank="2"/>
    <cfRule type="top10" dxfId="3" priority="2" rank="1"/>
  </conditionalFormatting>
  <conditionalFormatting sqref="I12:J17">
    <cfRule type="top10" dxfId="2" priority="3" rank="1"/>
  </conditionalFormatting>
  <conditionalFormatting sqref="M12:M17">
    <cfRule type="top10" dxfId="1" priority="5" rank="1"/>
  </conditionalFormatting>
  <conditionalFormatting sqref="M20:M22">
    <cfRule type="top10" dxfId="0" priority="4" rank="1"/>
  </conditionalFormatting>
  <hyperlinks>
    <hyperlink ref="L37" r:id="rId1" xr:uid="{20F6DA4A-DB99-430D-9674-71B9B60A5A4C}"/>
  </hyperlinks>
  <pageMargins left="0.7" right="0.7" top="0.75" bottom="0.75" header="0.3" footer="0.3"/>
  <pageSetup orientation="portrait" horizontalDpi="240" verticalDpi="24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D2F8-B90A-4BC4-941F-D047D2DE721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2cd7e05-4f28-4f6c-91f8-8ae3c24654cd}" enabled="0" method="" siteId="{f2cd7e05-4f28-4f6c-91f8-8ae3c24654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Amundson, Alexa</dc:creator>
  <cp:keywords/>
  <dc:description/>
  <cp:lastModifiedBy>Amundson, Alexa</cp:lastModifiedBy>
  <cp:revision/>
  <dcterms:created xsi:type="dcterms:W3CDTF">2025-01-04T23:41:34Z</dcterms:created>
  <dcterms:modified xsi:type="dcterms:W3CDTF">2025-03-02T23:36:16Z</dcterms:modified>
  <cp:category/>
  <cp:contentStatus/>
</cp:coreProperties>
</file>