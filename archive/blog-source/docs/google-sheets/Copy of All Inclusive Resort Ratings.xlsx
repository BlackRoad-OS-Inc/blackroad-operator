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RESORTS" sheetId="2" r:id="rId6"/>
    <sheet state="visible" name="DATA" sheetId="3" r:id="rId7"/>
    <sheet state="visible" name="Tipping Guide" sheetId="4" r:id="rId8"/>
    <sheet state="hidden" name="ResortsDD" sheetId="5" r:id="rId9"/>
    <sheet state="hidden" name="DataDD" sheetId="6" r:id="rId10"/>
    <sheet state="hidden" name="Tools" sheetId="7" r:id="rId11"/>
  </sheets>
  <definedNames>
    <definedName hidden="1" localSheetId="2" name="_xlnm._FilterDatabase">DATA!$A$1:$AN$993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Filter by Country first, then by Area and lastly by Airport.
To Reset a Filter, either toggle options off or while the dropdown is selected, press ESC once, then press DELETE once.
If you delete the actual dropdown, use CTRL-Z or CMD-Z to undo.</t>
      </text>
    </comment>
    <comment authorId="0" ref="Q2">
      <text>
        <t xml:space="preserve">To Reset a Filter, either toggle options off or with the dropdown selected, press ESC once, then press DELETE once.
If you delete the actual dropdown, use CTRL-Z or CMD-Z to undo.</t>
      </text>
    </comment>
    <comment authorId="0" ref="S2">
      <text>
        <t xml:space="preserve">To Reset a Filter, either toggle options off or with the dropdown selected, press ESC once, then press DELETE once.
If you delete the actual dropdown, use CTRL-Z or CMD-Z to undo.</t>
      </text>
    </comment>
    <comment authorId="0" ref="C3">
      <text>
        <t xml:space="preserve">Select ALL, Family or Adults Only.</t>
      </text>
    </comment>
    <comment authorId="0" ref="D3">
      <text>
        <t xml:space="preserve">Select "The Sky's the Limit!" to see ALL resorts w/ &amp; w/o a price.
Choose the Currency that your selected budget applies to.</t>
      </text>
    </comment>
    <comment authorId="0" ref="G3">
      <text>
        <t xml:space="preserve">Shows Resorts with the selected Rating(s) and higher.
To learn more about the RATINGS below, see the KEY tab.</t>
      </text>
    </comment>
    <comment authorId="0" ref="K3">
      <text>
        <t xml:space="preserve">TOGGLE CHECKBOX to:
- EXCLUDE No Go Options
  (checked)
- INCLUDE No Go Options
  (unchecked)</t>
      </text>
    </comment>
    <comment authorId="0" ref="L3">
      <text>
        <t xml:space="preserve">TOGGLE CHECKBOX to:
- EXCLUDE Countries (checked)
- INCLUDE Countries (unchecked)</t>
      </text>
    </comment>
    <comment authorId="0" ref="M3">
      <text>
        <t xml:space="preserve">TOGGLE CHECKBOX to:
- EXCLUDE Areas (checked)
- INCLUDE Areas (unchecked)</t>
      </text>
    </comment>
    <comment authorId="0" ref="N3">
      <text>
        <t xml:space="preserve">TOGGLE CHECKBOX to:
- EXCLUDE Airports (checked)
- INCLUDE Airports (unchecked)</t>
      </text>
    </comment>
    <comment authorId="0" ref="P3">
      <text>
        <t xml:space="preserve">To Reset Filter, select "ALL".</t>
      </text>
    </comment>
    <comment authorId="0" ref="T3">
      <text>
        <t xml:space="preserve">Check this box to view Resorts that Guarantee Connecting Rooms.
Although included in this filter, Requests are not guaranteed.</t>
      </text>
    </comment>
    <comment authorId="0" ref="U3">
      <text>
        <t xml:space="preserve">To Reset a Filter, either toggle options off or with the dropdown selected, press ESC once, then press DELETE once.
If you delete the actual dropdown, use CTRL-Z or CMD-Z to undo.</t>
      </text>
    </comment>
    <comment authorId="0" ref="V3">
      <text>
        <t xml:space="preserve">Tall Apartment Style Building
TOGGLE CHECKBOX to:
- EXCLUDE High Rises (checked)
- INCLUDE High Rises (unchecked)</t>
      </text>
    </comment>
    <comment authorId="0" ref="W3">
      <text>
        <t xml:space="preserve">To Reset Filter, select "ALL".</t>
      </text>
    </comment>
    <comment authorId="0" ref="X3">
      <text>
        <t xml:space="preserve">To Reset Filter, select "ALL".</t>
      </text>
    </comment>
    <comment authorId="0" ref="Y3">
      <text>
        <t xml:space="preserve">To Reset Filter, select "ALL".</t>
      </text>
    </comment>
    <comment authorId="0" ref="B6">
      <text>
        <t xml:space="preserve">By default, only Resorts with ratings 85 and higher are shown.
To include Resorts with ratings below 85, check this box.</t>
      </text>
    </comment>
    <comment authorId="0" ref="F6">
      <text>
        <t xml:space="preserve">To Sort by Value Ratio (highest to lowest), then by Budget (lowest to highest) instead of by Average User Rating, check this box.</t>
      </text>
    </comment>
    <comment authorId="0" ref="B7">
      <text>
        <t xml:space="preserve">Resorts are sorted by Average User Rating (highest to lowest, then by Budget (lowest to highest).
To sort by Value Ratio then by Budget instead, click the checkbox above Value Ratio.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number of Resorts is included in the parentheses.</t>
      </text>
    </comment>
    <comment authorId="0" ref="B1">
      <text>
        <t xml:space="preserve">Columns in Yellow have an "array" formula in the header label (cell B1).</t>
      </text>
    </comment>
    <comment authorId="0" ref="C1">
      <text>
        <t xml:space="preserve">The number of Resorts labeled as Family or Adults Only are included in the parentheses.
The total should match the total in Resorts.</t>
      </text>
    </comment>
    <comment authorId="0" ref="D1">
      <text>
        <t xml:space="preserve">Columns in Gray support Formulas in Columns in Yellow.</t>
      </text>
    </comment>
    <comment authorId="0" ref="E1">
      <text>
        <t xml:space="preserve">Columns in Yellow have an "array" formula in the header label (cell E1).</t>
      </text>
    </comment>
    <comment authorId="0" ref="F1">
      <text>
        <t xml:space="preserve">Columns in Yellow have an "array" formula in the header label (cell F1).</t>
      </text>
    </comment>
    <comment authorId="0" ref="G1">
      <text>
        <t xml:space="preserve"># of Reviews less than 1,000 are highlighted in bright yellow.</t>
      </text>
    </comment>
    <comment authorId="0" ref="Q1">
      <text>
        <t xml:space="preserve">Columns in Yellow have an "array" formula in the header label (cell L1).</t>
      </text>
    </comment>
    <comment authorId="0" ref="W1">
      <text>
        <t xml:space="preserve">TO ADD A COUNTRY:
- ADD OPTIONS to the Country Column in the DROPS sheet.</t>
      </text>
    </comment>
    <comment authorId="0" ref="X1">
      <text>
        <t xml:space="preserve">TO ADD AN AREA:
- ADD OPTIONS to the Area Column in the DROPS sheet.</t>
      </text>
    </comment>
    <comment authorId="0" ref="Y1">
      <text>
        <t xml:space="preserve">TO ADD AN AIRPORT:
- ADD OPTIONS to the Airport Column in the DROPS sheet.</t>
      </text>
    </comment>
    <comment authorId="0" ref="AB1">
      <text>
        <t xml:space="preserve">TO ADD A HOTEL BRAND:
- ADD OPTIONS to the Hotel Brand Column in the DROPS sheet.</t>
      </text>
    </comment>
    <comment authorId="0" ref="AC1">
      <text>
        <t xml:space="preserve">TO ADD A HOTEL STYLE:
- ADD OPTIONS to the Hotel Style Column in the DROPS sheet.</t>
      </text>
    </comment>
    <comment authorId="0" ref="AD1">
      <text>
        <t xml:space="preserve">TO ADD A FEATURE:
- ADD OPTIONS to the Features Column in the DROPS sheet.</t>
      </text>
    </comment>
    <comment authorId="0" ref="AE1">
      <text>
        <t xml:space="preserve">TO ADD AN OPTION:
- ADD OPTIONS to the Connecting Rooms Column in the DROPS sheet.</t>
      </text>
    </comment>
    <comment authorId="0" ref="AF1">
      <text>
        <t xml:space="preserve">TO ADD A BED OPTION:
- ADD OPTIONS to the Beds Column in the DROPS sheet.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entries from the No Go column in the DATA sheet here that should not appear in the SEARCH sheet.</t>
      </text>
    </comment>
    <comment authorId="0" ref="L1">
      <text>
        <t xml:space="preserve">Dynamic Filter dependent on prior filters (left of this category).</t>
      </text>
    </comment>
    <comment authorId="0" ref="M1">
      <text>
        <t xml:space="preserve">Dynamic Filter dependent on prior filters (left of this category).</t>
      </text>
    </comment>
    <comment authorId="0" ref="N1">
      <text>
        <t xml:space="preserve">Dynamic Filter dependent on prior filters (left of this category).</t>
      </text>
    </comment>
    <comment authorId="0" ref="Q1">
      <text>
        <t xml:space="preserve">Dynamic Filter dependent on prior filters (left of this category).</t>
      </text>
    </comment>
    <comment authorId="0" ref="R1">
      <text>
        <t xml:space="preserve">Dynamic Filter dependent on prior filters (left of this category).</t>
      </text>
    </comment>
    <comment authorId="0" ref="S1">
      <text>
        <t xml:space="preserve">Dynamic Filter dependent on prior filters (left of this category).</t>
      </text>
    </comment>
    <comment authorId="0" ref="U1">
      <text>
        <t xml:space="preserve">Dynamic Filter dependent on prior filters (left of this category).</t>
      </text>
    </comment>
  </commentList>
</comments>
</file>

<file path=xl/sharedStrings.xml><?xml version="1.0" encoding="utf-8"?>
<sst xmlns="http://schemas.openxmlformats.org/spreadsheetml/2006/main" count="7153" uniqueCount="2119">
  <si>
    <t>Please Make a Copy of this Google sheet from the File Menu (by selecting File &gt; Make a Copy)</t>
  </si>
  <si>
    <t>▶</t>
  </si>
  <si>
    <r>
      <rPr>
        <rFont val="Arial"/>
        <b/>
        <color theme="1"/>
        <sz val="14.0"/>
      </rPr>
      <t>All Inclusive Resort Ratings</t>
    </r>
    <r>
      <rPr>
        <rFont val="Arial"/>
        <b/>
        <color theme="1"/>
        <sz val="12.0"/>
      </rPr>
      <t xml:space="preserve">
Welcome!</t>
    </r>
    <r>
      <rPr>
        <rFont val="Arial"/>
        <color theme="1"/>
        <sz val="12.0"/>
      </rPr>
      <t xml:space="preserve"> I originally created this spreadsheet to help my family decide which resort was right for us. Once I realized how useful it was, I thought this tool could benefit other families and individuals alike with their travel plans. Hope it helps!
To effectively use this spreadsheet, </t>
    </r>
    <r>
      <rPr>
        <rFont val="Arial"/>
        <b/>
        <color theme="1"/>
        <sz val="12.0"/>
      </rPr>
      <t>make a copy</t>
    </r>
    <r>
      <rPr>
        <rFont val="Arial"/>
        <color theme="1"/>
        <sz val="12.0"/>
      </rPr>
      <t xml:space="preserve"> and then you can use the filters found on the </t>
    </r>
    <r>
      <rPr>
        <rFont val="Arial"/>
        <b/>
        <color theme="1"/>
        <sz val="12.0"/>
      </rPr>
      <t>RESORTS</t>
    </r>
    <r>
      <rPr>
        <rFont val="Arial"/>
        <color theme="1"/>
        <sz val="12.0"/>
      </rPr>
      <t xml:space="preserve"> tab. The original link prompts you to make a copy, but if you've gotten here through other means, </t>
    </r>
    <r>
      <rPr>
        <rFont val="Arial"/>
        <b/>
        <color rgb="FFCC4125"/>
        <sz val="12.0"/>
      </rPr>
      <t>select File &gt; Make a Copy</t>
    </r>
    <r>
      <rPr>
        <rFont val="Arial"/>
        <color theme="1"/>
        <sz val="12.0"/>
      </rPr>
      <t xml:space="preserve"> from the Menu or click on the link provided below. Any requests for Editor Access will be denied.
</t>
    </r>
    <r>
      <rPr>
        <rFont val="Arial"/>
        <b/>
        <color theme="1"/>
        <sz val="12.0"/>
      </rPr>
      <t>The original spreadsheet is updated often.</t>
    </r>
    <r>
      <rPr>
        <rFont val="Arial"/>
        <color theme="1"/>
        <sz val="12.0"/>
      </rPr>
      <t xml:space="preserve"> I recommend getting a fresh copy if you haven't done so in a while. Click on the following link to make a new copy:</t>
    </r>
  </si>
  <si>
    <r>
      <rPr>
        <rFont val="Arial"/>
        <b/>
        <color theme="1"/>
        <sz val="14.0"/>
      </rPr>
      <t>About Average User Ratings</t>
    </r>
    <r>
      <rPr>
        <rFont val="Arial"/>
        <color theme="1"/>
        <sz val="12.0"/>
      </rPr>
      <t xml:space="preserve">
These ratings are an average of Trip Advisor, Google, Costco and Expedia. </t>
    </r>
    <r>
      <rPr>
        <rFont val="Arial"/>
        <b/>
        <color rgb="FF3D85C6"/>
        <sz val="12.0"/>
      </rPr>
      <t>Trip Advisor ratings</t>
    </r>
    <r>
      <rPr>
        <rFont val="Arial"/>
        <color theme="1"/>
        <sz val="12.0"/>
      </rPr>
      <t xml:space="preserve"> are calculated based on the number of Excellent reviews, the number of Very Good reviews, etc. </t>
    </r>
    <r>
      <rPr>
        <rFont val="Arial"/>
        <b/>
        <color rgb="FF3D85C6"/>
        <sz val="12.0"/>
      </rPr>
      <t>Ratings are periodically updated.</t>
    </r>
    <r>
      <rPr>
        <rFont val="Arial"/>
        <color theme="1"/>
        <sz val="12.0"/>
      </rPr>
      <t xml:space="preserve">
</t>
    </r>
    <r>
      <rPr>
        <rFont val="Arial"/>
        <b/>
        <color rgb="FF3D85C6"/>
        <sz val="12.0"/>
      </rPr>
      <t>Anything with a rating less than 85 is filtered out</t>
    </r>
    <r>
      <rPr>
        <rFont val="Arial"/>
        <color theme="1"/>
        <sz val="12.0"/>
      </rPr>
      <t xml:space="preserve"> but feel free to turn that off if you want by clicking on checkbox above the Avg User Rating header on the RESORTS tab, or manually in the DATA tab).
</t>
    </r>
    <r>
      <rPr>
        <rFont val="Arial"/>
        <b/>
        <color rgb="FF3D85C6"/>
        <sz val="12.0"/>
      </rPr>
      <t>If Value is important to you</t>
    </r>
    <r>
      <rPr>
        <rFont val="Arial"/>
        <color theme="1"/>
        <sz val="12.0"/>
      </rPr>
      <t xml:space="preserve">, sort by the Value Ratio column (by clicking on the checkbox above the Value Ratio heading on the RESORTS tab, or manually from highest to lowest on the DATA tab).
</t>
    </r>
    <r>
      <rPr>
        <rFont val="Arial"/>
        <b/>
        <color theme="1"/>
        <sz val="14.0"/>
      </rPr>
      <t>About Pricing</t>
    </r>
    <r>
      <rPr>
        <rFont val="Arial"/>
        <color theme="1"/>
        <sz val="12.0"/>
      </rPr>
      <t xml:space="preserve">
Use the information provided to help you compare resorts. Prices are representative of what you might expect to pay for a week's stay in March 2025.
</t>
    </r>
    <r>
      <rPr>
        <rFont val="Arial"/>
        <b/>
        <color theme="1"/>
        <sz val="13.0"/>
      </rPr>
      <t>Family</t>
    </r>
    <r>
      <rPr>
        <rFont val="Arial"/>
        <color theme="1"/>
        <sz val="12.0"/>
      </rPr>
      <t xml:space="preserve">
</t>
    </r>
    <r>
      <rPr>
        <rFont val="Arial"/>
        <b/>
        <color rgb="FF3D85C6"/>
        <sz val="12.0"/>
      </rPr>
      <t>Prices are for one week, two adults and two kids in March 2025</t>
    </r>
    <r>
      <rPr>
        <rFont val="Arial"/>
        <color theme="1"/>
        <sz val="12.0"/>
      </rPr>
      <t xml:space="preserve"> or as close to it as I could find in the lowest priced room with a refundable rate booked direct with the resort.
</t>
    </r>
    <r>
      <rPr>
        <rFont val="Arial"/>
        <b/>
        <color theme="1"/>
        <sz val="13.0"/>
      </rPr>
      <t>Adult Only</t>
    </r>
    <r>
      <rPr>
        <rFont val="Arial"/>
        <color theme="1"/>
        <sz val="12.0"/>
      </rPr>
      <t xml:space="preserve">
</t>
    </r>
    <r>
      <rPr>
        <rFont val="Arial"/>
        <b/>
        <color rgb="FF3D85C6"/>
        <sz val="12.0"/>
      </rPr>
      <t>Prices are for one week, two people in March 2025</t>
    </r>
    <r>
      <rPr>
        <rFont val="Arial"/>
        <color theme="1"/>
        <sz val="12.0"/>
      </rPr>
      <t xml:space="preserve"> or as close to it as I could find in the lowest priced room with a refundable rate booked direct with the resort.
</t>
    </r>
    <r>
      <rPr>
        <rFont val="Arial"/>
        <b/>
        <color theme="1"/>
        <sz val="13.0"/>
      </rPr>
      <t>Guaranteed Connecting Rooms</t>
    </r>
    <r>
      <rPr>
        <rFont val="Arial"/>
        <color theme="1"/>
        <sz val="12.0"/>
      </rPr>
      <t xml:space="preserve">
Guaranteed connecting rooms means you can choose this at the time of booking. It's not a request based on availability.</t>
    </r>
  </si>
  <si>
    <r>
      <rPr>
        <b/>
        <sz val="14.0"/>
      </rPr>
      <t>Acknowledgements</t>
    </r>
    <r>
      <rPr>
        <sz val="12.0"/>
      </rPr>
      <t xml:space="preserve">
I’d like to thank fellow reddit user </t>
    </r>
    <r>
      <rPr>
        <color rgb="FF1155CC"/>
        <sz val="12.0"/>
        <u/>
      </rPr>
      <t>@gothamfury</t>
    </r>
    <r>
      <rPr>
        <sz val="12.0"/>
      </rPr>
      <t xml:space="preserve"> who granted every item on my wish list and transformed the original version of this spreadsheet into what you see today. If you would like to show your appreciation for his hard work, please consider </t>
    </r>
    <r>
      <rPr>
        <color rgb="FF3D85C6"/>
        <sz val="12.0"/>
      </rPr>
      <t>buying him a coffee</t>
    </r>
    <r>
      <rPr>
        <sz val="12.0"/>
      </rPr>
      <t xml:space="preserve"> below:</t>
    </r>
  </si>
  <si>
    <t>buymeacoffee.com/gothamfury</t>
  </si>
  <si>
    <r>
      <rPr>
        <rFont val="Arial"/>
        <b/>
        <color theme="1"/>
        <sz val="14.0"/>
      </rPr>
      <t>How to Contribute</t>
    </r>
    <r>
      <rPr>
        <rFont val="Arial"/>
        <b/>
        <color theme="1"/>
        <sz val="12.0"/>
      </rPr>
      <t xml:space="preserve">
If you're interested in helping me keep this updated or, have any questions, corrections or suggestions, please let me know! You can reach me via my reddit profile page here:</t>
    </r>
  </si>
  <si>
    <t>All Inclusive Resort Ratings (latest update)</t>
  </si>
  <si>
    <r>
      <rPr>
        <rFont val="Arial"/>
        <b/>
        <color theme="1"/>
        <sz val="14.0"/>
      </rPr>
      <t>Quick Tips</t>
    </r>
    <r>
      <rPr>
        <rFont val="Arial"/>
        <b/>
        <color theme="1"/>
        <sz val="12.0"/>
      </rPr>
      <t xml:space="preserve">
</t>
    </r>
    <r>
      <rPr>
        <rFont val="Arial"/>
        <color theme="1"/>
        <sz val="12.0"/>
      </rPr>
      <t xml:space="preserve">The filters on the </t>
    </r>
    <r>
      <rPr>
        <rFont val="Arial"/>
        <b/>
        <color theme="1"/>
        <sz val="12.0"/>
      </rPr>
      <t>RESORTS</t>
    </r>
    <r>
      <rPr>
        <rFont val="Arial"/>
        <color theme="1"/>
        <sz val="12.0"/>
      </rPr>
      <t xml:space="preserve"> tab work best if you </t>
    </r>
    <r>
      <rPr>
        <rFont val="Arial"/>
        <color rgb="FF3D85C6"/>
        <sz val="12.0"/>
      </rPr>
      <t>work from left to right</t>
    </r>
    <r>
      <rPr>
        <rFont val="Arial"/>
        <color theme="1"/>
        <sz val="12.0"/>
      </rPr>
      <t xml:space="preserve">, selecting only the filters you need.
You can </t>
    </r>
    <r>
      <rPr>
        <rFont val="Arial"/>
        <color rgb="FF3D85C6"/>
        <sz val="12.0"/>
      </rPr>
      <t xml:space="preserve">reset filters </t>
    </r>
    <r>
      <rPr>
        <rFont val="Arial"/>
        <color theme="1"/>
        <sz val="12.0"/>
      </rPr>
      <t xml:space="preserve">by selecting their default value (in blue) or for any of the </t>
    </r>
    <r>
      <rPr>
        <rFont val="Arial"/>
        <color rgb="FF3D85C6"/>
        <sz val="12.0"/>
      </rPr>
      <t xml:space="preserve">multi-select dropdowns, pressing delete once </t>
    </r>
    <r>
      <rPr>
        <rFont val="Arial"/>
        <color theme="1"/>
        <sz val="12.0"/>
      </rPr>
      <t xml:space="preserve">while the dropdown is selected. If you delete the actual dropdown, use CTRL-Z or COMMAND-Z to undo.
Some dropdowns have checkboxes below them that allow you to modify the filter to exclude or include the selected options.
Most filter headers have tooltip hints that appear when you hover over them.
</t>
    </r>
    <r>
      <rPr>
        <rFont val="Arial"/>
        <color rgb="FF3D85C6"/>
        <sz val="12.0"/>
      </rPr>
      <t xml:space="preserve">The </t>
    </r>
    <r>
      <rPr>
        <rFont val="Arial"/>
        <b/>
        <color rgb="FF3D85C6"/>
        <sz val="12.0"/>
      </rPr>
      <t>DATA</t>
    </r>
    <r>
      <rPr>
        <rFont val="Arial"/>
        <color rgb="FF3D85C6"/>
        <sz val="12.0"/>
      </rPr>
      <t xml:space="preserve"> sheet is also available</t>
    </r>
    <r>
      <rPr>
        <rFont val="Arial"/>
        <color theme="1"/>
        <sz val="12.0"/>
      </rPr>
      <t xml:space="preserve"> if you prefer to filter and sort using the native filter feature Google Sheets offers.</t>
    </r>
  </si>
  <si>
    <t>@TheRealGuncho</t>
  </si>
  <si>
    <t>North Star Ratings System Explanation</t>
  </si>
  <si>
    <t>Hotel Rankings: Northstar Travel’s 10-Tier Classification System</t>
  </si>
  <si>
    <t>START w/ STEPS 1 &amp; 2, then WORK LEFT to RIGHT</t>
  </si>
  <si>
    <t>Skip Any Filters. Hover Over Headings for More Info.</t>
  </si>
  <si>
    <t>►</t>
  </si>
  <si>
    <t>STEP 1</t>
  </si>
  <si>
    <t>STEP 2</t>
  </si>
  <si>
    <t>FILTER BY RATINGS</t>
  </si>
  <si>
    <t>FILTER BY LOCATION*</t>
  </si>
  <si>
    <t>FILTER BY HOTEL BRAND / STYLE*</t>
  </si>
  <si>
    <t>FILTER BY HOTEL FEATURES / ACCOMODATIONS*</t>
  </si>
  <si>
    <t>Select One</t>
  </si>
  <si>
    <t>Select Your Budget</t>
  </si>
  <si>
    <t>Select a Rating</t>
  </si>
  <si>
    <t>No Go</t>
  </si>
  <si>
    <t>Country</t>
  </si>
  <si>
    <t>Area</t>
  </si>
  <si>
    <t>Airport</t>
  </si>
  <si>
    <t>Direct</t>
  </si>
  <si>
    <t>Time</t>
  </si>
  <si>
    <t>Hotel Brand</t>
  </si>
  <si>
    <t>Hotel Style</t>
  </si>
  <si>
    <t>Features</t>
  </si>
  <si>
    <t>Connecting Rooms?</t>
  </si>
  <si>
    <t>Beds</t>
  </si>
  <si>
    <t>High Rise</t>
  </si>
  <si>
    <t># of Rooms</t>
  </si>
  <si>
    <t>Year Built</t>
  </si>
  <si>
    <t>Year Renovated</t>
  </si>
  <si>
    <t>ALL</t>
  </si>
  <si>
    <t>The Sky's the Limit!</t>
  </si>
  <si>
    <t>Currency:</t>
  </si>
  <si>
    <t>USD</t>
  </si>
  <si>
    <t>Avg User Rating</t>
  </si>
  <si>
    <t>Family /
Adults Only</t>
  </si>
  <si>
    <t>Direct USD 2025</t>
  </si>
  <si>
    <t>Direct CAD 2025</t>
  </si>
  <si>
    <t>Value Ratio</t>
  </si>
  <si>
    <t>AAA</t>
  </si>
  <si>
    <t>Northstar</t>
  </si>
  <si>
    <t>Hyatt</t>
  </si>
  <si>
    <t>Hotel Class</t>
  </si>
  <si>
    <t>Direct Flight</t>
  </si>
  <si>
    <t>To / From Airport</t>
  </si>
  <si>
    <t>Guaranteed
Connecting Rooms</t>
  </si>
  <si>
    <t>High
Rise</t>
  </si>
  <si>
    <t>Floors</t>
  </si>
  <si>
    <t># of Reviews</t>
  </si>
  <si>
    <t>Excellent</t>
  </si>
  <si>
    <t>Very Good</t>
  </si>
  <si>
    <t>Average</t>
  </si>
  <si>
    <t>Poor</t>
  </si>
  <si>
    <t>Terrible</t>
  </si>
  <si>
    <t>Google</t>
  </si>
  <si>
    <t>Costco</t>
  </si>
  <si>
    <t>Expedia</t>
  </si>
  <si>
    <t>Year
Built</t>
  </si>
  <si>
    <t>Coco Plum Island Resort</t>
  </si>
  <si>
    <t>Adults Only</t>
  </si>
  <si>
    <t>Belize</t>
  </si>
  <si>
    <t>Coco Plum Cay</t>
  </si>
  <si>
    <t>Philip S.W. Goldson</t>
  </si>
  <si>
    <t>Romantic, Great View</t>
  </si>
  <si>
    <t>Beach, Wifi (Free), Diving, Fishing, Yoga Classes</t>
  </si>
  <si>
    <t>The Aerial BVI (Non refundable)</t>
  </si>
  <si>
    <t>Family</t>
  </si>
  <si>
    <t>Max 3 per Room, Non Refundable</t>
  </si>
  <si>
    <t>British Virgin Islands</t>
  </si>
  <si>
    <t>Buck Island</t>
  </si>
  <si>
    <t>Beef Island</t>
  </si>
  <si>
    <t>Beach, Heated Pool, Wifi (Free), Spa, Gym, Horseback Riding, Watersports Equipment Rentals, Hiking, Snorkelling, Yoga Classes</t>
  </si>
  <si>
    <t>1 King</t>
  </si>
  <si>
    <t>The Beachfront By The Fives Hotels</t>
  </si>
  <si>
    <t>NYR</t>
  </si>
  <si>
    <t>Mexico</t>
  </si>
  <si>
    <t>Playa del Carmen</t>
  </si>
  <si>
    <t>Cancun</t>
  </si>
  <si>
    <t>The Fives Hotels</t>
  </si>
  <si>
    <t>Boutique, Business</t>
  </si>
  <si>
    <t>Beach, Swim Out/Plunge Pool Rooms, Gym, Spa, Wifi (Free), Snorkelling, Room Service</t>
  </si>
  <si>
    <t>Guana Island</t>
  </si>
  <si>
    <t>Max 3 per Room</t>
  </si>
  <si>
    <t>Quiet</t>
  </si>
  <si>
    <t>Beach, Swim Out/Plunge Pool Rooms, Family Suite, 2 Bedroom Suites, Wifi (Paid), Tennis, Snorkelling, Buffet</t>
  </si>
  <si>
    <t>Can't Book Two Rooms</t>
  </si>
  <si>
    <t>Serenity at Coconut Bay</t>
  </si>
  <si>
    <t>Saint Lucia</t>
  </si>
  <si>
    <t>Vieux Fort</t>
  </si>
  <si>
    <t>Hewanorra</t>
  </si>
  <si>
    <t>Luxury</t>
  </si>
  <si>
    <t>Beach, Swim Out/Plunge Pool Rooms, Gym, Spa, Wifi (Free), Tennis, Snorkelling, Room Service, Evening Entertainment</t>
  </si>
  <si>
    <t>Fairmont Heritage Place Mayakoba</t>
  </si>
  <si>
    <t>Fairmont</t>
  </si>
  <si>
    <t>Luxury, Business</t>
  </si>
  <si>
    <t>Beach, Family Suite, 2 Bedroom Suites, Kids Club, Gym, Golf Course, Tennis, Spa, Wifi (Free), Babysitting, Archery, Snorkelling, Windsurfing, Pets Allowed, Bicycles Available, Hiking, Watersports Equipment Rentals, Yoga Classes, Room Service, Evening Entertainment</t>
  </si>
  <si>
    <t>2 King and 2 Twin w Trundle</t>
  </si>
  <si>
    <t>Villa on Dunbar Rock</t>
  </si>
  <si>
    <t>Honduras</t>
  </si>
  <si>
    <t>Guanaja</t>
  </si>
  <si>
    <t>Roatan</t>
  </si>
  <si>
    <t>Harbour View, Bay View</t>
  </si>
  <si>
    <t>Beach, Wifi (Free), Gym, Diving, Snorkelling</t>
  </si>
  <si>
    <t>Hammock Cove Antigua</t>
  </si>
  <si>
    <t>Antigua</t>
  </si>
  <si>
    <t>V.C. Bird</t>
  </si>
  <si>
    <t>Romantic</t>
  </si>
  <si>
    <t>Beach, Gym, Diving, Spa, Wifi (Free), Snorkelling, Fishing, Hiking, Watersports Equipment Rentals, Yoga Classes, Room Service</t>
  </si>
  <si>
    <t>Hotel Playa Fiesta</t>
  </si>
  <si>
    <t>No Online Booking</t>
  </si>
  <si>
    <t>Puerto Vallarta</t>
  </si>
  <si>
    <t>Ordaz</t>
  </si>
  <si>
    <t>Grand Velas Los Cabos</t>
  </si>
  <si>
    <t>Cabo San Lucas</t>
  </si>
  <si>
    <t>Los Cabos</t>
  </si>
  <si>
    <t>Velas Resorts</t>
  </si>
  <si>
    <t>Beach, Great Food, Swim Out/Plunge Pool Rooms, Family Suite, 2 Bedroom Suites, Kids Club, Teen Club, Heated Pool, Gym, Spa, Wifi (Free), Babysitting, Adult Pool, Swim Up Bar, Room Service, Evening Entertainment</t>
  </si>
  <si>
    <t>1 King or 2 Queen</t>
  </si>
  <si>
    <t>Calabash Hotel (Jan 15 to Mar 15 12+ Allowed, Mar 16 to Dec 20 6+ Allowed, Dec 21 to Jan 14 No age limit)</t>
  </si>
  <si>
    <t>Can't Book Kids Online</t>
  </si>
  <si>
    <t>Grenada</t>
  </si>
  <si>
    <t>Lance aux Epines</t>
  </si>
  <si>
    <t>Point Saline</t>
  </si>
  <si>
    <t>Boutique, Great View</t>
  </si>
  <si>
    <t>Beach, Swim Out/Plunge Pool Rooms, Gym, Diving, Wifi (Free), Babysitting, Tennis, Snorkelling, Yoga Classes, Room Service</t>
  </si>
  <si>
    <t>Can Request</t>
  </si>
  <si>
    <t>1 King or 2 Twin</t>
  </si>
  <si>
    <t>Ambergris Cay Private Island All Inclusive</t>
  </si>
  <si>
    <t>Turks and Caicos</t>
  </si>
  <si>
    <t>Big Ambergris Cay</t>
  </si>
  <si>
    <t>Providenciales</t>
  </si>
  <si>
    <t>Business, Romantic</t>
  </si>
  <si>
    <t>Gym, Bicycles Available, Hiking, Snorkelling, Watersports Equipment Rentals, Evening Entertainment, Wifi (Free), Yoga Classes, Heated Pool, Swim Out/Plunge Pool Rooms, Room Service, Tennis, Windsurfing, Fishing, Babysitting, Spa, 2 Bedroom Suites, Beach, Kids Club</t>
  </si>
  <si>
    <t>3 Bedrooms</t>
  </si>
  <si>
    <t>La Casa de La Playa (16+ Allowed)</t>
  </si>
  <si>
    <t>16+ Allowed</t>
  </si>
  <si>
    <t>Hoteles Xcaret</t>
  </si>
  <si>
    <t>Beach, Gym, Wifi (Free), Swim Up Bar, Spa, Bicycles Available, Pets Allowed, Snorkelling, Yoga Classes, Room Service</t>
  </si>
  <si>
    <t>Beloved Playa Mujeres (Couples only)</t>
  </si>
  <si>
    <t>Couples Only</t>
  </si>
  <si>
    <t>Playa Mujeres</t>
  </si>
  <si>
    <t>The Excellence Collection</t>
  </si>
  <si>
    <t>Boutique, Modern</t>
  </si>
  <si>
    <t>Beach, Swim Out/Plunge Pool Rooms, Heated Pool, Gym, Diving, Spa, Wifi (Free), Swim Up Bar, Snorkelling, Room Service, Buffet</t>
  </si>
  <si>
    <t>Small Hope Bay Lodge (No TV)</t>
  </si>
  <si>
    <t>No TV</t>
  </si>
  <si>
    <t>Bahamas</t>
  </si>
  <si>
    <t>Andros</t>
  </si>
  <si>
    <t>Lynden Pindling</t>
  </si>
  <si>
    <t>Bay View, Romantic</t>
  </si>
  <si>
    <t>Beach, Family Suite, 2 Bedroom Suites, Babysitting, Diving, Wifi (Free), Fishing, Bicycles Available, Snorkelling, Pets Allowed, Buffet</t>
  </si>
  <si>
    <t>1 King and 3 Twin</t>
  </si>
  <si>
    <t>Palmaïa The House of AïA All Inclusive Wellness Resort (Vegan)</t>
  </si>
  <si>
    <t>Vegan</t>
  </si>
  <si>
    <t>Romantic, Luxury</t>
  </si>
  <si>
    <t>Beach, Family Suite, 2 Bedroom Suites, Kids Club, Gym, Swim Up Bar, Spa, Wifi (Free), Babysitting, Diving, Bicycles Available, Snorkelling, Yoga Classes, Room Service</t>
  </si>
  <si>
    <t>1 King and 1 Bunk Bed</t>
  </si>
  <si>
    <t>Palafitos Overwater Bungalows</t>
  </si>
  <si>
    <t>Lomas Hospitality</t>
  </si>
  <si>
    <t>Beach, Swim Out/Plunge Pool Rooms, Gym, Spa, Wifi (Free), Nightclub, Room Service</t>
  </si>
  <si>
    <t>Drake Bay Getaway Resort (Alcohol not included)</t>
  </si>
  <si>
    <t>Alcohol not included</t>
  </si>
  <si>
    <t>Costa Rica</t>
  </si>
  <si>
    <t>Drake Bay</t>
  </si>
  <si>
    <t>San Jose Juan Santamaria</t>
  </si>
  <si>
    <t>Modern, Boutique</t>
  </si>
  <si>
    <t>Beach, Diving, Horseback Riding, Wifi (Free), Hiking, Snorkelling, Fishing</t>
  </si>
  <si>
    <t>1 King and 1 Queen</t>
  </si>
  <si>
    <t>Jumby Bay Island - An Oetker Collection Hotel</t>
  </si>
  <si>
    <t>Long Island</t>
  </si>
  <si>
    <t>Oetker Collection</t>
  </si>
  <si>
    <t>Beach, Swim Out/Plunge Pool Rooms, Family Suite, 2 Bedroom Suites, Kids Club, Wifi (Free), Babysitting, Snorkelling, Spa, Gym, Bicycles Available, Fishing, Tennis, Buffet</t>
  </si>
  <si>
    <t>1 King and 1 Sofa Bed</t>
  </si>
  <si>
    <t>Grand Velas Boutique Hotel Los Cabos</t>
  </si>
  <si>
    <t>Beach, Great Food, Swim Out/Plunge Pool Rooms, Heated Pool, Snorkelling, Fishing, Nightclub, Spa, Gym, Wifi (Free), Yoga Classes, Swim Up Bar, Room Service, Evening Entertainment, Buffet</t>
  </si>
  <si>
    <t>Jade Mountain Resort</t>
  </si>
  <si>
    <t>Soufriere</t>
  </si>
  <si>
    <t>Bay View, Green</t>
  </si>
  <si>
    <t>Beach, Swim Out/Plunge Pool Rooms, Gym, Diving, Tennis, Wifi (Free), Snorkelling, Spa, Room Service</t>
  </si>
  <si>
    <t>Excellence Playa Mujeres</t>
  </si>
  <si>
    <t>Luxury, Quiet</t>
  </si>
  <si>
    <t>Beach, Swim Out/Plunge Pool Rooms, Heated Pool, Gym, Diving, Lazy River, Snorkelling, Wifi (Free), Swim Up Bar, Tennis, Nightclub, Spa, Room Service, Evening Entertainment, Buffet</t>
  </si>
  <si>
    <t>Hyatt Zilara Cap Cana</t>
  </si>
  <si>
    <t>F</t>
  </si>
  <si>
    <t>Dominican Republic</t>
  </si>
  <si>
    <t>Cap Cana</t>
  </si>
  <si>
    <t>Punta Cana</t>
  </si>
  <si>
    <t>Romantic, Ocean View</t>
  </si>
  <si>
    <t>Beach, Great Food, Swim Out/Plunge Pool Rooms, Heated Pool, Gym, Yoga Classes, Swim Up Bar, Spa, Wifi (Free), Room Service, Nightclub, Evening Entertainment, Buffet</t>
  </si>
  <si>
    <t>Grand Velas Riviera Nayarit</t>
  </si>
  <si>
    <t>Nuevo Vallarta</t>
  </si>
  <si>
    <t>Luxury, Family</t>
  </si>
  <si>
    <t>Beach, Great Food, Swim Out/Plunge Pool Rooms, Family Suite, 2 Bedroom Suites, Kids Club, Teen Club, Heated Pool, Gym, Bicycles Available, Wifi (Paid), Swim Up Bar, Diving, Nightclub, Spa, Babysitting, Room Service, Tennis, Evening Entertainment</t>
  </si>
  <si>
    <t>Grand Velas Riviera Maya</t>
  </si>
  <si>
    <t>Great View, Family</t>
  </si>
  <si>
    <t>Beach, Great Food, Swim Out/Plunge Pool Rooms, Family Suite, 2 Bedroom Suites, Kids Club, Teen Club, Heated Pool, Gym, Diving, Spa, Wifi (Free), Babysitting, Swim Up Bar, Fishing, Room Service, Evening Entertainment</t>
  </si>
  <si>
    <t>Spice Island Beach Resort</t>
  </si>
  <si>
    <t>Grand Anse</t>
  </si>
  <si>
    <t>Family, Green</t>
  </si>
  <si>
    <t>Beach, Swim Out/Plunge Pool Rooms, Kids Club, Gym, Bicycles Available, Room Service, Tennis, Spa, Wifi (Free), Babysitting, Diving, Pets Allowed, Buffet</t>
  </si>
  <si>
    <t>Excellence Riviera Cancun</t>
  </si>
  <si>
    <t>Puerto Morelos</t>
  </si>
  <si>
    <t>Green, Quiet</t>
  </si>
  <si>
    <t>Beach, Swim Out/Plunge Pool Rooms, Heated Pool, Gym, Diving, Room Service, Tennis, Nightclub, Wifi (Free), Lazy River, Swim Up Bar, Snorkelling, Fishing, Evening Entertainment, Buffet</t>
  </si>
  <si>
    <t>JOIA Paraiso by Iberostar</t>
  </si>
  <si>
    <t>Playa Paraiso</t>
  </si>
  <si>
    <t>IHG</t>
  </si>
  <si>
    <t>Great View, Quiet</t>
  </si>
  <si>
    <t>Beach, Great Food, Swim Out/Plunge Pool Rooms, Gym, Diving, Swim Up Bar, Golf Course, Spa, Wifi (Free), Tennis, Evening Entertainment, Buffet</t>
  </si>
  <si>
    <t>The Caves</t>
  </si>
  <si>
    <t>Jamaica</t>
  </si>
  <si>
    <t>Negril</t>
  </si>
  <si>
    <t>Sangster</t>
  </si>
  <si>
    <t>Hidden Gem, Boutique</t>
  </si>
  <si>
    <t>Yoga Classes, Snorkelling, Watersports Equipment Rentals, Fishing, Wifi (Free), Diving, Spa, Evening Entertainment</t>
  </si>
  <si>
    <t>JOIA Bávaro By Iberostar</t>
  </si>
  <si>
    <t>Bavaro</t>
  </si>
  <si>
    <t>Beach, Great Food, Swim Out/Plunge Pool Rooms, Gym, Diving, Tennis, Fishing, Nightclub, Spa, Room Service, Swim Up Bar, Golf Course, Evening Entertainment, Buffet</t>
  </si>
  <si>
    <t>Cayo Levantado Resort</t>
  </si>
  <si>
    <t>Cayo Levantado</t>
  </si>
  <si>
    <t>Samaná El Catey</t>
  </si>
  <si>
    <t>Beach, Swim Out/Plunge Pool Rooms, Gym, Tennis, Wifi (Free), Room Service, Spa, Evening Entertainment, Buffet</t>
  </si>
  <si>
    <t>1 King or 2 Full</t>
  </si>
  <si>
    <t>Curtain Bluff</t>
  </si>
  <si>
    <t>Saint Mary's</t>
  </si>
  <si>
    <t>Beach, Swim Out/Plunge Pool Rooms, Family Suite, 2 Bedroom Suites, Kids Club, Gym, Diving, Tennis, Wifi (Free), Babysitting, Snorkelling, Evening Entertainment</t>
  </si>
  <si>
    <t>Casa Velas</t>
  </si>
  <si>
    <t>Charming, Romantic</t>
  </si>
  <si>
    <t>Beach, Swim Out/Plunge Pool Rooms, Heated Pool, Gym, Room Service, Swim Up Bar, Wifi (Free), Golf Course, Spa, Evening Entertainment</t>
  </si>
  <si>
    <t>Hermitage Bay</t>
  </si>
  <si>
    <t>Beach, Swim Out/Plunge Pool Rooms, Gym, Yoga Classes, Room Service, Diving, Horseback Riding, Windsurfing, Fishing, Wifi (Free), Hiking, Snorkelling, Spa, Evening Entertainment</t>
  </si>
  <si>
    <t>U by Grand Fiesta Americana</t>
  </si>
  <si>
    <t>Beach</t>
  </si>
  <si>
    <t>Keyonna Beach Resort</t>
  </si>
  <si>
    <t>Turners Beach</t>
  </si>
  <si>
    <t>Quaint</t>
  </si>
  <si>
    <t>Beach, Swim Out/Plunge Pool Rooms, Yoga Classes, Snorkelling, Wifi (Free), Room Service, Evening Entertainment</t>
  </si>
  <si>
    <t>Secrets Maroma Beach Riviera Cancun</t>
  </si>
  <si>
    <t>D</t>
  </si>
  <si>
    <t>Playa Maroma</t>
  </si>
  <si>
    <t>Green, Romantic</t>
  </si>
  <si>
    <t>Beach, Great Food, Swim Out/Plunge Pool Rooms, Gym, Diving, Swim Up Bar, Snorkelling, Spa, Wifi (Free), Room Service, Tennis, Nightclub, Evening Entertainment, Buffet</t>
  </si>
  <si>
    <t>Hyatt Ziva Cap Cana</t>
  </si>
  <si>
    <t>Beach, Swim Out/Plunge Pool Rooms, Kids Club, Teen Club, Lazy River, Kids Waterpark, Big Waterslides, Heated Pool, Gym, Yoga Classes, Adult Pool, Swim Up Bar, Horseback Riding, Nightclub, Wifi (Free), Babysitting, Room Service, Snorkelling, Watersports Equipment Rentals, Spa, Evening Entertainment, Buffet</t>
  </si>
  <si>
    <t>2 Queen and 1 Queen Sofa Bed</t>
  </si>
  <si>
    <t>Le Blanc Spa Resort Cancun</t>
  </si>
  <si>
    <t>Palace Resorts</t>
  </si>
  <si>
    <t>Beach, Great Food, Heated Pool, Gym, Diving, Room Service, Swim Up Bar, Nightclub, Spa, Wifi (Free), Fishing, Evening Entertainment, Buffet</t>
  </si>
  <si>
    <t>BodyHoliday Saint Lucia</t>
  </si>
  <si>
    <t>Cap Estate</t>
  </si>
  <si>
    <t>Beach, Gym, Archery, Yoga Classes, Hiking, Tennis, Nightclub, Bicycles Available, Diving, Golf Course, Snorkelling, Windsurfing, Spa, Evening Entertainment, Buffet</t>
  </si>
  <si>
    <t>ATELIER Playa Mujeres (16+)</t>
  </si>
  <si>
    <t>Atelier Des Hoteles</t>
  </si>
  <si>
    <t>Beach, Great Food, Swim Out/Plunge Pool Rooms, Heated Pool, Gym, Bicycles Available, Room Service, Snorkelling, Spa, Wifi (Free), Pets Allowed, Swim Up Bar, Golf Course, Watersports Equipment Rentals, Nightclub, Evening Entertainment, Buffet</t>
  </si>
  <si>
    <t>Hotel Serendipity Tortuguero (No alcohol)</t>
  </si>
  <si>
    <t>No Alcohol</t>
  </si>
  <si>
    <t>Tortuguero</t>
  </si>
  <si>
    <t>Tortuquero</t>
  </si>
  <si>
    <t>City View</t>
  </si>
  <si>
    <t>Beach, Hiking, Room Service, Fishing, Wifi (Free)</t>
  </si>
  <si>
    <t>Manchebo Beach Resort &amp; Spa</t>
  </si>
  <si>
    <t>Aruba</t>
  </si>
  <si>
    <t>Palm - Eagle Beach</t>
  </si>
  <si>
    <t>Reina Beatrix</t>
  </si>
  <si>
    <t>Great View, Bay View</t>
  </si>
  <si>
    <t>Beach, Gym, Diving, Wifi (Free), Yoga Classes, Room Service, Snorkelling, Spa, Evening Entertainment</t>
  </si>
  <si>
    <t>Iberostar Coral Ensenachos</t>
  </si>
  <si>
    <t>Cuba</t>
  </si>
  <si>
    <t>Cayo Ensenachos</t>
  </si>
  <si>
    <t>Santa Clara</t>
  </si>
  <si>
    <t>Beach, Gym, Archery, Yoga Classes, Room Service, Diving, Tennis, Wifi (Paid), Swim Up Bar, Snorkelling, Watersports Equipment Rentals, Spa, Evening Entertainment, Buffet</t>
  </si>
  <si>
    <t>Galley Bay Resort &amp; Spa</t>
  </si>
  <si>
    <t>Five Islands Village</t>
  </si>
  <si>
    <t>Beach, Gym, Bicycles Available, Yoga Classes, Tennis, Wifi (Paid), Snorkelling, Fishing, Spa, Buffet</t>
  </si>
  <si>
    <t>Sugar Beach, A Viceroy Resort</t>
  </si>
  <si>
    <t>Viceroy Hotels &amp; Resorts</t>
  </si>
  <si>
    <t>Family, Ocean View</t>
  </si>
  <si>
    <t>Beach, Swim Out/Plunge Pool Rooms, Family Suite, 2 Bedroom Suites, Kids Club, Heated Pool, Gym, Yoga Classes, Diving, Snorkelling, Wifi (Free), Babysitting, Hiking, Tennis, Fishing, Spa, Evening Entertainment, Buffet</t>
  </si>
  <si>
    <t>Valentin Imperial Riviera Maya</t>
  </si>
  <si>
    <t>Playa del Secreto</t>
  </si>
  <si>
    <t>Beach, Great Food, Swim Out/Plunge Pool Rooms, Gym, Archery, Yoga Classes, Diving, Tennis, Room Service, Swim Up Bar, Bicycles Available, Nightclub, Spa, Evening Entertainment, Buffet</t>
  </si>
  <si>
    <t>JOIA Rose Hall by Iberostar</t>
  </si>
  <si>
    <t>Rose Hall</t>
  </si>
  <si>
    <t>Charming, Modern</t>
  </si>
  <si>
    <t>Beach, Swim Out/Plunge Pool Rooms, Gym, Casino, Swim Up Bar, Diving, Room Service, Tennis, Fishing, Nightclub, Spa, Evening Entertainment, Buffet</t>
  </si>
  <si>
    <t>Grand Residences Riviera Cancun</t>
  </si>
  <si>
    <t>Hidden Gem, Great View</t>
  </si>
  <si>
    <t>Beach, Swim Out/Plunge Pool Rooms, Family Suite, 2 Bedroom Suites, Kids Club, Heated Pool, Gym, Bicycles Available, Room Service, Swim Up Bar, Diving, Snorkelling, Wifi (Free), Adult Pool, Tennis, Babysitting, Buffet</t>
  </si>
  <si>
    <t>2 Double</t>
  </si>
  <si>
    <t>COCOS Hotel Antigua (No TV)</t>
  </si>
  <si>
    <t>Jolly Harbour</t>
  </si>
  <si>
    <t>Ocean View, Bay View</t>
  </si>
  <si>
    <t>Beach, Swim Out/Plunge Pool Rooms, Yoga Classes, Room Service, Snorkelling, Wifi (Free), Diving, Fishing, Evening Entertainment</t>
  </si>
  <si>
    <t>El Dorado Maroma</t>
  </si>
  <si>
    <t>Hidden Gem, Romantic</t>
  </si>
  <si>
    <t>Beach, Gym, Wifi (Paid), Room Service, Snorkelling, Fishing, Nightclub, Spa, Swim Up Bar, Diving, Evening Entertainment</t>
  </si>
  <si>
    <t>Desire Riviera Maya Pearl Resort (Clothing optional, Couples Only)</t>
  </si>
  <si>
    <t>Clothing Optional, Couples Only</t>
  </si>
  <si>
    <t>Desire</t>
  </si>
  <si>
    <t>Romantic, Charming</t>
  </si>
  <si>
    <t>Beach, Swim Out/Plunge Pool Rooms, Gym, Wifi (Free), Yoga Classes, Swim Up Bar, Spa, Evening Entertainment, Buffet</t>
  </si>
  <si>
    <t>Secrets Cap Cana Resort &amp; Spa</t>
  </si>
  <si>
    <t>Ocean View, Romantic</t>
  </si>
  <si>
    <t>Beach, Great Food, Swim Out/Plunge Pool Rooms, Gym, Windsurfing, Swim Up Bar, Nightclub, Wifi (Free), Room Service, Spa, Evening Entertainment, Buffet</t>
  </si>
  <si>
    <t>Zoëtry Casa del Mar Los Cabos</t>
  </si>
  <si>
    <t>E</t>
  </si>
  <si>
    <t>San Jose del Cabo</t>
  </si>
  <si>
    <t>Quiet, Bay View</t>
  </si>
  <si>
    <t>Beach, Family Suite, 2 Bedroom Suites, Heated Pool, Gym, Golf Course, Yoga Classes, Swim Up Bar, Tennis, Spa, Wifi (Free), Room Service, Evening Entertainment</t>
  </si>
  <si>
    <t>2 Queen</t>
  </si>
  <si>
    <t>Fairmont Mayakoba</t>
  </si>
  <si>
    <t>Family, Lagoon View</t>
  </si>
  <si>
    <t>Beach, Swim Out/Plunge Pool Rooms, Family Suite, 2 Bedroom Suites, Kids Club, Pool Slide, Water Feature, Heated Pool, Gym, Archery, Bicycles Available, Diving, Snorkelling, Watersports Equipment Rentals, Spa, Wifi (Free), Yoga Classes, Adult Pool, Room Service, Swim Up Bar, Golf Course, Tennis, Windsurfing, Buffet</t>
  </si>
  <si>
    <t>Round Hill Hotel and Villas</t>
  </si>
  <si>
    <t>Hopewell</t>
  </si>
  <si>
    <t>Quiet, Family</t>
  </si>
  <si>
    <t>Beach, Kids Club, Gym, Diving, Snorkelling, Watersports Equipment Rentals, Fishing, Wifi (Free), Babysitting, Yoga Classes, Hiking, Tennis, Windsurfing, Spa, Evening Entertainment, Buffet</t>
  </si>
  <si>
    <t>Melia Cayo Coco</t>
  </si>
  <si>
    <t>Cayo Coco</t>
  </si>
  <si>
    <t>Melia</t>
  </si>
  <si>
    <t>Lagoon View, Charming</t>
  </si>
  <si>
    <t>Beach, Gym, Archery, Bicycles Available, Diving, Tennis, Fishing, Yoga Classes, Snorkelling, Evening Entertainment, Spa, Buffet</t>
  </si>
  <si>
    <t>Sugar Mill Hotel</t>
  </si>
  <si>
    <t>Tortola</t>
  </si>
  <si>
    <t>Historic Hotel, Bay View</t>
  </si>
  <si>
    <t>Beach, Fishing, Diving, Spa, Snorkelling</t>
  </si>
  <si>
    <t>Secrets Akumal Riviera Maya</t>
  </si>
  <si>
    <t>Akumal</t>
  </si>
  <si>
    <t>Tulum</t>
  </si>
  <si>
    <t>Modern, Great View</t>
  </si>
  <si>
    <t>Beach, Great Food, Heated Pool, Gym, Diving, Tennis, Evening Entertainment, Spa, Wifi (Free), Swim Up Bar, Snorkelling, Nightclub, Buffet</t>
  </si>
  <si>
    <t>Baoase Luxury Resort</t>
  </si>
  <si>
    <t>Curaçao</t>
  </si>
  <si>
    <t>Willemstad</t>
  </si>
  <si>
    <t>Aeropuerto Hato</t>
  </si>
  <si>
    <t>Quiet, Quaint</t>
  </si>
  <si>
    <t>Beach, Swim Out/Plunge Pool Rooms, Family Suite, 2 Bedroom Suites, Gym, Room Service, Diving, Wifi (Free), Snorkelling, Spa</t>
  </si>
  <si>
    <t>2 King</t>
  </si>
  <si>
    <t>Little Palm Island Resort &amp; Spa</t>
  </si>
  <si>
    <t>United States</t>
  </si>
  <si>
    <t>Little Torch Key</t>
  </si>
  <si>
    <t>Key West</t>
  </si>
  <si>
    <t>Marina View</t>
  </si>
  <si>
    <t>Beach, Heated Pool, Gym, Snorkelling, Evening Entertainment, Wifi (Free), Yoga Classes, Room Service, Diving, Watersports Equipment Rentals, Fishing, Spa</t>
  </si>
  <si>
    <t>Excellence Punta Cana</t>
  </si>
  <si>
    <t>Great View, Romantic</t>
  </si>
  <si>
    <t>Beach, Great Beach, Great Food, Swim Out/Plunge Pool Rooms, Gym, Horseback Riding, Swim Up Bar, Snorkelling, Tennis, Evening Entertainment, Nightclub, Spa, Buffet</t>
  </si>
  <si>
    <t>Excellence El Carmen</t>
  </si>
  <si>
    <t>Uvero Alto</t>
  </si>
  <si>
    <t>Modern, Quiet</t>
  </si>
  <si>
    <t>Beach, Swim Out/Plunge Pool Rooms, Heated Pool, Gym, Diving, Tennis, Evening Entertainment, Nightclub, Wifi (Free), Swim Up Bar, Snorkelling, Spa, Buffet</t>
  </si>
  <si>
    <t>Barcelo Maya Riviera</t>
  </si>
  <si>
    <t>Barcelo Maya</t>
  </si>
  <si>
    <t>Barcelo</t>
  </si>
  <si>
    <t>Beach, Swim Out/Plunge Pool Rooms, Gym, Snorkelling, Evening Entertainment, Spa, Wifi (Free), Swim Up Bar, Tennis, Nightclub, Buffet</t>
  </si>
  <si>
    <t>Finest Punta Cana By The Excellence Collection All Inclusive</t>
  </si>
  <si>
    <t>Business</t>
  </si>
  <si>
    <t>Beach, Swim Out/Plunge Pool Rooms, Adults Only Rooms, Family Suite, 2 Bedroom Suites, Kids Club, Kids Waterpark, Pool Slide, Water Feature, Kids Club for Under 4, Gym, Diving, Swim Up Bar, Snorkelling, Watersports Equipment Rentals, Spa, Wifi (Free), Babysitting, Yoga Classes, Adult Pool, Room Service, Tennis, Evening Entertainment, Buffet</t>
  </si>
  <si>
    <t>1 King and 2 Twin</t>
  </si>
  <si>
    <t>The Explorean Kohunlich</t>
  </si>
  <si>
    <t>Escarcega</t>
  </si>
  <si>
    <t>Chetumal</t>
  </si>
  <si>
    <t>Fiesta Americana Travelty</t>
  </si>
  <si>
    <t>Swim Out/Plunge Pool Rooms, Bicycles Available, Hiking, Spa</t>
  </si>
  <si>
    <t>1 King or 2 Double</t>
  </si>
  <si>
    <t>Finest Playa Mujeres</t>
  </si>
  <si>
    <t>Ocean View, Green</t>
  </si>
  <si>
    <t>Beach, Swim Out/Plunge Pool Rooms, Adults Only Rooms, Family Suite, 2 Bedroom Suites, Kids Club, Kids Waterpark, Pool Slide, Water Feature, Heated Pool, Kids Club for Under 4, Gym, Tennis, Adult Pool, Room Service, Nightclub, Wifi (Free), Babysitting, Swim Up Bar, Evening Entertainment, Spa, Buffet</t>
  </si>
  <si>
    <t>Petite Anse Hotel</t>
  </si>
  <si>
    <t>Max 2 per Room</t>
  </si>
  <si>
    <t>Saint Patrick Parish</t>
  </si>
  <si>
    <t>Beach, Wifi (Free), Buffet</t>
  </si>
  <si>
    <t>Desire Riviera Maya Resort (Clothing optional, Couples Only)</t>
  </si>
  <si>
    <t>Romantic, Green</t>
  </si>
  <si>
    <t>Beach, Swim Out/Plunge Pool Rooms, Gym, Swim Up Bar, Evening Entertainment, Spa, Wifi (Free), Room Service, Nightclub, Buffet</t>
  </si>
  <si>
    <t>Sandals Royal Plantation (Couples only)</t>
  </si>
  <si>
    <t>Ochos Rios</t>
  </si>
  <si>
    <t>Sandals</t>
  </si>
  <si>
    <t>Beach, Great Beach, Gym, Diving, Tennis, Evening Entertainment, Wifi (Free), Room Service, Golf Course, Fishing, Spa, Buffet</t>
  </si>
  <si>
    <t>Sailrock South Caicos</t>
  </si>
  <si>
    <t>South Caicos</t>
  </si>
  <si>
    <t>Family, Romantic</t>
  </si>
  <si>
    <t>Gym, Bicycles Available, Snorkelling, Windsurfing, Fishing, Wifi (Free), Yoga Classes, Room Service, Diving, Watersports Equipment Rentals, Spa, 2 Bedroom Suites, Beach, Swim Out/Plunge Pool Rooms, Buffet</t>
  </si>
  <si>
    <t>Iberostar Selection Varadero</t>
  </si>
  <si>
    <t>Varadero</t>
  </si>
  <si>
    <t>Family, Quiet</t>
  </si>
  <si>
    <t>Beach, Great Beach, Family Suite, 2 Bedroom Suites, Kids Club, Teen Club, Kids Waterpark, Babysitting, Swim Up Bar, Snorkelling, Evening Entertainment, Spa, Gym, Archery, Yoga Classes, Diving, Tennis, Buffet</t>
  </si>
  <si>
    <t>Yes</t>
  </si>
  <si>
    <t>Le Blanc Spa Resort Los Cabos</t>
  </si>
  <si>
    <t>Beach, Heated Pool, Gym, Room Service, Swim Up Bar, Wifi (Free), Evening Entertainment, Spa, Buffet</t>
  </si>
  <si>
    <t>Impression Moxche by Secrets</t>
  </si>
  <si>
    <t>Beach, Great Food, Swim Out/Plunge Pool Rooms, Heated Pool, Gym, Room Service, Nightclub, Spa, Wifi (Free), Evening Entertainment, Buffet</t>
  </si>
  <si>
    <t>Iberostar Selection Coral Cancún</t>
  </si>
  <si>
    <t>Romantic, Modern</t>
  </si>
  <si>
    <t>Beach, Gym, Diving, Swim Up Bar, Evening Entertainment, Wifi (Free), Tennis, Spa, Buffet</t>
  </si>
  <si>
    <t>Hyatt Zilara Cancun</t>
  </si>
  <si>
    <t>Beach, Swim Out/Plunge Pool Rooms, Heated Pool, Gym, Diving, Spa, Wifi (Free), Swim Up Bar, Evening Entertainment, Buffet</t>
  </si>
  <si>
    <t>Hotel Mousai Puerto Vallarta</t>
  </si>
  <si>
    <t>Tafer Hotels &amp; Resorts</t>
  </si>
  <si>
    <t>Romantic, Mountain View</t>
  </si>
  <si>
    <t>Beach, Heated Pool, Gym, Tennis, Room Service, Spa, Buffet</t>
  </si>
  <si>
    <t>TRS Yucatan Hotel</t>
  </si>
  <si>
    <t>Solidaridad</t>
  </si>
  <si>
    <t>Wyndham Hotels</t>
  </si>
  <si>
    <t>Beach, Great Food, Swim Out/Plunge Pool Rooms, Gym, Diving, Evening Entertainment, Spa, Wifi (Free), Room Service, Swim Up Bar, Tennis, Nightclub, Buffet</t>
  </si>
  <si>
    <t>Casa de Campo Resort &amp; Villas</t>
  </si>
  <si>
    <t>La Romana</t>
  </si>
  <si>
    <t>Beach, Family Suite, 2 Bedroom Suites, Gym, Adult Pool, Horseback Riding, Tennis, Fishing, Spa, Babysitting, Yoga Classes, Room Service, Swim Up Bar, Golf Course, Snorkelling, Evening Entertainment, Nightclub, Buffet</t>
  </si>
  <si>
    <t>Hotel Xcaret Arte (16+)</t>
  </si>
  <si>
    <t>Luxury, Ocean View</t>
  </si>
  <si>
    <t>Beach, Great Food, Swim Out/Plunge Pool Rooms, Heated Pool, Gym, Yoga Classes, Room Service, Swim Up Bar, Evening Entertainment, Nightclub, Wifi (Free), Pets Allowed, Hiking, Watersports Equipment Rentals, Spa, Buffet</t>
  </si>
  <si>
    <t>Gran Mutha Rainbow Hotel (LGBTQ+)</t>
  </si>
  <si>
    <t>Cayo Guillermo</t>
  </si>
  <si>
    <t>Beach, Swim Out/Plunge Pool Rooms, Gym, Wifi (Paid), Windsurfing, Nightclub, Yoga Classes, Tennis, Evening Entertainment, Spa, Buffet</t>
  </si>
  <si>
    <t>Casa Margarita Hotel Boutique</t>
  </si>
  <si>
    <t>Hotel Mousai Cancun</t>
  </si>
  <si>
    <t>Costa Mujeres</t>
  </si>
  <si>
    <t>Heated Pool, Gym, Snorkelling, Spa, Wifi (Free), Room Service</t>
  </si>
  <si>
    <t>Grand Solmar Land's End Resort &amp; Spa</t>
  </si>
  <si>
    <t>Solmar</t>
  </si>
  <si>
    <t>Quiet, Value</t>
  </si>
  <si>
    <t>Beach, Kids Club, Heated Pool, Gym, Swim Up Bar, Evening Entertainment, Spa, Wifi (Free), Babysitting, Adult Pool, Buffet</t>
  </si>
  <si>
    <t>1 King and 1 Queen Murphy Bed</t>
  </si>
  <si>
    <t>Anse Chastanet (No air conditioning or pool)</t>
  </si>
  <si>
    <t>No AC or Pool</t>
  </si>
  <si>
    <t>Ocean View, Quiet</t>
  </si>
  <si>
    <t>Beach, Swim Out/Plunge Pool Rooms, Family Suite, 2 Bedroom Suites, Snorkelling, Fishing, Diving, Spa, Tennis, Buffet</t>
  </si>
  <si>
    <t>1 King and 1 Twin</t>
  </si>
  <si>
    <t>Live Aqua Cancun</t>
  </si>
  <si>
    <t>Beach, Heated Pool, Gym, Evening Entertainment, Wifi (Free), Room Service, Swim Up Bar, Nightclub, Spa, Buffet</t>
  </si>
  <si>
    <t>Club Med Miches Playa Esmeralda - Dominican Republic</t>
  </si>
  <si>
    <t>Miches</t>
  </si>
  <si>
    <t>Club Med</t>
  </si>
  <si>
    <t>Ocean View</t>
  </si>
  <si>
    <t>Beach, Swim Out/Plunge Pool Rooms, Adults Only Rooms, Kids Club, Teen Club, Kids Waterpark, Kids Club for Under 4, Gym, Archery, Yoga Classes, Tennis, Spa, Babysitting, Adult Pool, Horseback Riding, Evening Entertainment, Nightclub, Buffet</t>
  </si>
  <si>
    <t>Bluefields Bay Villas</t>
  </si>
  <si>
    <t>Bluefields</t>
  </si>
  <si>
    <t>Beach, Family Suite, 2 Bedroom Suites, Babysitting, Diving, Horseback Riding, Tennis, Wifi (Free), Room Service, Hiking, Snorkelling</t>
  </si>
  <si>
    <t>Cozumel Palace</t>
  </si>
  <si>
    <t>Cozumel</t>
  </si>
  <si>
    <t>Family Suite, 2 Bedroom Suites, Kids Club, Heated Pool, Gym, Snorkelling, Evening Entertainment, Spa, Wifi (Free), Diving, Babysitting, Swim Up Bar, Fishing, Buffet</t>
  </si>
  <si>
    <t>Sanctuary Cap Cana, A Luxury Collection Resort, Dominican Republic, Adult All-inclusive</t>
  </si>
  <si>
    <t>Marriott</t>
  </si>
  <si>
    <t>Beach, Swim Out/Plunge Pool Rooms, Gym, Nightclub, Swim Up Bar, Evening Entertainment, Spa, Buffet</t>
  </si>
  <si>
    <t>Grand Fiesta Americana Coral Beach Cancún All Inclusive Spa Resort</t>
  </si>
  <si>
    <t>Business, Classic</t>
  </si>
  <si>
    <t>Beach, Family Suite, 2 Bedroom Suites, Kids Club, Heated Pool, Gym, Diving, Wifi (Paid), Room Service, Watersports Equipment Rentals, Evening Entertainment, Babysitting, Swim Up Bar, Snorkelling, Fishing, Spa, Buffet</t>
  </si>
  <si>
    <t>Excellence Oyster Bay</t>
  </si>
  <si>
    <t>Falmouth</t>
  </si>
  <si>
    <t>Beach, Swim Out/Plunge Pool Rooms, Gym, Snorkelling, Evening Entertainment, Nightclub, Spa, Wifi (Free), Swim Up Bar, Buffet</t>
  </si>
  <si>
    <t>StolenTime by Rendezvous</t>
  </si>
  <si>
    <t>St. Lucia</t>
  </si>
  <si>
    <t>Charming, Great View</t>
  </si>
  <si>
    <t>Beach, Gym, Archery, Yoga Classes, Snorkelling, Windsurfing, Fishing, Spa, Wifi (Free), Lazy River, Swim Up Bar, Diving, Tennis, Evening Entertainment, Buffet</t>
  </si>
  <si>
    <t>The Towers at Pacifica at Pueblo Bonito Pacifica Golf &amp; Spa Resort</t>
  </si>
  <si>
    <t>Pueblo Bonito</t>
  </si>
  <si>
    <t>Beach, Heated Pool, Gym, Yoga Classes, Swim Up Bar, Golf Course, Tennis, Wifi (Free), Room Service, Hiking, Spa, Buffet</t>
  </si>
  <si>
    <t>Emerald Estates Luxury Villas</t>
  </si>
  <si>
    <t>Mazatlan</t>
  </si>
  <si>
    <t>Gen Rafael Buelna</t>
  </si>
  <si>
    <t>Charming</t>
  </si>
  <si>
    <t>Beach, Swim Out/Plunge Pool Rooms, Family Suite, 2 Bedroom Suites, Heated Pool, Gym, Tennis, Yoga Classes, Adult Pool, Room Service, Swim Up Bar, Wifi (Free), Spa, Buffet</t>
  </si>
  <si>
    <t>UNICO 20 87 Hotel Riviera Maya</t>
  </si>
  <si>
    <t>AIC Hotel Group</t>
  </si>
  <si>
    <t>Trendy, Great View</t>
  </si>
  <si>
    <t>Beach, Great Food, Swim Out/Plunge Pool Rooms, Heated Pool, Gym, Evening Entertainment, Wifi (Free), Room Service, Swim Up Bar, Nightclub, Spa, Buffet</t>
  </si>
  <si>
    <t>Sun Palace Cancun</t>
  </si>
  <si>
    <t>Quiet, Romantic</t>
  </si>
  <si>
    <t>Beach, Heated Pool, Gym, Diving, Room Service, Swim Up Bar, Snorkelling, Fishing, Spa, Wifi (Free), Evening Entertainment, Buffet</t>
  </si>
  <si>
    <t>Beach House Turks and Caicos</t>
  </si>
  <si>
    <t>Temporarily Closed</t>
  </si>
  <si>
    <t>Grace Bay</t>
  </si>
  <si>
    <t>Gym, Bicycles Available, Wifi (Free), Buffet</t>
  </si>
  <si>
    <t>Velas Vallarta Suites Resort</t>
  </si>
  <si>
    <t>Beach, Family Suite, 2 Bedroom Suites, Kids Club, Teen Club, Lazy River, Heated Pool, Gym, Diving, Wifi (Paid), Evening Entertainment, Spa, Babysitting, Swim Up Bar, Tennis, Fishing, Buffet</t>
  </si>
  <si>
    <t>1 King or 2 Twin 1 Sofa Bed</t>
  </si>
  <si>
    <t>TRS Turquesa Hotel</t>
  </si>
  <si>
    <t>Value, Quiet</t>
  </si>
  <si>
    <t>Beach, Swim Out/Plunge Pool Rooms, Gym, Casino, Snorkelling, Evening Entertainment, Nightclub, Room Service, Swim Up Bar, Diving, Tennis, Fishing, Spa, Buffet</t>
  </si>
  <si>
    <t>Akumal Bay Beach &amp; Wellness Resort</t>
  </si>
  <si>
    <t>Beach, Adults Only Rooms, Kids Club, Babysitting, Snorkelling, Evening Entertainment, Gym, Diving, Yoga Classes, Tennis, Spa, Buffet</t>
  </si>
  <si>
    <t>Secrets Tide Punta Cana</t>
  </si>
  <si>
    <t>NR</t>
  </si>
  <si>
    <t>C</t>
  </si>
  <si>
    <t>Beach, Great Food, Swim Out/Plunge Pool Rooms, Gym, Diving, Room Service, Swim Up Bar, Snorkelling, Evening Entertainment, Nightclub, Wifi (Free), Spa, Buffet</t>
  </si>
  <si>
    <t>The Tower by Temptation Cancun Resort</t>
  </si>
  <si>
    <t>Trendy, Charming</t>
  </si>
  <si>
    <t>Beach, Gym, Windsurfing, Yoga Classes, Swim Up Bar, Nightclub, Spa, Wifi (Free), Room Service, Evening Entertainment, Buffet</t>
  </si>
  <si>
    <t>Villa Del Palmar At The Islands Of Loreto By Danzante Bay</t>
  </si>
  <si>
    <t>Loreto</t>
  </si>
  <si>
    <t>The Villa Group</t>
  </si>
  <si>
    <t>Beach, Swim Out/Plunge Pool Rooms, Family Suite, 2 Bedroom Suites, Kids Club, Heated Pool, Gym, Diving, Yoga Classes, Horseback Riding, Tennis, Evening Entertainment, Nightclub, Babysitting, Room Service, Hiking, Snorkelling, Watersports Equipment Rentals, Fishing, Spa, Buffet</t>
  </si>
  <si>
    <t>Hyatt Ziva Cancun</t>
  </si>
  <si>
    <t>Modern, Romantic</t>
  </si>
  <si>
    <t>Beach, Swim Out/Plunge Pool Rooms, Adults Only Rooms, Family Suite, 2 Bedroom Suites, Kids Club, Teen Club, Kids Waterpark, Pool Slide, Water Feature, Heated Pool, Gym, Adult Pool, Swim Up Bar, Evening Entertainment, Nightclub, Spa, Wifi (Free), Babysitting, Buffet</t>
  </si>
  <si>
    <t>Blue Waters Resort &amp; Spa - Antigua</t>
  </si>
  <si>
    <t>St. John's</t>
  </si>
  <si>
    <t>Beach, Swim Out/Plunge Pool Rooms, Kids Club, Gym, Snorkelling, Tennis, Evening Entertainment, Wifi (Free), Babysitting, Adult Pool, Watersports Equipment Rentals, Fishing, Spa</t>
  </si>
  <si>
    <t>The Landings Resort and Spa</t>
  </si>
  <si>
    <t>Rodney Bay</t>
  </si>
  <si>
    <t>Marina View, Family</t>
  </si>
  <si>
    <t>Beach, Swim Out/Plunge Pool Rooms, Family Suite, 2 Bedroom Suites, Kids Club, Gym, Diving, Tennis, Evening Entertainment, Wifi (Free), Babysitting, Watersports Equipment Rentals, Fishing, Spa, Buffet</t>
  </si>
  <si>
    <t>2 King and 2 Twin</t>
  </si>
  <si>
    <t>Hotel Xcaret Mexico</t>
  </si>
  <si>
    <t>River View, Trendy</t>
  </si>
  <si>
    <t>Beach, Swim Out/Plunge Pool Rooms, Adults Only Rooms, Kids Club, Teen Club, Lazy River, Kids Waterpark, Pool Slide, Water Feature, Heated Pool, Gym, Bicycles Available, Yoga Classes, Adult Pool, Swim Up Bar, Tennis, Wifi (Free), Babysitting, Room Service, Evening Entertainment, Nightclub, Spa, Buffet</t>
  </si>
  <si>
    <t>Serenade All Suites</t>
  </si>
  <si>
    <t>Cabeza De Toro</t>
  </si>
  <si>
    <t>Serenade Caribbean Resorts</t>
  </si>
  <si>
    <t>Beach, Swim Out/Plunge Pool Rooms, Gym, Swim Up Bar, Windsurfing, Nightclub, Spa, Wifi (Free), Buffet, Snorkelling, Evening Entertainment</t>
  </si>
  <si>
    <t>Paradisus La Perla - Adults Only - Riviera Maya</t>
  </si>
  <si>
    <t>Beach, Swim Out/Plunge Pool Rooms, Gym, Diving, Buffet, Swim Up Bar, Watersports Equipment Rentals, Wifi (Free), Room Service, Evening Entertainment, Nightclub, Spa</t>
  </si>
  <si>
    <t>Haven Riviera Cancun</t>
  </si>
  <si>
    <t>Trendy, Romantic</t>
  </si>
  <si>
    <t>Beach, Swim Out/Plunge Pool Rooms, Heated Pool, Gym, Tennis, Buffet, Swim Up Bar, Nightclub, Spa, Wifi (Free), Evening Entertainment</t>
  </si>
  <si>
    <t>Majestic Mirage Punta Cana</t>
  </si>
  <si>
    <t>Majestic Resorts</t>
  </si>
  <si>
    <t>Beach, Great Food, Swim Out/Plunge Pool Rooms, Adults Only Rooms, Kids Club, Gym, Buffet, Swim Up Bar, Tennis, Nightclub, Spa, Wifi (Free), Babysitting, Adult Pool, Room Service, Evening Entertainment</t>
  </si>
  <si>
    <t>Premium Level at Barcelo Maya Palace</t>
  </si>
  <si>
    <t>Puerto Aventuras</t>
  </si>
  <si>
    <t>Beach, Kids Club, Teen Club, Lazy River, Kids Waterpark, Pool Slide, Water Feature, Heated Pool, Gym, Diving, Wifi (Paid), Buffet, Tennis, Evening Entertainment, Nightclub, Spa, Babysitting, Adult Pool, Swim Up Bar, Snorkelling</t>
  </si>
  <si>
    <t>Margaritaville Beach Resort Riviera Cancun - An All-Inclusive Experience for All</t>
  </si>
  <si>
    <t>Closed</t>
  </si>
  <si>
    <t>Marquis Los Cabos</t>
  </si>
  <si>
    <t>Great View, Green</t>
  </si>
  <si>
    <t>Beach, Swim Out/Plunge Pool Rooms, Heated Pool, Gym, Buffet, Casino, Golf Course, Tennis, Evening Entertainment, Nightclub, Spa, Wifi (Free), Pets Allowed, Room Service, Diving, Horseback Riding, Fishing</t>
  </si>
  <si>
    <t>Zoetry Villa Rolandi Isla Mujeres Cancun</t>
  </si>
  <si>
    <t>Isla Mujeres</t>
  </si>
  <si>
    <t>Quiet, Great View</t>
  </si>
  <si>
    <t>Beach, Heated Pool, Gym, Diving, Yoga Classes, Fishing, Wifi (Free), Spa, Room Service, Snorkelling</t>
  </si>
  <si>
    <t>Sunset at the Palms</t>
  </si>
  <si>
    <t>Beach, Great Beach, Gym, Diving, Buffet, Swim Up Bar, Snorkelling, Evening Entertainment, Room Service, Watersports Equipment Rentals, Spa</t>
  </si>
  <si>
    <t>Villa Premiere Boutique Hotel &amp; Romantic Getaway</t>
  </si>
  <si>
    <t>Buena Aventura Hoteles</t>
  </si>
  <si>
    <t>Beach, Heated Pool, Gym, Bicycles Available, Yoga Classes, Swim Up Bar, Hiking, Snorkelling, Evening Entertainment, Spa, Wifi (Free), Room Service, Diving, Horseback Riding, Fishing</t>
  </si>
  <si>
    <t>El Cid Marina Beach Hotel</t>
  </si>
  <si>
    <t>El Cid Resorts</t>
  </si>
  <si>
    <t>Marina View, Harbour View</t>
  </si>
  <si>
    <t>Beach, Pool Slide, Water Feature, Heated Pool, Gym, Golf Course, Evening Entertainment, Kids Club, Spa, Babysitting, Wifi (Paid), Buffet, Swim Up Bar, Tennis, Fishing</t>
  </si>
  <si>
    <t>Couples Tower Isle (Nude areas, Couples only)</t>
  </si>
  <si>
    <t>Nude Areas, Couples Only</t>
  </si>
  <si>
    <t>Couples Resorts</t>
  </si>
  <si>
    <t>Beach, Swim Out/Plunge Pool Rooms, Gym, Buffet, Diving, Tennis, Windsurfing, Evening Entertainment, Nightclub, Room Service, Swim Up Bar, Snorkelling, Watersports Equipment Rentals, Spa</t>
  </si>
  <si>
    <t>Sandos Finisterra</t>
  </si>
  <si>
    <t>Sandos</t>
  </si>
  <si>
    <t>Bay View, Business</t>
  </si>
  <si>
    <t>Beach, Heated Pool, Gym, Diving, Buffet, Swim Up Bar, Tennis, Fishing, Nightclub, Babysitting, Adult Pool, Room Service, Snorkelling, Evening Entertainment, Kids Club, Spa</t>
  </si>
  <si>
    <t>Iberostar Selection Hacienda Dominicus</t>
  </si>
  <si>
    <t>Bayahibe</t>
  </si>
  <si>
    <t>Park View, Great View</t>
  </si>
  <si>
    <t>Beach, Swim Out/Plunge Pool Rooms, Family Suite, 2 Bedroom Suites, Kids Club, Gym, Diving, Yoga Classes, Buffet, Swim Up Bar, Snorkelling, Spa, Babysitting, Tennis, Evening Entertainment, Nightclub</t>
  </si>
  <si>
    <t>Grand Lido Negril Au-Naturel, An Autograph Collection All-Inclusive Resort - Adults Only (Clothing optional, Nude areas)</t>
  </si>
  <si>
    <t>Clothing Optional, Nude Areas</t>
  </si>
  <si>
    <t>Ocean View, Magnificent View</t>
  </si>
  <si>
    <t>Beach, Great Beach, Swim Out/Plunge Pool Rooms, Heated Pool, Gym, Buffet, Tennis, Nightclub, Wifi (Free), Swim Up Bar, Room Service, Snorkelling, Evening Entertainment, Spa</t>
  </si>
  <si>
    <t>Iberostar Selection Coral Bávaro</t>
  </si>
  <si>
    <t>Charming, Ocean View</t>
  </si>
  <si>
    <t>Beach, Family Suite, 2 Bedroom Suites, Kids Club, Kids Waterpark, Gym, Casino, Snorkelling, Evening Entertainment, Wifi (Free), Babysitting, Buffet, Tennis, Nightclub, Spa</t>
  </si>
  <si>
    <t>2 King or 2 Double</t>
  </si>
  <si>
    <t>Aston Costa Verde Beach Resort</t>
  </si>
  <si>
    <t>Rafael Freyre</t>
  </si>
  <si>
    <t>Holguin</t>
  </si>
  <si>
    <t>Beach, Kids Club, Teen Club, Babysitting, Buffet, Evening Entertainment, Gym, Tennis, Nightclub</t>
  </si>
  <si>
    <t>Meliá Costa Rey</t>
  </si>
  <si>
    <t>Modern, Family</t>
  </si>
  <si>
    <t>Beach, Gym, Diving, Adult Pool, Swim Up Bar, Watersports Equipment Rentals, Babysitting, Buffet, Evening Entertainment, Nightclub, Kids Club, Spa</t>
  </si>
  <si>
    <t>Melia Buenavista All Inclusive The Level &amp; Spa</t>
  </si>
  <si>
    <t>Cayo Santa Maria</t>
  </si>
  <si>
    <t>Beach, Gym, Diving, Buffet, Snorkelling, Fishing, Room Service, Tennis, Evening Entertainment</t>
  </si>
  <si>
    <t>Villa La Estancia Beach Resort &amp; Spa Los Cabos</t>
  </si>
  <si>
    <t>Value, Family</t>
  </si>
  <si>
    <t>Beach, Family Suite, 2 Bedroom Suites, Lazy River, Heated Pool, Gym, Snorkelling, Fishing, Kids Club, Spa, Babysitting, Swim Up Bar, Room Service, Tennis</t>
  </si>
  <si>
    <t>Sandals St. Vincent (Couples only)</t>
  </si>
  <si>
    <t>St Vincent</t>
  </si>
  <si>
    <t>Buccament</t>
  </si>
  <si>
    <t>Argyle</t>
  </si>
  <si>
    <t>Beach, Swim Out/Plunge Pool Rooms, Wifi (Free), Buffet, Spa, Gym, Diving, Swim Up Bar, Evening Entertainment</t>
  </si>
  <si>
    <t>Club Med Cancun</t>
  </si>
  <si>
    <t>Family, Bay View</t>
  </si>
  <si>
    <t>Beach, Family Suite, 2 Bedroom Suites, Kids Club, Teen Club, Kids Waterpark, Pool Slide, Water Feature, Kids Club for Under 4, Gym, Tennis, Spa, Babysitting, Buffet, Diving, Evening Entertainment, Nightclub</t>
  </si>
  <si>
    <t>2 Bedrooms</t>
  </si>
  <si>
    <t>Zoetry Agua Punta Cana</t>
  </si>
  <si>
    <t>Beach, Swim Out/Plunge Pool Rooms, Family Suite, 2 Bedroom Suites, Lazy River, Gym, Room Service, Evening Entertainment, Wifi (Free), Adult Pool, Swim Up Bar, Diving, Fishing, Spa</t>
  </si>
  <si>
    <t>Couples Sans Souci (Nude areas, Couples only)</t>
  </si>
  <si>
    <t>Beach, Gym, Bicycles Available, Yoga Classes, Room Service, Swim Up Bar, Snorkelling, Watersports Equipment Rentals, Spa, Wifi (Free), Buffet, Diving, Tennis, Evening Entertainment</t>
  </si>
  <si>
    <t>Couples Resorts Negril (Nude areas, Couples only)</t>
  </si>
  <si>
    <t>Green, Ocean View</t>
  </si>
  <si>
    <t>Beach, Great Beach, Gym, Buffet, Tennis, Windsurfing, Yoga Classes, Room Service, Swim Up Bar, Diving, Snorkelling, Watersports Equipment Rentals, Evening Entertainment, Nightclub, Spa</t>
  </si>
  <si>
    <t>Playacar Palace</t>
  </si>
  <si>
    <t>Value, Ocean View</t>
  </si>
  <si>
    <t>Beach, Gym, Bicycles Available, Buffet, Swim Up Bar, Diving, Fishing, Kids Club, Spa, Wifi (Free), Babysitting, Room Service, Snorkelling, Evening Entertainment</t>
  </si>
  <si>
    <t>Casa Dorada Los Cabos Resort &amp; Spa</t>
  </si>
  <si>
    <t>Ocean View, Harbour View</t>
  </si>
  <si>
    <t>Beach, Family Suite, 2 Bedroom Suites, Kids Club, Heated Pool, Gym, Diving, Buffet, Swim Up Bar, Hiking, Snorkelling, Spa, Yoga Classes, Room Service, Horseback Riding, Fishing</t>
  </si>
  <si>
    <t>Garza Blanca Preserve Resort &amp; Spa</t>
  </si>
  <si>
    <t>Mountain View, Great View</t>
  </si>
  <si>
    <t>Beach, Family Suite, 2 Bedroom Suites, Kids Club, Heated Pool, Gym, Diving, Yoga Classes, Buffet, Babysitting, Wifi (Paid), Adult Pool, Room Service, Snorkelling, Evening Entertainment, Pets Allowed, Spa</t>
  </si>
  <si>
    <t>Margaritaville Island Reserve Riviera Cancun by Karisma</t>
  </si>
  <si>
    <t>Margaritaville</t>
  </si>
  <si>
    <t>Beach, Swim Out/Plunge Pool Rooms, Kids Club, Gym, Diving, Yoga Classes, Swim Up Bar, Snorkelling, Windsurfing, Spa, Wifi (Free), Room Service, Watersports Equipment Rentals, Evening Entertainment</t>
  </si>
  <si>
    <t>Pueblo Bonito Pacifica Golf &amp; Spa Resort</t>
  </si>
  <si>
    <t>Beach, Heated Pool, Gym, Golf Course, Wifi (Paid), Buffet, Swim Up Bar, Hiking, Evening Entertainment, Yoga Classes, Room Service, Tennis, Fishing, Spa</t>
  </si>
  <si>
    <t>Pueblo Bonito Mazatlan Beach Resort</t>
  </si>
  <si>
    <t>Classic, Green</t>
  </si>
  <si>
    <t>Beach, Heated Pool, Gym, Buffet, Swim Up Bar, Fishing</t>
  </si>
  <si>
    <t>Sandals Dunn's River (Couples only)</t>
  </si>
  <si>
    <t>Beach, Swim Out/Plunge Pool Rooms, Gym, Swim Up Bar, Spa, Wifi (Free), Buffet, Evening Entertainment, Nightclub</t>
  </si>
  <si>
    <t>Hilton Grand Vacations Club La Pacifica Los Cabos</t>
  </si>
  <si>
    <t>Hilton</t>
  </si>
  <si>
    <t>Beach, Family Suite, 2 Bedroom Suites, Kids Waterpark, Gym, Tennis, Wifi (Free), Babysitting, Spa</t>
  </si>
  <si>
    <t>Sandals Grenada (Couples only)</t>
  </si>
  <si>
    <t>Pink Gin Beach</t>
  </si>
  <si>
    <t>Modern</t>
  </si>
  <si>
    <t>Beach, Swim Out/Plunge Pool Rooms, Gym, Diving, Spa, Buffet, Swim Up Bar, Tennis, Evening Entertainment</t>
  </si>
  <si>
    <t>Grand Solmar Pacific Dunes Resort Golf &amp; Spa</t>
  </si>
  <si>
    <t>Lagoon View, Trendy</t>
  </si>
  <si>
    <t>Beach, Family Suite, 2 Bedroom Suites, Kids Club, Big Waterslides, Heated Pool, Gym, Golf Course, Yoga Classes, Swim Up Bar, Hiking, Babysitting, Adult Pool, Room Service, Snorkelling, Evening Entertainment, Spa</t>
  </si>
  <si>
    <t>Blue Haven Resort</t>
  </si>
  <si>
    <t>Leeward</t>
  </si>
  <si>
    <t>Beach, Family Suite, 2 Bedroom Suites, Kids Club, Gym, Bicycles Available, Yoga Classes, Buffet, Swim Up Bar, Wifi (Free), Snorkelling, Evening Entertainment, Babysitting, Spa</t>
  </si>
  <si>
    <t>Paradisus Río De Oro Resort &amp; Spa</t>
  </si>
  <si>
    <t>Beach, Swim Out/Plunge Pool Rooms, Gym, Snorkelling, Yoga Classes, Buffet, Swim Up Bar, Tennis, Evening Entertainment, Nightclub, Spa, Adult Pool</t>
  </si>
  <si>
    <t>Royalton Cayo Santa Maria</t>
  </si>
  <si>
    <t>Royalton</t>
  </si>
  <si>
    <t>Beach, Gym, Diving, Buffet, Evening Entertainment</t>
  </si>
  <si>
    <t>Grand Sirenis Cayo Santa Maria</t>
  </si>
  <si>
    <t>Cayo Las Brujas</t>
  </si>
  <si>
    <t>Sirenis Hotels</t>
  </si>
  <si>
    <t>Beach, Kids Club, Gym, Snorkelling, Tennis, Nightclub, Wifi (Paid), Buffet, Swim Up Bar, Evening Entertainment, Babysitting</t>
  </si>
  <si>
    <t>Escape at Nonsuch Bay Antigua - Adults Only - All Inclusive</t>
  </si>
  <si>
    <t>Freetown</t>
  </si>
  <si>
    <t>Beach, Swim Out/Plunge Pool Rooms, Snorkelling, Wifi (Free), Spa</t>
  </si>
  <si>
    <t>Sugar Cane Club Hotel &amp; Spa</t>
  </si>
  <si>
    <t>Barbados</t>
  </si>
  <si>
    <t>Saint Peter Parish</t>
  </si>
  <si>
    <t>Grantley Adams</t>
  </si>
  <si>
    <t>Gym, Buffet, Spa, Wifi (Free), Bicycles Available, Evening Entertainment</t>
  </si>
  <si>
    <t>Melia Internacional Varadero</t>
  </si>
  <si>
    <t>Trendy, Business</t>
  </si>
  <si>
    <t>Beach, Great Beach, Adults Only Rooms, Kids Club, Gym, Buffet, Swim Up Bar, Tennis, Babysitting, Snorkelling, Evening Entertainment, Spa</t>
  </si>
  <si>
    <t>Cocobay Resort - All Inclusive - Adults Only</t>
  </si>
  <si>
    <t>Bolans</t>
  </si>
  <si>
    <t>Beach, Swim Out/Plunge Pool Rooms, Gym, Yoga Classes, Room Service, Snorkelling, Spa, Wifi (Free), Evening Entertainment</t>
  </si>
  <si>
    <t>Barcelo Maya Palace</t>
  </si>
  <si>
    <t>Beach, Family Suite, 2 Bedroom Suites, Kids Club, Teen Club, Kids Waterpark, Pool Slide, Water Feature, Flowrider, Gym, Diving, Adult Pool, Swim Up Bar, Snorkelling, Spa, Babysitting, Buffet, Mini Golf, Tennis, Evening Entertainment, Nightclub</t>
  </si>
  <si>
    <t>Hotel Riu Palace Riviera Maya</t>
  </si>
  <si>
    <t>Riu</t>
  </si>
  <si>
    <t>Green, Family</t>
  </si>
  <si>
    <t>Beach, Kids Club, Pool Slide, Water Feature, Gym, Diving, Watersports Equipment Rentals, Nightclub, Spa, Buffet, Swim Up Bar, Snorkelling, Windsurfing, Evening Entertainment</t>
  </si>
  <si>
    <t>2 Small Double</t>
  </si>
  <si>
    <t>Hidden Beach Au Naturel Resort by Karisma (Clothing optional)</t>
  </si>
  <si>
    <t>Clothing Optional</t>
  </si>
  <si>
    <t>El Dorado</t>
  </si>
  <si>
    <t>Karisma</t>
  </si>
  <si>
    <t>Beach, Swim Out/Plunge Pool Rooms, Heated Pool, Gym, Swim Up Bar, Wifi (Free), Buffet, Evening Entertainment, Nightclub, Spa</t>
  </si>
  <si>
    <t>Club Med Ixtapa Pacific</t>
  </si>
  <si>
    <t>Ixtapa</t>
  </si>
  <si>
    <t>Ixtapa-Zihuatanejo</t>
  </si>
  <si>
    <t>Family, Charming</t>
  </si>
  <si>
    <t>Beach, Family Suite, 2 Bedroom Suites, Kids Club, Teen Club, Kids Club for Under 4, Gym, Buffet, Snorkelling, Evening Entertainment, Babysitting, Diving, Tennis, Fishing, Nightclub, Spa</t>
  </si>
  <si>
    <t>Montecristo Estates Luxury Villas</t>
  </si>
  <si>
    <t>Beach, Swim Out/Plunge Pool Rooms, Family Suite, 2 Bedroom Suites, Kids Club, Heated Pool, Gym, Golf Course, Room Service, Tennis, Fishing, Spa, Wifi (Free), Diving, Adult Pool, Buffet, Swim Up Bar</t>
  </si>
  <si>
    <t>Majestic Elegance Punta Cana</t>
  </si>
  <si>
    <t>Value, Romantic</t>
  </si>
  <si>
    <t>Beach, Great Food, Swim Out/Plunge Pool Rooms, Adults Only Rooms, Teen Club, Kids Waterpark, Pool Slide, Water Feature, Gym, Buffet, Tennis, Kids Club, Spa, Babysitting, Adult Pool, Room Service, Swim Up Bar, Snorkelling, Evening Entertainment, Nightclub</t>
  </si>
  <si>
    <t>Paradisus Playa del Carmen - Riviera Maya</t>
  </si>
  <si>
    <t>Beach, Swim Out/Plunge Pool Rooms, Adults Only Rooms, Family Suite, 2 Bedroom Suites, Kids Club, Kids Waterpark, Pool Slide, Water Feature, Kids Club for Under 4, Diving, Buffet, Watersports Equipment Rentals, Wifi (Free), Babysitting, Room Service, Swim Up Bar, Evening Entertainment, Nightclub, Spa</t>
  </si>
  <si>
    <t>Live Aqua Punta Cana</t>
  </si>
  <si>
    <t>Business, Ocean View</t>
  </si>
  <si>
    <t>Beach, Swim Out/Plunge Pool Rooms, Gym, Room Service, Evening Entertainment, Nightclub, Wifi (Free), Buffet, Swim Up Bar, Spa</t>
  </si>
  <si>
    <t>Catalonia Royal La Romana - Adults Only</t>
  </si>
  <si>
    <t>Dominicus</t>
  </si>
  <si>
    <t>Hoteles Catalonia</t>
  </si>
  <si>
    <t>Beach, Swim Out/Plunge Pool Rooms, Gym, Tennis, Wifi (Free), Buffet, Swim Up Bar, Evening Entertainment, Spa</t>
  </si>
  <si>
    <t>Margaritaville Island Reserve Cap Cana Hammock</t>
  </si>
  <si>
    <t>Beach, Swim Out/Plunge Pool Rooms</t>
  </si>
  <si>
    <t>Catalonia Royal Tulum</t>
  </si>
  <si>
    <t>Xpu-Ha</t>
  </si>
  <si>
    <t>Beach, Great Beach, Gym, Diving, Buffet, Evening Entertainment, Nightclub, Spa, Fishing</t>
  </si>
  <si>
    <t>The Royal Haciendas All Suites Resort &amp; Spa</t>
  </si>
  <si>
    <t>Beach, Family Suite, 2 Bedroom Suites, Kids Club, Teen Club, Kids Waterpark, Pool Slide, Water Feature, Heated Pool, Gym, Swim Up Bar, Diving, Snorkelling, Nightclub, Spa, Wifi (Free), Buffet, Tennis, Evening Entertainment</t>
  </si>
  <si>
    <t>Iberostar Selection Paraiso Lindo</t>
  </si>
  <si>
    <t>Beach, Family Suite, 2 Bedroom Suites, Kids Club, Teen Club, Lazy River, Kids Waterpark, Big Waterslides, Gym, Diving, Swim Up Bar, Evening Entertainment, Spa, Babysitting, Buffet, Golf Course</t>
  </si>
  <si>
    <t>Majestic Elegance Costa Mujeres</t>
  </si>
  <si>
    <t>Trendy, Family</t>
  </si>
  <si>
    <t>Beach, Swim Out/Plunge Pool Rooms, Adults Only Rooms, Kids Club, Teen Club, Gym, Swim Up Bar, Wifi (Free), Babysitting, Buffet, Evening Entertainment, Nightclub, Spa</t>
  </si>
  <si>
    <t>Pueblo Bonito Blanco Los Cabos Beach Resort</t>
  </si>
  <si>
    <t>Bay View, Family</t>
  </si>
  <si>
    <t>Beach, Lazy River, Heated Pool, Gym, Diving, Buffet, Evening Entertainment, Spa, Babysitting, Snorkelling, Fishing, Kids Club</t>
  </si>
  <si>
    <t>The Explorean Cozumel</t>
  </si>
  <si>
    <t>Kids Club, Heated Pool, Gym, Snorkelling, Evening Entertainment, Spa, Wifi (Free), Bicycles Available, Buffet, Diving</t>
  </si>
  <si>
    <t>Waves Hotel &amp; Spa by Elegant Hotels - All-Inclusive</t>
  </si>
  <si>
    <t>Beach, Gym, Yoga Classes, Adult Pool, Room Service, Watersports Equipment Rentals, Evening Entertainment, Buffet, Snorkelling, Spa</t>
  </si>
  <si>
    <t>O2 Beach Club &amp; Spa</t>
  </si>
  <si>
    <t>Beach, Family Suite, 2 Bedroom Suites, Gym, Buffet, Swim Up Bar, Snorkelling, Evening Entertainment, Spa, Wifi (Free), Babysitting, Yoga Classes, Adult Pool</t>
  </si>
  <si>
    <t>1 King and Sofa Bed or 2 Queen</t>
  </si>
  <si>
    <t>Hilton La Romana, An All Inclusive Adult Only Resort</t>
  </si>
  <si>
    <t>Beach, Swim Out/Plunge Pool Rooms, Gym, Buffet, Casino, Snorkelling, Evening Entertainment, Nightclub, Room Service, Diving, Tennis, Fishing, Spa</t>
  </si>
  <si>
    <t>TRS Cap Cana Waterfront &amp; Marina Hotel</t>
  </si>
  <si>
    <t>Beach, Swim Out/Plunge Pool Rooms, Gym, Buffet, Swim Up Bar, Fishing, Yoga Classes, Room Service, Evening Entertainment, Spa</t>
  </si>
  <si>
    <t>Blue Diamond Luxury Boutique Hotel</t>
  </si>
  <si>
    <t>Lagoon View, River View</t>
  </si>
  <si>
    <t>Beach, Gym, Bicycles Available, Room Service, Snorkelling, Wifi (Free), Diving, Spa</t>
  </si>
  <si>
    <t>Hotel Riu Palace Jamaica</t>
  </si>
  <si>
    <t>Montego Bay</t>
  </si>
  <si>
    <t>Modern, Trendy</t>
  </si>
  <si>
    <t>Beach, Great for Parties, Buffet, Diving, Watersports Equipment Rentals, Evening Entertainment, Gym, Swim Up Bar, Snorkelling, Windsurfing, Nightclub</t>
  </si>
  <si>
    <t>Marival Distinct Luxury Residences &amp; World Spa</t>
  </si>
  <si>
    <t>Marival Resorts</t>
  </si>
  <si>
    <t>Family, Modern</t>
  </si>
  <si>
    <t>Beach, Swim Out/Plunge Pool Rooms, Family Suite, 2 Bedroom Suites, Kids Club, Teen Club, Lazy River, Kids Waterpark, Pool Slide, Water Feature, Heated Pool, Gym, Diving, Wifi (Paid), Buffet, Fishing, Nightclub, Babysitting, Room Service, Tennis, Evening Entertainment, Spa</t>
  </si>
  <si>
    <t>Princess Grand Jamaica</t>
  </si>
  <si>
    <t>Green Island</t>
  </si>
  <si>
    <t>Princess Hotels</t>
  </si>
  <si>
    <t>Beach, Swim Out/Plunge Pool Rooms, Family Suite, 2 Bedroom Suites, Kids Waterpark, Big Waterslides, Kids Club, Gym, Swim Up Bar, Evening Entertainment, Wifi (Free), Babysitting, Yoga Classes, Buffet, Nightclub, Spa</t>
  </si>
  <si>
    <t>Scuba Club Cozumel</t>
  </si>
  <si>
    <t>Villa La Estancia Beach Resort &amp; Spa Riviera Nayarit</t>
  </si>
  <si>
    <t>Flamingos</t>
  </si>
  <si>
    <t>Beach, Family Suite, 2 Bedroom Suites, Kids Club, Heated Pool, Gym, Diving, Swim Up Bar, Tennis, Babysitting, Spa</t>
  </si>
  <si>
    <t>Pueblo Bonito Emerald Bay Resort &amp; Spa</t>
  </si>
  <si>
    <t>Beach, Kids Club, Heated Pool, Gym, Tennis, Adult Pool, Room Service, Spa, Yoga Classes, Buffet, Swim Up Bar</t>
  </si>
  <si>
    <t>Pueblo Bonito Sunset Beach Golf and Spa Resort</t>
  </si>
  <si>
    <t>Beach, Kids Club, Teen Club, Arcade, Heated Pool, Gym, Bicycles Available, Yoga Classes, Adult Pool, Buffet, Swim Up Bar, Golf Course, Tennis, Spa, Babysitting, Wifi (Paid), Room Service, Hiking, Fishing, Nightclub</t>
  </si>
  <si>
    <t>Secrets Playa Blanca in Costa Mujueres</t>
  </si>
  <si>
    <t>Beach, Great Food, Swim Out/Plunge Pool Rooms, Wifi (Free), Evening Entertainment, Spa, Gym, Buffet</t>
  </si>
  <si>
    <t>The Westin Reserva Conchal, an All-Inclusive Golf Resort &amp; Spa</t>
  </si>
  <si>
    <t>Brasilito</t>
  </si>
  <si>
    <t>Liberia</t>
  </si>
  <si>
    <t>Beach, Adults Only Rooms, Family Suite, 2 Bedroom Suites, Kids Club, Pool Slide, Water Feature, Gym, Bicycles Available, Wifi (Paid), Buffet, Golf Course, Snorkelling, Watersports Equipment Rentals, Evening Entertainment, Spa, Yoga Classes, Adult Pool, Room Service, Diving, Horseback Riding, Tennis, Fishing, Nightclub</t>
  </si>
  <si>
    <t>Sugar Bay Barbados</t>
  </si>
  <si>
    <t>Beach, Family Suite, 2 Bedroom Suites, Kids Club, Teen Club, Arcade, Gym, Diving, Yoga Classes, Swim Up Bar, Watersports Equipment Rentals, Evening Entertainment, Spa, Wifi (Free), Babysitting, Buffet, Snorkelling</t>
  </si>
  <si>
    <t>Impression Isla Mujeres by Secrets</t>
  </si>
  <si>
    <t>Great Food, Wifi (Free), Beach, Swim Up Bar, Snorkelling, Evening Entertainment, Spa, Gym, Yoga Classes, Room Service, Diving</t>
  </si>
  <si>
    <t>Carlisle Bay Antigua</t>
  </si>
  <si>
    <t>Beach, Family Suite, 2 Bedroom Suites, Kids Club, Gym, Yoga Classes, Buffet, Snorkelling, Windsurfing, Spa, Wifi (Free), Room Service, Diving, Tennis, Babysitting</t>
  </si>
  <si>
    <t>Laluna Boutique Hotel &amp; Villas (12+)</t>
  </si>
  <si>
    <t>Children 12+</t>
  </si>
  <si>
    <t>Morne Rouge</t>
  </si>
  <si>
    <t>Design Hotels</t>
  </si>
  <si>
    <t>Luxury, Great View</t>
  </si>
  <si>
    <t>Beach, Swim Out/Plunge Pool Rooms, Family Suite, 2 Bedroom Suites, Gym, Yoga Classes, Hiking, Watersports Equipment Rentals, Evening Entertainment, Wifi (Free), Room Service, Diving, Snorkelling, Fishing, Spa</t>
  </si>
  <si>
    <t>Iberostar Selection Holguin</t>
  </si>
  <si>
    <t>Beach, Family Suite, 2 Bedroom Suites, Kids Club, Kids Waterpark, Gym, Archery, Yoga Classes, Swim Up Bar, Tennis, Evening Entertainment, Wifi (Paid), Babysitting, Buffet, Snorkelling, Nightclub, Spa</t>
  </si>
  <si>
    <t>Bahia Principe Luxury Sian Ka'an</t>
  </si>
  <si>
    <t>Bahia Principe</t>
  </si>
  <si>
    <t>Romantic, Quiet</t>
  </si>
  <si>
    <t>Beach, Gym, Golf Course, Buffet, Tennis, Evening Entertainment, Casino, Nightclub, Spa</t>
  </si>
  <si>
    <t>Sol Caribe Beach</t>
  </si>
  <si>
    <t>Beach, Great Beach, Family Suite, 2 Bedroom Suites, Kids Club, Gym, Snorkelling, Watersports Equipment Rentals, Evening Entertainment, Babysitting, Buffet</t>
  </si>
  <si>
    <t>Ocean Maya Royale</t>
  </si>
  <si>
    <t>H10 Hotels</t>
  </si>
  <si>
    <t>Green, Bay View</t>
  </si>
  <si>
    <t>Beach, Gym, Diving, Buffet, Swim Up Bar, Tennis, Fishing, Nightclub, Wifi (Free), Evening Entertainment, Spa</t>
  </si>
  <si>
    <t>Hilton Playa del Carmen, an All-Inclusive Adult Only Resort</t>
  </si>
  <si>
    <t>Ocean View, Centrally Located</t>
  </si>
  <si>
    <t>Beach, Swim Out/Plunge Pool Rooms, Great for Parties, Heated Pool, Gym, Yoga Classes, Room Service, Swim Up Bar, Tennis, Evening Entertainment, Wifi (Free), Buffet, Nightclub, Spa</t>
  </si>
  <si>
    <t>Marriott Puerto Vallarta Resort &amp; Spa</t>
  </si>
  <si>
    <t>Value, Business</t>
  </si>
  <si>
    <t>Beach, Kids Club, Kids Waterpark, Pool Slide, Water Feature, Heated Pool, Gym, Bicycles Available, Wifi (Paid), Buffet, Swim Up Bar, Tennis, Babysitting, Room Service, Watersports Equipment Rentals, Spa</t>
  </si>
  <si>
    <t>Hotel Riu Palace Las Americas</t>
  </si>
  <si>
    <t>Classic, Bay View</t>
  </si>
  <si>
    <t>Beach, Great for Parties, Gym, Diving, Buffet, Swim Up Bar, Snorkelling, Fishing, Spa, Evening Entertainment</t>
  </si>
  <si>
    <t>Iberostar Waves Quetzal</t>
  </si>
  <si>
    <t>Beach, Family Suite, 2 Bedroom Suites, Kids Club, Teen Club, Kids Waterpark, Gym, Diving, Buffet, Swim Up Bar, Tennis, Spa, Wifi (Free), Babysitting, Evening Entertainment</t>
  </si>
  <si>
    <t>Iberostar Waves Tucán</t>
  </si>
  <si>
    <t>Park View, Family</t>
  </si>
  <si>
    <t>Beach, Family Suite, 2 Bedroom Suites, Kids Club, Teen Club, Kids Waterpark, Gym, Diving, Evening Entertainment, Babysitting, Buffet, Swim Up Bar, Tennis, Spa</t>
  </si>
  <si>
    <t>TRS Coral Hotel</t>
  </si>
  <si>
    <t>Business, Trendy</t>
  </si>
  <si>
    <t>Beach, Great Food, Swim Out/Plunge Pool Rooms, Heated Pool, Gym, Tennis, Room Service, Nightclub, Spa, Wifi (Free), Buffet, Swim Up Bar, Evening Entertainment</t>
  </si>
  <si>
    <t>Charela Inn</t>
  </si>
  <si>
    <t>Mid-Range, Bay View</t>
  </si>
  <si>
    <t>Beach, Family Suite, 2 Bedroom Suites, Room Service, Evening Entertainment, Wifi (Free), Snorkelling</t>
  </si>
  <si>
    <t>Hotel Riu Palace Mexico</t>
  </si>
  <si>
    <t>Beach, Kids Club, Gym, Diving, Evening Entertainment, Spa, Babysitting, Buffet, Swim Up Bar, Tennis</t>
  </si>
  <si>
    <t>1 King or 2 Small Double</t>
  </si>
  <si>
    <t>Playa Grande Resort &amp; Grand Spa</t>
  </si>
  <si>
    <t>Family, Value</t>
  </si>
  <si>
    <t>Beach, Family Suite, 2 Bedroom Suites, Kids Club, Pool Slide, Water Feature, Heated Pool, Gym, Diving, Room Service, Snorkelling, Fishing, Babysitting, Wifi (Paid), Adult Pool, Buffet, Swim Up Bar, Mini Golf, Tennis, Evening Entertainment, Spa</t>
  </si>
  <si>
    <t>1 King and 1 Queen Sofa Bed</t>
  </si>
  <si>
    <t>The Club at Hacienda del Mar</t>
  </si>
  <si>
    <t>Beach, Family Suite, 2 Bedroom Suites, Kids Club, Heated Pool, Gym, Golf Course, Room Service, Evening Entertainment, Spa, Babysitting, Yoga Classes, Swim Up Bar, Horseback Riding, Fishing</t>
  </si>
  <si>
    <t>Iberostar Selection Paraiso Maya Suites</t>
  </si>
  <si>
    <t>Business, Green</t>
  </si>
  <si>
    <t>Beach, Family Suite, 2 Bedroom Suites, Kids Club, Teen Club, Lazy River, Kids Waterpark, Big Waterslides, Gym, Diving, Swim Up Bar, Babysitting, Buffet, Golf Course, Evening Entertainment, Spa</t>
  </si>
  <si>
    <t>Generations Riviera Maya Resort</t>
  </si>
  <si>
    <t>Riviera Maya</t>
  </si>
  <si>
    <t>Modern, Charming</t>
  </si>
  <si>
    <t>Beach, Swim Out/Plunge Pool Rooms, Family Suite, 2 Bedroom Suites, Kids Club, Lazy River, Gym, Buffet, Swim Up Bar, Spa, Babysitting, Evening Entertainment</t>
  </si>
  <si>
    <t>1 King and 2 Queen Sofa Bed</t>
  </si>
  <si>
    <t>Club Med Punta Cana</t>
  </si>
  <si>
    <t>Beach, Family Suite, 2 Bedroom Suites, Kids Club, Teen Club, Kids Waterpark, Kids Club for Under 4, Gym, Buffet, Diving, Tennis, Babysitting, Adult Pool, Mini Golf, Evening Entertainment, Nightclub, Spa</t>
  </si>
  <si>
    <t>1 Queen 2 Twin</t>
  </si>
  <si>
    <t>Secrets Moxche Playa del Carmen</t>
  </si>
  <si>
    <t>Beach, Great Food, Swim Out/Plunge Pool Rooms, Heated Pool, Gym, Buffet, Swim Up Bar, Evening Entertainment, Nightclub, Wifi (Free), Yoga Classes, Room Service, Tennis, Spa</t>
  </si>
  <si>
    <t>Majestic Colonial Punta Cana</t>
  </si>
  <si>
    <t>Beach, Swim Out/Plunge Pool Rooms, Adults Only Rooms, Kids Club, Kids Waterpark, Pool Slide, Water Feature, Gym, Casino, Buffet, Tennis, Nightclub, Babysitting, Adult Pool, Swim Up Bar, Diving, Evening Entertainment, Spa</t>
  </si>
  <si>
    <t>El Dorado Royale by Karisma</t>
  </si>
  <si>
    <t>Beach, Great Beach, Swim Out/Plunge Pool Rooms, Gym, Tennis, Lazy River, Room Service, Swim Up Bar, Fishing, Wifi (Free), Buffet, Evening Entertainment, Nightclub, Spa</t>
  </si>
  <si>
    <t>Secrets The Vine Cancun</t>
  </si>
  <si>
    <t>Modern, Ocean View</t>
  </si>
  <si>
    <t>Beach, Great Food, Heated Pool, Gym, Diving, Buffet, Evening Entertainment, Nightclub, Wifi (Free), Room Service, Spa</t>
  </si>
  <si>
    <t>Bahia Principe Luxury Bouganville</t>
  </si>
  <si>
    <t>El Soco</t>
  </si>
  <si>
    <t>Modern, Bay View</t>
  </si>
  <si>
    <t>Beach, Gym, Casino, Swim Up Bar, Golf Course, Evening Entertainment, Spa, Buffet, Tennis, Nightclub</t>
  </si>
  <si>
    <t>Angsana Cayo Santa Maria</t>
  </si>
  <si>
    <t>The Grand Mayan at Vidanta Acapulco</t>
  </si>
  <si>
    <t>Barceló Maya Caribe</t>
  </si>
  <si>
    <t>Green</t>
  </si>
  <si>
    <t>Beach, Swim Out/Plunge Pool Rooms, Kids Club, Kids Waterpark, Pool Slide, Water Feature, Flowrider, Gym, Diving, Adult Pool, Swim Up Bar, Snorkelling, Fishing, Spa, Babysitting, Wifi (Paid), Buffet, Mini Golf, Tennis, Evening Entertainment, Nightclub</t>
  </si>
  <si>
    <t>The Royal Sands All Suites Resort &amp; Spa</t>
  </si>
  <si>
    <t>Royal Resorts</t>
  </si>
  <si>
    <t>Value, Great View</t>
  </si>
  <si>
    <t>Beach, Family Suite, 2 Bedroom Suites, Kids Club, Heated Pool, Gym, Tennis, Fishing, Wifi (Free), Babysitting, Buffet, Swim Up Bar, Diving, Snorkelling</t>
  </si>
  <si>
    <t>1 King and 2 Single Murphy</t>
  </si>
  <si>
    <t>The Fives Oceanfront - Riviera Cancún</t>
  </si>
  <si>
    <t>Beach, Swim Out/Plunge Pool Rooms, Family Suite, 2 Bedroom Suites, Gym, Bicycles Available, Diving, Windsurfing, Spa, Wifi (Free), Yoga Classes, Watersports Equipment Rentals, Fishing</t>
  </si>
  <si>
    <t>Couples Swept Away (Couples only)</t>
  </si>
  <si>
    <t>Green, Great View</t>
  </si>
  <si>
    <t>Beach, Great Beach, Gym, Fishing, Spa, Yoga Classes, Buffet, Swim Up Bar, Diving, Snorkelling, Tennis, Evening Entertainment, Nightclub</t>
  </si>
  <si>
    <t>Zel Punta Cana</t>
  </si>
  <si>
    <t>Modern, Business</t>
  </si>
  <si>
    <t>Beach, Swim Out/Plunge Pool Rooms, Family Suite, 2 Bedroom Suites, Kids Club, Lazy River, Pool Slide, Water Feature, Gym, Casino, Yoga Classes, Golf Course, Watersports Equipment Rentals, Spa, Swim Up Bar, Buffet, Tennis</t>
  </si>
  <si>
    <t>Margaritaville Island Reserve Riviera Maya by Karisma - Adults Only</t>
  </si>
  <si>
    <t>Beach, Gym, Buffet, Wifi (Free), Swim Up Bar, Evening Entertainment, Nightclub, Spa</t>
  </si>
  <si>
    <t>Windjammer Landing Villa Beach Resort</t>
  </si>
  <si>
    <t>Beach, Swim Out/Plunge Pool Rooms, Family Suite, 2 Bedroom Suites, Kids Club, Teen Club, Gym, Yoga Classes, Hiking, Snorkelling, Watersports Equipment Rentals, Evening Entertainment, Wifi (Free), Babysitting, Room Service, Diving, Horseback Riding, Tennis, Windsurfing, Fishing, Spa</t>
  </si>
  <si>
    <t>Sandals South Coast (Couples only)</t>
  </si>
  <si>
    <t>White House</t>
  </si>
  <si>
    <t>Bay View</t>
  </si>
  <si>
    <t>Beach, Swim Out/Plunge Pool Rooms, Gym, Diving, Wifi (Paid), Buffet, Evening Entertainment, Spa, Room Service, Swim Up Bar, Tennis, Nightclub</t>
  </si>
  <si>
    <t>Treasure Beach by Elegant Hotels - All-Inclusive, Adults Only (Non Refundable)</t>
  </si>
  <si>
    <t>Non Refundable</t>
  </si>
  <si>
    <t>Saint James Parish</t>
  </si>
  <si>
    <t>Mid-Range, Boutique</t>
  </si>
  <si>
    <t>Beach, Gym, Yoga Classes, Buffet, Snorkelling, Evening Entertainment, Wifi (Free), Room Service, Watersports Equipment Rentals</t>
  </si>
  <si>
    <t>Marriott Cancun, An All-Inclusive Resort</t>
  </si>
  <si>
    <t>Quiet, Business</t>
  </si>
  <si>
    <t>Beach, Kids Club, Kids Waterpark, Pool Slide, Water Feature, Arcade, Heated Pool, Gym, Diving, Wifi (Paid), Room Service, Watersports Equipment Rentals, Fishing, Spa, Babysitting, Buffet, Swim Up Bar</t>
  </si>
  <si>
    <t>1 King and Sofa Bed or 2 Double</t>
  </si>
  <si>
    <t>Sol Varadero Beach</t>
  </si>
  <si>
    <t>Beach, Great Beach, Gym, Buffet, Swim Up Bar, Snorkelling, Evening Entertainment, Tennis, Nightclub</t>
  </si>
  <si>
    <t>Sanctuary at Grand Memories Holguin</t>
  </si>
  <si>
    <t>Beach, Gym, Yoga Classes, Buffet, Windsurfing, Evening Entertainment, Spa, Wifi (Free), Room Service, Swim Up Bar, Tennis, Nightclub</t>
  </si>
  <si>
    <t>Secrets Vallarta Bay Todo Incluido</t>
  </si>
  <si>
    <t>Green, Modern</t>
  </si>
  <si>
    <t>Beach, Great Food, Swim Out/Plunge Pool Rooms, Heated Pool, Gym, Tennis, Buffet, Spa, Wifi (Free), Room Service, Swim Up Bar, Evening Entertainment, Nightclub</t>
  </si>
  <si>
    <t>Resorts Hedonism (Hedonism II Resort) (Clothing optional)</t>
  </si>
  <si>
    <t>Beach, Gym, Yoga Classes, Buffet, Swim Up Bar, Diving, Tennis, Windsurfing, Nightclub, Snorkelling, Watersports Equipment Rentals, Evening Entertainment, Spa</t>
  </si>
  <si>
    <t>El Dorado Casitas Royale by Karisma</t>
  </si>
  <si>
    <t>Beach, Great Food, Swim Out/Plunge Pool Rooms, Gym, Horseback Riding, Room Service, Swim Up Bar, Tennis, Nightclub, Spa, Lazy River, Buffet</t>
  </si>
  <si>
    <t>Hilton La Romana, an All-Inclusive Family Resort</t>
  </si>
  <si>
    <t>Romantic, Family</t>
  </si>
  <si>
    <t>Beach, Swim Out/Plunge Pool Rooms, Kids Club, Teen Club, Lazy River, Kids Waterpark, Pool Slide, Water Feature, Big Waterslides, Gym, Casino, Evening Entertainment, Nightclub, Spa, Wifi (Free), Babysitting, Adult Pool, Buffet, Diving, Pets Allowed</t>
  </si>
  <si>
    <t>Can request, $60 per night</t>
  </si>
  <si>
    <t>Secrets Puerto Los Cabos Golf &amp; Spa Resort</t>
  </si>
  <si>
    <t>Great Food, Swim Out/Plunge Pool Rooms, Gym, Archery, Yoga Classes, Room Service, Swim Up Bar, Golf Course, Fishing, Nightclub, Spa, Wifi (Free), Buffet, Mini Golf, Evening Entertainment</t>
  </si>
  <si>
    <t>Jewel Grande Montego Bay Resort &amp; Spa</t>
  </si>
  <si>
    <t>Playa Hotels &amp; Resorts</t>
  </si>
  <si>
    <t>Centrally Located, Family</t>
  </si>
  <si>
    <t>Family Suite, 2 Bedroom Suites, Kids Club, Gym, Room Service, Evening Entertainment, Nightclub, Wifi (Free), Beach, Babysitting, Buffet, Swim Up Bar, Spa</t>
  </si>
  <si>
    <t>Hodelpa Garden Suites Golf &amp; Convention Centre</t>
  </si>
  <si>
    <t>Juan Dolio</t>
  </si>
  <si>
    <t>Hodelpa Hotels</t>
  </si>
  <si>
    <t>Charming, Family</t>
  </si>
  <si>
    <t>Gym, Room Service, Evening Entertainment, Wifi (Free), Tennis, Buffet, Swim Up Bar</t>
  </si>
  <si>
    <t>Bahia Principe Luxury Ambar</t>
  </si>
  <si>
    <t>Beach, Great Food, Swim Out/Plunge Pool Rooms, Gym, Casino, Tennis, Buffet, Swim Up Bar, Diving, Evening Entertainment, Spa</t>
  </si>
  <si>
    <t>Barceló Maya Tropical</t>
  </si>
  <si>
    <t>Beach, Kids Club, Kids Waterpark, Pool Slide, Water Feature, Gym, Casino, Swim Up Bar, Diving, Snorkelling, Nightclub, Spa, Babysitting, Wifi (Paid), Buffet, Mini Golf, Tennis, Evening Entertainment</t>
  </si>
  <si>
    <t>Heaven At The Hard Rock Hotel Riviera Maya</t>
  </si>
  <si>
    <t>Hard Rock Hotels</t>
  </si>
  <si>
    <t>Green, Business</t>
  </si>
  <si>
    <t>Beach, Swim Out/Plunge Pool Rooms, Gym, Diving, Room Service, Evening Entertainment, Nightclub, Wifi (Free), Buffet, Swim Up Bar, Tennis, Fishing, Spa</t>
  </si>
  <si>
    <t>The Royal Cancun All Suites Resort</t>
  </si>
  <si>
    <t>Value, Charming</t>
  </si>
  <si>
    <t>Beach, Family Suite, 2 Bedroom Suites, Kids Club, Heated Pool, Gym, Bicycles Available, Tennis, Wifi (Free), Babysitting, Buffet, Swim Up Bar, Diving, Snorkelling, Fishing</t>
  </si>
  <si>
    <t>1 King and 1 Double Murphy and 2 Single</t>
  </si>
  <si>
    <t>Ventus Ha' at Marina El Cid Spa &amp; Beach Resort</t>
  </si>
  <si>
    <t>Family Suite, 2 Bedroom Suites, Kids Club, Teen Club, Pool Slide, Water Feature, Gym, Snorkelling, Spa, Wifi (Paid), Bicycles Available, Watersports Equipment Rentals</t>
  </si>
  <si>
    <t>1 King and 1 Queen Murphy</t>
  </si>
  <si>
    <t>Sunset Plaza Beach Resort</t>
  </si>
  <si>
    <t>Value, Modern</t>
  </si>
  <si>
    <t>Beach, Kids Club, Heated Pool, Gym, Horseback Riding, Room Service, Spa, Wifi (Free), Adult Pool, Swim Up Bar, Tennis, Fishing</t>
  </si>
  <si>
    <t>The Westin Porto de Galinhas, an All-Inclusive Resort</t>
  </si>
  <si>
    <t>Brazil</t>
  </si>
  <si>
    <t>Porto de Galinhas</t>
  </si>
  <si>
    <t>Guararapes</t>
  </si>
  <si>
    <t>Business, Charming</t>
  </si>
  <si>
    <t>Beach, Swim Out/Plunge Pool Rooms, Yoga Classes, Hiking, Adult Pool, Buffet, Swim Up Bar, Kids Club, Evening Entertainment</t>
  </si>
  <si>
    <t>Hard Rock Hotel Vallarta</t>
  </si>
  <si>
    <t>Beach, Family Suite, 2 Bedroom Suites, Kids Club, Teen Club, Pool Slide, Water Feature, Arcade, Heated Pool, Gym, Room Service, Swim Up Bar, Evening Entertainment, Nightclub, Wifi (Free), Babysitting, Fishing, Spa</t>
  </si>
  <si>
    <t>Secrets Papagayo Costa Rica</t>
  </si>
  <si>
    <t>Gulf of Papagayo</t>
  </si>
  <si>
    <t>Mountain View, Romantic</t>
  </si>
  <si>
    <t>Beach, Great Food, Swim Out/Plunge Pool Rooms, Heated Pool, Gym, Diving, Swim Up Bar, Tennis, Fishing, Buffet, Evening Entertainment, Spa</t>
  </si>
  <si>
    <t>Iberostar Selection Playa Mita</t>
  </si>
  <si>
    <t>Punta de Mita</t>
  </si>
  <si>
    <t>Park View, Mountain View</t>
  </si>
  <si>
    <t>Beach, Family Suite, 2 Bedroom Suites, Kids Club, Teen Club, Kids Waterpark, Gym, Diving, Swim Up Bar, Tennis, Nightclub, Wifi (Free), Babysitting, Buffet, Golf Course, Evening Entertainment, Spa</t>
  </si>
  <si>
    <t>Hyatt Ziva Puerto Vallarta</t>
  </si>
  <si>
    <t>Beach, Swim Out/Plunge Pool Rooms, Adults Only Rooms, Kids Club, Heated Pool, Gym, Diving, Buffet, Swim Up Bar, Tennis, Fishing, Spa, Wifi (Free), Babysitting, Adult Pool, Evening Entertainment</t>
  </si>
  <si>
    <t>Breathless Cabo San Lucas Resort &amp; Spa</t>
  </si>
  <si>
    <t>Mountain View, Trendy</t>
  </si>
  <si>
    <t>Beach, Great for Parties, Heated Pool, Gym, Buffet, Fishing, Spa, Wifi (Free), Room Service, Evening Entertainment, Nightclub</t>
  </si>
  <si>
    <t>Mahekal Beach Resort (No TV)</t>
  </si>
  <si>
    <t>Beach, Swim Out/Plunge Pool Rooms, Gym, Bicycles Available, Yoga Classes, Buffet, Spa, Babysitting, Room Service, Swim Up Bar, Evening Entertainment, Pets Allowed</t>
  </si>
  <si>
    <t>Temptation Cancun Resort</t>
  </si>
  <si>
    <t>Optional Topless Areas</t>
  </si>
  <si>
    <t>Beach, Great for Parties, Gym, Windsurfing, Yoga Classes, Room Service, Swim Up Bar, Nightclub, Spa, Buffet, Evening Entertainment</t>
  </si>
  <si>
    <t>Turquoize at Hyatt Ziva Cancun</t>
  </si>
  <si>
    <t>Beach, Swim Out/Plunge Pool Rooms, Wifi (Free), Spa</t>
  </si>
  <si>
    <t>Renaissance Wind Creek Aruba Resort</t>
  </si>
  <si>
    <t>City View, Green</t>
  </si>
  <si>
    <t>Beach, Adults Only Rooms, Gym, Casino, Yoga Classes, Buffet, Diving, Fishing, Wifi (Free), Adult Pool, Room Service, Snorkelling, Evening Entertainment, Spa</t>
  </si>
  <si>
    <t>Dreams Flora Resort &amp; Spa</t>
  </si>
  <si>
    <t>Blau Varadero</t>
  </si>
  <si>
    <t>Bay View, Great View</t>
  </si>
  <si>
    <t>Grand Fiesta Americana Los Cabos All Inclusive Golf &amp; Spa</t>
  </si>
  <si>
    <t>Family, Business</t>
  </si>
  <si>
    <t>Beach, Swim Out/Plunge Pool Rooms, Family Suite, 2 Bedroom Suites, Kids Club, Lazy River, Heated Pool, Gym, Archery, Yoga Classes, Adult Pool, Buffet, Swim Up Bar, Snorkelling, Fishing, Nightclub, Babysitting, Room Service, Evening Entertainment</t>
  </si>
  <si>
    <t>Binniguenda Huatulco All Inclusive Hotel &amp; Beach Club</t>
  </si>
  <si>
    <t>Huatulco</t>
  </si>
  <si>
    <t>Beach, Family Suite, 2 Bedroom Suites, Gym, Evening Entertainment, Babysitting, Kids Club, Wifi (Free), Buffet, Nightclub</t>
  </si>
  <si>
    <t>Hotel Riu Palace Pacifico</t>
  </si>
  <si>
    <t>Beach, Great for Parties, Buffet, Swim Up Bar, Evening Entertainment, Spa</t>
  </si>
  <si>
    <t>Privilege Aluxes</t>
  </si>
  <si>
    <t>Green, City View</t>
  </si>
  <si>
    <t>Beach, Swim Out/Plunge Pool Rooms, Gym, Diving, Room Service, Wifi (Free), Buffet, Swim Up Bar, Fishing, Spa</t>
  </si>
  <si>
    <t>Hotel Riu Playacar</t>
  </si>
  <si>
    <t>Family, Residential Neighborhood</t>
  </si>
  <si>
    <t>Beach, Kids Club, Kids Waterpark, Gym, Diving, Wifi (Paid), Spa, Babysitting, Buffet, Swim Up Bar, Evening Entertainment</t>
  </si>
  <si>
    <t>El Dorado Seaside Suites</t>
  </si>
  <si>
    <t>Beach, Swim Out/Plunge Pool Rooms, Gym, Tennis, Wifi (Paid), Swim Up Bar, Evening Entertainment, Buffet, Nightclub, Spa</t>
  </si>
  <si>
    <t>Grand Aston Varadero Beach Resort (11+, Max 2 per room)</t>
  </si>
  <si>
    <t>Children 11+, Max 2 per Room</t>
  </si>
  <si>
    <t>Beach, Great Beach, Gym, Evening Entertainment, Wifi (Free), Buffet, Nightclub</t>
  </si>
  <si>
    <t>El Dorado Seaside Palms, By Karisma</t>
  </si>
  <si>
    <t>Beach, Swim Out/Plunge Pool Rooms, Gym, Room Service, Watersports Equipment Rentals, Evening Entertainment, Nightclub, Buffet, Swim Up Bar, Tennis, Spa</t>
  </si>
  <si>
    <t>Paradisus Palma Real Golf &amp; Spa Resort</t>
  </si>
  <si>
    <t>Beach, Swim Out/Plunge Pool Rooms, Adults Only Rooms, Family Suite, 2 Bedroom Suites, Kids Club, Lazy River, Kids Waterpark, Gym, Diving, Yoga Classes, Room Service, Swim Up Bar, Tennis, Evening Entertainment, Babysitting, Adult Pool, Buffet, Golf Course, Watersports Equipment Rentals, Nightclub, Spa</t>
  </si>
  <si>
    <t>Club Med Columbus - Bahamas</t>
  </si>
  <si>
    <t>San Salvador</t>
  </si>
  <si>
    <t>Beach, Teen Club, Kids Club, Kids Club for Under 4, Tennis, Spa, Gym, Bicycles Available, Buffet, Diving, Evening Entertainment, Nightclub</t>
  </si>
  <si>
    <t>Secrets Huatulco Resort &amp; Spa</t>
  </si>
  <si>
    <t>B</t>
  </si>
  <si>
    <t>Great View, Trendy</t>
  </si>
  <si>
    <t>Beach, Great Food, Swim Out/Plunge Pool Rooms, Gym, Room Service, Swim Up Bar, Nightclub, Spa, Buffet, Snorkelling, Evening Entertainment</t>
  </si>
  <si>
    <t>Secrets Royal Beach Punta Cana</t>
  </si>
  <si>
    <t>Value, Green</t>
  </si>
  <si>
    <t>Beach, Great Food, Swim Out/Plunge Pool Rooms, Gym, Casino, Lazy River, Buffet, Swim Up Bar, Diving, Tennis, Evening Entertainment, Spa, Room Service, Nightclub</t>
  </si>
  <si>
    <t>S Hotel Montego Bay (Couples only)</t>
  </si>
  <si>
    <t>Beach, Gym, Snorkelling, Yoga Classes, Evening Entertainment, Wifi (Free), Room Service, Nightclub, Spa</t>
  </si>
  <si>
    <t>Iberostar Waves Cozumel</t>
  </si>
  <si>
    <t>Beach, Great Food, Family Suite, 2 Bedroom Suites, Kids Club, Gym, Diving, Swim Up Bar, Snorkelling, Evening Entertainment, Spa, Babysitting, Buffet, Tennis</t>
  </si>
  <si>
    <t>Garza Blanca Resort &amp; Spa Cancun</t>
  </si>
  <si>
    <t>Punta Sam</t>
  </si>
  <si>
    <t>Beach, Swim Out/Plunge Pool Rooms, Family Suite, 2 Bedroom Suites, Kids Club, Heated Pool, Gym, Snorkelling, Yoga Classes, Room Service, Swim Up Bar, Evening Entertainment, Wifi (Free), Buffet, Spa</t>
  </si>
  <si>
    <t>Moon Palace The Grand - Cancún</t>
  </si>
  <si>
    <t>Beach, Swim Out/Plunge Pool Rooms, Family Suite, 2 Bedroom Suites, Kids Club, Teen Club, Lazy River, Kids Waterpark, Pool Slide, Water Feature, Big Waterslides, Arcade, Flowrider, Heated Pool, Gym, Bicycles Available, Swim Up Bar, Golf Course, Evening Entertainment, Nightclub, Wifi (Free), Babysitting, Adult Pool, Buffet, Tennis, Spa</t>
  </si>
  <si>
    <t>1 King or 2 Double - 1-2 Rollaway Beds avail</t>
  </si>
  <si>
    <t>The House by Elegant Hotels - All-Inclusive, Adults Only</t>
  </si>
  <si>
    <t>Bay View, Quiet</t>
  </si>
  <si>
    <t>Beach, Gym, Yoga Classes, Snorkelling, Wifi (Free), Watersports Equipment Rentals, Spa</t>
  </si>
  <si>
    <t>Royal Hideaway Playacar</t>
  </si>
  <si>
    <t>Beach, Gym, Snorkelling, Tennis, Evening Entertainment, Spa, Wifi (Free)</t>
  </si>
  <si>
    <t>Villa del Arco Beach Resort &amp; Spa</t>
  </si>
  <si>
    <t>Bay View, Harbour View</t>
  </si>
  <si>
    <t>Beach, Family Suite, 2 Bedroom Suites, Kids Club, Lazy River, Heated Pool, Gym, Diving, Evening Entertainment, Wifi (Free), Babysitting, Fishing, Spa</t>
  </si>
  <si>
    <t>Garza Blanca Resort &amp; Spa Los Cabos</t>
  </si>
  <si>
    <t>Beach, Family Suite, 2 Bedroom Suites, Kids Club, Heated Pool, Gym, Bicycles Available, Adult Pool, Swim Up Bar, Horseback Riding, Fishing, Spa, Babysitting, Yoga Classes, Room Service, Diving, Hiking, Tennis</t>
  </si>
  <si>
    <t>Iberostar Selection Rose Hall Suites</t>
  </si>
  <si>
    <t>Beach, Family Suite, 2 Bedroom Suites, Kids Club, Lazy River, Kids Waterpark, Gym, Casino, Buffet, Swim Up Bar, Diving, Evening Entertainment, Nightclub, Babysitting, Tennis, Fishing, Spa</t>
  </si>
  <si>
    <t>Fiesta Americana Condesa Cancun All Inclusive</t>
  </si>
  <si>
    <t>Beach, Swim Out/Plunge Pool Rooms, Family Suite, 2 Bedroom Suites, Kids Club, Kids Waterpark, Pool Slide, Water Feature, Gym, Diving, Buffet, Fishing, Spa, Yoga Classes, Room Service, Swim Up Bar, Evening Entertainment</t>
  </si>
  <si>
    <t>Princess Senses the Mangrove</t>
  </si>
  <si>
    <t>Luxury, Mid-Range</t>
  </si>
  <si>
    <t>Swim Out/Plunge Pool Rooms, Gym, Yoga Classes, Buffet, Evening Entertainment, Nightclub, Spa, Wifi (Free), Room Service, Swim Up Bar, Snorkelling</t>
  </si>
  <si>
    <t>The Palm at Playa</t>
  </si>
  <si>
    <t>Pacifica Resort Ixtapa</t>
  </si>
  <si>
    <t>Timeshare</t>
  </si>
  <si>
    <t>Hotel Riu Palace Peninsula</t>
  </si>
  <si>
    <t>Beach, Adults Only Rooms, Great for Parties, Kids Club, Gym, Diving, Adult Pool, Buffet, Spa, Babysitting, Swim Up Bar, Evening Entertainment</t>
  </si>
  <si>
    <t>CC Beach Front Papagayo (Non refundable)</t>
  </si>
  <si>
    <t>Playa Panama</t>
  </si>
  <si>
    <t>Beach, Windsurfing, Pets Allowed, Wifi (Free), Hiking, Watersports Equipment Rentals, Fishing, Spa</t>
  </si>
  <si>
    <t>Sandals Grande St Lucian (Couples only)</t>
  </si>
  <si>
    <t>Gros Islet</t>
  </si>
  <si>
    <t>Luxury, Romantic</t>
  </si>
  <si>
    <t>Beach, Great Beach, Swim Out/Plunge Pool Rooms, Gym, Diving, Room Service, Tennis, Nightclub, Wifi (Free), Buffet, Swim Up Bar, Snorkelling, Evening Entertainment, Spa</t>
  </si>
  <si>
    <t>Gran Muthu Almirante Beach Hotel</t>
  </si>
  <si>
    <t>Guardalavaca</t>
  </si>
  <si>
    <t>Mutha Hotels MGM</t>
  </si>
  <si>
    <t>Beach, Family Suite, 2 Bedroom Suites, Kids Club, Teen Club, Kids Waterpark, Gym, Archery, Buffet, Swim Up Bar, Bicycles Available, Snorkelling, Evening Entertainment, Spa, Babysitting, Adult Pool, Room Service, Diving, Horseback Riding, Tennis, Watersports Equipment Rentals, Nightclub</t>
  </si>
  <si>
    <t>SLS Playa Mujeres</t>
  </si>
  <si>
    <t>Beach, Swim Out/Plunge Pool Rooms, Family Suite, 2 Bedroom Suites, Kids Waterpark, Heated Pool, Gym, Bicycles Available, Yoga Classes, Room Service, Swim Up Bar, Fishing, Pets Allowed, Spa, Wifi (Free), Babysitting, Adult Pool, Buffet, Diving, Golf Course, Evening Entertainment, Nightclub, Kids Club</t>
  </si>
  <si>
    <t>Beach Palace All Inclusive</t>
  </si>
  <si>
    <t>Beach, Family Suite, 2 Bedroom Suites, Kids Club, Lazy River, Pool Slide, Water Feature, Heated Pool, Gym, Room Service, Swim Up Bar, Evening Entertainment, Nightclub, Wifi (Free), Babysitting, Buffet, Spa</t>
  </si>
  <si>
    <t>Secrets Playa Mujeres Golf &amp; Spa Resort</t>
  </si>
  <si>
    <t>Beach, Great Food, Swim Out/Plunge Pool Rooms, Heated Pool, Gym, Golf Course, Buffet, Spa, Wifi (Free), Swim Up Bar, Tennis, Evening Entertainment, Nightclub</t>
  </si>
  <si>
    <t>Hotel NYX Cancun</t>
  </si>
  <si>
    <t>Value, Bay View</t>
  </si>
  <si>
    <t>Beach, Kids Club, Yoga Classes, Buffet, Gym, Spa, Evening Entertainment</t>
  </si>
  <si>
    <t>Paradisus Los Cabos - Adults only - The Leading Hotels of the World</t>
  </si>
  <si>
    <t>Beach, Swim Out/Plunge Pool Rooms, Heated Pool, Gym, Diving, Room Service, Wifi (Free), Buffet, Swim Up Bar, Evening Entertainment, Nightclub, Spa</t>
  </si>
  <si>
    <t>Iberostar Waves Paraiso Beach</t>
  </si>
  <si>
    <t>Beach, Family Suite, 2 Bedroom Suites, Kids Club, Lazy River, Gym, Archery, Yoga Classes, Buffet, Swim Up Bar, Bicycles Available, Tennis, Evening Entertainment, Spa, Wifi (Free), Babysitting, Diving, Golf Course, Nightclub</t>
  </si>
  <si>
    <t>Iberostar Waves Paraíso del Mar</t>
  </si>
  <si>
    <t>Beach, Family Suite, 2 Bedroom Suites, Kids Club, Teen Club, Gym, Archery, Yoga Classes, Buffet, Diving, Mini Golf, Evening Entertainment, Nightclub, Wifi (Free), Babysitting, Swim Up Bar, Bicycles Available, Golf Course, Snorkelling, Spa</t>
  </si>
  <si>
    <t>Breathless Punta Cana Resort &amp; Spa</t>
  </si>
  <si>
    <t>Beach, Swim Out/Plunge Pool Rooms, Great for Parties, Gym, Casino, Lazy River, Room Service, Snorkelling, Evening Entertainment, Buffet, Swim Up Bar, Diving, Tennis, Nightclub, Spa</t>
  </si>
  <si>
    <t>Hacienda Encantada Resort &amp; Residences</t>
  </si>
  <si>
    <t>Mexico Grand Hotels</t>
  </si>
  <si>
    <t>Swim Out/Plunge Pool Rooms, Family Suite, 2 Bedroom Suites, Kids Club, Kids Waterpark, Heated Pool, Gym, Diving, Wifi (Free), Swim Up Bar, Horseback Riding, Fishing, Spa, Babysitting, Adult Pool, Buffet</t>
  </si>
  <si>
    <t>Beach, Swim Out/Plunge Pool Rooms, Family Suite, 2 Bedroom Suites, Kids Club, Teen Club, Big Waterslides, Kids Club for Under 4, Gym, Evening Entertainment, Wifi (Free), Babysitting, Buffet, Nightclub, Spa</t>
  </si>
  <si>
    <t>Hilton Vallarta Riviera All-Inclusive Resort</t>
  </si>
  <si>
    <t>Beach, Adults Only Rooms, Kids Club, Teen Club, Gym, Snorkelling, Yoga Classes, Buffet, Swim Up Bar, Evening Entertainment, Pets Allowed, Wifi (Free), Adult Pool, Room Service, Watersports Equipment Rentals, Nightclub, Spa</t>
  </si>
  <si>
    <t>Paradisus Grand Cana - All Suites</t>
  </si>
  <si>
    <t>Beach, Swim Out/Plunge Pool Rooms, Family Suite, 2 Bedroom Suites, Kids Club, Kids Waterpark, Pool Slide, Water Feature, Arcade, Gym, Yoga Classes, Room Service, Golf Course, Tennis, Evening Entertainment, Nightclub, Wifi (Free), Diving, Swim Up Bar, Buffet, Mini Golf, Spa</t>
  </si>
  <si>
    <t>Lopesan Costa Bavaro Resort Spa &amp; Casino</t>
  </si>
  <si>
    <t>Lopesan Hotels</t>
  </si>
  <si>
    <t>Trendy, Ocean View</t>
  </si>
  <si>
    <t>Beach, Swim Out/Plunge Pool Rooms, Adults Only Rooms, Family Suite, 2 Bedroom Suites, Kids Club, Teen Club, Kids Waterpark, Arcade, Gym, Adult Pool, Buffet, Diving, Wifi (Free), Babysitting, Room Service, Casino, Windsurfing, Evening Entertainment, Nightclub</t>
  </si>
  <si>
    <t>Hyatt Ziva Rose Hall</t>
  </si>
  <si>
    <t>Beach, Swim Out/Plunge Pool Rooms, Kids Club, Gym, Tennis, Adult Pool, Buffet, Swim Up Bar, Nightclub, Spa, Wifi (Free), Babysitting, Evening Entertainment</t>
  </si>
  <si>
    <t>Azul Ixtapa Grand Beach Resort Spa &amp; Convention Center</t>
  </si>
  <si>
    <t>Azul</t>
  </si>
  <si>
    <t>Beach, Kids Club, Kids Waterpark, Gym, Archery, Buffet, Swim Up Bar, Mini Golf, Tennis, Spa, Adult Pool, Snorkelling, Evening Entertainment</t>
  </si>
  <si>
    <t>Hotel Riu Latino</t>
  </si>
  <si>
    <t>Beach, Swim Out/Plunge Pool Rooms, Great for Parties, Gym, Buffet, Evening Entertainment, Nightclub, Spa, Wifi (Free), Swim Up Bar</t>
  </si>
  <si>
    <t>Barcelo Maya Colonial - All Inclusive</t>
  </si>
  <si>
    <t>Family, Great View</t>
  </si>
  <si>
    <t>Beach, Kids Club, Teen Club, Kids Waterpark, Big Waterslides, Flowrider, Gym, Diving, Tennis, Evening Entertainment, Nightclub, Babysitting, Wifi (Paid), Buffet, Swim Up Bar, Mini Golf, Spa</t>
  </si>
  <si>
    <t>Fiesta Americana Cancun Villas</t>
  </si>
  <si>
    <t>Beach, Kids Club, Gym, Snorkelling, Room Service, Wifi (Free), Buffet, Evening Entertainment, Spa</t>
  </si>
  <si>
    <t>Secrets Bahia Mita Surf &amp; Spa Resort</t>
  </si>
  <si>
    <t>Beach, Great Food, Heated Pool, Gym, Buffet, Nightclub, Wifi (Free), Pets Allowed, Room Service, Swim Up Bar, Evening Entertainment, Spa</t>
  </si>
  <si>
    <t>Bahia Principe Luxury Akumal</t>
  </si>
  <si>
    <t>Beach, Swim Out/Plunge Pool Rooms, Kids Club, Kids Waterpark, Gym, Casino, Swim Up Bar, Diving, Tennis, Evening Entertainment, Nightclub, Babysitting, Adult Pool, Buffet, Golf Course, Fishing, Spa</t>
  </si>
  <si>
    <t>Curacao Marriott Beach Resort</t>
  </si>
  <si>
    <t>Beach, Kids Club, Gym, Diving, Snorkelling, Wifi (Free), Adult Pool, Buffet, Watersports Equipment Rentals</t>
  </si>
  <si>
    <t>Iberostar Selection Bavaro Suites</t>
  </si>
  <si>
    <t>Beach, Family Suite, 2 Bedroom Suites, Kids Club, Kids Waterpark, Gym, Diving, Yoga Classes, Buffet, Evening Entertainment, Pets Allowed, Babysitting, Swim Up Bar, Tennis, Nightclub, Spa</t>
  </si>
  <si>
    <t>The Reef 28</t>
  </si>
  <si>
    <t>City View, Business</t>
  </si>
  <si>
    <t>Heated Pool, Gym, Watersports Equipment Rentals, Yoga Classes, Room Service, Wifi (Free), Diving, Buffet, Nightclub, Spa</t>
  </si>
  <si>
    <t>Dreams Onyx Resort &amp; Spa</t>
  </si>
  <si>
    <t>Beach, Swim Out/Plunge Pool Rooms, Family Suite, 2 Bedroom Suites, Kids Club, Teen Club, Lazy River, Kids Waterpark, Big Waterslides, Kids Club for Under 4, Gym, Tennis, Swim Up Bar, Evening Entertainment, Wifi (Free), Babysitting, Adult Pool, Buffet, Spa</t>
  </si>
  <si>
    <t>Pueblo Bonito Rose Resort &amp; Spa</t>
  </si>
  <si>
    <t>Family, Centrally Located</t>
  </si>
  <si>
    <t>Beach, Kids Club, Gym, Diving, Wifi (Paid), Buffet, Tennis, Spa, Babysitting, Room Service, Snorkelling, Fishing</t>
  </si>
  <si>
    <t>Sensira Resort &amp; Spa Riviera Maya</t>
  </si>
  <si>
    <t>Sensira Resorts</t>
  </si>
  <si>
    <t>Beach, Family Suite, 2 Bedroom Suites, Kids Club, Teen Club, Kids Waterpark, Pool Slide, Water Feature, Gym, Yoga Classes, Room Service, Tennis, Nightclub, Spa, Wifi (Free), Babysitting, Adult Pool, Buffet, Swim Up Bar, Mini Golf, Evening Entertainment</t>
  </si>
  <si>
    <t>Hotel Riu Palace Costa Mujeres</t>
  </si>
  <si>
    <t>Trendy, Modern</t>
  </si>
  <si>
    <t>Beach, Swim Out/Plunge Pool Rooms, Adults Only Rooms, Kids Club, Kids Waterpark, Big Waterslides, Gym, Swim Up Bar, Evening Entertainment, Spa, Wifi (Free), Babysitting, Buffet</t>
  </si>
  <si>
    <t>Dreams Royal Beach Punta Cana</t>
  </si>
  <si>
    <t>Beach, Swim Out/Plunge Pool Rooms, Family Suite, 2 Bedroom Suites, Kids Club, Teen Club, Lazy River, Big Waterslides, Kids Club for Under 4, Gym, Casino, Yoga Classes, Room Service, Swim Up Bar, Diving, Snorkelling, Evening Entertainment, Babysitting, Buffet, Tennis, Nightclub, Spa</t>
  </si>
  <si>
    <t>VH Atmosphere Adults Only Resort &amp; Beach Club</t>
  </si>
  <si>
    <t>La Union</t>
  </si>
  <si>
    <t>Zoetry Paraiso de La Bonita Riviera Maya</t>
  </si>
  <si>
    <t>The Grand Mayan at Vidanta Nuevo Vallarta</t>
  </si>
  <si>
    <t>Hyatt Ziva Los Cabos</t>
  </si>
  <si>
    <t>Beach, Swim Out/Plunge Pool Rooms, Family Suite, 2 Bedroom Suites, Kids Club, Teen Club, Kids Waterpark, Pool Slide, Water Feature, Heated Pool, Gym, Tennis, Adult Pool, Spa, Wifi (Free), Babysitting, Buffet, Swim Up Bar, Evening Entertainment, Nightclub</t>
  </si>
  <si>
    <t>Zoetry Marigot Bay St. Lucia</t>
  </si>
  <si>
    <t>Swim Out/Plunge Pool Rooms, Gym, Fishing, Buffet, Swim Up Bar, Spa, Wifi (Free), Babysitting</t>
  </si>
  <si>
    <t>Grand Hyatt Playa Del Carmen Resort</t>
  </si>
  <si>
    <t>Beach, Swim Out/Plunge Pool Rooms, Kids Club, Teen Club, Arcade, Heated Pool, Gym, Bicycles Available, Yoga Classes, Adult Pool, Room Service, Pets Allowed, Wifi (Free), Babysitting, Buffet, Nightclub, Spa</t>
  </si>
  <si>
    <t>Hyatt Zilara Rose Hall</t>
  </si>
  <si>
    <t>Modern, Green</t>
  </si>
  <si>
    <t>Beach, Gym, Tennis, Swim Out/Plunge Pool Rooms, Swim Up Bar, Evening Entertainment, Wifi (Free), Buffet, Nightclub, Spa</t>
  </si>
  <si>
    <t>Coconut Bay Beach Resort &amp; Spa</t>
  </si>
  <si>
    <t>Beach, Adults Only Rooms, Family Suite, 2 Bedroom Suites, Kids Club, Teen Club, Lazy River, Kids Waterpark, Pool Slide, Water Feature, Gym, Diving, Yoga Classes, Adult Pool, Buffet, Swim Up Bar, Horseback Riding, Tennis, Windsurfing, Fishing, Nightclub, Wifi (Free), Babysitting, Hiking, Snorkelling, Evening Entertainment, Spa</t>
  </si>
  <si>
    <t>Memories Jibacoa Adults Only - All Inclusive</t>
  </si>
  <si>
    <t>Jibacoa</t>
  </si>
  <si>
    <t>Memories Hotels</t>
  </si>
  <si>
    <t>Beach, Gym, Diving, Buffet, Tennis, Snorkelling, Evening Entertainment, Nightclub</t>
  </si>
  <si>
    <t>Wyndham Alltra Playa Del Carmen Adults Only All Inclusive</t>
  </si>
  <si>
    <t>Ocean View, Business</t>
  </si>
  <si>
    <t>Gym, Buffet, Swim Up Bar, Spa, Room Service, Evening Entertainment</t>
  </si>
  <si>
    <t>Barcelo Ixtapa</t>
  </si>
  <si>
    <t>Aeropuerto Internacional de Zihuatanejo</t>
  </si>
  <si>
    <t>Centrally Located, Ocean View</t>
  </si>
  <si>
    <t>Beach, Kids Club, Kids Waterpark, Gym, Archery, Tennis, Buffet, Swim Up Bar, Bicycles Available, Evening Entertainment, Nightclub, Spa</t>
  </si>
  <si>
    <t>1 King or 2 Single</t>
  </si>
  <si>
    <t>Grotto Bay Beach Resort &amp; Spa</t>
  </si>
  <si>
    <t>Bermuda</t>
  </si>
  <si>
    <t>Hamilton Parish</t>
  </si>
  <si>
    <t>Beach, Heated Pool, Gym, Yoga Classes, Buffet, Hiking, Watersports Equipment Rentals, Evening Entertainment, Spa, Wifi (Free), Diving, Snorkelling, Windsurfing, Fishing</t>
  </si>
  <si>
    <t>Wyndham Alltra Cancun</t>
  </si>
  <si>
    <t>Beach, Kids Club, Teen Club, Kids Waterpark, Heated Pool, Gym, Diving, Room Service, Evening Entertainment, Babysitting, Buffet, Fishing, Nightclub, Spa</t>
  </si>
  <si>
    <t>Hotel Riu Palace Kukulkan</t>
  </si>
  <si>
    <t>Romantic, Mid-Range</t>
  </si>
  <si>
    <t>Beach, Great for Parties, Gym, Yoga Classes, Buffet, Swim Up Bar, Evening Entertainment, Spa, Wifi (Free)</t>
  </si>
  <si>
    <t>Sandos Cancun</t>
  </si>
  <si>
    <t>Dreams Vista Cancun Golf &amp; Spa Resort</t>
  </si>
  <si>
    <t>Charming, Business</t>
  </si>
  <si>
    <t>Beach, Swim Out/Plunge Pool Rooms, Family Suite, 2 Bedroom Suites, Kids Club, Teen Club, Kids Waterpark, Arcade, Flowrider, Heated Pool, Kids Club for Under 4, Gym, Yoga Classes, Room Service, Diving, Golf Course, Windsurfing, Pets Allowed, Wifi (Free), Babysitting, Adult Pool, Buffet, Snorkelling, Watersports Equipment Rentals, Evening Entertainment, Nightclub, Spa</t>
  </si>
  <si>
    <t>Dreams Huatulco Resort &amp; Spa</t>
  </si>
  <si>
    <t>Tangolunda</t>
  </si>
  <si>
    <t>Beach, Kids Club, Kids Club for Under 4, Gym, Archery, Buffet, Snorkelling, Fishing, Babysitting, Yoga Classes, Adult Pool, Room Service, Windsurfing, Evening Entertainment, Spa</t>
  </si>
  <si>
    <t>Dreams Macao Beach Punta Cana</t>
  </si>
  <si>
    <t>Beach, Kids Club, Teen Club, Lazy River, Kids Waterpark, Big Waterslides, Kids Club for Under 4, Gym, Archery, Yoga Classes, Buffet, Diving, Snorkelling, Spa, Wifi (Free), Babysitting, Adult Pool, Room Service, Swim Up Bar, Tennis, Watersports Equipment Rentals, Evening Entertainment, Nightclub</t>
  </si>
  <si>
    <t>1 King or 1 Queen</t>
  </si>
  <si>
    <t>Grand Palladium White Sand Resort &amp; Spa</t>
  </si>
  <si>
    <t>Quiet, Charming</t>
  </si>
  <si>
    <t>Beach, Adults Only Rooms, Kids Club, Teen Club, Kids Waterpark, Pool Slide, Water Feature, Kids Club for Under 4, Gym, Diving, Adult Pool, Swim Up Bar, Mini Golf, Evening Entertainment, Nightclub, Babysitting, Buffet, Tennis, Spa</t>
  </si>
  <si>
    <t>Dreams Karibana Cartagena Golf &amp; Spa Resort</t>
  </si>
  <si>
    <t>Colombia</t>
  </si>
  <si>
    <t>Cartagena</t>
  </si>
  <si>
    <t>Rafael Nunez</t>
  </si>
  <si>
    <t>Beach, Swim Out/Plunge Pool Rooms, Adults Only Rooms, Kids Club, Kids Club for Under 4, Gym, Buffet, Evening Entertainment, Pets Allowed, Spa, Wifi (Free), Babysitting, Room Service, Golf Course</t>
  </si>
  <si>
    <t>Sandals Halcyon Beach (Couples only)</t>
  </si>
  <si>
    <t>Castries</t>
  </si>
  <si>
    <t>Beach, Swim Out/Plunge Pool Rooms, Gym, Diving, Wifi (Paid), Swim Up Bar, Tennis, Evening Entertainment, Nightclub, Spa, Buffet, Fishing</t>
  </si>
  <si>
    <t>Barcelo Bavaro Beach</t>
  </si>
  <si>
    <t>Beach, Swim Out/Plunge Pool Rooms, Gym, Casino, Buffet, Diving, Tennis, Spa, Golf Course, Evening Entertainment, Nightclub</t>
  </si>
  <si>
    <t>Paradisus Los Cayos</t>
  </si>
  <si>
    <t>Beach, Swim Out/Plunge Pool Rooms, Adults Only Rooms, Kids Club, Kids Waterpark, Gym, Tennis, Wifi (Paid), Evening Entertainment, Babysitting, Buffet, Swim Up Bar, Nightclub, Spa</t>
  </si>
  <si>
    <t>GRAND ASTON Cayo Las Brujas Beach Resort &amp; Spa</t>
  </si>
  <si>
    <t>Moon Palace Nizuc</t>
  </si>
  <si>
    <t>Beach, Swim Out/Plunge Pool Rooms, Family Suite, 2 Bedroom Suites, Kids Club, Teen Club, Kids Waterpark, Pool Slide, Water Feature, Arcade, Flowrider, Gym, Bicycles Available, Room Service, Mini Golf, Watersports Equipment Rentals, Evening Entertainment, Babysitting, Buffet, Swim Up Bar, Diving, Golf Course, Nightclub, Spa</t>
  </si>
  <si>
    <t>Dreams Playa Mujeres Golf &amp; Spa Resort</t>
  </si>
  <si>
    <t>Beach, Family Suite, 2 Bedroom Suites, Kids Club, Teen Club, Lazy River, Kids Waterpark, Big Waterslides, Kids Club for Under 4, Gym, Buffet, Swim Up Bar, Golf Course, Evening Entertainment, Nightclub, Wifi (Free), Babysitting, Mini Golf, Spa</t>
  </si>
  <si>
    <t>Hotel Riu Tequila</t>
  </si>
  <si>
    <t>Classic, Family</t>
  </si>
  <si>
    <t>Beach, Great for Parties, Kids Club, Kids Waterpark, Gym, Buffet, Watersports Equipment Rentals, Babysitting, Swim Up Bar, Diving, Snorkelling, Windsurfing, Evening Entertainment, Nightclub, Spa</t>
  </si>
  <si>
    <t>Bahia Principe Grand El Portillo</t>
  </si>
  <si>
    <t>Las Terrenas</t>
  </si>
  <si>
    <t>Beach, Great Beach, Kids Club, Teen Club, Kids Waterpark, Gym, Diving, Tennis, Evening Entertainment, Babysitting, Buffet, Nightclub, Spa</t>
  </si>
  <si>
    <t>Hotel Marina El Cid Spa &amp; Beach Resort</t>
  </si>
  <si>
    <t>Family, Harbour View</t>
  </si>
  <si>
    <t>Beach, Family Suite, 2 Bedroom Suites, Kids Club, Teen Club, Pool Slide, Water Feature, Heated Pool, Gym, Diving, Yoga Classes, Evening Entertainment, Wifi (Paid), Buffet, Swim Up Bar, Fishing, Nightclub, Spa</t>
  </si>
  <si>
    <t>Catalonia Playa Maroma</t>
  </si>
  <si>
    <t>Beach, Great Beach, Swim Out/Plunge Pool Rooms, Adults Only Rooms, Kids Club, Gym, Diving, Tennis, Wifi (Free), Babysitting, Buffet, Snorkelling, Evening Entertainment, Nightclub, Spa</t>
  </si>
  <si>
    <t>Solmar Resort</t>
  </si>
  <si>
    <t>Classic, Hidden Gem</t>
  </si>
  <si>
    <t>Beach, Kids Club, Heated Pool, Gym, Diving, Swim Up Bar, Snorkelling, Fishing, Evening Entertainment, Spa</t>
  </si>
  <si>
    <t>Villa del Palmar Flamingos Beach Resort &amp; Spa</t>
  </si>
  <si>
    <t>Ocean View, Great View</t>
  </si>
  <si>
    <t>Beach, Family Suite, 2 Bedroom Suites, Kids Club, Heated Pool, Gym, Evening Entertainment, Babysitting, Spa</t>
  </si>
  <si>
    <t>The Fives Beach Hotel &amp; Residences</t>
  </si>
  <si>
    <t>Beach, Swim Out/Plunge Pool Rooms, Family Suite, 2 Bedroom Suites, Kids Club, Teen Club, Gym, Diving, Room Service, Swim Up Bar, Snorkelling, Watersports Equipment Rentals, Wifi (Free), Babysitting, Buffet, Tennis, Evening Entertainment, Nightclub, Spa</t>
  </si>
  <si>
    <t>Grand Palladium Colonial Resort &amp; Spa</t>
  </si>
  <si>
    <t>Grand Palladium</t>
  </si>
  <si>
    <t>Lagoon View, Business</t>
  </si>
  <si>
    <t>Beach, Kids Club, Teen Club, Kids Club for Under 4, Gym, Diving, Buffet, Swim Up Bar, Tennis, Babysitting, Adult Pool, Snorkelling, Evening Entertainment, Kids Waterpark, Spa</t>
  </si>
  <si>
    <t>Catalonia Grand Costa Mujeres All Suites &amp; Spa</t>
  </si>
  <si>
    <t>Beach, Swim Out/Plunge Pool Rooms, Adults Only Rooms, Kids Club, Teen Club, Gym, Buffet, Spa, Wifi (Free), Babysitting, Swim Up Bar, Evening Entertainment, Nightclub</t>
  </si>
  <si>
    <t>Iberostar Selection Cancun</t>
  </si>
  <si>
    <t>Beach, Swim Out/Plunge Pool Rooms, Family Suite, 2 Bedroom Suites, Kids Club, Teen Club, Lazy River, Kids Waterpark, Gym, Diving, Buffet, Tennis, Babysitting, Swim Up Bar, Golf Course, Evening Entertainment, Spa</t>
  </si>
  <si>
    <t>Dreams Las Mareas</t>
  </si>
  <si>
    <t>El Jobo</t>
  </si>
  <si>
    <t>Beach, Swim Out/Plunge Pool Rooms, Kids Club, Teen Club, Pool Slide, Water Feature, Kids Club for Under 4, Gym, Adult Pool, Buffet, Swim Up Bar, Evening Entertainment, Babysitting, Nightclub, Spa</t>
  </si>
  <si>
    <t>Grand Palladium Kantenah Resort &amp; Spa</t>
  </si>
  <si>
    <t>Beach, Swim Out/Plunge Pool Rooms, Kids Club, Teen Club, Kids Waterpark, Kids Club for Under 4, Gym, Diving, Buffet, Swim Up Bar, Tennis, Spa, Babysitting, Adult Pool, Evening Entertainment</t>
  </si>
  <si>
    <t>Tamarijn Aruba All Inclusive</t>
  </si>
  <si>
    <t>Oranjestad</t>
  </si>
  <si>
    <t>Great View, Ocean View</t>
  </si>
  <si>
    <t>Beach, Kids Club, Gym, Bicycles Available, Snorkelling, Windsurfing, Evening Entertainment, Buffet, Tennis, Spa</t>
  </si>
  <si>
    <t>Hard Rock Hotel Cancun</t>
  </si>
  <si>
    <t>Ocean View, Trendy</t>
  </si>
  <si>
    <t>Beach, Family Suite, 2 Bedroom Suites, Kids Club, Kids Waterpark, Gym, Tennis, Room Service, Spa, Wifi (Free), Buffet, Swim Up Bar, Evening Entertainment, Pets Allowed</t>
  </si>
  <si>
    <t>Sandals Montego Bay (Couples only)</t>
  </si>
  <si>
    <t>Beach, Swim Out/Plunge Pool Rooms, Room Service, Tennis, Evening Entertainment, Spa, Gym, Diving, Buffet, Swim Up Bar, Nightclub</t>
  </si>
  <si>
    <t>Barcelo Huatulco</t>
  </si>
  <si>
    <t>Beach, Kids Club, Teen Club, Kids Waterpark, Gym, Adult Pool, Buffet, Swim Up Bar, Mini Golf, Room Service, Tennis, Evening Entertainment, Nightclub, Spa</t>
  </si>
  <si>
    <t>Iberostar Tainos</t>
  </si>
  <si>
    <t>Iberostar</t>
  </si>
  <si>
    <t>Mid-Range, Family</t>
  </si>
  <si>
    <t>Beach, Great Beach, Kids Club, Gym, Tennis, Windsurfing, Fishing, Nightclub, Babysitting, Yoga Classes, Buffet, Evening Entertainment</t>
  </si>
  <si>
    <t>Hotel Playa Mazatlan (Non Refundable)</t>
  </si>
  <si>
    <t>Approved</t>
  </si>
  <si>
    <t>Beach, Family Suite, 2 Bedroom Suites, Kids Club, Kids Waterpark, Heated Pool, Gym, Diving, Buffet, Hiking, Windsurfing, Evening Entertainment, Spa, Wifi (Free), Room Service, Fishing, Babysitting</t>
  </si>
  <si>
    <t>Palmar Beach Resort</t>
  </si>
  <si>
    <t>Bay View, Luxury</t>
  </si>
  <si>
    <t>Beach, 2 Bedroom Suites, Family Suite, Kids Club, Kids Waterpark, Swim Out/Plunge Pool Rooms, Gym, Diving, Buffet, Fishing, Spa, Wifi (Free), Babysitting, Adult Pool, Swim Up Bar, Evening Entertainment</t>
  </si>
  <si>
    <t>Melia Punta Cana Beach Wellness Inclusive - Adults Only</t>
  </si>
  <si>
    <t>Beach, Gym, Bicycles Available, Yoga Classes, Swim Up Bar, Snorkelling, Watersports Equipment Rentals, Evening Entertainment, Spa, Wifi (Free), Buffet, Casino, Tennis</t>
  </si>
  <si>
    <t>Memories Cayo Largo</t>
  </si>
  <si>
    <t>Cayo Largo</t>
  </si>
  <si>
    <t>Cayo Largo del Sur</t>
  </si>
  <si>
    <t>Beach, Evening Entertainment, Gym, Kids Club, Buffet</t>
  </si>
  <si>
    <t>Iberostar Waves Dominicana (Non Refundable)</t>
  </si>
  <si>
    <t>Beach, Family Suite, 2 Bedroom Suites, Kids Club, Teen Club, Kids Waterpark, Gym, Casino, Buffet, Golf Course, Evening Entertainment, Nightclub, Spa, Babysitting, Tennis</t>
  </si>
  <si>
    <t>Decameron Isla Coral Guayabitos, Ramada All-Inclusive Resort</t>
  </si>
  <si>
    <t>Rincon de Guayabitos</t>
  </si>
  <si>
    <t>Beach, Buffet, Wifi (Free)</t>
  </si>
  <si>
    <t>Hotel Riu Caribe</t>
  </si>
  <si>
    <t>Bay View, Ocean View</t>
  </si>
  <si>
    <t>Beach, Swim Out/Plunge Pool Rooms, Adults Only Rooms, Great for Parties, Gym, Diving, Swim Up Bar, Tennis, Kids Club, Spa, Wifi (Paid), Buffet, Evening Entertainment</t>
  </si>
  <si>
    <t>Ocean Coral &amp; Turquesa</t>
  </si>
  <si>
    <t>Ocean View, Family</t>
  </si>
  <si>
    <t>Beach, Adults Only Rooms, Kids Club, Teen Club, Kids Waterpark, Gym, Archery, Room Service, Diving, Fishing, Nightclub, Spa, Wifi (Free), Babysitting, Buffet, Swim Up Bar, Tennis, Evening Entertainment</t>
  </si>
  <si>
    <t>Ocean Riviera Paradise</t>
  </si>
  <si>
    <t>Beach, Swim Out/Plunge Pool Rooms, Adults Only Rooms, Kids Club, Teen Club, Kids Waterpark, Gym, Tennis, Spa, Wifi (Free), Babysitting, Adult Pool, Buffet, Swim Up Bar, Evening Entertainment, Nightclub</t>
  </si>
  <si>
    <t>Hard Rock Hotel Riviera Maya</t>
  </si>
  <si>
    <t>Beach, Adults Only Rooms, Family Suite, 2 Bedroom Suites, Kids Club, Lazy River, Kids Waterpark, Big Waterslides, Arcade, Gym, Diving, Adult Pool, Room Service, Swim Up Bar, Tennis, Fishing, Wifi (Free), Babysitting, Buffet, Evening Entertainment, Nightclub, Spa</t>
  </si>
  <si>
    <t>Wyndham Alltra Punta Cana</t>
  </si>
  <si>
    <t>Business, Mid-Range</t>
  </si>
  <si>
    <t>2 Bedroom Suites, Beach, Kids Club, Teen Club, Gym, Tennis, Swim Up Bar, Nightclub, Wifi (Free), Buffet, Evening Entertainment, Spa</t>
  </si>
  <si>
    <t>Vik Hotel Cayena Beach</t>
  </si>
  <si>
    <t>Beach, Kids Club, Gym, Diving, Watersports Equipment Rentals, Spa, Babysitting, Buffet, Casino, Tennis, Windsurfing</t>
  </si>
  <si>
    <t>Dreams Jade Resort &amp; Spa</t>
  </si>
  <si>
    <t>Beach, Family Suite, 2 Bedroom Suites, Kids Club, Teen Club, Lazy River, Heated Pool, Kids Club for Under 4, Gym, Archery, Buffet, Diving, Fishing, Nightclub, Wifi (Free), Babysitting, Adult Pool, Swim Up Bar, Bicycles Available, Tennis, Evening Entertainment, Spa</t>
  </si>
  <si>
    <t>Grand Palladium Palace Resort Spa &amp; Casino</t>
  </si>
  <si>
    <t>Beach, Swim Out/Plunge Pool Rooms, Kids Club, Teen Club, Kids Waterpark, Kids Club for Under 4, Gym, Casino, Swim Up Bar, Diving, Tennis, Evening Entertainment, Nightclub, Babysitting, Adult Pool, Buffet, Snorkelling, Fishing, Spa</t>
  </si>
  <si>
    <t>Armony Marival Resort &amp; Spa</t>
  </si>
  <si>
    <t>Beach, Swim Out/Plunge Pool Rooms, Heated Pool, Gym, Yoga Classes, Buffet, Swim Up Bar, Hiking, Spa, Wifi (Paid), Room Service, Snorkelling, Evening Entertainment</t>
  </si>
  <si>
    <t>Paraiso De La Bonita, A Luxury Collection Resort, Riviera Maya, Adult All-inclusive</t>
  </si>
  <si>
    <t>Radisson Blu Punta Cana, an All-Inclusive Resort</t>
  </si>
  <si>
    <t>Dreams Riviera Cancun Resort &amp; Spa</t>
  </si>
  <si>
    <t>Beach, Swim Out/Plunge Pool Rooms, Family Suite, 2 Bedroom Suites, Kids Club, Teen Club, Lazy River, Pool Slide, Water Feature, Heated Pool, Kids Club for Under 4, Gym, Diving, Room Service, Nightclub, Wifi (Free), Babysitting, Buffet, Swim Up Bar, Evening Entertainment, Spa</t>
  </si>
  <si>
    <t>Divi Aruba All Inclusive</t>
  </si>
  <si>
    <t>Beach, Kids Club, Gym, Evening Entertainment, Buffet, Spa</t>
  </si>
  <si>
    <t>Mango Bay Hotel</t>
  </si>
  <si>
    <t>Beach, Gym, Buffet, Diving, Snorkelling, Spa, Babysitting, Room Service, Horseback Riding</t>
  </si>
  <si>
    <t>Villa Del Palmar Cancun Luxury Beach Resort &amp; Spa</t>
  </si>
  <si>
    <t>Ocean View, Modern</t>
  </si>
  <si>
    <t>Beach, Great Food, Family Suite, 2 Bedroom Suites, Kids Club, Pool Slide, Water Feature, Heated Pool, Gym, Yoga Classes, Room Service, Diving, Wifi (Paid), Adult Pool, Buffet, Snorkelling, Spa</t>
  </si>
  <si>
    <t>Dreams Dominicus La Romana</t>
  </si>
  <si>
    <t>Beach, Swim Out/Plunge Pool Rooms, Kids Club, Teen Club, Kids Waterpark, Kids Club for Under 4, Gym, Diving, Yoga Classes, Buffet, Snorkelling, Evening Entertainment, Nightclub, Babysitting, Wifi (Free), Room Service, Swim Up Bar, Watersports Equipment Rentals, Spa</t>
  </si>
  <si>
    <t>Dreams Vallarta Bay Resort &amp; Spa</t>
  </si>
  <si>
    <t>Beach, Swim Out/Plunge Pool Rooms, Kids Club, Teen Club, Pool Slide, Water Feature, Heated Pool, Kids Club for Under 4, Gym, Diving, Buffet, Swim Up Bar, Tennis, Fishing, Nightclub, Babysitting, Adult Pool, Evening Entertainment, Spa</t>
  </si>
  <si>
    <t>Hard Rock Hotel Los Cabos</t>
  </si>
  <si>
    <t>Business, Family</t>
  </si>
  <si>
    <t>Beach, Swim Out/Plunge Pool Rooms, Kids Club, Teen Club, Big Waterslides, Heated Pool, Gym, Tennis, Room Service, Nightclub, Wifi (Free), Babysitting, Buffet, Swim Up Bar, Evening Entertainment, Pets Allowed, Spa</t>
  </si>
  <si>
    <t>Catalonia Royal Bavaro</t>
  </si>
  <si>
    <t>Beach, Swim Out/Plunge Pool Rooms, Gym, Casino, Buffet, Swim Up Bar, Golf Course, Tennis, Spa, Mini Golf, Evening Entertainment, Nightclub</t>
  </si>
  <si>
    <t>The Westin Cozumel</t>
  </si>
  <si>
    <t>Beach, Swim Out/Plunge Pool Rooms, Kids Club, Gym, Diving, Snorkelling, Pets Allowed, Spa, Wifi (Free), Babysitting, Buffet, Watersports Equipment Rentals</t>
  </si>
  <si>
    <t>Iberostar Waves Punta Cana (Non Refundable)</t>
  </si>
  <si>
    <t>Beach, Family Suite, 2 Bedroom Suites, Kids Club, Teen Club, Kids Waterpark, Gym, Casino, Buffet, Diving, Golf Course, Evening Entertainment, Spa, Babysitting, Tennis, Nightclub</t>
  </si>
  <si>
    <t>Bahia Principe Grand Tulum</t>
  </si>
  <si>
    <t>Gran Bahia Principe</t>
  </si>
  <si>
    <t>Beach, Family Suite, 2 Bedroom Suites, Kids Club, Teen Club, Kids Waterpark, Arcade, Gym, Casino, Buffet, Golf Course, Evening Entertainment, Nightclub, Spa, Babysitting, Swim Up Bar, Diving, Tennis</t>
  </si>
  <si>
    <t>Oleo Cancun Playa</t>
  </si>
  <si>
    <t>Beach, Kids Club, Gym, Snorkelling, Swim Up Bar, Tennis, Evening Entertainment, Pets Allowed, Spa, Buffet</t>
  </si>
  <si>
    <t>Grand Park Royal Cancun</t>
  </si>
  <si>
    <t>Beach, Swim Out/Plunge Pool Rooms, Kids Club, Lazy River, Gym, Buffet, Swim Up Bar, Evening Entertainment, Spa, Adult Pool, Room Service</t>
  </si>
  <si>
    <t>Villas HM Palapas del Mar</t>
  </si>
  <si>
    <t>Holbox Island</t>
  </si>
  <si>
    <t>Beach, Swim Out/Plunge Pool Rooms, Bicycles Available, Diving, Buffet, Swim Up Bar, Snorkelling</t>
  </si>
  <si>
    <t>Fiesta Americana Cozumel All Inclusive</t>
  </si>
  <si>
    <t>Beach, Swim Out/Plunge Pool Rooms, Family Suite, 2 Bedroom Suites, Kids Club, Swim Up Bar, Gym, Buffet, Spa, Wifi (Free), Diving, Snorkelling, Evening Entertainment</t>
  </si>
  <si>
    <t>Sandals Negril (Couples only)</t>
  </si>
  <si>
    <t>Beach, Swim Out/Plunge Pool Rooms, Gym, Diving, Buffet, Evening Entertainment, Wifi (Free), Room Service, Swim Up Bar, Snorkelling, Nightclub, Spa</t>
  </si>
  <si>
    <t>Sea Breeze Beach House by Ocean Hotels</t>
  </si>
  <si>
    <t>Beach, Family Suite, 2 Bedroom Suites, Kids Club, Teen Club, Gym, Wifi (Free), Babysitting, Adult Pool, Buffet, Evening Entertainment, Spa</t>
  </si>
  <si>
    <t>1 King and 1 Queen Sofa Bed or 2 Queen</t>
  </si>
  <si>
    <t>Pierre Mundo Imperial</t>
  </si>
  <si>
    <t>Acapulco</t>
  </si>
  <si>
    <t>Alvarez</t>
  </si>
  <si>
    <t>Beach, Kids Club, Gym, Golf Course, Buffet, Tennis, Pets Allowed, Wifi (Free), Room Service</t>
  </si>
  <si>
    <t>Grand Aston Cayo Paredón Beach Resort</t>
  </si>
  <si>
    <t>Beach, Kids Club, Gym, Swim Up Bar, Tennis, Wifi (Free), Babysitting, Buffet, Evening Entertainment</t>
  </si>
  <si>
    <t>Grand Memories Holguin</t>
  </si>
  <si>
    <t>Beach, Kids Club, Teen Club, Gym, Adult Pool, Buffet, Swim Up Bar, Diving, Windsurfing, Nightclub, Babysitting, Spa, Wifi (Free), Tennis, Evening Entertainment</t>
  </si>
  <si>
    <t>Starfish Cayo Largo</t>
  </si>
  <si>
    <t>Beach, Buffet, Wifi (Free), Kids Club, Evening Entertainment</t>
  </si>
  <si>
    <t>Moon Palace Cancun</t>
  </si>
  <si>
    <t>Beach, Swim Out/Plunge Pool Rooms, Family Suite, 2 Bedroom Suites, Kids Club, Teen Club, Kids Waterpark, Pool Slide, Water Feature, Arcade, Flowrider, Gym, Bicycles Available, Wifi (Paid), Room Service, Mini Golf, Watersports Equipment Rentals, Evening Entertainment, Babysitting, Buffet, Swim Up Bar, Diving, Golf Course, Tennis, Nightclub, Spa</t>
  </si>
  <si>
    <t>Fiesta Americana Puerto Vallarta All Inclusive &amp; Spa</t>
  </si>
  <si>
    <t>Beach, Kids Club, Teen Club, Heated Pool, Gym, Buffet, Swim Up Bar, Wifi (Free), Babysitting, Room Service, Evening Entertainment, Spa</t>
  </si>
  <si>
    <t>Nickelodeon Hotels &amp; Resorts Riviera Maya - Gourmet All Inclusive by Karisma</t>
  </si>
  <si>
    <t>Karisma Hotels</t>
  </si>
  <si>
    <t>Swim Out/Plunge Pool Rooms, Kids Club, Lazy River, Kids Waterpark, Big Waterslides, Gym, Adult Pool, Buffet, Evening Entertainment, Wifi (Free), Babysitting, Room Service, Snorkelling, Spa</t>
  </si>
  <si>
    <t>1 King and 1 Murphy Bed and 1 Double Sofa Bed</t>
  </si>
  <si>
    <t>PavoReal Beach Resort Tulum</t>
  </si>
  <si>
    <t>Babysitting, Beach, Wifi (Paid), Swim Up Bar, Evening Entertainment, Buffet, Kids Club</t>
  </si>
  <si>
    <t>Royalton Hicacos Varadero Resort &amp; Spa</t>
  </si>
  <si>
    <t>Beach, Great Beach, Gym, Room Service, Swim Up Bar, Diving, Watersports Equipment Rentals, Evening Entertainment, Nightclub, Yoga Classes, Buffet, Snorkelling, Spa</t>
  </si>
  <si>
    <t>Punta Cana Princess</t>
  </si>
  <si>
    <t>Beach, Gym, Diving, Wifi (Paid), Buffet, Swim Up Bar, Tennis, Evening Entertainment, Spa</t>
  </si>
  <si>
    <t>Decameron La Marina Guayabitos, Ramada All-inclusive Resort</t>
  </si>
  <si>
    <t>Charming, Mid-Range</t>
  </si>
  <si>
    <t>Beach, Wifi (Free), Buffet, Evening Entertainment</t>
  </si>
  <si>
    <t>Qualton Club Ixtapa All Inclusive</t>
  </si>
  <si>
    <t>Site Not in English</t>
  </si>
  <si>
    <t>Barcelo Maya Grand Resort</t>
  </si>
  <si>
    <t>Beach, Swim Out/Plunge Pool Rooms, Kids Club, Kids Waterpark, Pool Slide, Water Feature, Gym, Adult Pool, Room Service, Swim Up Bar, Diving, Snorkelling, Evening Entertainment, Spa, Babysitting, Wifi (Paid), Buffet, Mini Golf, Tennis, Nightclub</t>
  </si>
  <si>
    <t>Franklyn D. Resort &amp; Spa</t>
  </si>
  <si>
    <t>Runaway Bay</t>
  </si>
  <si>
    <t>Beach, Family Suite, 2 Bedroom Suites, Kids Club, Pool Slide, Water Feature, Gym, Diving, Yoga Classes, Buffet, Snorkelling, Evening Entertainment, Wifi (Free), Babysitting, Mini Golf, Tennis, Fishing, Nightclub, Spa</t>
  </si>
  <si>
    <t>1 King and 2 Single</t>
  </si>
  <si>
    <t>Gran Muthu Imperial Hotel</t>
  </si>
  <si>
    <t>Beach, Gym, Diving, Swim Up Bar, Snorkelling, Watersports Equipment Rentals, Evening Entertainment, Buffet, Horseback Riding, Tennis, Windsurfing, Fishing</t>
  </si>
  <si>
    <t>Meliá Varadero</t>
  </si>
  <si>
    <t>Great Beach, Kids Club, Beach, Gym, Diving, Snorkelling, Evening Entertainment, Nightclub, Spa, Babysitting, Swim Up Bar, Buffet, Tennis</t>
  </si>
  <si>
    <t>Emporio Ixtapa</t>
  </si>
  <si>
    <t>Emporio Hotels &amp; Resorts</t>
  </si>
  <si>
    <t>Family, Mid-Range</t>
  </si>
  <si>
    <t>Beach, 2 Bedroom Suites, Heated Pool, Kids Waterpark, Gym, Bicycles Available, Adult Pool, Buffet, Tennis, Babysitting, Kids Club, Spa, Swim Up Bar, Evening Entertainment</t>
  </si>
  <si>
    <t>Sol Palmeras</t>
  </si>
  <si>
    <t>Beach, Great Beach, Family Suite, 2 Bedroom Suites, Kids Club, Babysitting, Buffet, Mini Golf, Tennis, Gym, Yoga Classes, Diving, Snorkelling, Evening Entertainment, Nightclub</t>
  </si>
  <si>
    <t>Hotel Riu Yucatan</t>
  </si>
  <si>
    <t>Beach, Kids Club, Kids Waterpark, Gym, Buffet, Diving, Watersports Equipment Rentals, Nightclub, Babysitting, Swim Up Bar, Snorkelling, Windsurfing, Evening Entertainment, Spa</t>
  </si>
  <si>
    <t>Delta Hotels by Marriott Riviera Nayarit, An All-Inclusive Resort</t>
  </si>
  <si>
    <t>La Cruz de Huanacaxtle</t>
  </si>
  <si>
    <t>Quaint, Mid-Range</t>
  </si>
  <si>
    <t>Beach, Lazy River, Gym, Wifi (Free), Spa, Buffet</t>
  </si>
  <si>
    <t>Decameron Los Cocos Guayabitos, Ramada All-inclusive Resort</t>
  </si>
  <si>
    <t>Bay View, Centrally Located</t>
  </si>
  <si>
    <t>Beach, Gym, Tennis, Buffet, Evening Entertainment, Kids Club, Spa, Adult Pool, Fishing</t>
  </si>
  <si>
    <t>Hyatt Zilara Riviera Maya</t>
  </si>
  <si>
    <t>Beach, Swim Out/Plunge Pool Rooms, Gym, Wifi (Free), Buffet, Evening Entertainment, Spa</t>
  </si>
  <si>
    <t>Ventus at Marina El Cid Spa &amp; Beach Resort</t>
  </si>
  <si>
    <t>Beach, Swim Out/Plunge Pool Rooms, Kids Club, Teen Club, Pool Slide, Water Feature, Gym, Bicycles Available, Adult Pool, Buffet, Evening Entertainment, Spa, Babysitting, Wifi (Paid), Swim Up Bar</t>
  </si>
  <si>
    <t>Bahia Principe Luxury Esmeralda</t>
  </si>
  <si>
    <t>Beach, Swim Out/Plunge Pool Rooms, Kids Club, Teen Club, Kids Waterpark, Gym, Tennis, Swim Up Bar, Spa, Diving, Adult Pool, Buffet, Evening Entertainment, Nightclub</t>
  </si>
  <si>
    <t>Grand Palladium Costa Mujeres Resort &amp; Spa</t>
  </si>
  <si>
    <t>Beach, Swim Out/Plunge Pool Rooms, Kids Club, Teen Club, Kids Waterpark, Pool Slide, Water Feature, Kids Club for Under 4, Gym, Tennis, Spa, Wifi (Free), Babysitting, Buffet, Swim Up Bar, Evening Entertainment</t>
  </si>
  <si>
    <t>Marina Fiesta Resort &amp; Spa</t>
  </si>
  <si>
    <t>Marina View, Centrally Located</t>
  </si>
  <si>
    <t>Family Suite, 2 Bedroom Suites, Kids Club, Kids Waterpark, Heated Pool, Gym, Snorkelling, Fishing, Spa, Diving, Wifi (Paid), Buffet, Swim Up Bar, Pets Allowed</t>
  </si>
  <si>
    <t>1 Queen and 1 Sofa Bed or 1 King or 2 Queen</t>
  </si>
  <si>
    <t>Margaritaville Island Reserve Cap Cana Wave</t>
  </si>
  <si>
    <t>Great Food, Swim Out/Plunge Pool Rooms, Kids Club</t>
  </si>
  <si>
    <t>2 Queen or 1 King and 1 Sofa Bed</t>
  </si>
  <si>
    <t>Hilton Rose Hall Resort &amp; Spa</t>
  </si>
  <si>
    <t>Park View, Green</t>
  </si>
  <si>
    <t>Beach, Teen Club, Lazy River, Gym, Wifi (Paid), Buffet, Tennis, Evening Entertainment, Spa, Babysitting, Swim Up Bar, Golf Course, Nightclub, Kids Club</t>
  </si>
  <si>
    <t>$60 per Night</t>
  </si>
  <si>
    <t>Sandals Royal Caribbean Resort and Private Island</t>
  </si>
  <si>
    <t>Beach, Swim Out/Plunge Pool Rooms, Gym, Diving, Buffet, Swim Up Bar, Snorkelling, Fishing, Spa, Room Service, Tennis, Evening Entertainment, Nightclub</t>
  </si>
  <si>
    <t>Ocean El Faro Resort</t>
  </si>
  <si>
    <t>Great View</t>
  </si>
  <si>
    <t>Beach, Swim Out/Plunge Pool Rooms, Adults Only Rooms, Kids Club, Teen Club, Lazy River, Kids Waterpark, Pool Slide, Water Feature, Gym, Archery, Casino, Tennis, Watersports Equipment Rentals, Evening Entertainment, Spa, Wifi (Free), Babysitting, Buffet, Swim Up Bar, Nightclub</t>
  </si>
  <si>
    <t>Hilton Cancun, an All-Inclusive Resort</t>
  </si>
  <si>
    <t>Beach, Swim Out/Plunge Pool Rooms, Family Suite, 2 Bedroom Suites, Kids Club, Teen Club, Kids Waterpark, Heated Pool, Gym, Yoga Classes, Evening Entertainment, Pets Allowed, Wifi (Free), Babysitting, Spa</t>
  </si>
  <si>
    <t>Sandals Royal Curacao (Couples only)</t>
  </si>
  <si>
    <t>Nieuwpoort</t>
  </si>
  <si>
    <t>Beach, Swim Out/Plunge Pool Rooms, Gym, Diving, Buffet, Nightclub, Wifi (Free), Swim Up Bar, Snorkelling, Evening Entertainment, Spa</t>
  </si>
  <si>
    <t>Beaches Negril</t>
  </si>
  <si>
    <t>Beaches Resorts</t>
  </si>
  <si>
    <t>Beach, Great Beach, Family Suite, 2 Bedroom Suites, Kids Club, Lazy River, Kids Waterpark, Big Waterslides, Kids Club for Under 4, Gym, Diving, Buffet, Snorkelling, Fishing, Babysitting, Wifi (Paid), Swim Up Bar, Tennis, Evening Entertainment, Nightclub, Spa</t>
  </si>
  <si>
    <t>Club Med Les Boucaniers - Martinique</t>
  </si>
  <si>
    <t>Martinique</t>
  </si>
  <si>
    <t>Sainte-Anne</t>
  </si>
  <si>
    <t>Lamentin</t>
  </si>
  <si>
    <t>Beach, Teen Club, Lazy River, Kids Club, Kids Club for Under 4, Gym, Wifi (Paid), Tennis, Windsurfing, Nightclub, Yoga Classes, Buffet, Diving, Watersports Equipment Rentals, Evening Entertainment, Spa</t>
  </si>
  <si>
    <t>?</t>
  </si>
  <si>
    <t>Beaches Turks &amp; Caicos</t>
  </si>
  <si>
    <t>Beach, Family Suite, 2 Bedroom Suites, Kids Club, Teen Club, Lazy River, Big Waterslides, Flowrider, Heated Pool, Kids Club for Under 4, Babysitting, Adult Pool, Buffet, Tennis, Evening Entertainment, Gym, Diving, Wifi (Paid), Swim Up Bar, Snorkelling, Spa</t>
  </si>
  <si>
    <t>Occidental at Xcaret Destination</t>
  </si>
  <si>
    <t>Beach, Kids Club, Gym, Mini Golf, Adult Pool, Tennis, Spa, Buffet, Swim Up Bar, Snorkelling, Evening Entertainment, Nightclub</t>
  </si>
  <si>
    <t>Paradisus Cancun</t>
  </si>
  <si>
    <t>Lagoon View, Great View</t>
  </si>
  <si>
    <t>Beach, Family Suite, 2 Bedroom Suites, Kids Club, Gym, Diving, Buffet, Swim Up Bar, Golf Course, Evening Entertainment, Adult Pool, Babysitting, Room Service, Tennis, Nightclub, Spa</t>
  </si>
  <si>
    <t>Breathless Riviera Cancun Resort &amp; Spa</t>
  </si>
  <si>
    <t>Caracol</t>
  </si>
  <si>
    <t>Trendy</t>
  </si>
  <si>
    <t>Swim Out/Plunge Pool Rooms, Great for Parties, Heated Pool, Gym, Buffet, Evening Entertainment, Wifi (Free), Swim Up Bar, Nightclub, Spa</t>
  </si>
  <si>
    <t>The Verandah Resort &amp; Spa</t>
  </si>
  <si>
    <t>Saint Phillips</t>
  </si>
  <si>
    <t>Beach, Gym, Buffet, Mini Golf, Tennis, Evening Entertainment, Snorkelling, Watersports Equipment Rentals, Fishing, Spa</t>
  </si>
  <si>
    <t>Planet Hollywood Costa Rica</t>
  </si>
  <si>
    <t>Culebra</t>
  </si>
  <si>
    <t>Beach, Family Suite, 2 Bedroom Suites, Kids Club, Gym, Buffet, Swim Up Bar, Nightclub, Wifi (Free), Babysitting, Evening Entertainment, Spa</t>
  </si>
  <si>
    <t>Coral Costa Caribe Hotel</t>
  </si>
  <si>
    <t>Beach, Kids Club, Gym, Tennis, Buffet, Evening Entertainment, Spa, Babysitting, Swim Up Bar, Nightclub</t>
  </si>
  <si>
    <t>Dreams Estrella del Mar Mazatlán Golf &amp; Spa Resort</t>
  </si>
  <si>
    <t>Beach, Swim Out/Plunge Pool Rooms, Kids Club, Big Waterslides, Lazy River, Kids Waterpark, Heated Pool, Kids Club for Under 4, Gym, Buffet, Swim Up Bar, Evening Entertainment, Wifi (Free), Babysitting, Yoga Classes, Room Service, Golf Course, Spa</t>
  </si>
  <si>
    <t>Emporio Cancun</t>
  </si>
  <si>
    <t>Caribe Deluxe Princess</t>
  </si>
  <si>
    <t>Beach, Kids Club, Teen Club, Gym, Archery, Room Service, Tennis, Nightclub, Spa, Babysitting, Buffet, Swim Up Bar, Diving, Mini Golf, Evening Entertainment</t>
  </si>
  <si>
    <t>1 King and 1 Sofa Bed or 2 Queen</t>
  </si>
  <si>
    <t>Bahia Principe Fantasia Punta Cana</t>
  </si>
  <si>
    <t>Beach, Kids Club, Teen Club, Kids Waterpark, Pool Slide, Water Feature, Gym, Mini Golf, Swim Up Bar, Tennis, Evening Entertainment, Nightclub, Wifi (Free), Babysitting, Buffet, Spa</t>
  </si>
  <si>
    <t>Sandals Regency La Toc (Couples only)</t>
  </si>
  <si>
    <t>Beach, Swim Out/Plunge Pool Rooms, Gym, Diving, Buffet, Snorkelling, Evening Entertainment, Nightclub, Spa, Swim Up Bar, Golf Course, Tennis</t>
  </si>
  <si>
    <t>Wyndham Reef Resort</t>
  </si>
  <si>
    <t>Grand Cayman</t>
  </si>
  <si>
    <t>East End</t>
  </si>
  <si>
    <t>Owen Roberts</t>
  </si>
  <si>
    <t>Beach, Family Suite, 2 Bedroom Suites, Kids Club, Gym, Diving, Wifi (Paid), Snorkelling, Wifi (Free), Babysitting, Tennis, Spa</t>
  </si>
  <si>
    <t>1 King and 2 Twin Murphy Beds</t>
  </si>
  <si>
    <t>Tamarind by Elegant Hotels</t>
  </si>
  <si>
    <t>Beach, Kids Club, Teen Club, Gym, Yoga Classes, Snorkelling, Evening Entertainment, Wifi (Free), Adult Pool, Buffet, Watersports Equipment Rentals, Spa</t>
  </si>
  <si>
    <t>Sol Rio de Luna y Mares</t>
  </si>
  <si>
    <t>Beach, Family Suite, 2 Bedroom Suites, Kids Club, Gym, Diving, Buffet, Tennis, Fishing, Nightclub, Babysitting, Swim Up Bar, Snorkelling, Evening Entertainment, Spa</t>
  </si>
  <si>
    <t>Playa Pesquero Hotel</t>
  </si>
  <si>
    <t>Beach, Kids Club, Teen Club, Gym, Diving, Buffet, Swim Up Bar, Evening Entertainment, Nightclub, Spa, Fishing</t>
  </si>
  <si>
    <t>1 Double or 2 Single</t>
  </si>
  <si>
    <t>GR Caribe by Solaris</t>
  </si>
  <si>
    <t>Bay View, Classic</t>
  </si>
  <si>
    <t>Beach, Kids Club, Kids Waterpark, Pool Slide, Water Feature, Heated Pool, Gym, Buffet, Swim Up Bar, Spa, Babysitting, Room Service, Evening Entertainment</t>
  </si>
  <si>
    <t>Dreams Sapphire Resort &amp; Spa</t>
  </si>
  <si>
    <t>Beach, Swim Out/Plunge Pool Rooms, Family Suite, 2 Bedroom Suites, Kids Club, Teen Club, Kids Club for Under 4, Gym, Diving, Yoga Classes, Room Service, Snorkelling, Fishing, Wifi (Free), Babysitting, Adult Pool, Buffet, Swim Up Bar, Tennis, Evening Entertainment, Nightclub, Spa</t>
  </si>
  <si>
    <t>Club Med Turkoise Turks &amp; Caicos</t>
  </si>
  <si>
    <t>Beach, Kids Club, Kids Club for Under 4, Gym, Diving, Buffet, Snorkelling, Spa, Adult Pool, Tennis, Evening Entertainment, Nightclub</t>
  </si>
  <si>
    <t>Dreams Aventuras Riviera Maya</t>
  </si>
  <si>
    <t>Beach, Swim Out/Plunge Pool Rooms, Adults Only Rooms, Family Suite, 2 Bedroom Suites, Kids Club, Kids Waterpark, Big Waterslides, Arcade, Heated Pool, Kids Club for Under 4, Gym, Diving, Yoga Classes, Room Service, Swim Up Bar, Evening Entertainment, Babysitting, Adult Pool, Buffet, Snorkelling, Spa</t>
  </si>
  <si>
    <t>Azul Ixtapa Hotels Beach Resort &amp; Convention Center</t>
  </si>
  <si>
    <t>Beach, Kids Waterpark, Family Suite, Kids Club, Teen Club, Gym, Archery, Buffet, Swim Up Bar, Snorkelling, Evening Entertainment, Wifi (Paid), Mini Golf, Tennis, Nightclub, Spa</t>
  </si>
  <si>
    <t>Barceló Karmina</t>
  </si>
  <si>
    <t>Manzanillo</t>
  </si>
  <si>
    <t>Beach, Swim Out/Plunge Pool Rooms, Kids Club, Pool Slide, Water Feature, Gym, Tennis, Buffet, Spa, Babysitting, Adult Pool, Room Service, Evening Entertainment, Nightclub</t>
  </si>
  <si>
    <t>Bahia Principe Grand Coba</t>
  </si>
  <si>
    <t>Chacalal</t>
  </si>
  <si>
    <t>Beach, Kids Club, Teen Club, Kids Waterpark, Pool Slide, Water Feature, Gym, Golf Course, Buffet, Nightclub, Spa, Casino, Babysitting, Adult Pool, Swim Up Bar, Tennis, Evening Entertainment</t>
  </si>
  <si>
    <t>Ocean Blue &amp; Sand Beach Resort</t>
  </si>
  <si>
    <t>Beach, Kids Club, Teen Club, Lazy River, Gym, Casino, Swim Up Bar, Diving, Nightclub, Spa, Wifi (Free), Babysitting, Buffet, Tennis, Evening Entertainment</t>
  </si>
  <si>
    <t>1 Double and 1 Sofa Bed</t>
  </si>
  <si>
    <t>Grand Palladium Lady Hamilton Resort &amp; Spa</t>
  </si>
  <si>
    <t>Lucea</t>
  </si>
  <si>
    <t>Beach, Kids Club, Teen Club, Kids Waterpark, Kids Club for Under 4, Gym, Diving, Yoga Classes, Buffet, Evening Entertainment, Spa, Babysitting, Swim Up Bar, Tennis, Nightclub</t>
  </si>
  <si>
    <t>Hotel Riu Palace Punta Cana</t>
  </si>
  <si>
    <t>Beach, Kids Club, Kids Waterpark, Gym, Swim Up Bar, Evening Entertainment, Babysitting, Buffet, Spa</t>
  </si>
  <si>
    <t>Hotel Riu Palace Tropical Bay</t>
  </si>
  <si>
    <t>Beach, Great Beach, Kids Club, Gym, Diving, Buffet, Evening Entertainment, Swim Up Bar, Tennis, Fishing, Spa</t>
  </si>
  <si>
    <t>Mia Reef Isla Mujeres</t>
  </si>
  <si>
    <t>Beach, Great Food, Adults Only Rooms, Kids Club, Gym, Bicycles Available, Yoga Classes, Diving, Watersports Equipment Rentals, Evening Entertainment, Nightclub, Spa, Buffet, Swim Up Bar, Snorkelling</t>
  </si>
  <si>
    <t>Hotel Riu Palace Cabo San Lucas</t>
  </si>
  <si>
    <t>Beach, Swim Out/Plunge Pool Rooms, Adults Only Rooms, Kids Club, Gym, Diving, Buffet, Swim Up Bar, Evening Entertainment, Babysitting, Fishing, Spa</t>
  </si>
  <si>
    <t>Secrets Wild Orchid Montego Bay</t>
  </si>
  <si>
    <t>Luxury, Modern</t>
  </si>
  <si>
    <t>Great Food, Beach, Gym, Casino, Wifi (Paid), Room Service, Swim Up Bar, Diving, Spa, Buffet, Tennis, Evening Entertainment, Nightclub</t>
  </si>
  <si>
    <t>The Abidah By Accra</t>
  </si>
  <si>
    <t>Beach, Gym, Wifi (Free), Buffet</t>
  </si>
  <si>
    <t>Breathless Montego Bay Resort &amp; Spa</t>
  </si>
  <si>
    <t>Beach, Swim Out/Plunge Pool Rooms, Great for Parties, Gym, Swim Up Bar, Evening Entertainment, Spa, Wifi (Free), Tennis, Buffet, Nightclub</t>
  </si>
  <si>
    <t>Secrets Riviera Cancun Resort &amp; Spa</t>
  </si>
  <si>
    <t>Beach, Great Food, Swim Out/Plunge Pool Rooms, Gym, Buffet, Swim Up Bar, Nightclub, Wifi (Free), Evening Entertainment, Spa</t>
  </si>
  <si>
    <t>Iberostar Origin Playa Alameda</t>
  </si>
  <si>
    <t>Family, Park View</t>
  </si>
  <si>
    <t>Beach, Great Beach, Gym, Tennis, Yoga Classes, Evening Entertainment, Nightclub, Buffet, Watersports Equipment Rentals, Spa</t>
  </si>
  <si>
    <t>Sanctuary At Grand Memories Varadero</t>
  </si>
  <si>
    <t>Beach, Great Beach, Gym, Tennis, Buffet, Swim Up Bar, Nightclub, Evening Entertainment, Spa</t>
  </si>
  <si>
    <t>Hotel Playa Cayo Santa María</t>
  </si>
  <si>
    <t>Bay View, Modern</t>
  </si>
  <si>
    <t>Beach, Kids Club, Swim Up Bar, Tennis, Buffet, Fishing, Diving, Babysitting, Room Service, Evening Entertainment, Spa</t>
  </si>
  <si>
    <t>2 Single</t>
  </si>
  <si>
    <t>Sheraton Buganvilias Resort &amp; Convention Center</t>
  </si>
  <si>
    <t>Sheraton</t>
  </si>
  <si>
    <t>Beach, Kids Club, Heated Pool, Gym, Buffet, Tennis, Babysitting, Wifi (Paid), Room Service, Swim Up Bar, Horseback Riding, Spa</t>
  </si>
  <si>
    <t>Melia Cozumel</t>
  </si>
  <si>
    <t>Beach, Kids Club, Pool Slide, Water Feature, Gym, Archery, Wifi (Paid), Adult Pool, Swim Up Bar, Mini Golf, Tennis, Evening Entertainment, Babysitting, Buffet, Diving, Snorkelling, Watersports Equipment Rentals, Fishing, Nightclub, Spa</t>
  </si>
  <si>
    <t>Occidental Nuevo Vallarta - All Inclusive</t>
  </si>
  <si>
    <t>Nuevo Nayarit</t>
  </si>
  <si>
    <t>Mid-Range, Modern</t>
  </si>
  <si>
    <t>Beach, Kids Club, Heated Pool, Gym, Diving, Adult Pool, Room Service, Tennis, Fishing, Babysitting, Buffet, Evening Entertainment, Nightclub, Spa</t>
  </si>
  <si>
    <t>Bahia Principe Grand La Romana</t>
  </si>
  <si>
    <t>Beach, Family Suite, 2 Bedroom Suites, Kids Club, Pool Slide, Water Feature, Gym, Casino, Swim Up Bar, Golf Course, Evening Entertainment, Nightclub, Spa, Babysitting, Buffet, Tennis</t>
  </si>
  <si>
    <t>Wyndham Alltra Samana</t>
  </si>
  <si>
    <t>Las Galeras</t>
  </si>
  <si>
    <t>Beach, Kids Club, Yoga Classes, Horseback Riding, Evening Entertainment, Buffet</t>
  </si>
  <si>
    <t>Barcelo Puerto Vallarta</t>
  </si>
  <si>
    <t>Mismaloya</t>
  </si>
  <si>
    <t>Beach, Family Suite, 2 Bedroom Suites, Kids Club, Pool Slide, Water Feature, Arcade, Heated Pool, Gym, Diving, Swim Out/Plunge Pool Rooms, Watersports Equipment Rentals, Fishing, Babysitting, Buffet, Tennis, Evening Entertainment, Spa</t>
  </si>
  <si>
    <t>Viva Azteca by Wyndham, A Trademark All Inclusive Resort</t>
  </si>
  <si>
    <t>Playacar</t>
  </si>
  <si>
    <t>Residential Neighborhood, Park View</t>
  </si>
  <si>
    <t>Beach, Kids Club, Gym, Bicycles Available, Snorkelling, Evening Entertainment, Spa, Babysitting, Buffet, Diving</t>
  </si>
  <si>
    <t>Sandos Playacar</t>
  </si>
  <si>
    <t>Beach, Adults Only Rooms, Kids Club, Arcade, Gym, Bicycles Available, Room Service, Snorkelling, Evening Entertainment, Nightclub, Spa, Babysitting, Adult Pool, Buffet, Swim Up Bar, Diving, Mini Golf, Tennis</t>
  </si>
  <si>
    <t>2 Queen and 1 Double Sofa Bed</t>
  </si>
  <si>
    <t>Be Live Collection Canoa</t>
  </si>
  <si>
    <t>Jewel Dunn's River Beach Resort &amp; Spa</t>
  </si>
  <si>
    <t>Ocean Spa Hotel</t>
  </si>
  <si>
    <t>Laguna Suites</t>
  </si>
  <si>
    <t>Ritz Acapulco</t>
  </si>
  <si>
    <t>Divi Dutch Village Beach Resort</t>
  </si>
  <si>
    <t>Beach, Family Suite, 2 Bedroom Suites, Gym, Tennis, Buffet, Wifi (Free), Babysitting, Swim Up Bar, Kids Club</t>
  </si>
  <si>
    <t>Princess Family Club Riviera</t>
  </si>
  <si>
    <t>Beach, Swim Out/Plunge Pool Rooms, Kids Club, Teen Club, Kids Waterpark, Gym, Tennis, Yoga Classes, Evening Entertainment, Nightclub, Spa, Wifi (Free), Babysitting, Adult Pool, Buffet, Swim Up Bar</t>
  </si>
  <si>
    <t>1 King and 3 Bunk Beds or 2 Double and 1 Sofa Bed</t>
  </si>
  <si>
    <t>Secrets St. James Montego Bay</t>
  </si>
  <si>
    <t>Business, Modern</t>
  </si>
  <si>
    <t>Beach, Great Food, Heated Pool, Gym, Casino, Tennis, Nightclub, Wifi (Free), Buffet, Swim Up Bar, Diving, Evening Entertainment, Spa</t>
  </si>
  <si>
    <t>Ocean Eden Bay - Adults Only</t>
  </si>
  <si>
    <t>Trelawny Parish</t>
  </si>
  <si>
    <t>Beach, Swim Out/Plunge Pool Rooms, Gym, Evening Entertainment, Nightclub, Wifi (Free), Buffet, Spa</t>
  </si>
  <si>
    <t>Divi Little Bay Beach Resort</t>
  </si>
  <si>
    <t>St Maarten</t>
  </si>
  <si>
    <t>Philipsburg</t>
  </si>
  <si>
    <t>Princ. Juliana</t>
  </si>
  <si>
    <t>Divi</t>
  </si>
  <si>
    <t>Almare, A Luxury Collection Adult All-Inclusive Resort, Isla Mujeres</t>
  </si>
  <si>
    <t>Beach, Yoga Classes, Buffet, Diving, Spa, Wifi (Free), Room Service, Swim Up Bar</t>
  </si>
  <si>
    <t>Dreams Cap Cana Resort &amp; Spa</t>
  </si>
  <si>
    <t>Swim Out/Plunge Pool Rooms, Kids Club for Under 4, Gym, Room Service</t>
  </si>
  <si>
    <t>Grand Sirenis Riviera Maya Resort</t>
  </si>
  <si>
    <t>Beach, Swim Out/Plunge Pool Rooms, Family Suite, 2 Bedroom Suites, Kids Club, Lazy River, Kids Waterpark, Gym, Diving, Swim Up Bar, Snorkelling, Buffet, Tennis</t>
  </si>
  <si>
    <t>La Quinta Gran Bahia Cuastecomates</t>
  </si>
  <si>
    <t>Cihuatlan</t>
  </si>
  <si>
    <t>La Quinta</t>
  </si>
  <si>
    <t>Beach, Kids Club, Buffet, Snorkelling, Babysitting, Swim Up Bar, Tennis, Evening Entertainment, Nightclub</t>
  </si>
  <si>
    <t>Moon Palace Jamaica</t>
  </si>
  <si>
    <t>Marina View, Bay View</t>
  </si>
  <si>
    <t>Beach, Family Suite, 2 Bedroom Suites, Kids Club, Teen Club, Kids Waterpark, Pool Slide, Water Feature, Arcade, Flowrider</t>
  </si>
  <si>
    <t>Hard Rock Hotel &amp; Casino Punta Cana</t>
  </si>
  <si>
    <t>Beach, Family Suite, 2 Bedroom Suites, Kids Club, Teen Club, Lazy River, Kids Waterpark, Pool Slide, Water Feature, Big Waterslides</t>
  </si>
  <si>
    <t>1 King and Sofa Bed or 2 Double and Sofa Bed</t>
  </si>
  <si>
    <t>Jewel Paradise Cove Beach Resort &amp; Spa</t>
  </si>
  <si>
    <t>Viva V Samana by Wyndham, A Trademark Adults All Inclusive</t>
  </si>
  <si>
    <t>Park View, Quiet</t>
  </si>
  <si>
    <t>Bahia Principe Grand Aquamarine</t>
  </si>
  <si>
    <t>Dreams Sands Cancun Resort &amp; Spa</t>
  </si>
  <si>
    <t>Beach, Family Suite, 2 Bedroom Suites, Kids Club, Lazy River, Kids Club for Under 4</t>
  </si>
  <si>
    <t>The Rif At Mangrove Beach Corendon Curacao All-inclusive, Curio By Hilton</t>
  </si>
  <si>
    <t>Beach, Swim Out/Plunge Pool Rooms, Adults Only Rooms</t>
  </si>
  <si>
    <t>Sandals Grande Antigua Resort &amp; Spa (Couples only)</t>
  </si>
  <si>
    <t>Centrally Located, Luxury</t>
  </si>
  <si>
    <t>Crystal Cove by Elegant Hotels</t>
  </si>
  <si>
    <t>Beach, Kids Club</t>
  </si>
  <si>
    <t>Dreams Bahia Mita Surf &amp; Spa Resort</t>
  </si>
  <si>
    <t>Beach, Kids Club for Under 4</t>
  </si>
  <si>
    <t>Sandals Emerald Bay</t>
  </si>
  <si>
    <t>Great Exuma</t>
  </si>
  <si>
    <t>Exuma</t>
  </si>
  <si>
    <t>Grand Sirenis Punta Cana Resort</t>
  </si>
  <si>
    <t>Hotel Riu Palace Macao</t>
  </si>
  <si>
    <t>Great for Parties</t>
  </si>
  <si>
    <t>Kimpton Tres Rios</t>
  </si>
  <si>
    <t>Holiday Inn Resort Aruba-Beach Resort &amp; Casino</t>
  </si>
  <si>
    <t>Memories Caribe Beach Resort</t>
  </si>
  <si>
    <t>Sol Cayo Coco</t>
  </si>
  <si>
    <t>St. James's Club &amp; Villas Package</t>
  </si>
  <si>
    <t>Mamora Bay</t>
  </si>
  <si>
    <t>Valentín Varadero El Patriarca</t>
  </si>
  <si>
    <t>Great Beach</t>
  </si>
  <si>
    <t>Wyndham Grand Cancun All Inclusive Resort &amp; Villas</t>
  </si>
  <si>
    <t>Breathless Cancun Soul Resort &amp; Spa</t>
  </si>
  <si>
    <t>Beach, Great for Parties</t>
  </si>
  <si>
    <t>Hilton Cancun Mar Caribe All-Inclusive Resort</t>
  </si>
  <si>
    <t>Beach, Family Suite, 2 Bedroom Suites, Kids Club, Teen Club</t>
  </si>
  <si>
    <t>Villa La Valencia Beach Resort &amp; Spa</t>
  </si>
  <si>
    <t>Beach, Family Suite, 2 Bedroom Suites, Kids Club, Lazy River, Heated Pool</t>
  </si>
  <si>
    <t>Marival Emotions Resort &amp; Suites</t>
  </si>
  <si>
    <t>Green, Mid-Range</t>
  </si>
  <si>
    <t>Beach, Family Suite, 2 Bedroom Suites, Kids Club, Teen Club, Kids Waterpark, Pool Slide, Water Feature, Arcade</t>
  </si>
  <si>
    <t>Azul Beach Resort Negril by Karisma</t>
  </si>
  <si>
    <t>Beach, Swim Out/Plunge Pool Rooms, Family Suite, 2 Bedroom Suites, Kids Club, Lazy River, Kids Waterpark, Big Waterslides</t>
  </si>
  <si>
    <t>BlueBay Villas Doradas</t>
  </si>
  <si>
    <t>Puerto Plata</t>
  </si>
  <si>
    <t>Catalonia Bayahibe</t>
  </si>
  <si>
    <t>Divi Village Golf and Beach Resort</t>
  </si>
  <si>
    <t>El Cid Granada Hotel</t>
  </si>
  <si>
    <t>Emotions All Inclusive Puerto Plata, Ascend Hotel Collection</t>
  </si>
  <si>
    <t>Grand Palladium Bavaro Suites Resort &amp; Spa</t>
  </si>
  <si>
    <t>Grand Sunset Princess All Suites Resort</t>
  </si>
  <si>
    <t>Hotel Riu Cancun</t>
  </si>
  <si>
    <t>Hotel Riu Reggae</t>
  </si>
  <si>
    <t>Ocean Coral Spring</t>
  </si>
  <si>
    <t>Duncans</t>
  </si>
  <si>
    <t>Princess Mundo Imperial</t>
  </si>
  <si>
    <t>Riu Dunamar - All Inclusive</t>
  </si>
  <si>
    <t>Tropical Deluxe Princess</t>
  </si>
  <si>
    <t>Seadust Cancun Family Resort</t>
  </si>
  <si>
    <t>Beach, Kids Club, Teen Club, Kids Waterpark, Pool Slide, Water Feature</t>
  </si>
  <si>
    <t>Royalton CHIC Cancun, An Autograph Collection All-Inclusive Resort - Adults Only</t>
  </si>
  <si>
    <t>Serenade Punta Cana Beach &amp; Spa Resort</t>
  </si>
  <si>
    <t>Romantic, Business</t>
  </si>
  <si>
    <t>Beach, Kids Club, Big Waterslides, Arcade</t>
  </si>
  <si>
    <t>Catalonia Riviera Maya</t>
  </si>
  <si>
    <t>Grand Palladium Vallarta Resort &amp; Spa</t>
  </si>
  <si>
    <t>Kids Club for Under 4</t>
  </si>
  <si>
    <t>Hotel Riu Vallarta</t>
  </si>
  <si>
    <t>Melia Las Antillas</t>
  </si>
  <si>
    <t>Oasis at Sunset Montego Bay</t>
  </si>
  <si>
    <t>Paradisus Princesa Del Mar Resort &amp; Spa</t>
  </si>
  <si>
    <t>Royal Decameron Mompiche</t>
  </si>
  <si>
    <t>Ecuador</t>
  </si>
  <si>
    <t>Mompiche</t>
  </si>
  <si>
    <t>Esmeraldas</t>
  </si>
  <si>
    <t>Sandals Ochi Beach Resort</t>
  </si>
  <si>
    <t>Warwick Paradise Island - Bahamas</t>
  </si>
  <si>
    <t>Nassau</t>
  </si>
  <si>
    <t>Alexandra Resort</t>
  </si>
  <si>
    <t>Iberostar Costa Dorada</t>
  </si>
  <si>
    <t>Hm Alma De Bayahibe</t>
  </si>
  <si>
    <t>Royal Level at Occidental Cozumel</t>
  </si>
  <si>
    <t>Green, Charming</t>
  </si>
  <si>
    <t>Bahia Principe Grand Turquesa</t>
  </si>
  <si>
    <t>Costa Sur Resort &amp; Spa Puerto Vallarta</t>
  </si>
  <si>
    <t>GR Solaris Cancun</t>
  </si>
  <si>
    <t>Grand Bavaro Princess</t>
  </si>
  <si>
    <t>Iberostar Rose Hall Beach</t>
  </si>
  <si>
    <t>Jewel Runaway Bay Beach Resort &amp; Waterpark</t>
  </si>
  <si>
    <t>Beach, Big Waterslides</t>
  </si>
  <si>
    <t>Royal Solaris Cancun</t>
  </si>
  <si>
    <t>Barcelo Aruba</t>
  </si>
  <si>
    <t>Barcelo Bavaro Palace All Inclusive Resort</t>
  </si>
  <si>
    <t>Beach, Casino</t>
  </si>
  <si>
    <t>Iberostar Origin Playa Pilar</t>
  </si>
  <si>
    <t>Sunrise Miches Beach Resort, All-Inclusive</t>
  </si>
  <si>
    <t>Zoetry Montego Bay Jamaica</t>
  </si>
  <si>
    <t>Hyatt Vivid Grand Island</t>
  </si>
  <si>
    <t>Hotel Riu Palace Costa Rica</t>
  </si>
  <si>
    <t>Sardinal</t>
  </si>
  <si>
    <t>Beach, Kids Club, Kids Waterpark, Pool Slide, Water Feature, Big Waterslides</t>
  </si>
  <si>
    <t>Sports Illustrated Resorts Marina &amp; Villas Cap Cana</t>
  </si>
  <si>
    <t>2 Bedroom Suites, Gym, Watersports Equipment Rentals, Evening Entertainment, Kids Club, Spa, Horseback Riding, Babysitting, Buffet, Fishing, Pets Allowed</t>
  </si>
  <si>
    <t>Emotions All Inclusive Juan Dolio, Ascend Hotel Collection</t>
  </si>
  <si>
    <t>Grand Palladium Punta Cana Resort &amp; Spa</t>
  </si>
  <si>
    <t>Hawksbill Resort Antigua (12+)</t>
  </si>
  <si>
    <t>Hotel Riu Lupita</t>
  </si>
  <si>
    <t>Hotel Riu Palace Aruba</t>
  </si>
  <si>
    <t>Hotel Riu Palace Baja California</t>
  </si>
  <si>
    <t>Platinum Yucatan Princess - Adults Only</t>
  </si>
  <si>
    <t>Sunscape Dorado Pacifico Ixtapa</t>
  </si>
  <si>
    <t>A</t>
  </si>
  <si>
    <t>Bungalows Key Largo</t>
  </si>
  <si>
    <t>Key Largo</t>
  </si>
  <si>
    <t>Miami</t>
  </si>
  <si>
    <t>Luxury, Charming</t>
  </si>
  <si>
    <t>Cancun Bay Resort</t>
  </si>
  <si>
    <t>Catalonia Yucatan Beach</t>
  </si>
  <si>
    <t>Decameron Panaca</t>
  </si>
  <si>
    <t>Quimbaya</t>
  </si>
  <si>
    <t>El Eden</t>
  </si>
  <si>
    <t>Hacienda Buenaventura Hotel &amp; Mexican Charm All Inclusive</t>
  </si>
  <si>
    <t>Hilton Tulum Riviera Maya All-Inclusive Resort</t>
  </si>
  <si>
    <t>Hotel Riu Palace Antillas</t>
  </si>
  <si>
    <t>Melia Jardines del Rey</t>
  </si>
  <si>
    <t>Royalton CHIC Punta Cana</t>
  </si>
  <si>
    <t>Great Food, Great for Parties</t>
  </si>
  <si>
    <t>Sandals Barbados</t>
  </si>
  <si>
    <t>St. Lawrence Gap</t>
  </si>
  <si>
    <t>Sunset Marina Resort &amp; Yacht Club</t>
  </si>
  <si>
    <t>The Club, Barbados Resort &amp; Spa</t>
  </si>
  <si>
    <t>Holetown</t>
  </si>
  <si>
    <t>Villa del Palmar Beach Resort &amp; Spa Cabo San Lucas</t>
  </si>
  <si>
    <t>Jewel Palm Beach</t>
  </si>
  <si>
    <t>Jewel Resorts</t>
  </si>
  <si>
    <t>Beach, Kids Club, Teen Club, Kids Waterpark</t>
  </si>
  <si>
    <t>Bolongo Bay Beach Resort</t>
  </si>
  <si>
    <t>St. Thomas</t>
  </si>
  <si>
    <t>South Coast</t>
  </si>
  <si>
    <t>Cyril E. King</t>
  </si>
  <si>
    <t>Dreams Natura Resort &amp; Spa</t>
  </si>
  <si>
    <t>Grand Palladium Jamaica Resort &amp; Spa</t>
  </si>
  <si>
    <t>Samba Vallarta All Inclusive</t>
  </si>
  <si>
    <t>Hotel Riu Palace Aquarelle</t>
  </si>
  <si>
    <t>Beach, Family Suite, 2 Bedroom Suites, Big Waterslides</t>
  </si>
  <si>
    <t>Dreams Los Cabos Suites Golf Resort &amp; Spa</t>
  </si>
  <si>
    <t>Selectum Family Resort Varadero</t>
  </si>
  <si>
    <t>Hideaway at Royalton Saint Lucia, An Autograph Collection All-Inclusive Resort</t>
  </si>
  <si>
    <t>Hotel Playa Vista Azul</t>
  </si>
  <si>
    <t>Royalton Bavaro Resort and Spa</t>
  </si>
  <si>
    <t>Beach, Lazy River, Big Waterslides</t>
  </si>
  <si>
    <t>Starfish Cuatro Palmas (16+)</t>
  </si>
  <si>
    <t>Allegro Playacar</t>
  </si>
  <si>
    <t>Catalonia Bavaro Cana Golf &amp; Casino Resort</t>
  </si>
  <si>
    <t>Decameron Barú</t>
  </si>
  <si>
    <t>Isla Baru</t>
  </si>
  <si>
    <t>Grand Decameron Los Cabos, A Trademark All-Inclusive Resort</t>
  </si>
  <si>
    <t>Grand Riviera Princess</t>
  </si>
  <si>
    <t>Holiday Inn Resort Ixtapa All-Inclusive, an IHG Hotel</t>
  </si>
  <si>
    <t>Occidental Punta Cana</t>
  </si>
  <si>
    <t>Royalton Saint Lucia, An Autograph Collection</t>
  </si>
  <si>
    <t>George F. L. Charles</t>
  </si>
  <si>
    <t>The Yucatan Playa del Carmen All-Inclusive Resort, Tapestry by Hilton</t>
  </si>
  <si>
    <t>Sunscape Puerto Plata</t>
  </si>
  <si>
    <t>Bahia Principe Luxury Runaway Bay</t>
  </si>
  <si>
    <t>Divi Flamingo Beach Resort &amp; Casino</t>
  </si>
  <si>
    <t>Bonaire</t>
  </si>
  <si>
    <t>Hotel Riu Palace Bavaro</t>
  </si>
  <si>
    <t>Melia Las Dunas</t>
  </si>
  <si>
    <t>Meliá Puerto Vallarta</t>
  </si>
  <si>
    <t>Princess Family Club Bavaro</t>
  </si>
  <si>
    <t>Sandals Royal Bahamian</t>
  </si>
  <si>
    <t>Turtle Beach By Elegant Hotels</t>
  </si>
  <si>
    <t>Dreams Tulum Resort &amp; Spa</t>
  </si>
  <si>
    <t>Nickelodeon Hotels &amp; Resorts Punta Cana</t>
  </si>
  <si>
    <t>Hotel Riu Emerald Bay</t>
  </si>
  <si>
    <t>Occidental Costa Cancun</t>
  </si>
  <si>
    <t>Sunset Fishermen Beach Resort</t>
  </si>
  <si>
    <t>Gr Solaris Lighthouse Los Cabos</t>
  </si>
  <si>
    <t>Grand Muthu Cayo Guillermo Hotel</t>
  </si>
  <si>
    <t>Barceló Tambor - All Inclusive</t>
  </si>
  <si>
    <t>Tambor</t>
  </si>
  <si>
    <t>Grand Park Royal Cozumel</t>
  </si>
  <si>
    <t>Hideaway at Royalton Riviera Cancun, An Autograph Collection All-Inclusive Resort, Adults Only</t>
  </si>
  <si>
    <t>Hotel Riu Playa Blanca</t>
  </si>
  <si>
    <t>Panama</t>
  </si>
  <si>
    <t>El Farallon del Chiru</t>
  </si>
  <si>
    <t>Scarlett Martinez</t>
  </si>
  <si>
    <t>Occidental Papagayo - Adults Only</t>
  </si>
  <si>
    <t>Occidental Tamarindo</t>
  </si>
  <si>
    <t>Playa Langosta</t>
  </si>
  <si>
    <t>Sandos Caracol Eco Resort</t>
  </si>
  <si>
    <t>The Reef Playacar</t>
  </si>
  <si>
    <t>Viva Maya by Wyndham, A Trademark All Inclusive Resort</t>
  </si>
  <si>
    <t>Sunscape Dominicus La Romana</t>
  </si>
  <si>
    <t>Beach, Family Suite, 2 Bedroom Suites, Kids Club, Teen Club, Kids Waterpark, Big Waterslides</t>
  </si>
  <si>
    <t>Impressive Premium Punta Cana</t>
  </si>
  <si>
    <t>Impressive</t>
  </si>
  <si>
    <t>Allegro Cozumel</t>
  </si>
  <si>
    <t>Canto del Sol Puerto Vallarta</t>
  </si>
  <si>
    <t>Hotel Riu Montego Bay</t>
  </si>
  <si>
    <t>Ironshore</t>
  </si>
  <si>
    <t>Krystal Grand Puerto Vallarta</t>
  </si>
  <si>
    <t>Armar House, All-Inclusive</t>
  </si>
  <si>
    <t>The Royal Suites</t>
  </si>
  <si>
    <t>Royal Decameron Indigo Beach Resort &amp; Spa</t>
  </si>
  <si>
    <t>Haiti</t>
  </si>
  <si>
    <t>Augier</t>
  </si>
  <si>
    <t>Mais Gate</t>
  </si>
  <si>
    <t>Occidental Tucancun</t>
  </si>
  <si>
    <t>Oceans At Divi Little Bay</t>
  </si>
  <si>
    <t>Royalton Punta Cana, An Autograph Collection Resort &amp; Casino</t>
  </si>
  <si>
    <t>Beach, Big Waterslides, Arcade</t>
  </si>
  <si>
    <t>Senator Puerto Plata Spa Resort</t>
  </si>
  <si>
    <t>Sunset Royal Beach Resort</t>
  </si>
  <si>
    <t>AZULIK Tulum</t>
  </si>
  <si>
    <t>Cozumel Hotel &amp; Resort, Trademark Collection by Wyndham</t>
  </si>
  <si>
    <t>Grand Decameron Complex Bucerías, A Trademark All- Inclusive</t>
  </si>
  <si>
    <t>Bucerias</t>
  </si>
  <si>
    <t>Hotel Riu Ochos Rios</t>
  </si>
  <si>
    <t>Occidental Cozumel - All Inclusive Resort</t>
  </si>
  <si>
    <t>Savannah Beach Club Hotel &amp; Spa</t>
  </si>
  <si>
    <t>The Reef Coco Beach</t>
  </si>
  <si>
    <t>Impressive Punta Cana</t>
  </si>
  <si>
    <t>El Cortecito</t>
  </si>
  <si>
    <t>Melia Caribe Beach Resort</t>
  </si>
  <si>
    <t>Secrets Tulum Resort &amp; Beach Club</t>
  </si>
  <si>
    <t>Great Food</t>
  </si>
  <si>
    <t>Barceló Montelimar</t>
  </si>
  <si>
    <t>Nicaraugua</t>
  </si>
  <si>
    <t>Montelimar</t>
  </si>
  <si>
    <t>Augusto C Sandino</t>
  </si>
  <si>
    <t>Crown Paradise Club Cancun</t>
  </si>
  <si>
    <t>Decameron El Pueblo</t>
  </si>
  <si>
    <t>Peru</t>
  </si>
  <si>
    <t>Lima</t>
  </si>
  <si>
    <t>J Chavez Intl</t>
  </si>
  <si>
    <t>Hideaway at Royalton Negril, An Autograph Collection All-Inclusive Resort - Adults Only</t>
  </si>
  <si>
    <t>Park Royal Beach Cancun</t>
  </si>
  <si>
    <t>Bahia Principe Grand Jamaica</t>
  </si>
  <si>
    <t>Crown Paradise Golden Puerto Vallarta</t>
  </si>
  <si>
    <t>Gran Ventana Beach Resort</t>
  </si>
  <si>
    <t>Hideaway at Royalton Punta Cana, An Autograph Collection All-Inclusive Resort &amp; Casino, Adults Only</t>
  </si>
  <si>
    <t>Hotel Dos Playas Faranda Cancun</t>
  </si>
  <si>
    <t>Hotel Villa Trópico</t>
  </si>
  <si>
    <t>Jose Marti</t>
  </si>
  <si>
    <t>Oceano Palace Beach Hotel</t>
  </si>
  <si>
    <t>Royalton Blue Waters Montego Bay, An Autograph Collection All-Inclusive Resort</t>
  </si>
  <si>
    <t>Royalton Splash Riviera Cancun</t>
  </si>
  <si>
    <t>Viva Dominicus Palace by Wyndham, a Trademark All Inclusive</t>
  </si>
  <si>
    <t>Viva Wyndham V Heavens</t>
  </si>
  <si>
    <t>Wyndham Alltra Vallarta</t>
  </si>
  <si>
    <t>Presidential Suites Punta Cana</t>
  </si>
  <si>
    <t>Royal Solaris Los Cabos</t>
  </si>
  <si>
    <t>The Sens Cancun</t>
  </si>
  <si>
    <t>Mid-Range, Centrally Located</t>
  </si>
  <si>
    <t>Beach, Adults Only Rooms, Kids Club, Kids Waterpark, Pool Slide, Water Feature</t>
  </si>
  <si>
    <t>Bahia Principe Grand Bavaro</t>
  </si>
  <si>
    <t>Beaches Ochos Rios</t>
  </si>
  <si>
    <t>Beach, Kids Club for Under 4, Kids Club</t>
  </si>
  <si>
    <t>Krystal Grand Nuevo Vallarta</t>
  </si>
  <si>
    <t>Mangrove Beach Corendon Curacao All-Inclusive Resort, Curio by Hilton</t>
  </si>
  <si>
    <t>Maya Tulum By G Hotels</t>
  </si>
  <si>
    <t>Royal Decameron Punta Sal</t>
  </si>
  <si>
    <t>Punta Sal</t>
  </si>
  <si>
    <t>Talara</t>
  </si>
  <si>
    <t>Royalton Grenada, an Autograph Collection All-Inclusive Resort</t>
  </si>
  <si>
    <t>Magazine Beach</t>
  </si>
  <si>
    <t>Planet Hollywood Cancun Adult Scene, An Autograph Collection</t>
  </si>
  <si>
    <t>Royalton Negril, An Autograph Collection All-Inclusive Resort</t>
  </si>
  <si>
    <t>Beach, Great Beach</t>
  </si>
  <si>
    <t>Hotel Riu Guanacaste</t>
  </si>
  <si>
    <t>Hotel Riu Jalisco</t>
  </si>
  <si>
    <t>Hotel Riu Republica</t>
  </si>
  <si>
    <t>Iberostar Origin Daiquiri</t>
  </si>
  <si>
    <t>Royalton Riviera Cancun</t>
  </si>
  <si>
    <t>Tesoro Ixtapa</t>
  </si>
  <si>
    <t>Decameron Galeón</t>
  </si>
  <si>
    <t>Santa Marta</t>
  </si>
  <si>
    <t>Simon Bolivar</t>
  </si>
  <si>
    <t>Decameron Maryland</t>
  </si>
  <si>
    <t>San Andres</t>
  </si>
  <si>
    <t>San Andres Island</t>
  </si>
  <si>
    <t>Deja Resort</t>
  </si>
  <si>
    <t>Hotel Krystal Cancun</t>
  </si>
  <si>
    <t>Memories Trinidad Del Mar</t>
  </si>
  <si>
    <t>Trinidad</t>
  </si>
  <si>
    <t>Royal Decameron Punta Centinela</t>
  </si>
  <si>
    <t>Santa Elena</t>
  </si>
  <si>
    <t>Salinas</t>
  </si>
  <si>
    <t>Royal Decameron Salinitas</t>
  </si>
  <si>
    <t>El Salvador</t>
  </si>
  <si>
    <t>Acajutla</t>
  </si>
  <si>
    <t>Ilopango</t>
  </si>
  <si>
    <t>Viva Dominicus Beach By Wyndham, A Trademark All Inclusive Resort</t>
  </si>
  <si>
    <t>Decameron Isleno</t>
  </si>
  <si>
    <t>Hotel Riu Santa Fe</t>
  </si>
  <si>
    <t>Kunuku Resort All Inclusive Curacao, Trademark by Wyndham</t>
  </si>
  <si>
    <t>Tera Kora</t>
  </si>
  <si>
    <t>Royalton Splash Punta Cana, An Autograph Collection Resort &amp; Casino</t>
  </si>
  <si>
    <t>Grand Paradise Playa Dorada</t>
  </si>
  <si>
    <t>Vista Sol Punta Cana Beach Resort &amp; Spa</t>
  </si>
  <si>
    <t>Planet Hollywood Cancun, An Autograph Collection All-Inclusive Resort</t>
  </si>
  <si>
    <t>Beach, Swim Out/Plunge Pool Rooms, Family Suite, Kids Club, Lazy River, Flowrider</t>
  </si>
  <si>
    <t>Hyatt Ziva Riviera Cancun</t>
  </si>
  <si>
    <t>Beach, Kids Club, Kids Waterpark, Big Waterslides</t>
  </si>
  <si>
    <t>Bahia Principe Grand Punta Cana</t>
  </si>
  <si>
    <t>Hotel Riu Negril</t>
  </si>
  <si>
    <t>Kore Tulum Retreat and Spa Resort</t>
  </si>
  <si>
    <t>Senses Riviera Maya by Artisan</t>
  </si>
  <si>
    <t>Viva Wyndham Tangerine</t>
  </si>
  <si>
    <t>Cabarete</t>
  </si>
  <si>
    <t>Be Live Collection Punta Cana</t>
  </si>
  <si>
    <t>Decameron Los Delfines</t>
  </si>
  <si>
    <t>Grand Matlali Riviera Nayarit</t>
  </si>
  <si>
    <t>Sirenis Tropical Varadero</t>
  </si>
  <si>
    <t>Starfish Cayo Santa Maria</t>
  </si>
  <si>
    <t>Sunscape Coco Punta Cana</t>
  </si>
  <si>
    <t>Beach, Kids Club, Teen Club</t>
  </si>
  <si>
    <t>Royalton Chic Antigua</t>
  </si>
  <si>
    <t>Cedar Grove</t>
  </si>
  <si>
    <t>Zoetry Curaçao Resort &amp; Spa</t>
  </si>
  <si>
    <t>Golden Parnassus All Inclusive Resort &amp; Spa Cancun</t>
  </si>
  <si>
    <t>Hotel Krystal Ixtapa</t>
  </si>
  <si>
    <t>Hotel Riu Bambu</t>
  </si>
  <si>
    <t>Lighthouse Pointe at Grand Lucayan Resort</t>
  </si>
  <si>
    <t>Freeport</t>
  </si>
  <si>
    <t>Grand Bahama</t>
  </si>
  <si>
    <t>Marien Puerto Plata</t>
  </si>
  <si>
    <t>Sandals Royal Barbados</t>
  </si>
  <si>
    <t>Oistins</t>
  </si>
  <si>
    <t>The Pyramid Cancun</t>
  </si>
  <si>
    <t>Vamar Vallarta All Inclusive Marina and Beach Resort</t>
  </si>
  <si>
    <t>Decameron Marazul</t>
  </si>
  <si>
    <t>Grand Decameron Panama, A Trademark All-inclusive Resort</t>
  </si>
  <si>
    <t>Farallon</t>
  </si>
  <si>
    <t>Playa Paraíso - Cayo Coco Beach Resort</t>
  </si>
  <si>
    <t>Presidential Suites by Lifestyle - All Inclusive</t>
  </si>
  <si>
    <t>Sunscape Puerto Vallarta</t>
  </si>
  <si>
    <t>The Crown Villas at Lifestyle Holidays Vacation Resort</t>
  </si>
  <si>
    <t>Decameron Las Heliconias</t>
  </si>
  <si>
    <t>Hotel Fontan Ixtapa</t>
  </si>
  <si>
    <t>Hotel Riu Palace Paradise Island</t>
  </si>
  <si>
    <t>New Paradise Island</t>
  </si>
  <si>
    <t>Wyndham Grand Barbados Sam Lords Castle All Inclusive Resort</t>
  </si>
  <si>
    <t>All Ritmo Cancun Resort &amp; Waterpark</t>
  </si>
  <si>
    <t>Decameron Aquarium</t>
  </si>
  <si>
    <t>Dreams Playa Bonita Panama</t>
  </si>
  <si>
    <t>Panama City</t>
  </si>
  <si>
    <t>Tocumen</t>
  </si>
  <si>
    <t>Hideaway at Royalton Blue Waters</t>
  </si>
  <si>
    <t>Krystal Beach Acapulco</t>
  </si>
  <si>
    <t>Occidental Caribe</t>
  </si>
  <si>
    <t>Grand Oasis Palm</t>
  </si>
  <si>
    <t>Starfish Cayo Guillermo</t>
  </si>
  <si>
    <t>Casa Marina Beach</t>
  </si>
  <si>
    <t>Sosua</t>
  </si>
  <si>
    <t>Hotel Roc Barlovento</t>
  </si>
  <si>
    <t>Lifestyle Tropical Beach Resort &amp; Spa</t>
  </si>
  <si>
    <t>SeaGarden Beach Resort</t>
  </si>
  <si>
    <t>Sunscape Sabor Cozumel</t>
  </si>
  <si>
    <t>Royalton Antigua, An Autograph Collection All-Inclusive Resort</t>
  </si>
  <si>
    <t>Samsara Cliffs Resort</t>
  </si>
  <si>
    <t>AVA Resort Cancun</t>
  </si>
  <si>
    <t>Breezes Resorts &amp; Spas</t>
  </si>
  <si>
    <t>Merrils Beach Resort II</t>
  </si>
  <si>
    <t>Oceans at Divi Carina Bay</t>
  </si>
  <si>
    <t>St. Croix</t>
  </si>
  <si>
    <t>Playabachata Spa Resort</t>
  </si>
  <si>
    <t>Divi Carina Bay Beach Resort &amp; Casino</t>
  </si>
  <si>
    <t>Grand Decameron Cornwall Beach, A Trademark All-Inclusive Resort</t>
  </si>
  <si>
    <t>La Tambora Beach Resort</t>
  </si>
  <si>
    <t>BlueBay Grand Esmeralda</t>
  </si>
  <si>
    <t>Catalonia Montego Bay</t>
  </si>
  <si>
    <t>Decameron Club Caribbean Runaway Bay, Ramada All-inclusive Resort</t>
  </si>
  <si>
    <t>Dreams Acapulco Resort &amp; Spa</t>
  </si>
  <si>
    <t>Hotel El Cozumeleno Beach Resort</t>
  </si>
  <si>
    <t>Hotel Los Cactus</t>
  </si>
  <si>
    <t>Dreams Cozumel Cape Resort &amp; Spa</t>
  </si>
  <si>
    <t>Royal Villas Cofresi 5</t>
  </si>
  <si>
    <t>Jolly Beach Antigua</t>
  </si>
  <si>
    <t>2 per Room</t>
  </si>
  <si>
    <t>Sunscape Curacao Resort, Spa &amp; Casino</t>
  </si>
  <si>
    <t>VIK Hotel Arena Blanca</t>
  </si>
  <si>
    <t>Grand Oasis Tulum Riviera</t>
  </si>
  <si>
    <t>Henry Morgan Beach Resort</t>
  </si>
  <si>
    <t>West Bay</t>
  </si>
  <si>
    <t>Krystal Grand Cancún All Inclusive</t>
  </si>
  <si>
    <t>Whala!Bocachica</t>
  </si>
  <si>
    <t>Boca Chica</t>
  </si>
  <si>
    <t>Le Reve by MIJ Beachfront Hotel</t>
  </si>
  <si>
    <t>Legends Beach Hotel</t>
  </si>
  <si>
    <t>Lifestyle Crown &amp; Residence Suites</t>
  </si>
  <si>
    <t>Flamingo Cancun Resort</t>
  </si>
  <si>
    <t>Secrets Aura Cozumel</t>
  </si>
  <si>
    <t>Club Ambiance</t>
  </si>
  <si>
    <t>Decameron Cartagena</t>
  </si>
  <si>
    <t>Hotel Playa Grande</t>
  </si>
  <si>
    <t>Real Playa del Carmen</t>
  </si>
  <si>
    <t>Crown Suites at Lifestyle Holidays Vacation Resort</t>
  </si>
  <si>
    <t>Merrils Beach Resort III</t>
  </si>
  <si>
    <t>Grand Decameron Montego Beach, A Trademark All-Inclusive Resort</t>
  </si>
  <si>
    <t>Secrets St. Martin Resort &amp; Spa</t>
  </si>
  <si>
    <t>Saint Martin</t>
  </si>
  <si>
    <t>Anse Marcel</t>
  </si>
  <si>
    <t>Cofresi Palm Beach &amp; Spa Resort</t>
  </si>
  <si>
    <t>Hotel Beach House Playa Dorada</t>
  </si>
  <si>
    <t>Sandpiper Bay All-Inclusive, Trademark Collection by Wyndham</t>
  </si>
  <si>
    <t>Port Saint Lucie</t>
  </si>
  <si>
    <t>Fort Lauderdale</t>
  </si>
  <si>
    <t>Viva Fortuna Beach by Wyndham - An All-Inclusive Resort</t>
  </si>
  <si>
    <t>Residence Suite- Resort</t>
  </si>
  <si>
    <t>Lifestyle Tropical Beach Resort And Spa</t>
  </si>
  <si>
    <t>Negril Escape Resort &amp; Spa</t>
  </si>
  <si>
    <t>Playa Esmeralda Beach Resort</t>
  </si>
  <si>
    <t>Guayacanes</t>
  </si>
  <si>
    <t>Dreams Curaçao Resort, Spa &amp; Casino</t>
  </si>
  <si>
    <t>whala!bavaro</t>
  </si>
  <si>
    <t>Hotel Puntarena Playa Caleta</t>
  </si>
  <si>
    <t>Puerto Plata Village Caribbean Resort &amp; Beach Club</t>
  </si>
  <si>
    <t>Ocean View Cancun Arenas</t>
  </si>
  <si>
    <t>Envy Vacations</t>
  </si>
  <si>
    <t>Bel Air Collection Resort &amp; Spa Riviera Maya</t>
  </si>
  <si>
    <t>Del Mar by Joy Resorts</t>
  </si>
  <si>
    <t>Grand Velas Boutique</t>
  </si>
  <si>
    <t>Mangos Jamaica</t>
  </si>
  <si>
    <t>Sunset Beach Resort, Spa &amp; Waterpark</t>
  </si>
  <si>
    <t>Golden Shores Crown Paradise</t>
  </si>
  <si>
    <t>The Fives Travelers at The Fives Beach by YPJ-All Inclusive</t>
  </si>
  <si>
    <t>Barcelo Solymar</t>
  </si>
  <si>
    <t>Marriott Miches Beach</t>
  </si>
  <si>
    <t>Secrets St. Lucia</t>
  </si>
  <si>
    <t>Occidental Arenas Blancas</t>
  </si>
  <si>
    <t>Be Live Experience Hamaca Garden</t>
  </si>
  <si>
    <t>Grand Oasis Cancun</t>
  </si>
  <si>
    <t>Viva Miches by Wyndham, a Trademark All Inclusive Resort</t>
  </si>
  <si>
    <t>Fun Holiday Beach Resort</t>
  </si>
  <si>
    <t>Melia Casa Maya Cancun All Inclusive</t>
  </si>
  <si>
    <t>Be Live Experience Hamaca Suites</t>
  </si>
  <si>
    <t>Hotel Club Amigo Ancon</t>
  </si>
  <si>
    <t>Grand Memories Cayo Largo</t>
  </si>
  <si>
    <t>Max 3 per Room, No Reviews</t>
  </si>
  <si>
    <t>Dreams Playa Esmeralda Resort &amp; Spa</t>
  </si>
  <si>
    <t>No Reviews</t>
  </si>
  <si>
    <t>Secrets Playa Esmerelda Resort &amp; Spa</t>
  </si>
  <si>
    <t>Secrets Baby Beach Aruba</t>
  </si>
  <si>
    <t>Excellence Coral Playa Mujeres</t>
  </si>
  <si>
    <t>W Punta Cana, All-Inclusive</t>
  </si>
  <si>
    <t>Trobbu Tulum All Inclusive</t>
  </si>
  <si>
    <t>Zemi Miches All-Inclusive Resort Curio Collection by Hilton</t>
  </si>
  <si>
    <t>Ocean Azure Costa Mujeres</t>
  </si>
  <si>
    <t>Beaches Exuma</t>
  </si>
  <si>
    <t>Not Open Yet</t>
  </si>
  <si>
    <t>Kids Club for Under 4, Kids Club</t>
  </si>
  <si>
    <t>Paradisus Punta Cana Resort</t>
  </si>
  <si>
    <t>Beaches Runaway Bay</t>
  </si>
  <si>
    <t>Breathless Puerto Vallarta Resort and Spa</t>
  </si>
  <si>
    <t>Desire Miches Resort Punta Cana</t>
  </si>
  <si>
    <t>Dreams Grand Island</t>
  </si>
  <si>
    <t>Margaritaville Island Reserve Resort Roatan</t>
  </si>
  <si>
    <t>Moon Palace The Grand Punta Cana</t>
  </si>
  <si>
    <t>Sandals Royal Dunn's River</t>
  </si>
  <si>
    <t>Unico 18°77° Montego Bay</t>
  </si>
  <si>
    <t>Unico 21°105° Puerto Vallarta</t>
  </si>
  <si>
    <t>Tipping Guide</t>
  </si>
  <si>
    <r>
      <rPr>
        <sz val="12.0"/>
      </rPr>
      <t xml:space="preserve">This is from </t>
    </r>
    <r>
      <rPr>
        <b/>
        <color rgb="FF1155CC"/>
        <sz val="12.0"/>
        <u/>
      </rPr>
      <t>The Know Before You Go Travel Show</t>
    </r>
    <r>
      <rPr>
        <sz val="12.0"/>
      </rPr>
      <t xml:space="preserve"> Podcast:</t>
    </r>
  </si>
  <si>
    <t>- Airport Driver Private Under 30 min $10</t>
  </si>
  <si>
    <t>- Airport Driver Private Over 30 min $15-$20</t>
  </si>
  <si>
    <t>- Airport Driver Shared Under 30 min $5</t>
  </si>
  <si>
    <t>- Airport Driver Shared Over 30 min $10</t>
  </si>
  <si>
    <t>- Airport VIP (Club Mobay, etc) $5-$10</t>
  </si>
  <si>
    <t>- Bartenders and waiters $1 per round</t>
  </si>
  <si>
    <t>- Buffet meal $2-3</t>
  </si>
  <si>
    <t>- Butler/Personal Concierge Hybrid $10 a day</t>
  </si>
  <si>
    <t>- Butler $20 a day</t>
  </si>
  <si>
    <t>- Dinner $5-10</t>
  </si>
  <si>
    <t>- Maid $2-$5 daily</t>
  </si>
  <si>
    <t>- Minibar $1 a refill</t>
  </si>
  <si>
    <t>- Personal Concierge $5 a day</t>
  </si>
  <si>
    <t>- Pool Server $5 to start $5 to end</t>
  </si>
  <si>
    <t>- Porter $1 a bag</t>
  </si>
  <si>
    <t>- Room Service $2</t>
  </si>
  <si>
    <t>- Spa Total 20%</t>
  </si>
  <si>
    <t>- Tour Guide Group $5-$10</t>
  </si>
  <si>
    <t>- Tour Guide Private $10-$25</t>
  </si>
  <si>
    <t>NO GO (Hide List)</t>
  </si>
  <si>
    <t>CONNECTING ROOMS</t>
  </si>
  <si>
    <t>Category</t>
  </si>
  <si>
    <t>Budget (Drop)</t>
  </si>
  <si>
    <t>Budget (Lookup)</t>
  </si>
  <si>
    <t>Currency</t>
  </si>
  <si>
    <t>Time To/From
Airport (Drop)</t>
  </si>
  <si>
    <t>Time To/From
Airport (Lookup)</t>
  </si>
  <si>
    <t>Rooms (Drop)</t>
  </si>
  <si>
    <t>Rooms (Lookup)</t>
  </si>
  <si>
    <t>Year Built (Drop)</t>
  </si>
  <si>
    <t>Year Built (Lookup)</t>
  </si>
  <si>
    <t>Year Renovated (Drop)</t>
  </si>
  <si>
    <t>Year Renovated (Lookup)</t>
  </si>
  <si>
    <t>$2,000 and under</t>
  </si>
  <si>
    <t>CAD</t>
  </si>
  <si>
    <t>15m or less</t>
  </si>
  <si>
    <t>50 or less</t>
  </si>
  <si>
    <t>Last 5 Years</t>
  </si>
  <si>
    <t>$2,500 and under</t>
  </si>
  <si>
    <t>30m or less</t>
  </si>
  <si>
    <t>100 or less</t>
  </si>
  <si>
    <t>Last 10 Years</t>
  </si>
  <si>
    <t>$3,000 and under</t>
  </si>
  <si>
    <t>45m or less</t>
  </si>
  <si>
    <t>250 or less</t>
  </si>
  <si>
    <t>Last 25 Years</t>
  </si>
  <si>
    <t>Last 15 Years</t>
  </si>
  <si>
    <t>$3,500 and under</t>
  </si>
  <si>
    <t>1h or less</t>
  </si>
  <si>
    <t>500 or less</t>
  </si>
  <si>
    <t>Last 50 Years</t>
  </si>
  <si>
    <t>$4,000 and under</t>
  </si>
  <si>
    <t>1.5h or less</t>
  </si>
  <si>
    <t>1,000 or less</t>
  </si>
  <si>
    <t>$4,500 and under</t>
  </si>
  <si>
    <t>2,500 or less</t>
  </si>
  <si>
    <t>$5,000 and under</t>
  </si>
  <si>
    <t>$5,500 and under</t>
  </si>
  <si>
    <t>$6,000 and under</t>
  </si>
  <si>
    <t>$6,500 and under</t>
  </si>
  <si>
    <t>$7,000 and under</t>
  </si>
  <si>
    <t>$7,500 and under</t>
  </si>
  <si>
    <t>$8,000 and under</t>
  </si>
  <si>
    <t>$8,500 and under</t>
  </si>
  <si>
    <t>$9,000 and under</t>
  </si>
  <si>
    <t>$9,500 and under</t>
  </si>
  <si>
    <t>$10,000 and under</t>
  </si>
  <si>
    <t>$10,500 and under</t>
  </si>
  <si>
    <t>$11,000 and under</t>
  </si>
  <si>
    <t>$11,500 and under</t>
  </si>
  <si>
    <t>$12,000 and under</t>
  </si>
  <si>
    <t>$12,500 and under</t>
  </si>
  <si>
    <t>$13,000 and under</t>
  </si>
  <si>
    <t>$13,500 and under</t>
  </si>
  <si>
    <t>$14,000 and under</t>
  </si>
  <si>
    <t>$14,500 and under</t>
  </si>
  <si>
    <t>$15,000 and under</t>
  </si>
  <si>
    <t>Connecting Rooms</t>
  </si>
  <si>
    <t>2 Bedroom Suites</t>
  </si>
  <si>
    <t>Boutique</t>
  </si>
  <si>
    <t>Adults Only Rooms</t>
  </si>
  <si>
    <t>Adult Pool</t>
  </si>
  <si>
    <t>Centrally Located</t>
  </si>
  <si>
    <t>Arcade</t>
  </si>
  <si>
    <t>Children 11+</t>
  </si>
  <si>
    <t>Archery</t>
  </si>
  <si>
    <t>Babysitting</t>
  </si>
  <si>
    <t>Classic</t>
  </si>
  <si>
    <t>Bicycles Available</t>
  </si>
  <si>
    <t>Big Waterslides</t>
  </si>
  <si>
    <t>Kids 12+ Allowed Jan 15-Mar 15</t>
  </si>
  <si>
    <t>Buffet</t>
  </si>
  <si>
    <t>Harbour View</t>
  </si>
  <si>
    <t>Casino</t>
  </si>
  <si>
    <t>Hidden Gem</t>
  </si>
  <si>
    <t>Diving</t>
  </si>
  <si>
    <t>Historic Hotel</t>
  </si>
  <si>
    <t>Evening Entertainment</t>
  </si>
  <si>
    <t>Lagoon View</t>
  </si>
  <si>
    <t>Family Suite</t>
  </si>
  <si>
    <t>Fishing</t>
  </si>
  <si>
    <t>Flowrider</t>
  </si>
  <si>
    <t>Mid-Range</t>
  </si>
  <si>
    <t>Golf Course</t>
  </si>
  <si>
    <t>Magnificent View</t>
  </si>
  <si>
    <t>Nude Areas</t>
  </si>
  <si>
    <t>Mountain View</t>
  </si>
  <si>
    <t>Gym</t>
  </si>
  <si>
    <t>Park View</t>
  </si>
  <si>
    <t>Heated Pool</t>
  </si>
  <si>
    <t>Hiking</t>
  </si>
  <si>
    <t>Horseback Riding</t>
  </si>
  <si>
    <t>Residential Neighborhood</t>
  </si>
  <si>
    <t>Kids Club</t>
  </si>
  <si>
    <t>River View</t>
  </si>
  <si>
    <t>Kids Waterpark</t>
  </si>
  <si>
    <t>Lazy River</t>
  </si>
  <si>
    <t>Value</t>
  </si>
  <si>
    <t>Mini Golf</t>
  </si>
  <si>
    <t>Nightclub</t>
  </si>
  <si>
    <t>Pets Allowed</t>
  </si>
  <si>
    <t>Pool Slide</t>
  </si>
  <si>
    <t>Room Service</t>
  </si>
  <si>
    <t>Snorkelling</t>
  </si>
  <si>
    <t>Spa</t>
  </si>
  <si>
    <t>Swim Out/Plunge Pool Rooms</t>
  </si>
  <si>
    <t>Swim Up Bar</t>
  </si>
  <si>
    <t>Teen Club</t>
  </si>
  <si>
    <t>Tennis</t>
  </si>
  <si>
    <t>2 Full or 1 King</t>
  </si>
  <si>
    <t>Water Feature</t>
  </si>
  <si>
    <t>Watersports Equipment Rentals</t>
  </si>
  <si>
    <t>Wifi (Free)</t>
  </si>
  <si>
    <t>Wifi (Paid)</t>
  </si>
  <si>
    <t>Windsurfing</t>
  </si>
  <si>
    <t>Yoga Classes</t>
  </si>
  <si>
    <t>2 Queen or 1 King</t>
  </si>
  <si>
    <t>&gt;hide</t>
  </si>
  <si>
    <t>hide&lt;</t>
  </si>
  <si>
    <t>Trip Advisor Reviews</t>
  </si>
  <si>
    <t>Enter number of reviews for each rating in Column D</t>
  </si>
  <si>
    <t>&lt;hide</t>
  </si>
  <si>
    <t>Trip Advisor Rating (Don't alter)</t>
  </si>
  <si>
    <t>AAA Diamond Ratings</t>
  </si>
  <si>
    <t>https://caasco.tstllc.net/hotel</t>
  </si>
  <si>
    <t>Search</t>
  </si>
  <si>
    <t>site:travelweekly.com Hotel Playa Mazatlan</t>
  </si>
  <si>
    <t>Hyatt Ratings System</t>
  </si>
  <si>
    <t>World of Hyatt: Complete list of all-inclusive properties in Mexico and the Caribbean</t>
  </si>
  <si>
    <t>Hyatt Hotel Locations</t>
  </si>
  <si>
    <t>F is the highest rating, A is the lowest.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</si>
</sst>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quot;$&quot;#,##0.00"/>
    <numFmt numFmtId="166" formatCode="[h]&quot;h &quot;m&quot;m&quot;"/>
    <numFmt numFmtId="167" formatCode="&quot;$&quot;#,##0"/>
    <numFmt numFmtId="168" formatCode="d-mmm"/>
    <numFmt numFmtId="169" formatCode="#,##0_);(#,##0)"/>
    <numFmt numFmtId="170" formatCode="0.0"/>
  </numFmts>
  <fonts count="31">
    <font>
      <sz val="10.0"/>
      <color rgb="FF000000"/>
      <name val="Arial"/>
      <scheme val="minor"/>
    </font>
    <font>
      <sz val="10.0"/>
      <color rgb="FF666666"/>
      <name val="Arial"/>
      <scheme val="minor"/>
    </font>
    <font>
      <sz val="12.0"/>
      <color theme="1"/>
      <name val="Arial"/>
      <scheme val="minor"/>
    </font>
    <font>
      <sz val="12.0"/>
      <color rgb="FF999999"/>
      <name val="Arial"/>
      <scheme val="minor"/>
    </font>
    <font>
      <u/>
      <sz val="12.0"/>
      <color rgb="FF0000FF"/>
    </font>
    <font>
      <u/>
      <sz val="12.0"/>
      <color rgb="FF1155CC"/>
    </font>
    <font>
      <b/>
      <sz val="12.0"/>
      <color theme="1"/>
      <name val="Arial"/>
      <scheme val="minor"/>
    </font>
    <font>
      <u/>
      <sz val="12.0"/>
      <color rgb="FF0000FF"/>
    </font>
    <font>
      <u/>
      <sz val="12.0"/>
      <color rgb="FF0000FF"/>
    </font>
    <font>
      <color theme="1"/>
      <name val="Arial"/>
      <scheme val="minor"/>
    </font>
    <font>
      <b/>
      <sz val="10.0"/>
      <color theme="1"/>
      <name val="Arial"/>
      <scheme val="minor"/>
    </font>
    <font>
      <b/>
      <color theme="1"/>
      <name val="Arial"/>
      <scheme val="minor"/>
    </font>
    <font>
      <sz val="10.0"/>
      <color rgb="FFFFFFFF"/>
      <name val="Arial"/>
      <scheme val="minor"/>
    </font>
    <font>
      <sz val="10.0"/>
      <color theme="1"/>
      <name val="Arial"/>
      <scheme val="minor"/>
    </font>
    <font>
      <b/>
      <sz val="10.0"/>
      <color rgb="FF666666"/>
      <name val="Arial"/>
      <scheme val="minor"/>
    </font>
    <font>
      <b/>
      <sz val="10.0"/>
      <color rgb="FFF3F3F3"/>
      <name val="Arial"/>
      <scheme val="minor"/>
    </font>
    <font/>
    <font>
      <color rgb="FFCC4125"/>
      <name val="Arial"/>
      <scheme val="minor"/>
    </font>
    <font>
      <u/>
      <sz val="10.0"/>
      <color rgb="FF0000FF"/>
    </font>
    <font>
      <u/>
      <sz val="10.0"/>
      <color rgb="FF0000FF"/>
    </font>
    <font>
      <u/>
      <sz val="10.0"/>
      <color rgb="FF0000FF"/>
    </font>
    <font>
      <u/>
      <sz val="10.0"/>
      <color rgb="FF0000FF"/>
    </font>
    <font>
      <u/>
      <sz val="10.0"/>
      <color rgb="FF0000FF"/>
    </font>
    <font>
      <u/>
      <sz val="10.0"/>
      <color rgb="FF0000FF"/>
    </font>
    <font>
      <u/>
      <sz val="10.0"/>
      <color rgb="FF0000FF"/>
    </font>
    <font>
      <u/>
      <sz val="10.0"/>
      <color rgb="FF0000FF"/>
    </font>
    <font>
      <b/>
      <sz val="14.0"/>
      <color theme="1"/>
      <name val="Arial"/>
      <scheme val="minor"/>
    </font>
    <font>
      <u/>
      <sz val="12.0"/>
      <color rgb="FF0000FF"/>
    </font>
    <font>
      <b/>
      <sz val="12.0"/>
      <color rgb="FF000000"/>
      <name val="Arial"/>
      <scheme val="minor"/>
    </font>
    <font>
      <sz val="12.0"/>
      <color rgb="FF000000"/>
      <name val="Arial"/>
      <scheme val="minor"/>
    </font>
    <font>
      <sz val="10.0"/>
      <color rgb="FF434343"/>
      <name val="Arial"/>
      <scheme val="minor"/>
    </font>
  </fonts>
  <fills count="10">
    <fill>
      <patternFill patternType="none"/>
    </fill>
    <fill>
      <patternFill patternType="lightGray"/>
    </fill>
    <fill>
      <patternFill patternType="solid">
        <fgColor rgb="FF666666"/>
        <bgColor rgb="FF666666"/>
      </patternFill>
    </fill>
    <fill>
      <patternFill patternType="solid">
        <fgColor rgb="FFF3F3F3"/>
        <bgColor rgb="FFF3F3F3"/>
      </patternFill>
    </fill>
    <fill>
      <patternFill patternType="solid">
        <fgColor rgb="FFFFF2CC"/>
        <bgColor rgb="FFFFF2CC"/>
      </patternFill>
    </fill>
    <fill>
      <patternFill patternType="solid">
        <fgColor rgb="FFFFE599"/>
        <bgColor rgb="FFFFE599"/>
      </patternFill>
    </fill>
    <fill>
      <patternFill patternType="solid">
        <fgColor rgb="FFCFE2F3"/>
        <bgColor rgb="FFCFE2F3"/>
      </patternFill>
    </fill>
    <fill>
      <patternFill patternType="solid">
        <fgColor rgb="FFD9D9D9"/>
        <bgColor rgb="FFD9D9D9"/>
      </patternFill>
    </fill>
    <fill>
      <patternFill patternType="solid">
        <fgColor rgb="FF999999"/>
        <bgColor rgb="FF999999"/>
      </patternFill>
    </fill>
    <fill>
      <patternFill patternType="solid">
        <fgColor rgb="FFFFD966"/>
        <bgColor rgb="FFFFD966"/>
      </patternFill>
    </fill>
  </fills>
  <borders count="16">
    <border/>
    <border>
      <bottom style="thin">
        <color rgb="FF666666"/>
      </bottom>
    </border>
    <border>
      <right style="thick">
        <color rgb="FFFFFFFF"/>
      </right>
      <bottom style="thin">
        <color rgb="FF666666"/>
      </bottom>
    </border>
    <border>
      <left style="thick">
        <color rgb="FFFFFFFF"/>
      </left>
      <bottom style="thin">
        <color rgb="FF666666"/>
      </bottom>
    </border>
    <border>
      <right style="thick">
        <color rgb="FFFFFFFF"/>
      </right>
    </border>
    <border>
      <left style="thick">
        <color rgb="FFFFFFFF"/>
      </left>
    </border>
    <border>
      <left style="thick">
        <color rgb="FFFFFFFF"/>
      </left>
      <right style="thick">
        <color rgb="FFFFFFFF"/>
      </right>
    </border>
    <border>
      <right style="thin">
        <color rgb="FFCCCCCC"/>
      </right>
      <top style="medium">
        <color rgb="FF000000"/>
      </top>
    </border>
    <border>
      <left style="thin">
        <color rgb="FFCCCCCC"/>
      </left>
      <right style="thin">
        <color rgb="FFCCCCCC"/>
      </right>
      <top style="medium">
        <color rgb="FF000000"/>
      </top>
    </border>
    <border>
      <left style="thin">
        <color rgb="FFCCCCCC"/>
      </left>
      <right style="thin">
        <color rgb="FFB7B7B7"/>
      </right>
      <top style="medium">
        <color rgb="FF000000"/>
      </top>
    </border>
    <border>
      <right style="thin">
        <color rgb="FFCCCCCC"/>
      </right>
    </border>
    <border>
      <left style="thin">
        <color rgb="FFCCCCCC"/>
      </left>
      <right style="thin">
        <color rgb="FFCCCCCC"/>
      </right>
    </border>
    <border>
      <left style="thin">
        <color rgb="FFCCCCCC"/>
      </left>
      <right style="thin">
        <color rgb="FFB7B7B7"/>
      </right>
    </border>
    <border>
      <left style="thin">
        <color rgb="FFCCCCCC"/>
      </left>
    </border>
    <border>
      <bottom style="dotted">
        <color rgb="FF000000"/>
      </bottom>
    </border>
    <border>
      <top style="dotted">
        <color rgb="FF000000"/>
      </top>
      <bottom style="dotted">
        <color rgb="FF000000"/>
      </bottom>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Font="1"/>
    <xf borderId="0" fillId="2" fontId="2" numFmtId="0" xfId="0" applyAlignment="1" applyFont="1">
      <alignment shrinkToFit="0" wrapText="1"/>
    </xf>
    <xf borderId="0" fillId="2" fontId="3" numFmtId="0" xfId="0" applyAlignment="1" applyFont="1">
      <alignment horizontal="center"/>
    </xf>
    <xf borderId="0" fillId="2" fontId="2" numFmtId="0" xfId="0" applyAlignment="1" applyFont="1">
      <alignment shrinkToFit="0" wrapText="0"/>
    </xf>
    <xf borderId="0" fillId="0" fontId="2" numFmtId="0" xfId="0" applyFont="1"/>
    <xf borderId="0" fillId="0" fontId="2" numFmtId="0" xfId="0" applyAlignment="1" applyFont="1">
      <alignment shrinkToFit="0" wrapText="1"/>
    </xf>
    <xf borderId="0" fillId="0" fontId="2" numFmtId="0" xfId="0" applyAlignment="1" applyFont="1">
      <alignment shrinkToFit="0" wrapText="0"/>
    </xf>
    <xf borderId="0" fillId="2" fontId="3" numFmtId="0" xfId="0" applyAlignment="1" applyFont="1">
      <alignment horizontal="center" readingOrder="0"/>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shrinkToFit="0" vertical="bottom" wrapText="0"/>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8" numFmtId="0" xfId="0" applyAlignment="1" applyFont="1">
      <alignment readingOrder="0" shrinkToFit="0" wrapText="0"/>
    </xf>
    <xf borderId="0" fillId="0" fontId="6" numFmtId="0" xfId="0" applyAlignment="1" applyFont="1">
      <alignment readingOrder="0" shrinkToFit="0" wrapText="1"/>
    </xf>
    <xf borderId="0" fillId="2" fontId="9" numFmtId="0" xfId="0" applyFont="1"/>
    <xf borderId="0" fillId="2" fontId="2" numFmtId="0" xfId="0" applyAlignment="1" applyFont="1">
      <alignment readingOrder="0" shrinkToFit="0" vertical="top" wrapText="1"/>
    </xf>
    <xf borderId="0" fillId="0" fontId="10" numFmtId="0" xfId="0" applyAlignment="1" applyFont="1">
      <alignment horizontal="center" readingOrder="0" shrinkToFit="0" vertical="bottom" wrapText="0"/>
    </xf>
    <xf borderId="0" fillId="0" fontId="11" numFmtId="164" xfId="0" applyAlignment="1" applyFont="1" applyNumberFormat="1">
      <alignment readingOrder="0" shrinkToFit="0" wrapText="0"/>
    </xf>
    <xf borderId="0" fillId="0" fontId="12" numFmtId="0" xfId="0" applyAlignment="1" applyFont="1">
      <alignment horizontal="center" readingOrder="0" shrinkToFit="0" vertical="bottom" wrapText="0"/>
    </xf>
    <xf borderId="0" fillId="0" fontId="12" numFmtId="165" xfId="0" applyAlignment="1" applyFont="1" applyNumberFormat="1">
      <alignment horizontal="center" readingOrder="0" shrinkToFit="0" vertical="bottom" wrapText="0"/>
    </xf>
    <xf borderId="0" fillId="0" fontId="12" numFmtId="4" xfId="0" applyAlignment="1" applyFont="1" applyNumberFormat="1">
      <alignment horizontal="center" readingOrder="0" shrinkToFit="0" vertical="bottom" wrapText="0"/>
    </xf>
    <xf borderId="0" fillId="0" fontId="12" numFmtId="0" xfId="0" applyAlignment="1" applyFont="1">
      <alignment horizontal="left" readingOrder="0" shrinkToFit="0" vertical="bottom" wrapText="0"/>
    </xf>
    <xf borderId="0" fillId="0" fontId="12" numFmtId="166" xfId="0" applyAlignment="1" applyFont="1" applyNumberFormat="1">
      <alignment horizontal="center" readingOrder="0" shrinkToFit="0" vertical="bottom" wrapText="0"/>
    </xf>
    <xf borderId="0" fillId="0" fontId="13" numFmtId="0" xfId="0" applyAlignment="1" applyFont="1">
      <alignment horizontal="center" readingOrder="0" shrinkToFit="0" vertical="bottom" wrapText="0"/>
    </xf>
    <xf borderId="0" fillId="0" fontId="12" numFmtId="0" xfId="0" applyAlignment="1" applyFont="1">
      <alignment horizontal="center" shrinkToFit="0" vertical="bottom" wrapText="0"/>
    </xf>
    <xf borderId="1" fillId="0" fontId="9" numFmtId="0" xfId="0" applyAlignment="1" applyBorder="1" applyFont="1">
      <alignment horizontal="center" readingOrder="0"/>
    </xf>
    <xf borderId="1" fillId="0" fontId="14" numFmtId="164" xfId="0" applyAlignment="1" applyBorder="1" applyFont="1" applyNumberFormat="1">
      <alignment horizontal="center" readingOrder="0" shrinkToFit="0" vertical="bottom" wrapText="0"/>
    </xf>
    <xf borderId="2" fillId="2" fontId="15" numFmtId="0" xfId="0" applyAlignment="1" applyBorder="1" applyFont="1">
      <alignment horizontal="center" readingOrder="0" shrinkToFit="0" vertical="bottom" wrapText="0"/>
    </xf>
    <xf borderId="3" fillId="2" fontId="15" numFmtId="165" xfId="0" applyAlignment="1" applyBorder="1" applyFont="1" applyNumberFormat="1">
      <alignment horizontal="center" readingOrder="0" shrinkToFit="0" vertical="bottom" wrapText="0"/>
    </xf>
    <xf borderId="2" fillId="0" fontId="16" numFmtId="0" xfId="0" applyBorder="1" applyFont="1"/>
    <xf borderId="1" fillId="0" fontId="10" numFmtId="4" xfId="0" applyAlignment="1" applyBorder="1" applyFont="1" applyNumberFormat="1">
      <alignment horizontal="center" readingOrder="0" shrinkToFit="0" vertical="bottom" wrapText="0"/>
    </xf>
    <xf borderId="3" fillId="2" fontId="15" numFmtId="0" xfId="0" applyAlignment="1" applyBorder="1" applyFont="1">
      <alignment horizontal="center" readingOrder="0" shrinkToFit="0" vertical="bottom" wrapText="0"/>
    </xf>
    <xf borderId="1" fillId="0" fontId="16" numFmtId="0" xfId="0" applyBorder="1" applyFont="1"/>
    <xf borderId="1" fillId="0" fontId="10" numFmtId="0" xfId="0" applyAlignment="1" applyBorder="1" applyFont="1">
      <alignment horizontal="center" readingOrder="0" shrinkToFit="0" vertical="bottom" wrapText="0"/>
    </xf>
    <xf borderId="0" fillId="0" fontId="9" numFmtId="0" xfId="0" applyAlignment="1" applyFont="1">
      <alignment horizontal="center" readingOrder="0" shrinkToFit="0" vertical="center" wrapText="1"/>
    </xf>
    <xf borderId="0" fillId="0" fontId="11" numFmtId="0" xfId="0" applyFont="1"/>
    <xf borderId="4" fillId="3" fontId="10" numFmtId="0" xfId="0" applyAlignment="1" applyBorder="1" applyFill="1" applyFont="1">
      <alignment horizontal="center" readingOrder="0" shrinkToFit="0" vertical="bottom" wrapText="0"/>
    </xf>
    <xf borderId="5" fillId="3" fontId="10" numFmtId="0" xfId="0" applyAlignment="1" applyBorder="1" applyFont="1">
      <alignment horizontal="center" readingOrder="0" shrinkToFit="0" vertical="bottom" wrapText="0"/>
    </xf>
    <xf borderId="4" fillId="0" fontId="16" numFmtId="0" xfId="0" applyBorder="1" applyFont="1"/>
    <xf borderId="0" fillId="0" fontId="9" numFmtId="4" xfId="0" applyFont="1" applyNumberFormat="1"/>
    <xf borderId="0" fillId="3" fontId="10" numFmtId="0" xfId="0" applyAlignment="1" applyFont="1">
      <alignment horizontal="center" readingOrder="0" shrinkToFit="0" vertical="bottom" wrapText="0"/>
    </xf>
    <xf borderId="6" fillId="3" fontId="10" numFmtId="0" xfId="0" applyAlignment="1" applyBorder="1" applyFont="1">
      <alignment horizontal="center" readingOrder="0" shrinkToFit="0" vertical="bottom" wrapText="0"/>
    </xf>
    <xf borderId="0" fillId="0" fontId="13" numFmtId="0" xfId="0" applyAlignment="1" applyFont="1">
      <alignment horizontal="left" readingOrder="0" shrinkToFit="0" vertical="bottom" wrapText="0"/>
    </xf>
    <xf borderId="6" fillId="3" fontId="13" numFmtId="0" xfId="0" applyAlignment="1" applyBorder="1" applyFont="1">
      <alignment horizontal="center" readingOrder="0" shrinkToFit="0" vertical="bottom" wrapText="0"/>
    </xf>
    <xf borderId="6" fillId="0" fontId="13" numFmtId="0" xfId="0" applyAlignment="1" applyBorder="1" applyFont="1">
      <alignment horizontal="center" readingOrder="0" shrinkToFit="0" vertical="bottom" wrapText="0"/>
    </xf>
    <xf borderId="0" fillId="0" fontId="13" numFmtId="0" xfId="0" applyAlignment="1" applyFont="1">
      <alignment horizontal="center" shrinkToFit="0" vertical="bottom" wrapText="0"/>
    </xf>
    <xf borderId="0" fillId="0" fontId="10" numFmtId="165" xfId="0" applyAlignment="1" applyFont="1" applyNumberFormat="1">
      <alignment horizontal="center" readingOrder="0" shrinkToFit="0" vertical="bottom" wrapText="0"/>
    </xf>
    <xf borderId="0" fillId="0" fontId="13" numFmtId="165" xfId="0" applyAlignment="1" applyFont="1" applyNumberFormat="1">
      <alignment horizontal="center" readingOrder="0" shrinkToFit="0" vertical="bottom" wrapText="0"/>
    </xf>
    <xf borderId="0" fillId="0" fontId="13" numFmtId="4" xfId="0" applyAlignment="1" applyFont="1" applyNumberFormat="1">
      <alignment horizontal="center" readingOrder="0" shrinkToFit="0" vertical="bottom" wrapText="0"/>
    </xf>
    <xf borderId="0" fillId="0" fontId="13" numFmtId="166" xfId="0" applyAlignment="1" applyFont="1" applyNumberFormat="1">
      <alignment horizontal="center" readingOrder="0" shrinkToFit="0" vertical="bottom" wrapText="0"/>
    </xf>
    <xf borderId="0" fillId="3" fontId="10" numFmtId="164" xfId="0" applyAlignment="1" applyFont="1" applyNumberFormat="1">
      <alignment horizontal="center" readingOrder="0" shrinkToFit="0" vertical="bottom" wrapText="0"/>
    </xf>
    <xf borderId="0" fillId="3" fontId="9" numFmtId="4" xfId="0" applyAlignment="1" applyFont="1" applyNumberFormat="1">
      <alignment readingOrder="0"/>
    </xf>
    <xf borderId="0" fillId="0" fontId="17" numFmtId="0" xfId="0" applyAlignment="1" applyFont="1">
      <alignment horizontal="center"/>
    </xf>
    <xf borderId="0" fillId="0" fontId="9" numFmtId="0" xfId="0" applyAlignment="1" applyFont="1">
      <alignment horizontal="center"/>
    </xf>
    <xf borderId="7" fillId="4" fontId="10" numFmtId="0" xfId="0" applyAlignment="1" applyBorder="1" applyFill="1" applyFont="1">
      <alignment horizontal="center" readingOrder="0" shrinkToFit="0" vertical="bottom" wrapText="1"/>
    </xf>
    <xf borderId="8" fillId="4" fontId="10" numFmtId="164" xfId="0" applyAlignment="1" applyBorder="1" applyFont="1" applyNumberFormat="1">
      <alignment horizontal="center" readingOrder="0" shrinkToFit="0" vertical="bottom" wrapText="1"/>
    </xf>
    <xf borderId="8" fillId="4" fontId="10" numFmtId="0" xfId="0" applyAlignment="1" applyBorder="1" applyFont="1">
      <alignment horizontal="center" readingOrder="0" shrinkToFit="0" vertical="bottom" wrapText="1"/>
    </xf>
    <xf borderId="8" fillId="0" fontId="10" numFmtId="165" xfId="0" applyAlignment="1" applyBorder="1" applyFont="1" applyNumberFormat="1">
      <alignment horizontal="center" readingOrder="0" shrinkToFit="0" vertical="bottom" wrapText="1"/>
    </xf>
    <xf borderId="8" fillId="0" fontId="10" numFmtId="4" xfId="0" applyAlignment="1" applyBorder="1" applyFont="1" applyNumberFormat="1">
      <alignment horizontal="center" readingOrder="0" shrinkToFit="0" vertical="bottom" wrapText="1"/>
    </xf>
    <xf borderId="8" fillId="0" fontId="10" numFmtId="0" xfId="0" applyAlignment="1" applyBorder="1" applyFont="1">
      <alignment horizontal="center" readingOrder="0" shrinkToFit="0" vertical="bottom" wrapText="1"/>
    </xf>
    <xf borderId="8" fillId="0" fontId="10" numFmtId="0" xfId="0" applyAlignment="1" applyBorder="1" applyFont="1">
      <alignment horizontal="center" shrinkToFit="0" vertical="bottom" wrapText="1"/>
    </xf>
    <xf borderId="9" fillId="0" fontId="10" numFmtId="0" xfId="0" applyAlignment="1" applyBorder="1" applyFont="1">
      <alignment horizontal="center" shrinkToFit="0" vertical="bottom" wrapText="1"/>
    </xf>
    <xf borderId="10" fillId="0" fontId="18" numFmtId="0" xfId="0" applyAlignment="1" applyBorder="1" applyFont="1">
      <alignment horizontal="left" readingOrder="0" shrinkToFit="0" vertical="center" wrapText="1"/>
    </xf>
    <xf borderId="11" fillId="0" fontId="10" numFmtId="164" xfId="0" applyAlignment="1" applyBorder="1" applyFont="1" applyNumberFormat="1">
      <alignment horizontal="center" shrinkToFit="0" vertical="center" wrapText="1"/>
    </xf>
    <xf borderId="11" fillId="0" fontId="13" numFmtId="0" xfId="0" applyAlignment="1" applyBorder="1" applyFont="1">
      <alignment horizontal="center" readingOrder="0" shrinkToFit="0" vertical="center" wrapText="1"/>
    </xf>
    <xf borderId="11" fillId="0" fontId="13" numFmtId="165" xfId="0" applyAlignment="1" applyBorder="1" applyFont="1" applyNumberFormat="1">
      <alignment horizontal="center" shrinkToFit="0" vertical="center" wrapText="1"/>
    </xf>
    <xf borderId="11" fillId="0" fontId="13" numFmtId="4" xfId="0" applyAlignment="1" applyBorder="1" applyFont="1" applyNumberFormat="1">
      <alignment horizontal="center" shrinkToFit="0" vertical="center" wrapText="1"/>
    </xf>
    <xf borderId="11" fillId="0" fontId="13" numFmtId="0" xfId="0" applyAlignment="1" applyBorder="1" applyFont="1">
      <alignment horizontal="center" shrinkToFit="0" vertical="center" wrapText="1"/>
    </xf>
    <xf borderId="11" fillId="0" fontId="13" numFmtId="0" xfId="0" applyAlignment="1" applyBorder="1" applyFont="1">
      <alignment horizontal="left" shrinkToFit="0" vertical="center" wrapText="1"/>
    </xf>
    <xf borderId="11" fillId="0" fontId="13" numFmtId="0" xfId="0" applyAlignment="1" applyBorder="1" applyFont="1">
      <alignment horizontal="left" shrinkToFit="0" vertical="center" wrapText="1"/>
    </xf>
    <xf borderId="11" fillId="0" fontId="13" numFmtId="166" xfId="0" applyAlignment="1" applyBorder="1" applyFont="1" applyNumberFormat="1">
      <alignment horizontal="center" shrinkToFit="0" vertical="center" wrapText="1"/>
    </xf>
    <xf borderId="11" fillId="0" fontId="13" numFmtId="0" xfId="0" applyAlignment="1" applyBorder="1" applyFont="1">
      <alignment horizontal="center" shrinkToFit="0" vertical="center" wrapText="1"/>
    </xf>
    <xf borderId="12" fillId="0" fontId="13" numFmtId="0" xfId="0" applyAlignment="1" applyBorder="1" applyFont="1">
      <alignment horizontal="center" shrinkToFit="0" vertical="center" wrapText="1"/>
    </xf>
    <xf borderId="11" fillId="0" fontId="13" numFmtId="0" xfId="0" applyAlignment="1" applyBorder="1" applyFont="1">
      <alignment horizontal="left" readingOrder="0" shrinkToFit="0" vertical="center" wrapText="1"/>
    </xf>
    <xf borderId="10" fillId="0" fontId="19" numFmtId="0" xfId="0" applyAlignment="1" applyBorder="1" applyFont="1">
      <alignment horizontal="left" shrinkToFit="0" vertical="center" wrapText="1"/>
    </xf>
    <xf borderId="11" fillId="0" fontId="13" numFmtId="0" xfId="0" applyAlignment="1" applyBorder="1" applyFont="1">
      <alignment horizontal="center" readingOrder="0" shrinkToFit="0" vertical="center" wrapText="1"/>
    </xf>
    <xf borderId="11" fillId="0" fontId="13" numFmtId="165" xfId="0" applyAlignment="1" applyBorder="1" applyFont="1" applyNumberFormat="1">
      <alignment horizontal="center" readingOrder="0" shrinkToFit="0" vertical="center" wrapText="1"/>
    </xf>
    <xf borderId="11" fillId="0" fontId="13" numFmtId="166" xfId="0" applyAlignment="1" applyBorder="1" applyFont="1" applyNumberFormat="1">
      <alignment horizontal="center" readingOrder="0" shrinkToFit="0" vertical="center" wrapText="1"/>
    </xf>
    <xf borderId="12" fillId="0" fontId="13" numFmtId="0" xfId="0" applyAlignment="1" applyBorder="1" applyFont="1">
      <alignment horizontal="center" readingOrder="0" shrinkToFit="0" vertical="center" wrapText="1"/>
    </xf>
    <xf borderId="10" fillId="0" fontId="20" numFmtId="0" xfId="0" applyAlignment="1" applyBorder="1" applyFont="1">
      <alignment horizontal="left" readingOrder="0" shrinkToFit="0" vertical="center" wrapText="1"/>
    </xf>
    <xf borderId="12" fillId="0" fontId="13" numFmtId="0" xfId="0" applyAlignment="1" applyBorder="1" applyFont="1">
      <alignment horizontal="center" shrinkToFit="0" vertical="center" wrapText="1"/>
    </xf>
    <xf borderId="11" fillId="0" fontId="10" numFmtId="164" xfId="0" applyAlignment="1" applyBorder="1" applyFont="1" applyNumberFormat="1">
      <alignment horizontal="center" readingOrder="0" shrinkToFit="0" vertical="center" wrapText="1"/>
    </xf>
    <xf borderId="11" fillId="0" fontId="13" numFmtId="165" xfId="0" applyAlignment="1" applyBorder="1" applyFont="1" applyNumberFormat="1">
      <alignment horizontal="center" readingOrder="0" shrinkToFit="0" vertical="center" wrapText="1"/>
    </xf>
    <xf borderId="11" fillId="0" fontId="13" numFmtId="4" xfId="0" applyAlignment="1" applyBorder="1" applyFont="1" applyNumberFormat="1">
      <alignment horizontal="center" readingOrder="0" shrinkToFit="0" vertical="center" wrapText="1"/>
    </xf>
    <xf borderId="11" fillId="0" fontId="13" numFmtId="0" xfId="0" applyAlignment="1" applyBorder="1" applyFont="1">
      <alignment horizontal="left" readingOrder="0" shrinkToFit="0" vertical="center" wrapText="1"/>
    </xf>
    <xf borderId="11" fillId="0" fontId="13" numFmtId="167" xfId="0" applyAlignment="1" applyBorder="1" applyFont="1" applyNumberFormat="1">
      <alignment horizontal="left" readingOrder="0" shrinkToFit="0" vertical="center" wrapText="1"/>
    </xf>
    <xf borderId="10" fillId="0" fontId="21" numFmtId="0" xfId="0" applyAlignment="1" applyBorder="1" applyFont="1">
      <alignment horizontal="left" shrinkToFit="0" vertical="center" wrapText="1"/>
    </xf>
    <xf borderId="11" fillId="0" fontId="13" numFmtId="4" xfId="0" applyAlignment="1" applyBorder="1" applyFont="1" applyNumberFormat="1">
      <alignment horizontal="center" readingOrder="0" shrinkToFit="0" vertical="center" wrapText="1"/>
    </xf>
    <xf borderId="11" fillId="0" fontId="13" numFmtId="168" xfId="0" applyAlignment="1" applyBorder="1" applyFont="1" applyNumberFormat="1">
      <alignment horizontal="center" shrinkToFit="0" vertical="center" wrapText="1"/>
    </xf>
    <xf borderId="10" fillId="0" fontId="13" numFmtId="0" xfId="0" applyAlignment="1" applyBorder="1" applyFont="1">
      <alignment horizontal="left" readingOrder="0" shrinkToFit="0" vertical="center" wrapText="1"/>
    </xf>
    <xf borderId="10" fillId="0" fontId="13" numFmtId="0" xfId="0" applyAlignment="1" applyBorder="1" applyFont="1">
      <alignment horizontal="left" shrinkToFit="0" vertical="center" wrapText="1"/>
    </xf>
    <xf borderId="10" fillId="0" fontId="13" numFmtId="0" xfId="0" applyAlignment="1" applyBorder="1" applyFont="1">
      <alignment horizontal="left" shrinkToFit="0" vertical="center" wrapText="1"/>
    </xf>
    <xf borderId="12" fillId="0" fontId="13" numFmtId="165" xfId="0" applyAlignment="1" applyBorder="1" applyFont="1" applyNumberFormat="1">
      <alignment horizontal="center" shrinkToFit="0" vertical="center" wrapText="1"/>
    </xf>
    <xf borderId="11" fillId="0" fontId="13" numFmtId="165" xfId="0" applyAlignment="1" applyBorder="1" applyFont="1" applyNumberFormat="1">
      <alignment horizontal="left" shrinkToFit="0" vertical="center" wrapText="1"/>
    </xf>
    <xf borderId="10" fillId="0" fontId="13" numFmtId="0" xfId="0" applyAlignment="1" applyBorder="1" applyFont="1">
      <alignment horizontal="left" readingOrder="0" shrinkToFit="0" vertical="center" wrapText="1"/>
    </xf>
    <xf borderId="11" fillId="0" fontId="13" numFmtId="0" xfId="0" applyAlignment="1" applyBorder="1" applyFont="1">
      <alignment horizontal="center" readingOrder="0" vertical="center"/>
    </xf>
    <xf borderId="11" fillId="0" fontId="13" numFmtId="0" xfId="0" applyAlignment="1" applyBorder="1" applyFont="1">
      <alignment horizontal="center" readingOrder="0" vertical="center"/>
    </xf>
    <xf borderId="11" fillId="0" fontId="13" numFmtId="0" xfId="0" applyAlignment="1" applyBorder="1" applyFont="1">
      <alignment horizontal="center" shrinkToFit="0" vertical="center" wrapText="1"/>
    </xf>
    <xf borderId="11" fillId="0" fontId="13" numFmtId="168" xfId="0" applyAlignment="1" applyBorder="1" applyFont="1" applyNumberFormat="1">
      <alignment horizontal="center" readingOrder="0" shrinkToFit="0" vertical="center" wrapText="1"/>
    </xf>
    <xf borderId="13" fillId="0" fontId="13" numFmtId="0" xfId="0" applyAlignment="1" applyBorder="1" applyFont="1">
      <alignment horizontal="center" shrinkToFit="0" vertical="center" wrapText="1"/>
    </xf>
    <xf borderId="0" fillId="4" fontId="10" numFmtId="0" xfId="0" applyAlignment="1" applyFont="1">
      <alignment horizontal="center" readingOrder="0" shrinkToFit="0" vertical="bottom" wrapText="1"/>
    </xf>
    <xf borderId="0" fillId="5" fontId="10" numFmtId="164" xfId="0" applyAlignment="1" applyFill="1" applyFont="1" applyNumberFormat="1">
      <alignment horizontal="center" readingOrder="0" shrinkToFit="0" vertical="bottom" wrapText="1"/>
    </xf>
    <xf borderId="0" fillId="3" fontId="10" numFmtId="165" xfId="0" applyAlignment="1" applyFont="1" applyNumberFormat="1">
      <alignment horizontal="center" readingOrder="0" shrinkToFit="0" vertical="bottom" wrapText="1"/>
    </xf>
    <xf borderId="0" fillId="5" fontId="10" numFmtId="165" xfId="0" applyAlignment="1" applyFont="1" applyNumberFormat="1">
      <alignment horizontal="center" readingOrder="0" shrinkToFit="0" vertical="bottom" wrapText="1"/>
    </xf>
    <xf borderId="0" fillId="5" fontId="10" numFmtId="4" xfId="0" applyAlignment="1" applyFont="1" applyNumberFormat="1">
      <alignment horizontal="center" readingOrder="0" shrinkToFit="0" vertical="bottom" wrapText="1"/>
    </xf>
    <xf borderId="0" fillId="0" fontId="10" numFmtId="3" xfId="0" applyAlignment="1" applyFont="1" applyNumberFormat="1">
      <alignment horizontal="center" readingOrder="0" shrinkToFit="0" vertical="bottom" wrapText="1"/>
    </xf>
    <xf borderId="0" fillId="0" fontId="10" numFmtId="169" xfId="0" applyAlignment="1" applyFont="1" applyNumberFormat="1">
      <alignment horizontal="center" readingOrder="0" shrinkToFit="0" vertical="bottom" wrapText="1"/>
    </xf>
    <xf borderId="0" fillId="5" fontId="10" numFmtId="0" xfId="0" applyAlignment="1" applyFont="1">
      <alignment horizontal="center" readingOrder="0" shrinkToFit="0" vertical="bottom" wrapText="1"/>
    </xf>
    <xf borderId="0" fillId="3"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0" fontId="10" numFmtId="0" xfId="0" applyAlignment="1" applyFont="1">
      <alignment horizontal="center" shrinkToFit="0" vertical="bottom" wrapText="1"/>
    </xf>
    <xf borderId="0" fillId="6" fontId="10" numFmtId="0" xfId="0" applyAlignment="1" applyFill="1" applyFont="1">
      <alignment horizontal="center" readingOrder="0" shrinkToFit="0" vertical="bottom" wrapText="1"/>
    </xf>
    <xf borderId="0" fillId="4" fontId="10" numFmtId="0" xfId="0" applyAlignment="1" applyFont="1">
      <alignment horizontal="center" shrinkToFit="0" vertical="bottom" wrapText="1"/>
    </xf>
    <xf borderId="0" fillId="7" fontId="10" numFmtId="0" xfId="0" applyAlignment="1" applyFill="1" applyFont="1">
      <alignment horizontal="center" shrinkToFit="0" vertical="bottom" wrapText="1"/>
    </xf>
    <xf borderId="0" fillId="0" fontId="10" numFmtId="0" xfId="0" applyAlignment="1" applyFont="1">
      <alignment horizontal="center" shrinkToFit="0" vertical="bottom" wrapText="1"/>
    </xf>
    <xf borderId="0" fillId="0" fontId="22" numFmtId="0" xfId="0" applyAlignment="1" applyFont="1">
      <alignment horizontal="left" readingOrder="0" shrinkToFit="0" vertical="center" wrapText="1"/>
    </xf>
    <xf borderId="0" fillId="4" fontId="13" numFmtId="164" xfId="0" applyAlignment="1" applyFont="1" applyNumberFormat="1">
      <alignment horizontal="center" shrinkToFit="0" vertical="center" wrapText="1"/>
    </xf>
    <xf borderId="0" fillId="0" fontId="13" numFmtId="0" xfId="0" applyAlignment="1" applyFont="1">
      <alignment horizontal="center" readingOrder="0" vertical="center"/>
    </xf>
    <xf borderId="0" fillId="3" fontId="13" numFmtId="165" xfId="0" applyAlignment="1" applyFont="1" applyNumberFormat="1">
      <alignment horizontal="center" readingOrder="0" shrinkToFit="0" vertical="center" wrapText="1"/>
    </xf>
    <xf borderId="0" fillId="4" fontId="13" numFmtId="165" xfId="0" applyAlignment="1" applyFont="1" applyNumberFormat="1">
      <alignment horizontal="center" shrinkToFit="0" vertical="center" wrapText="1"/>
    </xf>
    <xf borderId="0" fillId="4" fontId="13" numFmtId="4" xfId="0" applyAlignment="1" applyFont="1" applyNumberFormat="1">
      <alignment horizontal="center" readingOrder="0" shrinkToFit="0" vertical="center" wrapText="1"/>
    </xf>
    <xf borderId="0" fillId="0" fontId="13" numFmtId="3" xfId="0" applyAlignment="1" applyFont="1" applyNumberFormat="1">
      <alignment horizontal="center" readingOrder="0" shrinkToFit="0" vertical="center" wrapText="1"/>
    </xf>
    <xf borderId="0" fillId="0" fontId="13" numFmtId="169" xfId="0" applyAlignment="1" applyFont="1" applyNumberFormat="1">
      <alignment horizontal="center" readingOrder="0" shrinkToFit="0" vertical="center" wrapText="1"/>
    </xf>
    <xf borderId="0" fillId="4" fontId="13" numFmtId="0" xfId="0" applyAlignment="1" applyFont="1">
      <alignment horizontal="center" shrinkToFit="0" vertical="center" wrapText="1"/>
    </xf>
    <xf borderId="0" fillId="3" fontId="13"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shrinkToFit="0" vertical="center" wrapText="1"/>
    </xf>
    <xf borderId="0" fillId="0" fontId="13" numFmtId="0" xfId="0" applyAlignment="1" applyFont="1">
      <alignment horizontal="left" readingOrder="0" shrinkToFit="0" vertical="center" wrapText="1"/>
    </xf>
    <xf borderId="0" fillId="0" fontId="13" numFmtId="166" xfId="0" applyAlignment="1" applyFont="1" applyNumberFormat="1">
      <alignment horizontal="center" readingOrder="0" shrinkToFit="0" vertical="center" wrapText="1"/>
    </xf>
    <xf borderId="0" fillId="0" fontId="13" numFmtId="0" xfId="0" applyAlignment="1" applyFont="1">
      <alignment horizontal="left" shrinkToFit="0" vertical="center" wrapText="0"/>
    </xf>
    <xf borderId="0" fillId="0" fontId="13"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4" fontId="13" numFmtId="165" xfId="0" applyAlignment="1" applyFont="1" applyNumberFormat="1">
      <alignment horizontal="center" readingOrder="0" shrinkToFit="0" vertical="center" wrapText="1"/>
    </xf>
    <xf borderId="0" fillId="4" fontId="13" numFmtId="4" xfId="0" applyAlignment="1" applyFont="1" applyNumberFormat="1">
      <alignment horizontal="center" shrinkToFit="0" vertical="center" wrapText="1"/>
    </xf>
    <xf borderId="0" fillId="4" fontId="13" numFmtId="0" xfId="0" applyAlignment="1" applyFont="1">
      <alignment horizontal="center" readingOrder="0" shrinkToFit="0" vertical="center" wrapText="1"/>
    </xf>
    <xf borderId="0" fillId="3" fontId="13" numFmtId="0" xfId="0" applyAlignment="1" applyFont="1">
      <alignment horizontal="center" readingOrder="0" shrinkToFit="0" vertical="center" wrapText="1"/>
    </xf>
    <xf borderId="0" fillId="0" fontId="13" numFmtId="0" xfId="0" applyAlignment="1" applyFont="1">
      <alignment shrinkToFit="0" vertical="center" wrapText="1"/>
    </xf>
    <xf borderId="0" fillId="0" fontId="23" numFmtId="0" xfId="0" applyAlignment="1" applyFont="1">
      <alignment horizontal="left" shrinkToFit="0" vertical="center" wrapText="1"/>
    </xf>
    <xf borderId="0" fillId="0" fontId="13" numFmtId="0" xfId="0" applyAlignment="1" applyFont="1">
      <alignment horizontal="center" readingOrder="0" vertical="center"/>
    </xf>
    <xf borderId="0" fillId="3" fontId="13" numFmtId="165" xfId="0" applyAlignment="1" applyFont="1" applyNumberForma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shrinkToFit="0" vertical="center" wrapText="1"/>
    </xf>
    <xf borderId="0" fillId="0" fontId="13" numFmtId="166" xfId="0" applyAlignment="1" applyFont="1" applyNumberFormat="1">
      <alignment horizontal="center" shrinkToFit="0" vertical="center" wrapText="1"/>
    </xf>
    <xf borderId="0" fillId="3" fontId="13" numFmtId="0" xfId="0" applyAlignment="1" applyFont="1">
      <alignment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0"/>
    </xf>
    <xf borderId="0" fillId="4" fontId="13" numFmtId="164" xfId="0" applyAlignment="1" applyFont="1" applyNumberFormat="1">
      <alignment horizontal="center" readingOrder="0" shrinkToFit="0" vertical="center" wrapText="1"/>
    </xf>
    <xf borderId="0" fillId="3" fontId="13" numFmtId="165" xfId="0" applyAlignment="1" applyFont="1" applyNumberFormat="1">
      <alignment horizontal="center" readingOrder="0" shrinkToFit="0" vertical="center" wrapText="1"/>
    </xf>
    <xf borderId="0" fillId="0" fontId="24" numFmtId="0" xfId="0" applyAlignment="1" applyFont="1">
      <alignment horizontal="left" shrinkToFit="0" vertical="center" wrapText="1"/>
    </xf>
    <xf borderId="0" fillId="0" fontId="13" numFmtId="3" xfId="0" applyAlignment="1" applyFont="1" applyNumberFormat="1">
      <alignment horizontal="center" shrinkToFit="0" vertical="center" wrapText="1"/>
    </xf>
    <xf borderId="0" fillId="0" fontId="13" numFmtId="167" xfId="0" applyAlignment="1" applyFont="1" applyNumberFormat="1">
      <alignment horizontal="left" readingOrder="0" shrinkToFit="0" vertical="center" wrapText="1"/>
    </xf>
    <xf borderId="0" fillId="0" fontId="13" numFmtId="167" xfId="0" applyAlignment="1" applyFont="1" applyNumberFormat="1">
      <alignment horizontal="left" shrinkToFit="0" vertical="center" wrapText="0"/>
    </xf>
    <xf borderId="0" fillId="0" fontId="13" numFmtId="169" xfId="0" applyAlignment="1" applyFont="1" applyNumberFormat="1">
      <alignment horizontal="center" shrinkToFit="0" vertical="center" wrapText="1"/>
    </xf>
    <xf borderId="0" fillId="0" fontId="25" numFmtId="0" xfId="0" applyAlignment="1" applyFont="1">
      <alignment horizontal="left" readingOrder="0" shrinkToFit="0" vertical="center" wrapText="1"/>
    </xf>
    <xf borderId="0" fillId="0" fontId="13" numFmtId="168" xfId="0" applyAlignment="1" applyFont="1" applyNumberFormat="1">
      <alignment horizontal="center" shrinkToFit="0" vertical="center" wrapText="1"/>
    </xf>
    <xf borderId="0" fillId="4" fontId="13" numFmtId="4" xfId="0" applyAlignment="1" applyFont="1" applyNumberFormat="1">
      <alignment horizontal="center" readingOrder="0" shrinkToFit="0" vertical="center" wrapText="1"/>
    </xf>
    <xf borderId="0" fillId="0" fontId="13" numFmtId="168" xfId="0" applyAlignment="1" applyFont="1" applyNumberFormat="1">
      <alignment horizontal="center" readingOrder="0" shrinkToFit="0" vertical="center" wrapText="1"/>
    </xf>
    <xf borderId="0" fillId="0" fontId="13" numFmtId="165" xfId="0" applyAlignment="1" applyFont="1" applyNumberFormat="1">
      <alignment horizontal="center" shrinkToFit="0" vertical="center" wrapText="1"/>
    </xf>
    <xf borderId="0" fillId="0" fontId="13" numFmtId="169" xfId="0" applyAlignment="1" applyFont="1" applyNumberFormat="1">
      <alignment shrinkToFit="0" vertical="center" wrapText="1"/>
    </xf>
    <xf borderId="0" fillId="4" fontId="13" numFmtId="0" xfId="0" applyAlignment="1" applyFont="1">
      <alignment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center" shrinkToFit="0" vertical="center" wrapText="1"/>
    </xf>
    <xf borderId="0" fillId="0" fontId="13" numFmtId="3" xfId="0" applyAlignment="1" applyFont="1" applyNumberFormat="1">
      <alignment readingOrder="0" shrinkToFit="0" vertical="center" wrapText="1"/>
    </xf>
    <xf borderId="0" fillId="0" fontId="13" numFmtId="3" xfId="0" applyAlignment="1" applyFont="1" applyNumberFormat="1">
      <alignment shrinkToFit="0" vertical="center" wrapText="1"/>
    </xf>
    <xf borderId="0" fillId="0" fontId="26" numFmtId="0" xfId="0" applyAlignment="1" applyFont="1">
      <alignment readingOrder="0"/>
    </xf>
    <xf borderId="0" fillId="0" fontId="27" numFmtId="0" xfId="0" applyAlignment="1" applyFont="1">
      <alignment readingOrder="0"/>
    </xf>
    <xf borderId="0" fillId="0" fontId="2"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0" fontId="11" numFmtId="0" xfId="0" applyAlignment="1" applyFont="1">
      <alignment horizontal="center"/>
    </xf>
    <xf borderId="0" fillId="4" fontId="11" numFmtId="0" xfId="0" applyAlignment="1" applyFont="1">
      <alignment horizontal="center" readingOrder="0"/>
    </xf>
    <xf borderId="0" fillId="4" fontId="11" numFmtId="0" xfId="0" applyAlignment="1" applyFont="1">
      <alignment horizontal="center"/>
    </xf>
    <xf borderId="0" fillId="0" fontId="11" numFmtId="0" xfId="0" applyAlignment="1" applyFont="1">
      <alignment horizontal="center"/>
    </xf>
    <xf borderId="0" fillId="3" fontId="9" numFmtId="0" xfId="0" applyAlignment="1" applyFont="1">
      <alignment readingOrder="0"/>
    </xf>
    <xf borderId="0" fillId="5" fontId="9" numFmtId="0" xfId="0" applyFont="1"/>
    <xf borderId="0" fillId="0" fontId="9" numFmtId="0" xfId="0" applyAlignment="1" applyFont="1">
      <alignment readingOrder="0"/>
    </xf>
    <xf borderId="0" fillId="5" fontId="9" numFmtId="0" xfId="0" applyAlignment="1" applyFont="1">
      <alignment readingOrder="0"/>
    </xf>
    <xf borderId="0" fillId="0" fontId="9" numFmtId="0" xfId="0" applyFont="1"/>
    <xf borderId="0" fillId="4" fontId="9" numFmtId="46" xfId="0" applyAlignment="1" applyFont="1" applyNumberFormat="1">
      <alignment readingOrder="0"/>
    </xf>
    <xf borderId="0" fillId="0" fontId="9" numFmtId="46" xfId="0" applyAlignment="1" applyFont="1" applyNumberFormat="1">
      <alignment readingOrder="0"/>
    </xf>
    <xf borderId="0" fillId="3" fontId="9" numFmtId="0" xfId="0" applyFont="1"/>
    <xf borderId="0" fillId="0" fontId="9" numFmtId="46" xfId="0" applyFont="1" applyNumberFormat="1"/>
    <xf borderId="0" fillId="6" fontId="11" numFmtId="0" xfId="0" applyAlignment="1" applyFont="1">
      <alignment readingOrder="0"/>
    </xf>
    <xf borderId="0" fillId="4" fontId="11" numFmtId="0" xfId="0" applyAlignment="1" applyFont="1">
      <alignment readingOrder="0"/>
    </xf>
    <xf borderId="0" fillId="0" fontId="11" numFmtId="0" xfId="0" applyFont="1"/>
    <xf borderId="0" fillId="0" fontId="9" numFmtId="0" xfId="0" applyFont="1"/>
    <xf borderId="0" fillId="2" fontId="28" numFmtId="0" xfId="0" applyAlignment="1" applyFont="1">
      <alignment readingOrder="0" shrinkToFit="0" vertical="bottom" wrapText="1"/>
    </xf>
    <xf borderId="0" fillId="2" fontId="29" numFmtId="170" xfId="0" applyAlignment="1" applyFont="1" applyNumberFormat="1">
      <alignment horizontal="center" readingOrder="0" shrinkToFit="0" vertical="bottom" wrapText="1"/>
    </xf>
    <xf borderId="0" fillId="2" fontId="29" numFmtId="2" xfId="0" applyAlignment="1" applyFont="1" applyNumberFormat="1">
      <alignment horizontal="center" shrinkToFit="0" vertical="bottom" wrapText="1"/>
    </xf>
    <xf borderId="0" fillId="8" fontId="30" numFmtId="2" xfId="0" applyAlignment="1" applyFill="1" applyFont="1" applyNumberFormat="1">
      <alignment horizontal="left" readingOrder="0" shrinkToFit="0" vertical="center" wrapText="1"/>
    </xf>
    <xf borderId="0" fillId="8" fontId="30" numFmtId="2" xfId="0" applyAlignment="1" applyFont="1" applyNumberFormat="1">
      <alignment horizontal="right" readingOrder="0" shrinkToFit="0" vertical="center" wrapText="1"/>
    </xf>
    <xf borderId="0" fillId="2" fontId="2" numFmtId="2" xfId="0" applyAlignment="1" applyFont="1" applyNumberFormat="1">
      <alignment horizontal="left" readingOrder="0" shrinkToFit="0" vertical="center" wrapText="1"/>
    </xf>
    <xf borderId="0" fillId="0" fontId="28" numFmtId="0" xfId="0" applyAlignment="1" applyFont="1">
      <alignment readingOrder="0" shrinkToFit="0" vertical="bottom" wrapText="1"/>
    </xf>
    <xf borderId="0" fillId="0" fontId="29" numFmtId="170" xfId="0" applyAlignment="1" applyFont="1" applyNumberFormat="1">
      <alignment horizontal="center" readingOrder="0" shrinkToFit="0" vertical="bottom" wrapText="1"/>
    </xf>
    <xf borderId="0" fillId="0" fontId="29" numFmtId="2" xfId="0" applyAlignment="1" applyFont="1" applyNumberFormat="1">
      <alignment horizontal="center" shrinkToFit="0" vertical="bottom" wrapText="1"/>
    </xf>
    <xf borderId="0" fillId="8" fontId="29" numFmtId="2" xfId="0" applyAlignment="1" applyFont="1" applyNumberFormat="1">
      <alignment horizontal="center" shrinkToFit="0" vertical="bottom" wrapText="1"/>
    </xf>
    <xf borderId="0" fillId="2" fontId="2" numFmtId="2" xfId="0" applyAlignment="1" applyFont="1" applyNumberFormat="1">
      <alignment horizontal="left" shrinkToFit="0" vertical="bottom" wrapText="1"/>
    </xf>
    <xf borderId="0" fillId="2" fontId="29" numFmtId="0" xfId="0" applyAlignment="1" applyFont="1">
      <alignment readingOrder="0" shrinkToFit="0" vertical="bottom" wrapText="1"/>
    </xf>
    <xf borderId="0" fillId="0" fontId="29" numFmtId="0" xfId="0" applyAlignment="1" applyFont="1">
      <alignment readingOrder="0" shrinkToFit="0" vertical="bottom" wrapText="1"/>
    </xf>
    <xf borderId="14" fillId="0" fontId="29" numFmtId="0" xfId="0" applyAlignment="1" applyBorder="1" applyFont="1">
      <alignment readingOrder="0" shrinkToFit="0" vertical="bottom" wrapText="1"/>
    </xf>
    <xf borderId="14" fillId="7" fontId="29" numFmtId="0" xfId="0" applyAlignment="1" applyBorder="1" applyFont="1">
      <alignment horizontal="center" readingOrder="0" shrinkToFit="0" vertical="bottom" wrapText="1"/>
    </xf>
    <xf borderId="14" fillId="4" fontId="29" numFmtId="2" xfId="0" applyAlignment="1" applyBorder="1" applyFont="1" applyNumberFormat="1">
      <alignment horizontal="center" shrinkToFit="0" vertical="bottom" wrapText="1"/>
    </xf>
    <xf borderId="14" fillId="5" fontId="29" numFmtId="2" xfId="0" applyAlignment="1" applyBorder="1" applyFont="1" applyNumberFormat="1">
      <alignment horizontal="center" shrinkToFit="0" vertical="bottom" wrapText="1"/>
    </xf>
    <xf borderId="15" fillId="0" fontId="29" numFmtId="0" xfId="0" applyAlignment="1" applyBorder="1" applyFont="1">
      <alignment readingOrder="0" shrinkToFit="0" vertical="bottom" wrapText="1"/>
    </xf>
    <xf borderId="15" fillId="7" fontId="29" numFmtId="0" xfId="0" applyAlignment="1" applyBorder="1" applyFont="1">
      <alignment horizontal="center" readingOrder="0" shrinkToFit="0" vertical="bottom" wrapText="1"/>
    </xf>
    <xf borderId="15" fillId="4" fontId="29" numFmtId="2" xfId="0" applyAlignment="1" applyBorder="1" applyFont="1" applyNumberFormat="1">
      <alignment horizontal="center" shrinkToFit="0" vertical="bottom" wrapText="1"/>
    </xf>
    <xf borderId="15" fillId="5" fontId="29" numFmtId="2" xfId="0" applyAlignment="1" applyBorder="1" applyFont="1" applyNumberFormat="1">
      <alignment horizontal="center" shrinkToFit="0" vertical="bottom" wrapText="1"/>
    </xf>
    <xf borderId="0" fillId="8" fontId="30" numFmtId="0" xfId="0" applyAlignment="1" applyFont="1">
      <alignment horizontal="left" readingOrder="0" shrinkToFit="0" vertical="center" wrapText="1"/>
    </xf>
    <xf borderId="0" fillId="4" fontId="29" numFmtId="0" xfId="0" applyAlignment="1" applyFont="1">
      <alignment horizontal="center" shrinkToFit="0" vertical="bottom" wrapText="1"/>
    </xf>
    <xf borderId="15" fillId="8" fontId="29" numFmtId="2" xfId="0" applyAlignment="1" applyBorder="1" applyFont="1" applyNumberFormat="1">
      <alignment horizontal="center" shrinkToFit="0" vertical="bottom" wrapText="1"/>
    </xf>
    <xf borderId="15" fillId="9" fontId="29" numFmtId="2" xfId="0" applyAlignment="1" applyBorder="1" applyFill="1" applyFont="1" applyNumberFormat="1">
      <alignment horizontal="center" shrinkToFit="0" vertical="bottom" wrapText="1"/>
    </xf>
    <xf borderId="0" fillId="8" fontId="2" numFmtId="2" xfId="0" applyAlignment="1" applyFont="1" applyNumberFormat="1">
      <alignment horizontal="left" shrinkToFit="0" vertical="bottom" wrapText="1"/>
    </xf>
    <xf borderId="0" fillId="0" fontId="2" numFmtId="170" xfId="0" applyAlignment="1" applyFont="1" applyNumberFormat="1">
      <alignment horizontal="center" shrinkToFit="0" wrapText="1"/>
    </xf>
    <xf borderId="0" fillId="6" fontId="29" numFmtId="0" xfId="0" applyAlignment="1" applyFont="1">
      <alignment horizontal="center" readingOrder="0" shrinkToFit="0" vertical="bottom" wrapText="1"/>
    </xf>
    <xf borderId="0" fillId="2" fontId="2" numFmtId="0" xfId="0" applyAlignment="1" applyFont="1">
      <alignment horizontal="left" readingOrder="0" shrinkToFit="0" vertical="bottom" wrapText="1"/>
    </xf>
    <xf borderId="0" fillId="2" fontId="2" numFmtId="0" xfId="0" applyAlignment="1" applyFont="1">
      <alignment readingOrder="0" shrinkToFit="0" wrapText="1"/>
    </xf>
    <xf borderId="0" fillId="0" fontId="2" numFmtId="0" xfId="0" applyAlignment="1" applyFont="1">
      <alignment readingOrder="0" shrinkToFit="0" wrapText="1"/>
    </xf>
    <xf borderId="0" fillId="5" fontId="28" numFmtId="1" xfId="0" applyAlignment="1" applyFont="1" applyNumberFormat="1">
      <alignment horizontal="center" shrinkToFit="0" vertical="bottom" wrapText="1"/>
    </xf>
    <xf borderId="0" fillId="2" fontId="2" numFmtId="170" xfId="0" applyAlignment="1" applyFont="1" applyNumberFormat="1">
      <alignment horizontal="center" readingOrder="0" shrinkToFit="0" wrapText="1"/>
    </xf>
    <xf borderId="0" fillId="2" fontId="29" numFmtId="2" xfId="0" applyAlignment="1" applyFont="1" applyNumberFormat="1">
      <alignment horizontal="center" readingOrder="0" shrinkToFit="0" vertical="bottom" wrapText="1"/>
    </xf>
    <xf borderId="0" fillId="8" fontId="29" numFmtId="2" xfId="0" applyAlignment="1" applyFont="1" applyNumberFormat="1">
      <alignment horizontal="center" readingOrder="0" shrinkToFit="0" vertical="bottom" wrapText="1"/>
    </xf>
    <xf borderId="0" fillId="8" fontId="29" numFmtId="1" xfId="0" applyAlignment="1" applyFont="1" applyNumberFormat="1">
      <alignment horizontal="center" shrinkToFit="0" vertical="bottom" wrapText="1"/>
    </xf>
    <xf borderId="0" fillId="2" fontId="2" numFmtId="1" xfId="0" applyAlignment="1" applyFont="1" applyNumberFormat="1">
      <alignment horizontal="left" shrinkToFit="0" vertical="bottom" wrapText="1"/>
    </xf>
    <xf borderId="0" fillId="2" fontId="6" numFmtId="0" xfId="0" applyAlignment="1" applyFont="1">
      <alignment readingOrder="0" shrinkToFit="0" wrapText="1"/>
    </xf>
    <xf borderId="0" fillId="8" fontId="2" numFmtId="0" xfId="0" applyAlignment="1" applyFont="1">
      <alignment horizontal="center" shrinkToFit="0" wrapText="1"/>
    </xf>
    <xf borderId="0" fillId="2" fontId="2" numFmtId="0" xfId="0" applyAlignment="1" applyFont="1">
      <alignment horizontal="left" shrinkToFit="0" wrapText="1"/>
    </xf>
    <xf borderId="0" fillId="0" fontId="28" numFmtId="170" xfId="0" applyAlignment="1" applyFont="1" applyNumberFormat="1">
      <alignment horizontal="center" shrinkToFit="0" vertical="bottom" wrapText="1"/>
    </xf>
    <xf borderId="0" fillId="8" fontId="28" numFmtId="1" xfId="0" applyAlignment="1" applyFont="1" applyNumberFormat="1">
      <alignment horizontal="center" shrinkToFit="0" vertical="bottom" wrapText="1"/>
    </xf>
    <xf borderId="0" fillId="0" fontId="28" numFmtId="2" xfId="0" applyAlignment="1" applyFont="1" applyNumberFormat="1">
      <alignment horizontal="center" shrinkToFit="0" vertical="bottom" wrapText="1"/>
    </xf>
    <xf borderId="0" fillId="2" fontId="28" numFmtId="2" xfId="0" applyAlignment="1" applyFont="1" applyNumberFormat="1">
      <alignment horizontal="center" shrinkToFit="0" vertical="bottom" wrapText="1"/>
    </xf>
    <xf borderId="0" fillId="8" fontId="28" numFmtId="2" xfId="0" applyAlignment="1" applyFont="1" applyNumberFormat="1">
      <alignment horizontal="center" shrinkToFit="0" vertical="bottom" wrapText="1"/>
    </xf>
    <xf borderId="0" fillId="2" fontId="2" numFmtId="170" xfId="0" applyAlignment="1" applyFont="1" applyNumberFormat="1">
      <alignment horizontal="center" shrinkToFit="0" wrapText="1"/>
    </xf>
  </cellXfs>
  <cellStyles count="1">
    <cellStyle xfId="0" name="Normal" builtinId="0"/>
  </cellStyles>
  <dxfs count="9">
    <dxf>
      <font/>
      <fill>
        <patternFill patternType="solid">
          <fgColor rgb="FFCFE2F3"/>
          <bgColor rgb="FFCFE2F3"/>
        </patternFill>
      </fill>
      <border/>
    </dxf>
    <dxf>
      <font/>
      <fill>
        <patternFill patternType="solid">
          <fgColor rgb="FFFFF2CC"/>
          <bgColor rgb="FFFFF2CC"/>
        </patternFill>
      </fill>
      <border/>
    </dxf>
    <dxf>
      <font/>
      <fill>
        <patternFill patternType="solid">
          <fgColor rgb="FFFFE9A7"/>
          <bgColor rgb="FFFFE9A7"/>
        </patternFill>
      </fill>
      <border/>
    </dxf>
    <dxf>
      <font>
        <color rgb="FFCC4125"/>
      </font>
      <fill>
        <patternFill patternType="none"/>
      </fill>
      <border/>
    </dxf>
    <dxf>
      <font/>
      <fill>
        <patternFill patternType="solid">
          <fgColor rgb="FFF3F3F3"/>
          <bgColor rgb="FFF3F3F3"/>
        </patternFill>
      </fill>
      <border/>
    </dxf>
    <dxf>
      <font/>
      <fill>
        <patternFill patternType="solid">
          <fgColor rgb="FFEEEEEE"/>
          <bgColor rgb="FFEEEEEE"/>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user/gothamfury/comments/1guiduo/happy_to_help_you_with_your_google_sheets/" TargetMode="External"/><Relationship Id="rId2" Type="http://schemas.openxmlformats.org/officeDocument/2006/relationships/hyperlink" Target="https://buymeacoffee.com/gothamfury" TargetMode="External"/><Relationship Id="rId3" Type="http://schemas.openxmlformats.org/officeDocument/2006/relationships/hyperlink" Target="https://docs.google.com/spreadsheets/d/1FiksdKPWDkXeev6hjScTXbSEeELxZMeypo5j2q8E2Jg/copy?usp=sharing" TargetMode="External"/><Relationship Id="rId4" Type="http://schemas.openxmlformats.org/officeDocument/2006/relationships/hyperlink" Target="https://www.reddit.com/user/TheRealGuncho/" TargetMode="External"/><Relationship Id="rId5" Type="http://schemas.openxmlformats.org/officeDocument/2006/relationships/hyperlink" Target="https://www.travelweekly.com/Hotels/About-Classification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tripadvisor.ca/Hotel_Review-g150812-d219633-Reviews-Hotel_Riu_Palace_Mexico-Playa_del_Carmen_Yucatan_Peninsula.html" TargetMode="External"/><Relationship Id="rId194" Type="http://schemas.openxmlformats.org/officeDocument/2006/relationships/hyperlink" Target="https://www.tripadvisor.ca/Hotel_Review-g659488-d5527618-Reviews-Generations_Riviera_Maya_Resort-Riviera_Maya_Yucatan_Peninsula.html" TargetMode="External"/><Relationship Id="rId193" Type="http://schemas.openxmlformats.org/officeDocument/2006/relationships/hyperlink" Target="https://www.tripadvisor.ca/Hotel_Review-g663501-d524093-Reviews-Iberostar_Selection_Paraiso_Maya_Suites-Playa_Paraiso_Playa_del_Carmen_Yucatan_Peninsul.html" TargetMode="External"/><Relationship Id="rId192" Type="http://schemas.openxmlformats.org/officeDocument/2006/relationships/hyperlink" Target="https://www.tripadvisor.ca/Hotel_Review-g152515-d503035-Reviews-The_Club_at_Hacienda_del_Mar-Cabo_San_Lucas_Los_Cabos_Baja_California.html" TargetMode="External"/><Relationship Id="rId191" Type="http://schemas.openxmlformats.org/officeDocument/2006/relationships/hyperlink" Target="https://www.tripadvisor.ca/Hotel_Review-g152515-d225508-Reviews-Playa_Grande_Resort_Grand_Spa-Cabo_San_Lucas_Los_Cabos_Baja_California.html" TargetMode="External"/><Relationship Id="rId187" Type="http://schemas.openxmlformats.org/officeDocument/2006/relationships/hyperlink" Target="https://www.tripadvisor.ca/Hotel_Review-g150812-d214254-Reviews-Iberostar_Tucan-Playa_del_Carmen_Yucatan_Peninsula.html" TargetMode="External"/><Relationship Id="rId186" Type="http://schemas.openxmlformats.org/officeDocument/2006/relationships/hyperlink" Target="https://www.tripadvisor.ca/Hotel_Review-g150812-d154883-Reviews-Iberostar_Quetzal-Playa_del_Carmen_Yucatan_Peninsula.html" TargetMode="External"/><Relationship Id="rId185" Type="http://schemas.openxmlformats.org/officeDocument/2006/relationships/hyperlink" Target="https://www.tripadvisor.ca/Hotel_Review-g150807-d303140-Reviews-Hotel_Riu_Palace_Las_Americas-Cancun_Yucatan_Peninsula.html" TargetMode="External"/><Relationship Id="rId184" Type="http://schemas.openxmlformats.org/officeDocument/2006/relationships/hyperlink" Target="https://www.tripadvisor.ca/Hotel_Review-g150793-d152980-Reviews-Marriott_Puerto_Vallarta_Resort_Spa-Puerto_Vallarta.html" TargetMode="External"/><Relationship Id="rId189" Type="http://schemas.openxmlformats.org/officeDocument/2006/relationships/hyperlink" Target="https://www.tripadvisor.ca/Hotel_Review-g147313-d148996-Reviews-Charela_Inn-Negril_Westmoreland_Parish_Jamaica.html" TargetMode="External"/><Relationship Id="rId188" Type="http://schemas.openxmlformats.org/officeDocument/2006/relationships/hyperlink" Target="https://www.tripadvisor.ca/Hotel_Review-g1229340-d14091089-Reviews-TRS_Coral_Hotel-Playa_Mujeres_Costa_Mujeres_Yucatan_Peninsula.html" TargetMode="External"/><Relationship Id="rId183" Type="http://schemas.openxmlformats.org/officeDocument/2006/relationships/hyperlink" Target="https://www.tripadvisor.ca/Hotel_Review-g150812-d530483-Reviews-Hilton_Playa_del_Carmen_an_All_Inclusive_Adult_Only_Resort-Playa_del_Carmen_Yucatan_Pen.html" TargetMode="External"/><Relationship Id="rId182" Type="http://schemas.openxmlformats.org/officeDocument/2006/relationships/hyperlink" Target="https://www.tripadvisor.ca/Hotel_Review-g150812-d258447-Reviews-Ocean_Maya_Royale-Playa_del_Carmen_Yucatan_Peninsula.html" TargetMode="External"/><Relationship Id="rId181" Type="http://schemas.openxmlformats.org/officeDocument/2006/relationships/hyperlink" Target="https://www.tripadvisor.ca/Hotel_Review-g147275-d25354817-Reviews-Sol_Caribe_Beach-Varadero_Matanzas_Province_Cuba.html" TargetMode="External"/><Relationship Id="rId180" Type="http://schemas.openxmlformats.org/officeDocument/2006/relationships/hyperlink" Target="https://www.tripadvisor.ca/Hotel_Review-g499445-d1163247-Reviews-Bahia_Principe_Luxury_Sian_Ka_an-Akumal_Yucatan_Peninsula.html" TargetMode="External"/><Relationship Id="rId176" Type="http://schemas.openxmlformats.org/officeDocument/2006/relationships/hyperlink" Target="https://www.tripadvisor.ca/Hotel_Review-g150810-d25347353-Reviews-Impression_Isla_Mujeres_by_Secrets-Isla_Mujeres_Yucatan_Peninsula.html" TargetMode="External"/><Relationship Id="rId297" Type="http://schemas.openxmlformats.org/officeDocument/2006/relationships/hyperlink" Target="https://www.tripadvisor.ca/Hotel_Review-g150812-d185329-Reviews-Wyndham_Alltra_Playa_Del_Carmen_Adults_Only_All_Inclusive-Playa_del_Carmen_Yucatan_Peni.html" TargetMode="External"/><Relationship Id="rId175" Type="http://schemas.openxmlformats.org/officeDocument/2006/relationships/hyperlink" Target="https://www.tripadvisor.ca/Hotel_Review-g1905484-d278091-Reviews-Sugar_Bay_Barbados-Garrison_Saint_Michael_Parish_Barbados.html" TargetMode="External"/><Relationship Id="rId296" Type="http://schemas.openxmlformats.org/officeDocument/2006/relationships/hyperlink" Target="https://www.tripadvisor.ca/Hotel_Review-g1172156-d254186-Reviews-Memories_Jibacoa_Adults_Only_All_Inclusive-Jibacoa_Mayabeque_Province_Cuba.html" TargetMode="External"/><Relationship Id="rId174" Type="http://schemas.openxmlformats.org/officeDocument/2006/relationships/hyperlink" Target="https://www.tripadvisor.com/Hotel_Review-g1013693-d2095544-Reviews-The_Westin_Reserva_Conchal_an_All_Inclusive_Golf_Resort_Spa-Brasilito_Province_of_Gua.html" TargetMode="External"/><Relationship Id="rId295" Type="http://schemas.openxmlformats.org/officeDocument/2006/relationships/hyperlink" Target="https://www.tripadvisor.ca/Hotel_Review-g652398-d534892-Reviews-Coconut_Bay_Beach_Resort_Spa-Vieux_Fort_Vieux_Fort_Quarter_St_Lucia.html" TargetMode="External"/><Relationship Id="rId173" Type="http://schemas.openxmlformats.org/officeDocument/2006/relationships/hyperlink" Target="https://www.tripadvisor.ca/Hotel_Review-g23328775-d27148941-Reviews-Secrets_Playa_Blanca-Costa_Mujeres_Yucatan_Peninsula.html" TargetMode="External"/><Relationship Id="rId294" Type="http://schemas.openxmlformats.org/officeDocument/2006/relationships/hyperlink" Target="https://www.tripadvisor.ca/Hotel_Review-g660724-d6535703-Reviews-Hyatt_Zilara_Rose_Hall-Rose_Hall_Montego_Bay_Saint_James_Parish_Jamaica.html" TargetMode="External"/><Relationship Id="rId179" Type="http://schemas.openxmlformats.org/officeDocument/2006/relationships/hyperlink" Target="https://www.tripadvisor.ca/Hotel_Review-g285732-d15125556-Reviews-Iberostar_Selection_Holguin-Holguin_Holguin_Province_Cuba.html" TargetMode="External"/><Relationship Id="rId178" Type="http://schemas.openxmlformats.org/officeDocument/2006/relationships/hyperlink" Target="https://www.tripadvisor.ca/Hotel_Review-g8283306-d224202-Reviews-Laluna_Boutique_Hotel_Villas-Morne_Rouge_Saint_George_Parish_Grenada.html" TargetMode="External"/><Relationship Id="rId299" Type="http://schemas.openxmlformats.org/officeDocument/2006/relationships/hyperlink" Target="https://www.tripadvisor.ca/Hotel_Review-g562684-d147864-Reviews-Grotto_Bay_Beach_Resort_Spa-Hamilton_Parish_Bermuda.html" TargetMode="External"/><Relationship Id="rId177" Type="http://schemas.openxmlformats.org/officeDocument/2006/relationships/hyperlink" Target="https://www.tripadvisor.ca/Hotel_Review-g1184718-d287666-Reviews-Carlisle_Bay_Antigua-Saint_Mary_s_Antigua_Antigua_and_Barbuda.html" TargetMode="External"/><Relationship Id="rId298" Type="http://schemas.openxmlformats.org/officeDocument/2006/relationships/hyperlink" Target="https://www.tripadvisor.ca/Hotel_Review-g153445-d156766-Reviews-Barcelo_Ixtapa-Ixtapa_Zihuatanejo_de_Azueta_Pacific_Coast.html" TargetMode="External"/><Relationship Id="rId198" Type="http://schemas.openxmlformats.org/officeDocument/2006/relationships/hyperlink" Target="https://www.tripadvisor.ca/Hotel_Review-g150812-d574249-Reviews-El_Dorado_Royale-Playa_del_Carmen_Yucatan_Peninsula.html" TargetMode="External"/><Relationship Id="rId197" Type="http://schemas.openxmlformats.org/officeDocument/2006/relationships/hyperlink" Target="https://www.tripadvisor.ca/Hotel_Review-g3176298-d578371-Reviews-Majestic_Colonial_Punta_Cana-Bavaro_Punta_Cana_La_Altagracia_Province_Dominican_Republ.html" TargetMode="External"/><Relationship Id="rId196" Type="http://schemas.openxmlformats.org/officeDocument/2006/relationships/hyperlink" Target="https://www.tripadvisor.ca/Hotel_Review-g150812-d23901017-Reviews-Secrets_Moxche_Playa_del_Carmen-Playa_del_Carmen_Yucatan_Peninsula.html" TargetMode="External"/><Relationship Id="rId195" Type="http://schemas.openxmlformats.org/officeDocument/2006/relationships/hyperlink" Target="https://www.tripadvisor.ca/Hotel_Review-g147293-d149864-Reviews-Club_Med_Punta_Cana-Punta_Cana_La_Altagracia_Province_Dominican_Republic.html" TargetMode="External"/><Relationship Id="rId199" Type="http://schemas.openxmlformats.org/officeDocument/2006/relationships/hyperlink" Target="https://www.tripadvisor.ca/Hotel_Review-g150807-d2627483-Reviews-Secrets_The_Vine_Cancun-Cancun_Yucatan_Peninsula.html" TargetMode="External"/><Relationship Id="rId150" Type="http://schemas.openxmlformats.org/officeDocument/2006/relationships/hyperlink" Target="https://www.tripadvisor.ca/Hotel_Review-g153445-d154176-Reviews-Club_Med_Ixtapa_Pacific-Ixtapa_Zihuatanejo_de_Azueta_Pacific_Coast.html" TargetMode="External"/><Relationship Id="rId271" Type="http://schemas.openxmlformats.org/officeDocument/2006/relationships/hyperlink" Target="https://www.tripadvisor.ca/Hotel_Review-g152515-d671119-Reviews-Hacienda_Encantada_Resort_Residences-Cabo_San_Lucas_Los_Cabos_Baja_California.html" TargetMode="External"/><Relationship Id="rId392" Type="http://schemas.openxmlformats.org/officeDocument/2006/relationships/hyperlink" Target="https://www.tripadvisor.ca/Hotel_Review-g147313-d214530-Reviews-Beaches_Negril-Negril_Westmoreland_Parish_Jamaica.html" TargetMode="External"/><Relationship Id="rId270" Type="http://schemas.openxmlformats.org/officeDocument/2006/relationships/hyperlink" Target="https://www.tripadvisor.ca/Hotel_Review-g147293-d4459010-Reviews-Breathless_Punta_Cana_Resort_Spa-Punta_Cana_La_Altagracia_Province_Dominican_Republic.html" TargetMode="External"/><Relationship Id="rId391" Type="http://schemas.openxmlformats.org/officeDocument/2006/relationships/hyperlink" Target="https://www.tripadvisor.ca/Hotel_Review-g3607797-d23707981-Reviews-Sandals_Royal_Curacao-Nieuwpoort_Curacao.html" TargetMode="External"/><Relationship Id="rId390" Type="http://schemas.openxmlformats.org/officeDocument/2006/relationships/hyperlink" Target="https://www.tripadvisor.ca/Hotel_Review-g150807-d23146248-Reviews-Hilton_Cancun_an_All_Inclusive_Resort-Cancun_Yucatan_Peninsula.html" TargetMode="External"/><Relationship Id="rId1" Type="http://schemas.openxmlformats.org/officeDocument/2006/relationships/comments" Target="../comments1.xml"/><Relationship Id="rId2" Type="http://schemas.openxmlformats.org/officeDocument/2006/relationships/hyperlink" Target="https://www.tripadvisor.com/Hotel_Review-g26344248-d26326435-Reviews-The_Aerial_BVI-Buck_Island_British_Virgin_Islands.html" TargetMode="External"/><Relationship Id="rId3" Type="http://schemas.openxmlformats.org/officeDocument/2006/relationships/hyperlink" Target="https://www.tripadvisor.ca/Hotel_Review-g150812-d26999496-Reviews-The_Beachfront_By_The_Fives_Hotels-Playa_del_Carmen_Yucatan_Peninsula.html" TargetMode="External"/><Relationship Id="rId149" Type="http://schemas.openxmlformats.org/officeDocument/2006/relationships/hyperlink" Target="https://www.tripadvisor.ca/Hotel_Review-g659488-d288383-Reviews-Hidden_Beach_Au_Naturel_Resort-Riviera_Maya_Yucatan_Peninsula.html" TargetMode="External"/><Relationship Id="rId4" Type="http://schemas.openxmlformats.org/officeDocument/2006/relationships/hyperlink" Target="https://www.tripadvisor.ca/Hotel_Review-g1758638-d150948-Reviews-Guana_Island-Guana_Island_British_Virgin_Islands.html" TargetMode="External"/><Relationship Id="rId148" Type="http://schemas.openxmlformats.org/officeDocument/2006/relationships/hyperlink" Target="https://www.tripadvisor.ca/Hotel_Review-g150812-d596668-Reviews-Hotel_Riu_Palace_Riviera_Maya-Playa_del_Carmen_Yucatan_Peninsula.html" TargetMode="External"/><Relationship Id="rId269" Type="http://schemas.openxmlformats.org/officeDocument/2006/relationships/hyperlink" Target="https://www.tripadvisor.ca/Hotel_Review-g663501-d315136-Reviews-Iberostar_Paraiso_Del_Mar-Playa_Paraiso_Playa_del_Carmen_Yucatan_Peninsula.html" TargetMode="External"/><Relationship Id="rId9" Type="http://schemas.openxmlformats.org/officeDocument/2006/relationships/hyperlink" Target="https://www.tripadvisor.ca/Hotel_Review-g152516-d10328794-Reviews-Grand_Velas_Los_Cabos-San_Jose_del_Cabo_Los_Cabos_Baja_California.html" TargetMode="External"/><Relationship Id="rId143" Type="http://schemas.openxmlformats.org/officeDocument/2006/relationships/hyperlink" Target="https://www.tripadvisor.ca/Hotel_Review-g2067331-d16856271-Reviews-Escape_at_Nonsuch_Bay_Antigua_Adults_Only_All_Inclusive-Freetown_Saint_Philip_Parish.html" TargetMode="External"/><Relationship Id="rId264" Type="http://schemas.openxmlformats.org/officeDocument/2006/relationships/hyperlink" Target="https://www.tripadvisor.ca/Hotel_Review-g150807-d152895-Reviews-Beach_Palace_All_Inclusive-Cancun_Yucatan_Peninsula.html" TargetMode="External"/><Relationship Id="rId385" Type="http://schemas.openxmlformats.org/officeDocument/2006/relationships/hyperlink" Target="https://www.tripadvisor.ca/Hotel_Review-g1229340-d13964145-Reviews-Grand_Palladium_Costa_Mujeres_Resort_Spa-Playa_Mujeres_Costa_Mujeres_Yucatan_Peninsu.html" TargetMode="External"/><Relationship Id="rId142" Type="http://schemas.openxmlformats.org/officeDocument/2006/relationships/hyperlink" Target="https://www.tripadvisor.ca/Hotel_Review-g13836065-d19606612-Reviews-Grand_Sirenis_Cayo_Santa_Maria-Cayo_Las_Brujas_Cayo_Santa_Maria_Villa_Clara_Provinc.html" TargetMode="External"/><Relationship Id="rId263" Type="http://schemas.openxmlformats.org/officeDocument/2006/relationships/hyperlink" Target="https://www.tripadvisor.ca/Hotel_Review-g7983226-d28162941-Reviews-SLS_Playa_Mujeres-Punta_Sam_Costa_Mujeres_Yucatan_Peninsula.html" TargetMode="External"/><Relationship Id="rId384" Type="http://schemas.openxmlformats.org/officeDocument/2006/relationships/hyperlink" Target="https://www.tripadvisor.ca/Hotel_Review-g147293-d1595124-Reviews-Bahia_Principe_Luxury_Esmeralda-Punta_Cana_La_Altagracia_Province_Dominican_Republic.html" TargetMode="External"/><Relationship Id="rId141" Type="http://schemas.openxmlformats.org/officeDocument/2006/relationships/hyperlink" Target="https://www.tripadvisor.ca/Hotel_Review-g670039-d3682304-Reviews-Royalton_Cayo_Santa_Maria-Cayo_Santa_Maria_Villa_Clara_Province_Cuba.html" TargetMode="External"/><Relationship Id="rId262" Type="http://schemas.openxmlformats.org/officeDocument/2006/relationships/hyperlink" Target="https://www.tripadvisor.ca/Hotel_Review-g910832-d23754240-Reviews-Gran_Muthu_Almirante_Beach_Hotel-Guardalavaca_Holguin_Province_Cuba.html" TargetMode="External"/><Relationship Id="rId383" Type="http://schemas.openxmlformats.org/officeDocument/2006/relationships/hyperlink" Target="https://www.tripadvisor.ca/Hotel_Review-g240327-d13074109-Reviews-Ventus_at_Marina_El_Cid_Spa_Beach_Resort-Puerto_Morelos_Yucatan_Peninsula.html" TargetMode="External"/><Relationship Id="rId140" Type="http://schemas.openxmlformats.org/officeDocument/2006/relationships/hyperlink" Target="https://www.tripadvisor.ca/Hotel_Review-g285732-d263971-Reviews-Paradisus_Rio_De_Oro_Resort_Spa-Holguin_Holguin_Province_Cuba.html" TargetMode="External"/><Relationship Id="rId261" Type="http://schemas.openxmlformats.org/officeDocument/2006/relationships/hyperlink" Target="https://www.tripadvisor.ca/Hotel_Review-g147344-d263015-Reviews-Sandals_Grande_St_Lucian-Gros_Islet_Gros_Islet_Quarter_St_Lucia.html" TargetMode="External"/><Relationship Id="rId382" Type="http://schemas.openxmlformats.org/officeDocument/2006/relationships/hyperlink" Target="https://www.tripadvisor.ca/Hotel_Review-g12900715-d24093475-Reviews-Hyatt_Zilara_Riviera_Maya-Solidaridad_Yucatan_Peninsula.html" TargetMode="External"/><Relationship Id="rId5" Type="http://schemas.openxmlformats.org/officeDocument/2006/relationships/hyperlink" Target="https://www.tripadvisor.com/Hotel_Review-g652398-d12548619-Reviews-Serenity_at_Coconut_Bay-Vieux_Fort_Vieux_Fort_Quarter_St_Lucia.html" TargetMode="External"/><Relationship Id="rId147" Type="http://schemas.openxmlformats.org/officeDocument/2006/relationships/hyperlink" Target="https://www.tripadvisor.ca/Hotel_Review-g153510-d673129-Reviews-Barcelo_Maya_Palace-Puerto_Aventuras_Yucatan_Peninsula.html" TargetMode="External"/><Relationship Id="rId268" Type="http://schemas.openxmlformats.org/officeDocument/2006/relationships/hyperlink" Target="https://www.tripadvisor.ca/Hotel_Review-g663501-d259116-Reviews-Iberostar_Paraiso_Beach-Playa_Paraiso_Playa_del_Carmen_Yucatan_Peninsula.html" TargetMode="External"/><Relationship Id="rId389" Type="http://schemas.openxmlformats.org/officeDocument/2006/relationships/hyperlink" Target="https://www.tripadvisor.ca/Hotel_Review-g3200043-d15118805-Reviews-Ocean_El_Faro_Resort-Uvero_Alto_Punta_Cana_La_Altagracia_Province_Dominican_Republic.html" TargetMode="External"/><Relationship Id="rId6" Type="http://schemas.openxmlformats.org/officeDocument/2006/relationships/hyperlink" Target="https://www.tripadvisor.ca/Hotel_Review-g150812-d19517260-Reviews-Fairmont_Heritage_Place_Mayakoba-Playa_del_Carmen_Yucatan_Peninsula.htmlhttps://www.tripadvisor.ca/Hotel_Review-g150812-d19517260-Reviews-Fairmont_Heritage_Place_Mayakoba-Playa_del_Carmen_Yucatan_Peninsula.html" TargetMode="External"/><Relationship Id="rId146" Type="http://schemas.openxmlformats.org/officeDocument/2006/relationships/hyperlink" Target="https://www.tripadvisor.ca/Hotel_Review-g1184696-d209594-Reviews-Cocobay_Resort_All_Inclusive_Adults_Only-Bolans_Saint_Mary_s_Antigua_Antigua_and_Barbu.html" TargetMode="External"/><Relationship Id="rId267" Type="http://schemas.openxmlformats.org/officeDocument/2006/relationships/hyperlink" Target="https://www.tripadvisor.ca/Hotel_Review-g152516-d185358-Reviews-Paradisus_Los_Cabos_Adults_only_The_Leading_Hotels_of_the_World-San_Jose_del_Cabo_Los_C.html" TargetMode="External"/><Relationship Id="rId388" Type="http://schemas.openxmlformats.org/officeDocument/2006/relationships/hyperlink" Target="https://www.tripadvisor.ca/Hotel_Review-g147311-d150720-Reviews-Sandals_Royal_Caribbean_Resort_and_Private_Island-Montego_Bay_Saint_James_Parish_Jamaic.html" TargetMode="External"/><Relationship Id="rId7" Type="http://schemas.openxmlformats.org/officeDocument/2006/relationships/hyperlink" Target="https://www.tripadvisor.ca/Hotel_Review-g292018-d1070439-Reviews-Villa_on_Dunbar_Rock-Guanaja_Bay_Islands.html" TargetMode="External"/><Relationship Id="rId145" Type="http://schemas.openxmlformats.org/officeDocument/2006/relationships/hyperlink" Target="https://www.tripadvisor.ca/Hotel_Review-g147275-d14163595-Reviews-Melia_Internacional_Varadero-Varadero_Matanzas_Province_Cuba.html" TargetMode="External"/><Relationship Id="rId266" Type="http://schemas.openxmlformats.org/officeDocument/2006/relationships/hyperlink" Target="https://www.tripadvisor.ca/Hotel_Review-g150807-d154403-Reviews-Hotel_NYX_Cancun-Cancun_Yucatan_Peninsula.html" TargetMode="External"/><Relationship Id="rId387" Type="http://schemas.openxmlformats.org/officeDocument/2006/relationships/hyperlink" Target="https://www.tripadvisor.ca/Hotel_Review-g660724-d1200370-Reviews-Hilton_Rose_Hall_Resort_Spa-Rose_Hall_Montego_Bay_Saint_James_Parish_Jamaica.html" TargetMode="External"/><Relationship Id="rId8" Type="http://schemas.openxmlformats.org/officeDocument/2006/relationships/hyperlink" Target="https://www.tripadvisor.ca/Hotel_Review-g147242-d17794556-Reviews-Hammock_Cove_Antigua-Antigua_Antigua_and_Barbuda.html" TargetMode="External"/><Relationship Id="rId144" Type="http://schemas.openxmlformats.org/officeDocument/2006/relationships/hyperlink" Target="https://www.tripadvisor.com/Hotel_Review-g10639015-d150733-Reviews-Sugar_Cane_Club_Hotel_Spa-Retreat_Saint_Peter_Parish_Barbados.html" TargetMode="External"/><Relationship Id="rId265" Type="http://schemas.openxmlformats.org/officeDocument/2006/relationships/hyperlink" Target="https://www.tripadvisor.ca/Hotel_Review-g7983226-d6510287-Reviews-Secrets_Playa_Mujeres_Golf_Spa_Resort-Punta_Sam_Costa_Mujeres_Yucatan_Peninsula.html" TargetMode="External"/><Relationship Id="rId386" Type="http://schemas.openxmlformats.org/officeDocument/2006/relationships/hyperlink" Target="https://www.tripadvisor.ca/Hotel_Review-g152515-d154858-Reviews-Marina_Fiesta_Resort_Spa-Cabo_San_Lucas_Los_Cabos_Baja_California.html" TargetMode="External"/><Relationship Id="rId260" Type="http://schemas.openxmlformats.org/officeDocument/2006/relationships/hyperlink" Target="https://www.tripadvisor.com/Hotel_Review-g635536-d580778-Reviews-CC_Beach_Front_Papagayo-Playa_Panama_Gulf_of_Papagayo_Province_of_Guanacaste.html" TargetMode="External"/><Relationship Id="rId381" Type="http://schemas.openxmlformats.org/officeDocument/2006/relationships/hyperlink" Target="https://www.tripadvisor.ca/Hotel_Review-g552078-d285107-Reviews-Decameron_Los_Cocos_Guayabitos_Ramada_All_inclusive_Resort-Rincon_de_Guayabitos_Pacific.html" TargetMode="External"/><Relationship Id="rId380" Type="http://schemas.openxmlformats.org/officeDocument/2006/relationships/hyperlink" Target="https://www.tripadvisor.com/Hotel_Review-g1026781-d23624452-Reviews-Delta_Hotels_by_Marriott_Riviera_Nayarit_An_All_Inclusive_Resort-La_Cruz_de_Huanacax.html" TargetMode="External"/><Relationship Id="rId139" Type="http://schemas.openxmlformats.org/officeDocument/2006/relationships/hyperlink" Target="https://www.tripadvisor.ca/Hotel_Review-g7808902-d1022643-Reviews-Blue_Haven_All_Inclusive-Leeward_Providenciales_Turks_and_Caicos.html" TargetMode="External"/><Relationship Id="rId138" Type="http://schemas.openxmlformats.org/officeDocument/2006/relationships/hyperlink" Target="https://www.tripadvisor.ca/Hotel_Review-g152515-d12237068-Reviews-Grand_Solmar_Pacific_Dunes_Resort_Golf_Spa-Cabo_San_Lucas_Los_Cabos_Baja_California.html" TargetMode="External"/><Relationship Id="rId259" Type="http://schemas.openxmlformats.org/officeDocument/2006/relationships/hyperlink" Target="https://www.tripadvisor.ca/Hotel_Review-g150807-d2464153-Reviews-Hotel_Riu_Palace_Peninsula-Cancun_Yucatan_Peninsula.html" TargetMode="External"/><Relationship Id="rId137" Type="http://schemas.openxmlformats.org/officeDocument/2006/relationships/hyperlink" Target="https://www.tripadvisor.ca/Hotel_Review-g10822792-d149341-Reviews-Sandals_Grenada-Pink_Gin_Beach_Saint_George_Parish_Grenada.html" TargetMode="External"/><Relationship Id="rId258" Type="http://schemas.openxmlformats.org/officeDocument/2006/relationships/hyperlink" Target="https://www.tripadvisor.ca/Hotel_Review-g3200052-d26785468-Reviews-Princess_Senses_The_Mangrove-Green_Island_Hanover_Parish_Jamaica.html" TargetMode="External"/><Relationship Id="rId379" Type="http://schemas.openxmlformats.org/officeDocument/2006/relationships/hyperlink" Target="https://www.tripadvisor.ca/Hotel_Review-g150812-d154739-Reviews-Hotel_Riu_Yucatan-Playa_del_Carmen_Yucatan_Peninsula.html" TargetMode="External"/><Relationship Id="rId132" Type="http://schemas.openxmlformats.org/officeDocument/2006/relationships/hyperlink" Target="https://www.tripadvisor.com/Hotel_Review-g240327-d19646887-Reviews-Margaritaville_Island_Reserve_Riviera_Cancun_by_Karisma-Puerto_Morelos_Yucatan_Penins.html" TargetMode="External"/><Relationship Id="rId253" Type="http://schemas.openxmlformats.org/officeDocument/2006/relationships/hyperlink" Target="https://www.tripadvisor.ca/Hotel_Review-g150812-d153142-Reviews-Royal_Hideaway_Playacar-Playa_del_Carmen_Yucatan_Peninsula.html" TargetMode="External"/><Relationship Id="rId374" Type="http://schemas.openxmlformats.org/officeDocument/2006/relationships/hyperlink" Target="https://www.tripadvisor.ca/Hotel_Review-g147317-d149099-Reviews-Franklyn_D_Resort_Spa-Runaway_Bay_Saint_Ann_Parish_Jamaica.html" TargetMode="External"/><Relationship Id="rId131" Type="http://schemas.openxmlformats.org/officeDocument/2006/relationships/hyperlink" Target="https://www.tripadvisor.ca/Hotel_Review-g150793-d1438800-Reviews-Garza_Blanca_Preserve_Resort_Spa-Puerto_Vallarta.html" TargetMode="External"/><Relationship Id="rId252" Type="http://schemas.openxmlformats.org/officeDocument/2006/relationships/hyperlink" Target="https://www.tripadvisor.com/Hotel_Review-g147265-d239274-Reviews-The_House_by_Elegant_Hotels_All_Inclusive_Adults_Only-Saint_James_Parish_Barbados.html" TargetMode="External"/><Relationship Id="rId373" Type="http://schemas.openxmlformats.org/officeDocument/2006/relationships/hyperlink" Target="https://www.tripadvisor.ca/Hotel_Review-g153510-d254937-Reviews-Barcelo_Maya_Grand_Resort-Puerto_Aventuras_Yucatan_Peninsula.html" TargetMode="External"/><Relationship Id="rId130" Type="http://schemas.openxmlformats.org/officeDocument/2006/relationships/hyperlink" Target="https://www.tripadvisor.ca/Hotel_Review-g152515-d672982-Reviews-Casa_Dorada_Los_Cabos_Resort_Spa-Cabo_San_Lucas_Los_Cabos_Baja_California.html" TargetMode="External"/><Relationship Id="rId251" Type="http://schemas.openxmlformats.org/officeDocument/2006/relationships/hyperlink" Target="https://www.tripadvisor.ca/Hotel_Review-g150807-d13138532-Reviews-Moon_Palace_The_Grand_Cancun-Cancun_Yucatan_Peninsula.html" TargetMode="External"/><Relationship Id="rId372" Type="http://schemas.openxmlformats.org/officeDocument/2006/relationships/hyperlink" Target="https://www.tripadvisor.ca/Hotel_Review-g552078-d19888521-Reviews-Decameron_La_Marina-Rincon_de_Guayabitos_Pacific_Coast.html" TargetMode="External"/><Relationship Id="rId250" Type="http://schemas.openxmlformats.org/officeDocument/2006/relationships/hyperlink" Target="https://www.tripadvisor.ca/Hotel_Review-g150807-d21401702-Reviews-Garza_Blanca_Resort_Spa_Cancun-Cancun_Yucatan_Peninsula.html" TargetMode="External"/><Relationship Id="rId371" Type="http://schemas.openxmlformats.org/officeDocument/2006/relationships/hyperlink" Target="https://www.tripadvisor.ca/Hotel_Review-g3176298-d313884-Reviews-Punta_Cana_Princess-Bavaro_Punta_Cana_La_Altagracia_Province_Dominican_Republic.html" TargetMode="External"/><Relationship Id="rId136" Type="http://schemas.openxmlformats.org/officeDocument/2006/relationships/hyperlink" Target="https://www.tripadvisor.ca/Hotel_Review-g152516-d21294207-Reviews-Hilton_Grand_Vacations_Club_La_Pacifica_Los_Cabos-San_Jose_del_Cabo_Los_Cabos_Baja_Ca.html" TargetMode="External"/><Relationship Id="rId257" Type="http://schemas.openxmlformats.org/officeDocument/2006/relationships/hyperlink" Target="https://www.tripadvisor.ca/Hotel_Review-g150807-d152680-Reviews-Fiesta_Americana_Condesa_Cancun_All_Inclusive-Cancun_Yucatan_Peninsula.html" TargetMode="External"/><Relationship Id="rId378" Type="http://schemas.openxmlformats.org/officeDocument/2006/relationships/hyperlink" Target="https://www.tripadvisor.ca/Hotel_Review-g147275-d151553-Reviews-Sol_Palmeras-Varadero_Matanzas_Province_Cuba.html" TargetMode="External"/><Relationship Id="rId135" Type="http://schemas.openxmlformats.org/officeDocument/2006/relationships/hyperlink" Target="https://www.tripadvisor.ca/Hotel_Review-g147312-d24172566-Reviews-Sandals_Dunn_s_River-Ocho_Rios_Saint_Ann_Parish_Jamaica.html" TargetMode="External"/><Relationship Id="rId256" Type="http://schemas.openxmlformats.org/officeDocument/2006/relationships/hyperlink" Target="https://www.tripadvisor.ca/Hotel_Review-g660724-d1205371-Reviews-Iberostar_Selection_Rose_Hall_Suites-Rose_Hall_Montego_Bay_Saint_James_Parish_Jamaica.html" TargetMode="External"/><Relationship Id="rId377" Type="http://schemas.openxmlformats.org/officeDocument/2006/relationships/hyperlink" Target="https://www.tripadvisor.ca/Hotel_Review-g153445-d559701-Reviews-Emporio_Ixtapa-Ixtapa_Zihuatanejo_de_Azueta_Pacific_Coast.html" TargetMode="External"/><Relationship Id="rId134" Type="http://schemas.openxmlformats.org/officeDocument/2006/relationships/hyperlink" Target="https://www.tripadvisor.ca/Hotel_Review-g150792-d152915-Reviews-Pueblo_Bonito_Mazatlan_Beach_Resort-Mazatlan_Pacific_Coast.html" TargetMode="External"/><Relationship Id="rId255" Type="http://schemas.openxmlformats.org/officeDocument/2006/relationships/hyperlink" Target="https://www.tripadvisor.ca/Hotel_Review-g152515-d15054618-Reviews-Garza_Blanca_Resort_Spa_Los_Cabos-Cabo_San_Lucas_Los_Cabos_Baja_California.html" TargetMode="External"/><Relationship Id="rId376" Type="http://schemas.openxmlformats.org/officeDocument/2006/relationships/hyperlink" Target="https://www.tripadvisor.ca/Hotel_Review-g147275-d268765-Reviews-Melia_Varadero-Varadero_Matanzas_Province_Cuba.html" TargetMode="External"/><Relationship Id="rId133" Type="http://schemas.openxmlformats.org/officeDocument/2006/relationships/hyperlink" Target="https://www.tripadvisor.ca/Hotel_Review-g152515-d543023-Reviews-Pueblo_Bonito_Pacifica_Golf_Spa_Resort-Cabo_San_Lucas_Los_Cabos_Baja_California.html" TargetMode="External"/><Relationship Id="rId254" Type="http://schemas.openxmlformats.org/officeDocument/2006/relationships/hyperlink" Target="https://www.tripadvisor.ca/Hotel_Review-g152515-d604937-Reviews-Villa_del_Arco_Beach_Resort_Spa-Cabo_San_Lucas_Los_Cabos_Baja_California.html" TargetMode="External"/><Relationship Id="rId375" Type="http://schemas.openxmlformats.org/officeDocument/2006/relationships/hyperlink" Target="https://www.tripadvisor.ca/Hotel_Review-g666625-d16708341-Reviews-Gran_Muthu_Imperial_Hotel-Cayo_Guillermo_Jardines_del_Rey_Archipelago_Ciego_de_Avila_.html" TargetMode="External"/><Relationship Id="rId172" Type="http://schemas.openxmlformats.org/officeDocument/2006/relationships/hyperlink" Target="https://www.tripadvisor.ca/Hotel_Review-g152515-d225501-Reviews-Pueblo_Bonito_Sunset_Beach_Golf_and_Spa_Resort-Cabo_San_Lucas_Los_Cabos_Baja_California.html" TargetMode="External"/><Relationship Id="rId293" Type="http://schemas.openxmlformats.org/officeDocument/2006/relationships/hyperlink" Target="https://www.tripadvisor.ca/Hotel_Review-g150812-d7180828-Reviews-Grand_Hyatt_Playa_Del_Carmen_Resort-Playa_del_Carmen_Yucatan_Peninsula.html" TargetMode="External"/><Relationship Id="rId171" Type="http://schemas.openxmlformats.org/officeDocument/2006/relationships/hyperlink" Target="https://www.tripadvisor.ca/Hotel_Review-g150792-d226267-Reviews-Pueblo_Bonito_Emerald_Bay_Resort_Spa-Mazatlan_Pacific_Coast.html" TargetMode="External"/><Relationship Id="rId292" Type="http://schemas.openxmlformats.org/officeDocument/2006/relationships/hyperlink" Target="https://www.tripadvisor.com/Hotel_Review-g671541-d549924-Reviews-Zoetry_Marigot_Bay_St_Lucia-Marigot_Bay_Castries_Quarter_St_Lucia.html" TargetMode="External"/><Relationship Id="rId170" Type="http://schemas.openxmlformats.org/officeDocument/2006/relationships/hyperlink" Target="https://www.tripadvisor.ca/Hotel_Review-g9723540-d776424-Reviews-Villa_La_Estancia_Beach_Resort_Spa_Riviera_Nayarit-Flamingos_Nuevo_Vallarta_Pacific_Co.html" TargetMode="External"/><Relationship Id="rId291" Type="http://schemas.openxmlformats.org/officeDocument/2006/relationships/hyperlink" Target="https://www.tripadvisor.ca/Hotel_Review-g152516-d469312-Reviews-Hyatt_Ziva_Los_Cabos-San_Jose_del_Cabo_Los_Cabos_Baja_California.html" TargetMode="External"/><Relationship Id="rId290" Type="http://schemas.openxmlformats.org/officeDocument/2006/relationships/hyperlink" Target="https://www.tripadvisor.ca/Hotel_Review-g3176298-d897108-Reviews-Dreams_Royal_Beach_Punta_Cana-Bavaro_Punta_Cana_La_Altagracia_Province_Dominican_Repub.html" TargetMode="External"/><Relationship Id="rId165" Type="http://schemas.openxmlformats.org/officeDocument/2006/relationships/hyperlink" Target="https://www.tripadvisor.ca/Hotel_Review-g16884615-d7212070-Reviews-TRS_Cap_Cana_Waterfront_Marina_Hotel-Cap_Cana_Punta_Cana_La_Altagracia_Province_Domi.html" TargetMode="External"/><Relationship Id="rId286" Type="http://schemas.openxmlformats.org/officeDocument/2006/relationships/hyperlink" Target="https://www.tripadvisor.ca/Hotel_Review-g147293-d10074376-Reviews-Dreams_Onyx_Resort_Spa-Punta_Cana_La_Altagracia_Province_Dominican_Republic.html" TargetMode="External"/><Relationship Id="rId164" Type="http://schemas.openxmlformats.org/officeDocument/2006/relationships/hyperlink" Target="https://www.tripadvisor.ca/Hotel_Review-g663484-d1163459-Reviews-Hilton_La_Romana_An_All_Inclusive_Adult_Only_Resort-Bayahibe_La_Altagracia_Province_Do.html" TargetMode="External"/><Relationship Id="rId285" Type="http://schemas.openxmlformats.org/officeDocument/2006/relationships/hyperlink" Target="https://www.tripadvisor.ca/Hotel_Review-g150812-d12700386-Reviews-The_Reef_28-Playa_del_Carmen_Yucatan_Peninsula.html" TargetMode="External"/><Relationship Id="rId163" Type="http://schemas.openxmlformats.org/officeDocument/2006/relationships/hyperlink" Target="https://www.tripadvisor.ca/Hotel_Review-g666621-d2202180-Reviews-O2_Beach_Club_Spa-St_Lawrence_Gap_Christ_Church_Parish_Barbados.html" TargetMode="External"/><Relationship Id="rId284" Type="http://schemas.openxmlformats.org/officeDocument/2006/relationships/hyperlink" Target="https://www.tripadvisor.ca/Hotel_Review-g3176298-d150841-Reviews-Iberostar_Selection_Bavaro_Suites-Bavaro_Punta_Cana_La_Altagracia_Province_Dominican_R.html" TargetMode="External"/><Relationship Id="rId162" Type="http://schemas.openxmlformats.org/officeDocument/2006/relationships/hyperlink" Target="https://www.tripadvisor.ca/Hotel_Review-g147265-d260445-Reviews-Waves_Hotel_Spa_by_Elegant_Hotels_All_Inclusive-Saint_James_Parish_Barbados.html" TargetMode="External"/><Relationship Id="rId283" Type="http://schemas.openxmlformats.org/officeDocument/2006/relationships/hyperlink" Target="https://www.tripadvisor.ca/Hotel_Review-g147278-d150663-Reviews-Curacao_Marriott_Beach_Resort-Willemstad_Curacao.html" TargetMode="External"/><Relationship Id="rId169" Type="http://schemas.openxmlformats.org/officeDocument/2006/relationships/hyperlink" Target="https://www.tripadvisor.ca/Hotel_Review-g3200052-d26851754-Reviews-Princess_Grand_Jamaica-Green_Island_Hanover_Parish_Jamaica.html" TargetMode="External"/><Relationship Id="rId168" Type="http://schemas.openxmlformats.org/officeDocument/2006/relationships/hyperlink" Target="https://www.tripadvisor.ca/Hotel_Review-g154267-d154855-Reviews-Marival_Distinct_Luxury_Residences_World_Spa-Nuevo_Vallarta_Pacific_Coast.html" TargetMode="External"/><Relationship Id="rId289" Type="http://schemas.openxmlformats.org/officeDocument/2006/relationships/hyperlink" Target="https://www.tripadvisor.ca/Hotel_Review-g1229340-d14216187-Reviews-Hotel_Riu_Palace_Costa_Mujeres-Playa_Mujeres_Costa_Mujeres_Yucatan_Peninsula.html" TargetMode="External"/><Relationship Id="rId167" Type="http://schemas.openxmlformats.org/officeDocument/2006/relationships/hyperlink" Target="https://www.tripadvisor.ca/Hotel_Review-g147311-d4751032-Reviews-Hotel_Riu_Palace_Jamaica-Montego_Bay_Saint_James_Parish_Jamaica.html" TargetMode="External"/><Relationship Id="rId288" Type="http://schemas.openxmlformats.org/officeDocument/2006/relationships/hyperlink" Target="https://www.tripadvisor.ca/Hotel_Review-g240327-d23123528-Reviews-Sensira_Resort_Spa_Riviera_Maya-Puerto_Morelos_Yucatan_Peninsula.html" TargetMode="External"/><Relationship Id="rId166" Type="http://schemas.openxmlformats.org/officeDocument/2006/relationships/hyperlink" Target="https://www.tripadvisor.ca/Hotel_Review-g150812-d2514172-Reviews-Blue_Diamond_Luxury_Boutique_Hotel-Playa_del_Carmen_Yucatan_Peninsula.html" TargetMode="External"/><Relationship Id="rId287" Type="http://schemas.openxmlformats.org/officeDocument/2006/relationships/hyperlink" Target="https://www.tripadvisor.ca/Hotel_Review-g152515-d151977-Reviews-Pueblo_Bonito_Rose_Resort_Spa-Cabo_San_Lucas_Los_Cabos_Baja_California.html" TargetMode="External"/><Relationship Id="rId161" Type="http://schemas.openxmlformats.org/officeDocument/2006/relationships/hyperlink" Target="https://www.tripadvisor.ca/Hotel_Review-g13882869-d6721790-Reviews-The_Explorean_Cozumel-San_Miguel_de_Cozumel_Cozumel_Yucatan_Peninsula.html" TargetMode="External"/><Relationship Id="rId282" Type="http://schemas.openxmlformats.org/officeDocument/2006/relationships/hyperlink" Target="https://www.tripadvisor.ca/Hotel_Review-g499445-d247628-Reviews-Bahia_Principe_Luxury_Akumal-Akumal_Yucatan_Peninsula.html" TargetMode="External"/><Relationship Id="rId160" Type="http://schemas.openxmlformats.org/officeDocument/2006/relationships/hyperlink" Target="https://www.tripadvisor.ca/Hotel_Review-g152515-d153085-Reviews-Pueblo_Bonito_Blanco_Los_Cabos_Beach_Resort-Cabo_San_Lucas_Los_Cabos_Baja_California.html" TargetMode="External"/><Relationship Id="rId281" Type="http://schemas.openxmlformats.org/officeDocument/2006/relationships/hyperlink" Target="https://www.tripadvisor.ca/Hotel_Review-g499443-d23452846-Reviews-Secrets_Bahia_Mita_Surf_Spa_Resort-Punta_de_Mita_Pacific_Coast.html" TargetMode="External"/><Relationship Id="rId280" Type="http://schemas.openxmlformats.org/officeDocument/2006/relationships/hyperlink" Target="https://www.tripadvisor.ca/Hotel_Review-g150807-d540461-Reviews-Fiesta_Americana_Cancun_Villas-Cancun_Yucatan_Peninsula.html" TargetMode="External"/><Relationship Id="rId159" Type="http://schemas.openxmlformats.org/officeDocument/2006/relationships/hyperlink" Target="https://www.tripadvisor.ca/Hotel_Review-g1229340-d16855390-Reviews-Majestic_Elegance_Costa_Mujeres-Playa_Mujeres_Costa_Mujeres_Yucatan_Peninsula.html" TargetMode="External"/><Relationship Id="rId154" Type="http://schemas.openxmlformats.org/officeDocument/2006/relationships/hyperlink" Target="https://www.tripadvisor.ca/Hotel_Review-g3200043-d16774738-Reviews-Live_Aqua_Beach_Resort_Punta_Cana-Uvero_Alto_Punta_Cana_La_Altagracia_Province_Domin.html" TargetMode="External"/><Relationship Id="rId275" Type="http://schemas.openxmlformats.org/officeDocument/2006/relationships/hyperlink" Target="https://www.tripadvisor.ca/Hotel_Review-g3176298-d13973616-Reviews-Lopesan_Costa_Bavaro_Resort_Spa_Casino-Bavaro_Punta_Cana_La_Altagracia_Province_Domi.html" TargetMode="External"/><Relationship Id="rId396" Type="http://schemas.openxmlformats.org/officeDocument/2006/relationships/hyperlink" Target="https://www.tripadvisor.ca/Hotel_Review-g150807-d282106-Reviews-Paradisus_Cancun-Cancun_Yucatan_Peninsula.html" TargetMode="External"/><Relationship Id="rId153" Type="http://schemas.openxmlformats.org/officeDocument/2006/relationships/hyperlink" Target="https://www.tripadvisor.ca/Hotel_Review-g150812-d2299038-Reviews-Paradisus_Playa_Del_Carmen-Playa_del_Carmen_Yucatan_Peninsula.html" TargetMode="External"/><Relationship Id="rId274" Type="http://schemas.openxmlformats.org/officeDocument/2006/relationships/hyperlink" Target="https://www.tripadvisor.ca/Hotel_Review-g147293-d25026838-Reviews-Paradisus_Grand_Cana_All_Suites-Punta_Cana_La_Altagracia_Province_Dominican_Republic.html" TargetMode="External"/><Relationship Id="rId395" Type="http://schemas.openxmlformats.org/officeDocument/2006/relationships/hyperlink" Target="https://www.tripadvisor.ca/Hotel_Review-g150812-d260444-Reviews-Occidental_at_Xcaret_Destination-Playa_del_Carmen_Yucatan_Peninsula.html" TargetMode="External"/><Relationship Id="rId152" Type="http://schemas.openxmlformats.org/officeDocument/2006/relationships/hyperlink" Target="https://www.tripadvisor.ca/Hotel_Review-g3176298-d1068246-Reviews-Majestic_Elegance_Punta_Cana-Bavaro_Punta_Cana_La_Altagracia_Province_Dominican_Repub.html" TargetMode="External"/><Relationship Id="rId273" Type="http://schemas.openxmlformats.org/officeDocument/2006/relationships/hyperlink" Target="https://www.tripadvisor.ca/Hotel_Review-g150793-d8154349-Reviews-Hilton_Vallarta_Riviera_All_Inclusive_Resort-Puerto_Vallarta.html" TargetMode="External"/><Relationship Id="rId394" Type="http://schemas.openxmlformats.org/officeDocument/2006/relationships/hyperlink" Target="https://www.tripadvisor.ca/Hotel_Review-g147399-d254897-Reviews-Beaches_Turks_Caicos-Providenciales_Turks_and_Caicos.html" TargetMode="External"/><Relationship Id="rId151" Type="http://schemas.openxmlformats.org/officeDocument/2006/relationships/hyperlink" Target="https://www.tripadvisor.ca/Hotel_Review-g152515-d1103734-Reviews-Montecristo_Estates_Luxury_Villas-Cabo_San_Lucas_Los_Cabos_Baja_California.html" TargetMode="External"/><Relationship Id="rId272" Type="http://schemas.openxmlformats.org/officeDocument/2006/relationships/hyperlink" Target="https://www.tripadvisor.ca/Hotel_Review-g25226430-d25323278-Reviews-Dreams_Flora_Resort_Spa-Cabeza_De_Toro_Punta_Cana_La_Altagracia_Province_Dominican_.html" TargetMode="External"/><Relationship Id="rId393" Type="http://schemas.openxmlformats.org/officeDocument/2006/relationships/hyperlink" Target="https://www.tripadvisor.ca/Hotel_Review-g147331-d151605-Reviews-Club_Med_Les_Boucaniers_Martinique-Sainte_Anne_Arrondissement_of_Le_Marin_Martinique.html" TargetMode="External"/><Relationship Id="rId158" Type="http://schemas.openxmlformats.org/officeDocument/2006/relationships/hyperlink" Target="https://www.tripadvisor.ca/Hotel_Review-g663501-d284824-Reviews-Iberostar_Selection_Paraiso_Lindo-Playa_Paraiso_Playa_del_Carmen_Yucatan_Peninsula.html" TargetMode="External"/><Relationship Id="rId279" Type="http://schemas.openxmlformats.org/officeDocument/2006/relationships/hyperlink" Target="https://www.tripadvisor.ca/Hotel_Review-g153510-d586539-Reviews-Barcelo_Maya_Colonial-Puerto_Aventuras_Yucatan_Peninsula.html" TargetMode="External"/><Relationship Id="rId157" Type="http://schemas.openxmlformats.org/officeDocument/2006/relationships/hyperlink" Target="https://www.tripadvisor.ca/Hotel_Review-g150812-d651166-Reviews-The_Royal_Haciendas_All_Suites_Resort_Spa-Playa_del_Carmen_Yucatan_Peninsula.html" TargetMode="External"/><Relationship Id="rId278" Type="http://schemas.openxmlformats.org/officeDocument/2006/relationships/hyperlink" Target="https://www.tripadvisor.ca/Hotel_Review-g1229340-d23995980-Reviews-Hotel_Riu_Latino-Playa_Mujeres_Costa_Mujeres_Yucatan_Peninsula.html" TargetMode="External"/><Relationship Id="rId399" Type="http://schemas.openxmlformats.org/officeDocument/2006/relationships/hyperlink" Target="https://www.tripadvisor.ca/Hotel_Review-g15141671-d13978051-Reviews-Planet_Hollywood_Costa_Rica-Culebra_Gulf_of_Papagayo_Province_of_Guanacaste.html" TargetMode="External"/><Relationship Id="rId156" Type="http://schemas.openxmlformats.org/officeDocument/2006/relationships/hyperlink" Target="https://www.tripadvisor.ca/Hotel_Review-g499455-d220209-Reviews-Catalonia_Royal_Tulum-Xpu_Ha_Yucatan_Peninsula.html" TargetMode="External"/><Relationship Id="rId277" Type="http://schemas.openxmlformats.org/officeDocument/2006/relationships/hyperlink" Target="https://www.tripadvisor.ca/Hotel_Review-g153445-d3869865-Reviews-Azul_Ixtapa_Grand_Beach_Resort_Spa_Convention_Center-Ixtapa_Zihuatanejo_de_Azueta_Paci.html" TargetMode="External"/><Relationship Id="rId398" Type="http://schemas.openxmlformats.org/officeDocument/2006/relationships/hyperlink" Target="https://www.tripadvisor.ca/Hotel_Review-g1184698-d651208-Reviews-The_Verandah_Resort_Spa-Saint_Philips_Saint_Philip_Parish_Antigua_Antigua_and_Barbuda.html" TargetMode="External"/><Relationship Id="rId155" Type="http://schemas.openxmlformats.org/officeDocument/2006/relationships/hyperlink" Target="https://www.tripadvisor.ca/Hotel_Review-g23594254-d12212865-Reviews-Catalonia_Royal_La_Romana_Adults_Only-Dominicus_Bayahibe_La_Altagracia_Province_Dom.html" TargetMode="External"/><Relationship Id="rId276" Type="http://schemas.openxmlformats.org/officeDocument/2006/relationships/hyperlink" Target="https://www.tripadvisor.ca/Hotel_Review-g660724-d6535647-Reviews-Hyatt_Ziva_Rose_Hall-Rose_Hall_Montego_Bay_Saint_James_Parish_Jamaica.html" TargetMode="External"/><Relationship Id="rId397" Type="http://schemas.openxmlformats.org/officeDocument/2006/relationships/hyperlink" Target="https://www.tripadvisor.ca/Hotel_Review-g15584949-d9698509-Reviews-Breathless_Riviera_Cancun_Resort_Spa-Joaquin_Zetina_Gasca_Puerto_Morelos_Yucatan_Pen.html" TargetMode="External"/><Relationship Id="rId40" Type="http://schemas.openxmlformats.org/officeDocument/2006/relationships/hyperlink" Target="https://www.tripadvisor.ca/Hotel_Review-g309268-d25010868-Reviews-Hotel_Serendipity_Tortuguero-Tortuguero_Province_of_Limon.html" TargetMode="External"/><Relationship Id="rId42" Type="http://schemas.openxmlformats.org/officeDocument/2006/relationships/hyperlink" Target="https://www.tripadvisor.ca/Hotel_Review-g642244-d17573572-Reviews-Iberostar_Coral_Ensenachos-Cayo_Ensenachos_Cuba.html" TargetMode="External"/><Relationship Id="rId41" Type="http://schemas.openxmlformats.org/officeDocument/2006/relationships/hyperlink" Target="https://www.tripadvisor.ca/Hotel_Review-g147249-d150689-Reviews-Manchebo_Beach_Resort_Spa-Palm_Eagle_Beach_Aruba.html" TargetMode="External"/><Relationship Id="rId44" Type="http://schemas.openxmlformats.org/officeDocument/2006/relationships/hyperlink" Target="https://www.tripadvisor.ca/Hotel_Review-g147345-d149078-Reviews-Sugar_Beach_A_Viceroy_Resort-Soufriere_Soufriere_Quarter_St_Lucia.html" TargetMode="External"/><Relationship Id="rId43" Type="http://schemas.openxmlformats.org/officeDocument/2006/relationships/hyperlink" Target="https://www.tripadvisor.ca/Hotel_Review-g2705982-d150079-Reviews-Galley_Bay_Resort_Spa-Five_Islands_Village_Saint_John_Parish_Antigua_Antigua_and_Barbu.html" TargetMode="External"/><Relationship Id="rId46" Type="http://schemas.openxmlformats.org/officeDocument/2006/relationships/hyperlink" Target="https://www.tripadvisor.ca/Hotel_Review-g660724-d1167103-Reviews-JOIA_Rose_Hall_by_Iberostar-Rose_Hall_Montego_Bay_Saint_James_Parish_Jamaica.html" TargetMode="External"/><Relationship Id="rId45" Type="http://schemas.openxmlformats.org/officeDocument/2006/relationships/hyperlink" Target="https://www.tripadvisor.ca/Hotel_Review-g3198845-d774804-Reviews-Valentin_Imperial_Riviera_Maya-Playa_del_Secreto_Playa_del_Carmen_Yucatan_Peninsula.html" TargetMode="External"/><Relationship Id="rId48" Type="http://schemas.openxmlformats.org/officeDocument/2006/relationships/hyperlink" Target="https://www.tripadvisor.ca/Hotel_Review-g1892998-d538172-Reviews-COCOS_Hotel_Antigua-Jolly_Harbour_Saint_Mary_Parish_Antigua_Antigua_and_Barbuda.html" TargetMode="External"/><Relationship Id="rId47" Type="http://schemas.openxmlformats.org/officeDocument/2006/relationships/hyperlink" Target="https://www.tripadvisor.ca/Hotel_Review-g240327-d5247722-Reviews-Grand_Residences_Riviera_Cancun_a_Registry_Collection_Hotel-Puerto_Morelos_Yucatan_Pen.html" TargetMode="External"/><Relationship Id="rId49" Type="http://schemas.openxmlformats.org/officeDocument/2006/relationships/hyperlink" Target="https://www.tripadvisor.ca/Hotel_Review-g4053317-d1010527-Reviews-El_Dorado_Maroma-Playa_Maroma_Playa_del_Carmen_Yucatan_Peninsula.html" TargetMode="External"/><Relationship Id="rId31" Type="http://schemas.openxmlformats.org/officeDocument/2006/relationships/hyperlink" Target="https://www.tripadvisor.ca/Hotel_Review-g1184718-d148274-Reviews-Curtain_Bluff-Saint_Mary_s_Antigua_Antigua_and_Barbuda.html" TargetMode="External"/><Relationship Id="rId30" Type="http://schemas.openxmlformats.org/officeDocument/2006/relationships/hyperlink" Target="https://www.tripadvisor.ca/Hotel_Review-g12296642-d25267098-Reviews-Cayo_Levantado_Resort-Cayo_Levantado_Samana_Province_Dominican_Republic.html" TargetMode="External"/><Relationship Id="rId33" Type="http://schemas.openxmlformats.org/officeDocument/2006/relationships/hyperlink" Target="https://www.tripadvisor.ca/Hotel_Review-g1184718-d634067-Reviews-Hermitage_Bay-Saint_Mary_s_Antigua_Antigua_and_Barbuda.html" TargetMode="External"/><Relationship Id="rId32" Type="http://schemas.openxmlformats.org/officeDocument/2006/relationships/hyperlink" Target="https://www.tripadvisor.ca/Hotel_Review-g150793-d155190-Reviews-Casa_Velas-Puerto_Vallarta.html" TargetMode="External"/><Relationship Id="rId35" Type="http://schemas.openxmlformats.org/officeDocument/2006/relationships/hyperlink" Target="https://www.tripadvisor.ca/Hotel_Review-g4053317-d1007582-Reviews-Secrets_Maroma_Beach_Riviera_Cancun-Playa_Maroma_Playa_del_Carmen_Yucatan_Peninsula.html" TargetMode="External"/><Relationship Id="rId34" Type="http://schemas.openxmlformats.org/officeDocument/2006/relationships/hyperlink" Target="https://www.tripadvisor.ca/Hotel_Review-g1457345-d1454311-Reviews-Keyonna_Beach_Resort-Turners_Beach_Saint_Mary_Parish_Antigua_Antigua_and_Barbuda.html" TargetMode="External"/><Relationship Id="rId37" Type="http://schemas.openxmlformats.org/officeDocument/2006/relationships/hyperlink" Target="https://www.tripadvisor.ca/Hotel_Review-g150807-d154868-Reviews-Le_Blanc_Spa_Resort_Cancun-Cancun_Yucatan_Peninsula.html" TargetMode="External"/><Relationship Id="rId36" Type="http://schemas.openxmlformats.org/officeDocument/2006/relationships/hyperlink" Target="https://www.tripadvisor.ca/Hotel_Review-g16884615-d16663802-Reviews-Hyatt_Ziva_Cap_Cana-Cap_Cana_Punta_Cana_La_Altagracia_Province_Dominican_Republic.html" TargetMode="External"/><Relationship Id="rId39" Type="http://schemas.openxmlformats.org/officeDocument/2006/relationships/hyperlink" Target="https://www.tripadvisor.ca/Hotel_Review-g1229340-d15144755-Reviews-Atelier_Playa_Mujeres-Playa_Mujeres_Costa_Mujeres_Yucatan_Peninsula.html" TargetMode="External"/><Relationship Id="rId38" Type="http://schemas.openxmlformats.org/officeDocument/2006/relationships/hyperlink" Target="https://www.tripadvisor.ca/Hotel_Review-g1931394-d270565-Reviews-BodyHoliday_Saint_Lucia-Cap_Estate_Gros_Islet_Quarter_St_Lucia.html" TargetMode="External"/><Relationship Id="rId20" Type="http://schemas.openxmlformats.org/officeDocument/2006/relationships/hyperlink" Target="https://www.tripadvisor.ca/Hotel_Review-g147345-d623374-Reviews-Jade_Mountain_Resort-Soufriere_Soufriere_Quarter_St_Lucia.html" TargetMode="External"/><Relationship Id="rId22" Type="http://schemas.openxmlformats.org/officeDocument/2006/relationships/hyperlink" Target="https://www.tripadvisor.ca/Hotel_Review-g16884615-d16663786-Reviews-Hyatt_Zilara_Cap_Cana-Cap_Cana_Punta_Cana_La_Altagracia_Province_Dominican_Republic.html" TargetMode="External"/><Relationship Id="rId21" Type="http://schemas.openxmlformats.org/officeDocument/2006/relationships/hyperlink" Target="https://www.tripadvisor.ca/Hotel_Review-g1229340-d649432-Reviews-Excellence_Playa_Mujeres-Playa_Mujeres_Costa_Mujeres_Yucatan_Peninsula.html" TargetMode="External"/><Relationship Id="rId24" Type="http://schemas.openxmlformats.org/officeDocument/2006/relationships/hyperlink" Target="https://www.tripadvisor.ca/Hotel_Review-g150812-d1204526-Reviews-Grand_Velas_Riviera_Maya-Playa_del_Carmen_Yucatan_Peninsula.html" TargetMode="External"/><Relationship Id="rId23" Type="http://schemas.openxmlformats.org/officeDocument/2006/relationships/hyperlink" Target="https://www.tripadvisor.ca/Hotel_Review-g154267-d283703-Reviews-Grand_Velas_Riviera_Nayarit-Nuevo_Vallarta_Pacific_Coast.html" TargetMode="External"/><Relationship Id="rId409" Type="http://schemas.openxmlformats.org/officeDocument/2006/relationships/hyperlink" Target="https://www.tripadvisor.ca/Hotel_Review-g150807-d2034192-Reviews-GR_Caribe_By_Solaris-Cancun_Yucatan_Peninsula.html" TargetMode="External"/><Relationship Id="rId404" Type="http://schemas.openxmlformats.org/officeDocument/2006/relationships/hyperlink" Target="https://www.tripadvisor.ca/Hotel_Review-g147343-d214167-Reviews-Sandals_Regency_La_Toc-Castries_Castries_Quarter_St_Lucia.html" TargetMode="External"/><Relationship Id="rId403" Type="http://schemas.openxmlformats.org/officeDocument/2006/relationships/hyperlink" Target="https://www.tripadvisor.ca/Hotel_Review-g147293-d10472272-Reviews-Bahia_Principe_Fantasia_Punta_Cana-Punta_Cana_La_Altagracia_Province_Dominican_Republ.html" TargetMode="External"/><Relationship Id="rId402" Type="http://schemas.openxmlformats.org/officeDocument/2006/relationships/hyperlink" Target="https://www.tripadvisor.ca/Hotel_Review-g3176298-d292867-Reviews-Caribe_Deluxe_Princess-Bavaro_Punta_Cana_La_Altagracia_Province_Dominican_Republic.html" TargetMode="External"/><Relationship Id="rId401" Type="http://schemas.openxmlformats.org/officeDocument/2006/relationships/hyperlink" Target="https://www.tripadvisor.ca/Hotel_Review-g150792-d27248493-Reviews-Dreams_Estrella_del_Mar_Mazatlan_Golf_Spa_Resort-Mazatlan_Pacific_Coast.html" TargetMode="External"/><Relationship Id="rId408" Type="http://schemas.openxmlformats.org/officeDocument/2006/relationships/hyperlink" Target="https://www.tripadvisor.ca/Hotel_Review-g910817-d294597-Reviews-Playa_Pesquero_Hotel-Rafael_Freyre_Holguin_Province_Cuba.html" TargetMode="External"/><Relationship Id="rId407" Type="http://schemas.openxmlformats.org/officeDocument/2006/relationships/hyperlink" Target="https://www.tripadvisor.ca/Hotel_Review-g910832-d256423-Reviews-Sol_Rio_de_Luna_y_Mares-Guardalavaca_Holguin_Province_Cuba.html" TargetMode="External"/><Relationship Id="rId406" Type="http://schemas.openxmlformats.org/officeDocument/2006/relationships/hyperlink" Target="https://www.tripadvisor.ca/Hotel_Review-g1906053-d147776-Reviews-Tamarind_by_Elegant_Hotels_All_Inclusive-Paynes_Bay_Saint_James_Parish_Barbados.html" TargetMode="External"/><Relationship Id="rId405" Type="http://schemas.openxmlformats.org/officeDocument/2006/relationships/hyperlink" Target="https://www.tripadvisor.ca/Hotel_Review-g1722406-d263042-Reviews-Wyndham_Reef_Resort-East_End_Grand_Cayman_Cayman_Islands.html" TargetMode="External"/><Relationship Id="rId26" Type="http://schemas.openxmlformats.org/officeDocument/2006/relationships/hyperlink" Target="https://www.tripadvisor.ca/Hotel_Review-g240327-d499896-Reviews-Excellence_Riviera_Cancun-Puerto_Morelos_Yucatan_Peninsula.html" TargetMode="External"/><Relationship Id="rId25" Type="http://schemas.openxmlformats.org/officeDocument/2006/relationships/hyperlink" Target="https://www.tripadvisor.ca/Hotel_Review-g1182535-d148386-Reviews-Spice_Island_Beach_Resort-Grand_Anse_South_Coast_Saint_George_Parish_Grenada.html" TargetMode="External"/><Relationship Id="rId28" Type="http://schemas.openxmlformats.org/officeDocument/2006/relationships/hyperlink" Target="https://www.tripadvisor.ca/Hotel_Review-g147313-d184421-Reviews-The_Caves-Negril_Westmoreland_Parish_Jamaica.html" TargetMode="External"/><Relationship Id="rId27" Type="http://schemas.openxmlformats.org/officeDocument/2006/relationships/hyperlink" Target="https://www.tripadvisor.ca/Hotel_Review-g663501-d647536-Reviews-Iberostar_Grand_Paraiso-Playa_Paraiso_Playa_del_Carmen_Yucatan_Peninsula.html" TargetMode="External"/><Relationship Id="rId400" Type="http://schemas.openxmlformats.org/officeDocument/2006/relationships/hyperlink" Target="https://www.tripadvisor.ca/Hotel_Review-g317145-d207897-Reviews-Coral_Costa_Caribe_Beach_Resort-Juan_Dolio_San_Pedro_de_Macoris_Province_Dominican_Repu.html" TargetMode="External"/><Relationship Id="rId29" Type="http://schemas.openxmlformats.org/officeDocument/2006/relationships/hyperlink" Target="https://www.tripadvisor.ca/Hotel_Review-g3176298-d1233228-Reviews-Iberostar_Grand_Bavaro-Bavaro_Punta_Cana_La_Altagracia_Province_Dominican_Republic.html" TargetMode="External"/><Relationship Id="rId11" Type="http://schemas.openxmlformats.org/officeDocument/2006/relationships/hyperlink" Target="https://www.tripadvisor.ca/Hotel_Review-g17756453-d15521560-Reviews-Ambergris_Cay_Private_Island_All_Inclusive-Big_Ambergris_Cay_Turks_and_Caicos.html" TargetMode="External"/><Relationship Id="rId10" Type="http://schemas.openxmlformats.org/officeDocument/2006/relationships/hyperlink" Target="https://www.tripadvisor.ca/Hotel_Review-g2102288-d148801-Reviews-Calabash_Hotel-Lance_aux_Epines_Saint_George_Parish_Grenada.html" TargetMode="External"/><Relationship Id="rId13" Type="http://schemas.openxmlformats.org/officeDocument/2006/relationships/hyperlink" Target="https://www.tripadvisor.ca/Hotel_Review-g1229340-d1180633-Reviews-Beloved_Playa_Mujeres-Playa_Mujeres_Costa_Mujeres_Yucatan_Peninsula.html" TargetMode="External"/><Relationship Id="rId12" Type="http://schemas.openxmlformats.org/officeDocument/2006/relationships/hyperlink" Target="https://www.tripadvisor.ca/Hotel_Review-g150812-d23651944-Reviews-La_Casa_de_La_Playa-Playa_del_Carmen_Yucatan_Peninsula.html" TargetMode="External"/><Relationship Id="rId15" Type="http://schemas.openxmlformats.org/officeDocument/2006/relationships/hyperlink" Target="https://www.tripadvisor.ca/Hotel_Review-g150812-d16859032-Reviews-Palmaia_The_House_of_AiA_All_Inclusive_Wellness_Resort-Playa_del_Carmen_Yucatan_Penin.html" TargetMode="External"/><Relationship Id="rId14" Type="http://schemas.openxmlformats.org/officeDocument/2006/relationships/hyperlink" Target="https://www.tripadvisor.ca/Hotel_Review-g147425-d149298-Reviews-Small_Hope_Bay_Lodge-Andros_Out_Islands_Bahamas.html" TargetMode="External"/><Relationship Id="rId17" Type="http://schemas.openxmlformats.org/officeDocument/2006/relationships/hyperlink" Target="https://www.tripadvisor.ca/Hotel_Review-g313830-d7080041-Reviews-Drake_Bay_Getaway_Resort-Drake_Bay_Osa_Peninsula_Province_of_Puntarenas.html" TargetMode="External"/><Relationship Id="rId16" Type="http://schemas.openxmlformats.org/officeDocument/2006/relationships/hyperlink" Target="https://www.tripadvisor.ca/Hotel_Review-g150812-d17676128-Reviews-Palafitos_Overwater_Bungalows-Playa_del_Carmen_Yucatan_Peninsula.html" TargetMode="External"/><Relationship Id="rId19" Type="http://schemas.openxmlformats.org/officeDocument/2006/relationships/hyperlink" Target="https://www.tripadvisor.ca/Hotel_Review-g150773-d26688019-Reviews-Grand_Velas_Boutique_Hotel_Los_Cabos-Los_Cabos_Baja_California.html" TargetMode="External"/><Relationship Id="rId18" Type="http://schemas.openxmlformats.org/officeDocument/2006/relationships/hyperlink" Target="https://www.tripadvisor.ca/Hotel_Review-g26829253-d148078-Reviews-Jumby_Bay_Island_An_Oetker_Collection_Hotel-Long_Island_Antigua_Antigua_and_Barbuda.html" TargetMode="External"/><Relationship Id="rId84" Type="http://schemas.openxmlformats.org/officeDocument/2006/relationships/hyperlink" Target="https://www.tripadvisor.ca/Hotel_Review-g2441050-d19092655-Reviews-Club_Med_Miches_Playa_Esmeralda_Dominican_Republic-Miches_El_Seibo_Province_Dominica.html" TargetMode="External"/><Relationship Id="rId83" Type="http://schemas.openxmlformats.org/officeDocument/2006/relationships/hyperlink" Target="https://www.tripadvisor.ca/Hotel_Review-g150807-d506374-Reviews-Live_Aqua_Beach_Resort_Cancun-Cancun_Yucatan_Peninsula.html" TargetMode="External"/><Relationship Id="rId86" Type="http://schemas.openxmlformats.org/officeDocument/2006/relationships/hyperlink" Target="https://www.tripadvisor.ca/Hotel_Review-g150809-d153002-Reviews-Cozumel_Palace-Cozumel_Yucatan_Peninsula.html" TargetMode="External"/><Relationship Id="rId85" Type="http://schemas.openxmlformats.org/officeDocument/2006/relationships/hyperlink" Target="https://www.tripadvisor.ca/Hotel_Review-g1889167-d184439-Reviews-Bluefields_Bay_Villas-Bluefields_Westmoreland_Parish_Jamaica.html" TargetMode="External"/><Relationship Id="rId88" Type="http://schemas.openxmlformats.org/officeDocument/2006/relationships/hyperlink" Target="https://www.tripadvisor.ca/Hotel_Review-g150807-d152681-Reviews-Grand_Fiesta_Americana_Coral_Beach_Cancun_All_Inclusive-Cancun_Yucatan_Peninsula.html" TargetMode="External"/><Relationship Id="rId87" Type="http://schemas.openxmlformats.org/officeDocument/2006/relationships/hyperlink" Target="https://www.tripadvisor.ca/Hotel_Review-g16884615-d1022212-Reviews-Sanctuary_Cap_Cana_A_Luxury_Collection_Resort_Dominican_Republic_Adult_All_inclusive.html" TargetMode="External"/><Relationship Id="rId89" Type="http://schemas.openxmlformats.org/officeDocument/2006/relationships/hyperlink" Target="https://www.tripadvisor.ca/Hotel_Review-g612473-d12605999-Reviews-Excellence_Oyster_Bay-Falmouth_Trelawny_Parish_Jamaica.html" TargetMode="External"/><Relationship Id="rId80" Type="http://schemas.openxmlformats.org/officeDocument/2006/relationships/hyperlink" Target="https://www.tripadvisor.ca/Hotel_Review-g7983226-d26685809-Reviews-Hotel_Mousai_Cancun-Punta_Sam_Costa_Mujeres_Yucatan_Peninsula.html" TargetMode="External"/><Relationship Id="rId82" Type="http://schemas.openxmlformats.org/officeDocument/2006/relationships/hyperlink" Target="https://www.tripadvisor.ca/Hotel_Review-g147345-d148994-Reviews-Anse_Chastanet-Soufriere_Soufriere_Quarter_St_Lucia.html" TargetMode="External"/><Relationship Id="rId81" Type="http://schemas.openxmlformats.org/officeDocument/2006/relationships/hyperlink" Target="https://www.tripadvisor.ca/Hotel_Review-g152515-d1866479-Reviews-Grand_Solmar_Land_s_End_Resort_Spa-Cabo_San_Lucas_Los_Cabos_Baja_California.html" TargetMode="External"/><Relationship Id="rId73" Type="http://schemas.openxmlformats.org/officeDocument/2006/relationships/hyperlink" Target="https://www.tripadvisor.ca/Hotel_Review-g150807-d15152197-Reviews-Coral_Level_at_Iberostar_Selection_Cancun-Cancun_Yucatan_Peninsula.html" TargetMode="External"/><Relationship Id="rId72" Type="http://schemas.openxmlformats.org/officeDocument/2006/relationships/hyperlink" Target="https://www.tripadvisor.ca/Hotel_Review-g150812-d25179780-Reviews-Impression_Moxche_by_Secrets-Playa_del_Carmen_Yucatan_Peninsula.html" TargetMode="External"/><Relationship Id="rId75" Type="http://schemas.openxmlformats.org/officeDocument/2006/relationships/hyperlink" Target="https://www.tripadvisor.ca/Hotel_Review-g150793-d6002592-Reviews-Hotel_Mousai_Puerto_Vallarta-Puerto_Vallarta.html" TargetMode="External"/><Relationship Id="rId74" Type="http://schemas.openxmlformats.org/officeDocument/2006/relationships/hyperlink" Target="https://www.tripadvisor.ca/Hotel_Review-g150807-d642781-Reviews-Hyatt_Zilara_Cancun-Cancun_Yucatan_Peninsula.html" TargetMode="External"/><Relationship Id="rId77" Type="http://schemas.openxmlformats.org/officeDocument/2006/relationships/hyperlink" Target="https://www.tripadvisor.ca/Hotel_Review-g147292-d149217-Reviews-Casa_de_Campo_Resort_Villas-La_Romana_La_Romana_Province_Dominican_Republic.html" TargetMode="External"/><Relationship Id="rId76" Type="http://schemas.openxmlformats.org/officeDocument/2006/relationships/hyperlink" Target="https://www.tripadvisor.ca/Hotel_Review-g12900715-d983682-Reviews-TRS_Yucatan_Hotel-Solidaridad_Yucatan_Peninsula.html" TargetMode="External"/><Relationship Id="rId79" Type="http://schemas.openxmlformats.org/officeDocument/2006/relationships/hyperlink" Target="https://www.tripadvisor.ca/Hotel_Review-g666625-d19852380-Reviews-Gran_Muthu_Rainbow_Hotel-Cayo_Guillermo_Jardines_del_Rey_Archipelago_Ciego_de_Avila_P.html" TargetMode="External"/><Relationship Id="rId78" Type="http://schemas.openxmlformats.org/officeDocument/2006/relationships/hyperlink" Target="https://www.tripadvisor.ca/Hotel_Review-g150812-d23353929-Reviews-Hotel_Xcaret_Arte-Playa_del_Carmen_Yucatan_Peninsula.html" TargetMode="External"/><Relationship Id="rId71" Type="http://schemas.openxmlformats.org/officeDocument/2006/relationships/hyperlink" Target="https://www.tripadvisor.ca/Hotel_Review-g152516-d13342469-Reviews-Le_Blanc_Spa_Resort_Los_Cabos-San_Jose_del_Cabo_Los_Cabos_Baja_California.html" TargetMode="External"/><Relationship Id="rId70" Type="http://schemas.openxmlformats.org/officeDocument/2006/relationships/hyperlink" Target="https://www.tripadvisor.ca/Hotel_Review-g147275-d535717-Reviews-Iberostar_Selection_Varadero-Varadero_Matanzas_Province_Cuba.html" TargetMode="External"/><Relationship Id="rId62" Type="http://schemas.openxmlformats.org/officeDocument/2006/relationships/hyperlink" Target="https://www.tripadvisor.ca/Hotel_Review-g499455-d17424258-Reviews-Barcelo_Maya_Riviera-Xpu_Ha_Yucatan_Peninsula.html" TargetMode="External"/><Relationship Id="rId61" Type="http://schemas.openxmlformats.org/officeDocument/2006/relationships/hyperlink" Target="https://www.tripadvisor.ca/Hotel_Review-g3200043-d8709413-Reviews-Excellence_El_Carmen-Uvero_Alto_Punta_Cana_La_Altagracia_Province_Dominican_Republic.html" TargetMode="External"/><Relationship Id="rId64" Type="http://schemas.openxmlformats.org/officeDocument/2006/relationships/hyperlink" Target="https://www.tripadvisor.ca/Hotel_Review-g1632727-d153132-Reviews-The_Explorean_Kohunlich-Escarcega_Yucatan_Peninsula.html" TargetMode="External"/><Relationship Id="rId63" Type="http://schemas.openxmlformats.org/officeDocument/2006/relationships/hyperlink" Target="https://www.tripadvisor.ca/Hotel_Review-g147293-d20410547-Reviews-Finest_Punta_Cana_By_The_Excellence_Collection_All_Inclusive-Punta_Cana_La_Altagracia.html" TargetMode="External"/><Relationship Id="rId66" Type="http://schemas.openxmlformats.org/officeDocument/2006/relationships/hyperlink" Target="https://www.tripadvisor.ca/Hotel_Review-g616296-d1389615-Reviews-Petite_Anse_Hotel-Saint_Patrick_Parish_Grenada.html" TargetMode="External"/><Relationship Id="rId65" Type="http://schemas.openxmlformats.org/officeDocument/2006/relationships/hyperlink" Target="https://www.tripadvisor.ca/Hotel_Review-g1229340-d6966139-Reviews-Finest_Playa_Mujeres-Playa_Mujeres_Costa_Mujeres_Yucatan_Peninsula.html" TargetMode="External"/><Relationship Id="rId68" Type="http://schemas.openxmlformats.org/officeDocument/2006/relationships/hyperlink" Target="https://www.tripadvisor.ca/Hotel_Review-g147312-d483838-Reviews-Sandals_Royal_Plantation-Ocho_Rios_Saint_Ann_Parish_Jamaica.html" TargetMode="External"/><Relationship Id="rId67" Type="http://schemas.openxmlformats.org/officeDocument/2006/relationships/hyperlink" Target="https://www.tripadvisor.ca/Hotel_Review-g240327-d282105-Reviews-Desire_Riviera_Maya_Resort-Puerto_Morelos_Yucatan_Peninsula.html" TargetMode="External"/><Relationship Id="rId60" Type="http://schemas.openxmlformats.org/officeDocument/2006/relationships/hyperlink" Target="https://www.tripadvisor.ca/Hotel_Review-g147293-d218524-Reviews-Excellence_Punta_Cana-Punta_Cana_La_Altagracia_Province_Dominican_Republic.html" TargetMode="External"/><Relationship Id="rId69" Type="http://schemas.openxmlformats.org/officeDocument/2006/relationships/hyperlink" Target="https://www.tripadvisor.ca/Hotel_Review-g656909-d11929569-Reviews-Sailrock_South_Caicos-South_Caicos_Turks_and_Caicos.html" TargetMode="External"/><Relationship Id="rId51" Type="http://schemas.openxmlformats.org/officeDocument/2006/relationships/hyperlink" Target="https://www.tripadvisor.ca/Hotel_Review-g16884615-d10175054-Reviews-Secrets_Cap_Cana_Resort_Spa-Cap_Cana_Punta_Cana_La_Altagracia_Province_Dominican_Re.html" TargetMode="External"/><Relationship Id="rId50" Type="http://schemas.openxmlformats.org/officeDocument/2006/relationships/hyperlink" Target="https://www.tripadvisor.ca/Hotel_Review-g240327-d2641451-Reviews-Desire_Riviera_Maya_Pearl_Resort-Puerto_Morelos_Yucatan_Peninsula.html" TargetMode="External"/><Relationship Id="rId53" Type="http://schemas.openxmlformats.org/officeDocument/2006/relationships/hyperlink" Target="https://www.tripadvisor.ca/Hotel_Review-g150812-d574376-Reviews-Fairmont_Mayakoba-Playa_del_Carmen_Yucatan_Peninsula.html" TargetMode="External"/><Relationship Id="rId52" Type="http://schemas.openxmlformats.org/officeDocument/2006/relationships/hyperlink" Target="https://www.tripadvisor.ca/Hotel_Review-g152516-d1534912-Reviews-Zoetry_Casa_del_Mar_Los_Cabos-San_Jose_del_Cabo_Los_Cabos_Baja_California.html" TargetMode="External"/><Relationship Id="rId55" Type="http://schemas.openxmlformats.org/officeDocument/2006/relationships/hyperlink" Target="https://www.tripadvisor.ca/Hotel_Review-g580450-d266729-Reviews-Melia_Cayo_Coco-Cayo_Coco_Jardines_del_Rey_Archipelago_Ciego_de_Avila_Province_Cuba.html" TargetMode="External"/><Relationship Id="rId54" Type="http://schemas.openxmlformats.org/officeDocument/2006/relationships/hyperlink" Target="https://www.tripadvisor.ca/Hotel_Review-g2307447-d147496-Reviews-Round_Hill_Hotel_and_Villas-Hopewell_Montego_Bay_Saint_James_Parish_Jamaica.html" TargetMode="External"/><Relationship Id="rId57" Type="http://schemas.openxmlformats.org/officeDocument/2006/relationships/hyperlink" Target="https://www.tripadvisor.ca/Hotel_Review-g499445-d8285376-Reviews-Secrets_Akumal_Riviera_Maya-Akumal_Yucatan_Peninsula.html" TargetMode="External"/><Relationship Id="rId56" Type="http://schemas.openxmlformats.org/officeDocument/2006/relationships/hyperlink" Target="https://www.tripadvisor.ca/Hotel_Review-g147354-d147883-Reviews-Sugar_Mill_Hotel-Tortola_British_Virgin_Islands.html" TargetMode="External"/><Relationship Id="rId59" Type="http://schemas.openxmlformats.org/officeDocument/2006/relationships/hyperlink" Target="https://www.tripadvisor.com/Hotel_Review-g34393-d113467-Reviews-Little_Palm_Island_Resort_Spa-Little_Torch_Key_Lower_Keys_Florida_Keys_Florida.html" TargetMode="External"/><Relationship Id="rId58" Type="http://schemas.openxmlformats.org/officeDocument/2006/relationships/hyperlink" Target="https://www.tripadvisor.ca/Hotel_Review-g147278-d1519028-Reviews-Baoase_Luxury_Resort-Willemstad_Curacao.html" TargetMode="External"/><Relationship Id="rId107" Type="http://schemas.openxmlformats.org/officeDocument/2006/relationships/hyperlink" Target="https://www.tripadvisor.ca/Hotel_Review-g150807-d13499839-Reviews-Haven_Riviera_Cancun-Cancun_Yucatan_Peninsula.html" TargetMode="External"/><Relationship Id="rId228" Type="http://schemas.openxmlformats.org/officeDocument/2006/relationships/hyperlink" Target="https://www.tripadvisor.ca/Hotel_Review-g635535-d301221-Reviews-Secrets_Papagayo_Costa_Rica-Gulf_of_Papagayo_Province_of_Guanacaste.html" TargetMode="External"/><Relationship Id="rId349" Type="http://schemas.openxmlformats.org/officeDocument/2006/relationships/hyperlink" Target="https://www.tripadvisor.ca/Hotel_Review-g7983226-d1917247-Reviews-Villa_Del_Palmar_Cancun_Luxury_Beach_Resort_Spa-Punta_Sam_Costa_Mujeres_Yucatan_Penin.html" TargetMode="External"/><Relationship Id="rId106" Type="http://schemas.openxmlformats.org/officeDocument/2006/relationships/hyperlink" Target="https://www.tripadvisor.ca/Hotel_Review-g150812-d23373079-Reviews-Paradisus_La_Perla_Adults_Only_Riviera_Maya-Playa_del_Carmen_Yucatan_Peninsula.html" TargetMode="External"/><Relationship Id="rId227" Type="http://schemas.openxmlformats.org/officeDocument/2006/relationships/hyperlink" Target="https://www.tripadvisor.com/Hotel_Review-g154267-d154718-Reviews-Hard_Rock_Hotel_Vallarta-Nuevo_Vallarta_Pacific_Coast.html" TargetMode="External"/><Relationship Id="rId348" Type="http://schemas.openxmlformats.org/officeDocument/2006/relationships/hyperlink" Target="https://www.tripadvisor.ca/Hotel_Review-g946443-d150701-Reviews-Mango_Bay_Hotel-Holetown_Saint_James_Parish_Barbados.html" TargetMode="External"/><Relationship Id="rId105" Type="http://schemas.openxmlformats.org/officeDocument/2006/relationships/hyperlink" Target="https://www.tripadvisor.ca/Hotel_Review-g25226430-d26656550-Reviews-Serenade_All_Suites-Cabeza_De_Toro_Punta_Cana_La_Altagracia_Province_Dominican_Repu.html" TargetMode="External"/><Relationship Id="rId226" Type="http://schemas.openxmlformats.org/officeDocument/2006/relationships/hyperlink" Target="https://www.tripadvisor.ca/Hotel_Review-g303461-d1796680-Reviews-The_Westin_Porto_de_Galinhas_All_inclusive-Porto_de_Galinhas_Ipojuca_State_of_Pernambu.html" TargetMode="External"/><Relationship Id="rId347" Type="http://schemas.openxmlformats.org/officeDocument/2006/relationships/hyperlink" Target="https://www.tripadvisor.ca/Hotel_Review-g147248-d150688-Reviews-Divi_Aruba_All_Inclusive-Oranjestad_Aruba.html" TargetMode="External"/><Relationship Id="rId104" Type="http://schemas.openxmlformats.org/officeDocument/2006/relationships/hyperlink" Target="https://www.tripadvisor.ca/Hotel_Review-g150812-d13189438-Reviews-Hotel_Xcaret_Mexico-Playa_del_Carmen_Yucatan_Peninsula.html" TargetMode="External"/><Relationship Id="rId225" Type="http://schemas.openxmlformats.org/officeDocument/2006/relationships/hyperlink" Target="https://www.tripadvisor.ca/Hotel_Review-g150793-d1917232-Reviews-Sunset_Plaza_Beach_Resort-Puerto_Vallarta.html" TargetMode="External"/><Relationship Id="rId346" Type="http://schemas.openxmlformats.org/officeDocument/2006/relationships/hyperlink" Target="https://www.tripadvisor.ca/Hotel_Review-g240327-d1550490-Reviews-Dreams_Riviera_Cancun_Resort_Spa-Puerto_Morelos_Yucatan_Peninsula.html" TargetMode="External"/><Relationship Id="rId109" Type="http://schemas.openxmlformats.org/officeDocument/2006/relationships/hyperlink" Target="https://www.tripadvisor.ca/Hotel_Review-g659488-d6454138-Reviews-Premium_Level_at_Barcelo_Maya_Palace-Riviera_Maya_Yucatan_Peninsula.html" TargetMode="External"/><Relationship Id="rId108" Type="http://schemas.openxmlformats.org/officeDocument/2006/relationships/hyperlink" Target="https://www.tripadvisor.ca/Hotel_Review-g3176298-d9580294-Reviews-Majestic_Mirage_Punta_Cana-Bavaro_Punta_Cana_La_Altagracia_Province_Dominican_Republi.html" TargetMode="External"/><Relationship Id="rId229" Type="http://schemas.openxmlformats.org/officeDocument/2006/relationships/hyperlink" Target="https://www.tripadvisor.ca/Hotel_Review-g499443-d4778666-Reviews-Iberostar_Selection_Playa_Mita-Punta_de_Mita_Pacific_Coast.html" TargetMode="External"/><Relationship Id="rId220" Type="http://schemas.openxmlformats.org/officeDocument/2006/relationships/hyperlink" Target="https://www.tripadvisor.ca/Hotel_Review-g147293-d1199681-Reviews-Bahia_Principe_Luxury_Ambar-Punta_Cana_La_Altagracia_Province_Dominican_Republic.html" TargetMode="External"/><Relationship Id="rId341" Type="http://schemas.openxmlformats.org/officeDocument/2006/relationships/hyperlink" Target="https://www.tripadvisor.ca/Hotel_Review-g147293-d1533216-Reviews-Vik_Hotel_Cayena_Beach-Punta_Cana_La_Altagracia_Province_Dominican_Republic.html" TargetMode="External"/><Relationship Id="rId340" Type="http://schemas.openxmlformats.org/officeDocument/2006/relationships/hyperlink" Target="https://www.tripadvisor.ca/Hotel_Review-g147293-d25219833-Reviews-Wyndham_Alltra_Punta_Cana-Punta_Cana_La_Altagracia_Province_Dominican_Republic.html" TargetMode="External"/><Relationship Id="rId103" Type="http://schemas.openxmlformats.org/officeDocument/2006/relationships/hyperlink" Target="https://www.tripadvisor.ca/Hotel_Review-g8843287-d887223-Reviews-The_Landings_Resort_and_Spa-Rodney_Bay_Gros_Islet_Quarter_St_Lucia.html" TargetMode="External"/><Relationship Id="rId224" Type="http://schemas.openxmlformats.org/officeDocument/2006/relationships/hyperlink" Target="https://www.tripadvisor.ca/Hotel_Review-g240327-d23688770-Reviews-Ventus_Ha_at_Marina_El_Cid_Spa_Beach_Resort-Puerto_Morelos_Yucatan_Peninsula.html" TargetMode="External"/><Relationship Id="rId345" Type="http://schemas.openxmlformats.org/officeDocument/2006/relationships/hyperlink" Target="https://www.tripadvisor.ca/Hotel_Review-g240327-d28213141-Reviews-Paraiso_De_La_Bonita_A_Luxury_Collection_Resort_Riviera_Maya_Adult_All_inclusive-Puer.html" TargetMode="External"/><Relationship Id="rId102" Type="http://schemas.openxmlformats.org/officeDocument/2006/relationships/hyperlink" Target="https://www.tripadvisor.ca/Hotel_Review-g147243-d150668-Reviews-Blue_Waters_Resort_Spa_Antigua-St_John_s_Saint_John_Parish_Antigua_Antigua_and_Barbuda.html" TargetMode="External"/><Relationship Id="rId223" Type="http://schemas.openxmlformats.org/officeDocument/2006/relationships/hyperlink" Target="https://www.tripadvisor.ca/Hotel_Review-g150807-d254865-Reviews-The_Royal_Cancun_All_Suites_Resort-Cancun_Yucatan_Peninsula.html" TargetMode="External"/><Relationship Id="rId344" Type="http://schemas.openxmlformats.org/officeDocument/2006/relationships/hyperlink" Target="https://www.tripadvisor.ca/Hotel_Review-g499443-d17464564-Reviews-Armony_Marival_Resort_Spa-Punta_de_Mita_Pacific_Coast.html" TargetMode="External"/><Relationship Id="rId101" Type="http://schemas.openxmlformats.org/officeDocument/2006/relationships/hyperlink" Target="https://www.tripadvisor.ca/Hotel_Review-g150807-d152887-Reviews-Hyatt_Ziva_Cancun-Cancun_Yucatan_Peninsula.html" TargetMode="External"/><Relationship Id="rId222" Type="http://schemas.openxmlformats.org/officeDocument/2006/relationships/hyperlink" Target="https://www.tripadvisor.ca/Hotel_Review-g153510-d209429-Reviews-Heaven_At_The_Hard_Rock_Hotel_Riviera_Maya-Puerto_Aventuras_Yucatan_Peninsula.html" TargetMode="External"/><Relationship Id="rId343" Type="http://schemas.openxmlformats.org/officeDocument/2006/relationships/hyperlink" Target="https://www.tripadvisor.ca/Hotel_Review-g3176298-d283391-Reviews-Grand_Palladium_Palace_Resort_Spa_Casino-Bavaro_Punta_Cana_La_Altagracia_Province_Domi.html" TargetMode="External"/><Relationship Id="rId100" Type="http://schemas.openxmlformats.org/officeDocument/2006/relationships/hyperlink" Target="https://www.tripadvisor.ca/Hotel_Review-g150772-d1987334-Reviews-Villa_Del_Palmar_At_The_Islands_Of_Loreto_By_Danzante_Bay-Loreto_Baja_California.html" TargetMode="External"/><Relationship Id="rId221" Type="http://schemas.openxmlformats.org/officeDocument/2006/relationships/hyperlink" Target="https://www.tripadvisor.ca/Hotel_Review-g153510-d586540-Reviews-Barcelo_Maya_Tropical-Puerto_Aventuras_Yucatan_Peninsula.html" TargetMode="External"/><Relationship Id="rId342" Type="http://schemas.openxmlformats.org/officeDocument/2006/relationships/hyperlink" Target="https://www.tripadvisor.ca/Hotel_Review-g240327-d1213971-Reviews-Dreams_Jade_Resort_Spa-Puerto_Morelos_Yucatan_Peninsula.html" TargetMode="External"/><Relationship Id="rId217" Type="http://schemas.openxmlformats.org/officeDocument/2006/relationships/hyperlink" Target="https://www.tripadvisor.ca/Hotel_Review-g152516-d4569347-Reviews-Secrets_Puerto_Los_Cabos_Golf_Spa_Resort-San_Jose_del_Cabo_Los_Cabos_Baja_California.html" TargetMode="External"/><Relationship Id="rId338" Type="http://schemas.openxmlformats.org/officeDocument/2006/relationships/hyperlink" Target="https://www.tripadvisor.ca/Hotel_Review-g150812-d10259725-Reviews-Ocean_Riviera_Paradise-Playa_del_Carmen_Yucatan_Peninsula.html" TargetMode="External"/><Relationship Id="rId216" Type="http://schemas.openxmlformats.org/officeDocument/2006/relationships/hyperlink" Target="https://www.tripadvisor.ca/Hotel_Review-g663484-d15581459-Reviews-Hilton_La_Romana_an_All_Inclusive_Family_Resort-Bayahibe_La_Altagracia_Province_Domin.html" TargetMode="External"/><Relationship Id="rId337" Type="http://schemas.openxmlformats.org/officeDocument/2006/relationships/hyperlink" Target="https://www.tripadvisor.ca/Hotel_Review-g240327-d1128762-Reviews-Ocean_Coral_Turquesa-Puerto_Morelos_Yucatan_Peninsula.html" TargetMode="External"/><Relationship Id="rId215" Type="http://schemas.openxmlformats.org/officeDocument/2006/relationships/hyperlink" Target="https://www.tripadvisor.ca/Hotel_Review-g659488-d1720341-Reviews-El_Dorado_Casitas_Royale_by_Karisma-Riviera_Maya_Yucatan_Peninsula.html" TargetMode="External"/><Relationship Id="rId336" Type="http://schemas.openxmlformats.org/officeDocument/2006/relationships/hyperlink" Target="https://www.tripadvisor.ca/Hotel_Review-g150807-d185322-Reviews-Hotel_Riu_Caribe-Cancun_Yucatan_Peninsula.html" TargetMode="External"/><Relationship Id="rId214" Type="http://schemas.openxmlformats.org/officeDocument/2006/relationships/hyperlink" Target="https://www.tripadvisor.ca/Hotel_Review-g147313-d147782-Reviews-Resorts_Hedonism_Hedonism_II_Resort-Negril_Westmoreland_Parish_Jamaica.html" TargetMode="External"/><Relationship Id="rId335" Type="http://schemas.openxmlformats.org/officeDocument/2006/relationships/hyperlink" Target="https://www.tripadvisor.ca/Hotel_Review-g552078-d19862979-Reviews-Decameron_Isla_Coral_Guayabitos_Ramada_All_Inclusive_Resort-Rincon_de_Guayabitos_Paci.html" TargetMode="External"/><Relationship Id="rId219" Type="http://schemas.openxmlformats.org/officeDocument/2006/relationships/hyperlink" Target="https://www.tripadvisor.ca/Hotel_Review-g317145-d8029038-Reviews-Hodelpa_Garden_Suites_Golf_Convention_Center-Juan_Dolio_San_Pedro_de_Macoris_Province_.html" TargetMode="External"/><Relationship Id="rId218" Type="http://schemas.openxmlformats.org/officeDocument/2006/relationships/hyperlink" Target="https://www.tripadvisor.ca/Hotel_Review-g660724-d12473683-Reviews-Jewel_Grande_Montego_Bay_Resort_Spa-Rose_Hall_Montego_Bay_Saint_James_Parish_Jamaica.html" TargetMode="External"/><Relationship Id="rId339" Type="http://schemas.openxmlformats.org/officeDocument/2006/relationships/hyperlink" Target="https://www.tripadvisor.ca/Hotel_Review-g153510-d1383489-Reviews-Hard_Rock_Hotel_Riviera_Maya-Puerto_Aventuras_Yucatan_Peninsula.html" TargetMode="External"/><Relationship Id="rId330" Type="http://schemas.openxmlformats.org/officeDocument/2006/relationships/hyperlink" Target="https://www.tripadvisor.ca/Hotel_Review-g150792-d152750-Reviews-Hotel_Playa_Mazatlan-Mazatlan_Pacific_Coast.html" TargetMode="External"/><Relationship Id="rId213" Type="http://schemas.openxmlformats.org/officeDocument/2006/relationships/hyperlink" Target="https://www.tripadvisor.ca/Hotel_Review-g150793-d2336336-Reviews-Secrets_Vallarta_Bay_Todo_Incluido-Puerto_Vallarta.html" TargetMode="External"/><Relationship Id="rId334" Type="http://schemas.openxmlformats.org/officeDocument/2006/relationships/hyperlink" Target="https://www.tripadvisor.ca/Hotel_Review-g3176298-d150842-Reviews-Iberostar_Waves_Dominicana-Bavaro_Punta_Cana_La_Altagracia_Province_Dominican_Republic.html" TargetMode="External"/><Relationship Id="rId212" Type="http://schemas.openxmlformats.org/officeDocument/2006/relationships/hyperlink" Target="https://www.tripadvisor.ca/Hotel_Review-g285732-d25418341-Reviews-Sanctuary_at_Grand_Memories_Holguin-Holguin_Holguin_Province_Cuba.html" TargetMode="External"/><Relationship Id="rId333" Type="http://schemas.openxmlformats.org/officeDocument/2006/relationships/hyperlink" Target="https://www.tripadvisor.ca/Hotel_Review-g737152-d25152556-Reviews-Memories_Cayo_Largo-Cayo_Largo_Cuba.html" TargetMode="External"/><Relationship Id="rId211" Type="http://schemas.openxmlformats.org/officeDocument/2006/relationships/hyperlink" Target="https://www.tripadvisor.ca/Hotel_Review-g147275-d19006639-Reviews-Sol_Varadero_Beach-Varadero_Matanzas_Province_Cuba.html" TargetMode="External"/><Relationship Id="rId332" Type="http://schemas.openxmlformats.org/officeDocument/2006/relationships/hyperlink" Target="https://www.tripadvisor.ca/Hotel_Review-g3176298-d14838260-Reviews-Melia_Punta_Cana_Beach_Wellness_Inclusive_Adults_only-Bavaro_Punta_Cana_La_Altagraci.html" TargetMode="External"/><Relationship Id="rId210" Type="http://schemas.openxmlformats.org/officeDocument/2006/relationships/hyperlink" Target="https://www.tripadvisor.ca/Hotel_Review-g150807-d219145-Reviews-Marriott_Cancun_An_All_Inclusive_Resort-Cancun_Yucatan_Peninsula.html" TargetMode="External"/><Relationship Id="rId331" Type="http://schemas.openxmlformats.org/officeDocument/2006/relationships/hyperlink" Target="https://www.tripadvisor.ca/Hotel_Review-g240327-d1176806-Reviews-Palmar_Beach_Resort-Puerto_Morelos_Yucatan_Peninsula.html" TargetMode="External"/><Relationship Id="rId370" Type="http://schemas.openxmlformats.org/officeDocument/2006/relationships/hyperlink" Target="https://www.tripadvisor.ca/Hotel_Review-g147275-d270082-Reviews-Royalton_Hicacos_Varadero_Resort_Spa-Varadero_Matanzas_Province_Cuba.html" TargetMode="External"/><Relationship Id="rId129" Type="http://schemas.openxmlformats.org/officeDocument/2006/relationships/hyperlink" Target="https://www.tripadvisor.ca/Hotel_Review-g150812-d155824-Reviews-Playacar_Palace-Playa_del_Carmen_Yucatan_Peninsula.html" TargetMode="External"/><Relationship Id="rId128" Type="http://schemas.openxmlformats.org/officeDocument/2006/relationships/hyperlink" Target="https://www.tripadvisor.ca/Hotel_Review-g147313-d148625-Reviews-Couples_Resorts_Negril-Negril_Westmoreland_Parish_Jamaica.html" TargetMode="External"/><Relationship Id="rId249" Type="http://schemas.openxmlformats.org/officeDocument/2006/relationships/hyperlink" Target="https://www.tripadvisor.ca/Hotel_Review-g150809-d184998-Reviews-Iberostar_Cozumel-Cozumel_Yucatan_Peninsula.html" TargetMode="External"/><Relationship Id="rId127" Type="http://schemas.openxmlformats.org/officeDocument/2006/relationships/hyperlink" Target="https://www.tripadvisor.ca/Hotel_Review-g147312-d251578-Reviews-Couples_Sans_Souci-Ocho_Rios_Saint_Ann_Parish_Jamaica.html" TargetMode="External"/><Relationship Id="rId248" Type="http://schemas.openxmlformats.org/officeDocument/2006/relationships/hyperlink" Target="https://www.tripadvisor.ca/Hotel_Review-g147311-d15327038-Reviews-S_Hotel_Montego_Bay-Montego_Bay_Saint_James_Parish_Jamaica.html" TargetMode="External"/><Relationship Id="rId369" Type="http://schemas.openxmlformats.org/officeDocument/2006/relationships/hyperlink" Target="https://www.tripadvisor.ca/Hotel_Review-g663501-d23184727-Reviews-Nickelodeon_Hotels_Resorts_Riviera_Maya-Playa_Paraiso_Playa_del_Carmen_Yucatan_Penins.html" TargetMode="External"/><Relationship Id="rId126" Type="http://schemas.openxmlformats.org/officeDocument/2006/relationships/hyperlink" Target="https://www.tripadvisor.ca/Hotel_Review-g3200043-d649099-Reviews-Zoetry_Agua_Punta_Cana-Uvero_Alto_Punta_Cana_La_Altagracia_Province_Dominican_Republic.html" TargetMode="External"/><Relationship Id="rId247" Type="http://schemas.openxmlformats.org/officeDocument/2006/relationships/hyperlink" Target="https://www.tripadvisor.ca/Hotel_Review-g147293-d1604057-Reviews-Secrets_Royal_Beach_Punta_Cana-Punta_Cana_La_Altagracia_Province_Dominican_Republic.html" TargetMode="External"/><Relationship Id="rId368" Type="http://schemas.openxmlformats.org/officeDocument/2006/relationships/hyperlink" Target="https://www.tripadvisor.ca/Hotel_Review-g150793-d155673-Reviews-Fiesta_Americana_Puerto_Vallarta_All_Inclusive_Spa-Puerto_Vallarta.html" TargetMode="External"/><Relationship Id="rId121" Type="http://schemas.openxmlformats.org/officeDocument/2006/relationships/hyperlink" Target="https://www.tripadvisor.ca/Hotel_Review-g580450-d9603176-Reviews-Melia_Costa_Rey-Cayo_Coco_Jardines_del_Rey_Archipelago_Ciego_de_Avila_Province_Cuba.html" TargetMode="External"/><Relationship Id="rId242" Type="http://schemas.openxmlformats.org/officeDocument/2006/relationships/hyperlink" Target="https://www.tripadvisor.ca/Hotel_Review-g147275-d26837399-Reviews-Grand_Aston_Varadero-Varadero_Matanzas_Province_Cuba.html" TargetMode="External"/><Relationship Id="rId363" Type="http://schemas.openxmlformats.org/officeDocument/2006/relationships/hyperlink" Target="https://www.tripadvisor.ca/Hotel_Review-g150787-d154284-Reviews-Pierre_Mundo_Imperial-Acapulco_Pacific_Coast.html" TargetMode="External"/><Relationship Id="rId120" Type="http://schemas.openxmlformats.org/officeDocument/2006/relationships/hyperlink" Target="https://www.tripadvisor.ca/Hotel_Review-g910817-d25167230-Reviews-Aston_Costa_Verde_Beach_Resort-Rafael_Freyre_Holguin_Province_Cuba.html" TargetMode="External"/><Relationship Id="rId241" Type="http://schemas.openxmlformats.org/officeDocument/2006/relationships/hyperlink" Target="https://www.tripadvisor.ca/Hotel_Review-g21410690-d9787632-Reviews-El_Dorado_Seaside_Suites-El_Dorado_Solidaridad_Yucatan_Peninsula.html" TargetMode="External"/><Relationship Id="rId362" Type="http://schemas.openxmlformats.org/officeDocument/2006/relationships/hyperlink" Target="https://www.tripadvisor.ca/Hotel_Review-g1183194-d147699-Reviews-Sea_Breeze_Beach_House_by_Ocean_Hotels_All_Inclusive-Oistins_Christ_Church_Parish_Barb.html" TargetMode="External"/><Relationship Id="rId240" Type="http://schemas.openxmlformats.org/officeDocument/2006/relationships/hyperlink" Target="https://www.tripadvisor.ca/Hotel_Review-g150812-d219165-Reviews-Hotel_Riu_Playacar-Playa_del_Carmen_Yucatan_Peninsula.html" TargetMode="External"/><Relationship Id="rId361" Type="http://schemas.openxmlformats.org/officeDocument/2006/relationships/hyperlink" Target="https://www.tripadvisor.ca/Hotel_Review-g147313-d214225-Reviews-Sandals_Negril-Negril_Westmoreland_Parish_Jamaica.html" TargetMode="External"/><Relationship Id="rId360" Type="http://schemas.openxmlformats.org/officeDocument/2006/relationships/hyperlink" Target="https://www.tripadvisor.ca/Hotel_Review-g150809-d153003-Reviews-Fiesta_Americana_Cozumel_All_Inclusive-Cozumel_Yucatan_Peninsula.html" TargetMode="External"/><Relationship Id="rId125" Type="http://schemas.openxmlformats.org/officeDocument/2006/relationships/hyperlink" Target="https://www.tripadvisor.ca/Hotel_Review-g150807-d152890-Reviews-Club_Med_Cancun-Cancun_Yucatan_Peninsula.html" TargetMode="External"/><Relationship Id="rId246" Type="http://schemas.openxmlformats.org/officeDocument/2006/relationships/hyperlink" Target="https://www.tripadvisor.ca/Hotel_Review-g150789-d2089597-Reviews-Secrets_Huatulco_Resort_Spa-Huatulco_Southern_Mexico.html" TargetMode="External"/><Relationship Id="rId367" Type="http://schemas.openxmlformats.org/officeDocument/2006/relationships/hyperlink" Target="https://www.tripadvisor.ca/Hotel_Review-g150807-d219163-Reviews-Moon_Palace_Cancun-Cancun_Yucatan_Peninsula.html" TargetMode="External"/><Relationship Id="rId124" Type="http://schemas.openxmlformats.org/officeDocument/2006/relationships/hyperlink" Target="https://www.tripadvisor.ca/Hotel_Review-g25211303-d26689011-Reviews-Sandals_Saint_Vincent-Buccament_St_Vincent_and_the_Grenadines.html" TargetMode="External"/><Relationship Id="rId245" Type="http://schemas.openxmlformats.org/officeDocument/2006/relationships/hyperlink" Target="https://www.tripadvisor.ca/Hotel_Review-g147431-d147636-Reviews-Club_Med_Columbus_Bahamas-San_Salvador_Out_Islands_Bahamas.html" TargetMode="External"/><Relationship Id="rId366" Type="http://schemas.openxmlformats.org/officeDocument/2006/relationships/hyperlink" Target="https://www.tripadvisor.ca/Hotel_Review-g737152-d25190103-Reviews-Starfish_Cayo_Largo-Cayo_Largo_Cuba.html" TargetMode="External"/><Relationship Id="rId123" Type="http://schemas.openxmlformats.org/officeDocument/2006/relationships/hyperlink" Target="https://www.tripadvisor.ca/Hotel_Review-g152515-d213858-Reviews-Villa_La_Estancia_Beach_Resort_Spa_Los_Cabos-Cabo_San_Lucas_Los_Cabos_Baja_California.html" TargetMode="External"/><Relationship Id="rId244" Type="http://schemas.openxmlformats.org/officeDocument/2006/relationships/hyperlink" Target="https://www.tripadvisor.ca/Hotel_Review-g3176298-d583034-Reviews-Paradisus_Palma_Real_Golf_Spa_Resort-Bavaro_Punta_Cana_La_Altagracia_Province_Dominica.html" TargetMode="External"/><Relationship Id="rId365" Type="http://schemas.openxmlformats.org/officeDocument/2006/relationships/hyperlink" Target="https://www.tripadvisor.ca/Hotel_Review-g285732-d24134096-Reviews-Grand_Memories_Holguin-Holguin_Holguin_Province_Cuba.html" TargetMode="External"/><Relationship Id="rId122" Type="http://schemas.openxmlformats.org/officeDocument/2006/relationships/hyperlink" Target="https://www.tripadvisor.ca/Hotel_Review-g670039-d1931078-Reviews-Melia_Buenavista_All_Inclusive_The_Level_Spa-Cayo_Santa_Maria_Villa_Clara_Province_Cub.html" TargetMode="External"/><Relationship Id="rId243" Type="http://schemas.openxmlformats.org/officeDocument/2006/relationships/hyperlink" Target="https://www.tripadvisor.ca/Hotel_Review-g21410690-d219161-Reviews-El_Dorado_Seaside_Palms_By_Karisma-El_Dorado_Solidaridad_Yucatan_Peninsula.html" TargetMode="External"/><Relationship Id="rId364" Type="http://schemas.openxmlformats.org/officeDocument/2006/relationships/hyperlink" Target="https://www.tripadvisor.ca/Hotel_Review-g580450-d25134799-Reviews-Grand_Aston_Cayo_Paredon_Beach_Resort-Cayo_Coco_Jardines_del_Rey_Archipelago_Ciego_de.html" TargetMode="External"/><Relationship Id="rId95" Type="http://schemas.openxmlformats.org/officeDocument/2006/relationships/hyperlink" Target="https://www.tripadvisor.ca/Hotel_Review-g150793-d154767-Reviews-Velas_Vallarta_Suites_Resort-Puerto_Vallarta.html" TargetMode="External"/><Relationship Id="rId94" Type="http://schemas.openxmlformats.org/officeDocument/2006/relationships/hyperlink" Target="https://www.tripadvisor.ca/Hotel_Review-g150807-d152894-Reviews-Sun_Palace-Cancun_Yucatan_Peninsula.html" TargetMode="External"/><Relationship Id="rId97" Type="http://schemas.openxmlformats.org/officeDocument/2006/relationships/hyperlink" Target="https://www.tripadvisor.ca/Hotel_Review-g499445-d249916-Reviews-Akumal_Bay_Beach_Wellness_Resort-Akumal_Yucatan_Peninsula.html" TargetMode="External"/><Relationship Id="rId96" Type="http://schemas.openxmlformats.org/officeDocument/2006/relationships/hyperlink" Target="https://www.tripadvisor.ca/Hotel_Review-g3176298-d1005302-Reviews-TRS_Turquesa_Hotel-Bavaro_Punta_Cana_La_Altagracia_Province_Dominican_Republic.html" TargetMode="External"/><Relationship Id="rId99" Type="http://schemas.openxmlformats.org/officeDocument/2006/relationships/hyperlink" Target="https://www.tripadvisor.ca/Hotel_Review-g150807-d18379599-Reviews-The_Tower_by_Temptation_Cancun_Resort-Cancun_Yucatan_Peninsula.html" TargetMode="External"/><Relationship Id="rId98" Type="http://schemas.openxmlformats.org/officeDocument/2006/relationships/hyperlink" Target="https://www.tripadvisor.ca/Hotel_Review-g147293-d27103964-Reviews-Secrets_Tides_Punta_Cana-Punta_Cana_La_Altagracia_Province_Dominican_Republic.html" TargetMode="External"/><Relationship Id="rId91" Type="http://schemas.openxmlformats.org/officeDocument/2006/relationships/hyperlink" Target="https://www.tripadvisor.ca/Hotel_Review-g152515-d18457123-Reviews-The_Towers_at_Pacifica_at_Pueblo_Bonito_Pacifica_Golf_Spa_Resort-Cabo_San_Lucas_Los_C.html" TargetMode="External"/><Relationship Id="rId90" Type="http://schemas.openxmlformats.org/officeDocument/2006/relationships/hyperlink" Target="https://www.tripadvisor.com/Hotel_Review-g147343-d150434-Reviews-StolenTime_by_Rendezvous-Castries_Castries_Quarter_St_Lucia.html" TargetMode="External"/><Relationship Id="rId93" Type="http://schemas.openxmlformats.org/officeDocument/2006/relationships/hyperlink" Target="https://www.tripadvisor.ca/Hotel_Review-g499445-d11775703-Reviews-UNICO_20_87_Hotel_Riviera_Maya-Akumal_Yucatan_Peninsula.html" TargetMode="External"/><Relationship Id="rId92" Type="http://schemas.openxmlformats.org/officeDocument/2006/relationships/hyperlink" Target="https://www.tripadvisor.ca/Hotel_Review-g150792-d1728928-Reviews-Emerald_Estates_Luxury_Villas-Mazatlan_Pacific_Coast.html" TargetMode="External"/><Relationship Id="rId118" Type="http://schemas.openxmlformats.org/officeDocument/2006/relationships/hyperlink" Target="https://www.tripadvisor.ca/Hotel_Review-g147313-d12288844-Reviews-Grand_Lido_Negril_Au_Naturel_An_Autograph_Collection_All_Inclusive_Resort_Adults_Only.html" TargetMode="External"/><Relationship Id="rId239" Type="http://schemas.openxmlformats.org/officeDocument/2006/relationships/hyperlink" Target="https://www.tripadvisor.ca/Hotel_Review-g150810-d1175973-Reviews-Privilege_Aluxes-Isla_Mujeres_Yucatan_Peninsula.html" TargetMode="External"/><Relationship Id="rId117" Type="http://schemas.openxmlformats.org/officeDocument/2006/relationships/hyperlink" Target="https://www.tripadvisor.ca/Hotel_Review-g663484-d253138-Reviews-Iberostar_Selection_Hacienda_Dominicus-Bayahibe_La_Altagracia_Province_Dominican_Republ.html" TargetMode="External"/><Relationship Id="rId238" Type="http://schemas.openxmlformats.org/officeDocument/2006/relationships/hyperlink" Target="https://www.tripadvisor.com/Hotel_Review-g9723540-d1097502-Reviews-Hotel_Riu_Palace_Pacifico-Flamingos_Nuevo_Vallarta_Pacific_Coast.html" TargetMode="External"/><Relationship Id="rId359" Type="http://schemas.openxmlformats.org/officeDocument/2006/relationships/hyperlink" Target="https://www.tripadvisor.ca/Hotel_Review-g616319-d12124376-Reviews-Villas_HM_Palapas_del_Mar-Holbox_Island_Yucatan_Peninsula.html" TargetMode="External"/><Relationship Id="rId116" Type="http://schemas.openxmlformats.org/officeDocument/2006/relationships/hyperlink" Target="https://www.tripadvisor.ca/Hotel_Review-g152515-d308090-Reviews-Sandos_Finisterra-Cabo_San_Lucas_Los_Cabos_Baja_California.html" TargetMode="External"/><Relationship Id="rId237" Type="http://schemas.openxmlformats.org/officeDocument/2006/relationships/hyperlink" Target="https://www.tripadvisor.ca/Hotel_Review-g150789-d152600-Reviews-Binniguenda_Huatulco_All_Inclusive_Hotel_Beach_Club-Huatulco_Southern_Mexico.html" TargetMode="External"/><Relationship Id="rId358" Type="http://schemas.openxmlformats.org/officeDocument/2006/relationships/hyperlink" Target="https://www.tripadvisor.ca/Hotel_Review-g150807-d154413-Reviews-Grand_Park_Royal_Cancun-Cancun_Yucatan_Peninsula.html" TargetMode="External"/><Relationship Id="rId115" Type="http://schemas.openxmlformats.org/officeDocument/2006/relationships/hyperlink" Target="https://www.tripadvisor.ca/Hotel_Review-g3723905-d267240-Reviews-Couples_Tower_Isle-Tower_Isle_Saint_Mary_Parish_Jamaica.html" TargetMode="External"/><Relationship Id="rId236" Type="http://schemas.openxmlformats.org/officeDocument/2006/relationships/hyperlink" Target="https://www.tripadvisor.ca/Hotel_Review-g152515-d317460-Reviews-Grand_Fiesta_Americana_Los_Cabos_All_Inclusive_Golf_Spa-Cabo_San_Lucas_Los_Cabos_Baja_C.html" TargetMode="External"/><Relationship Id="rId357" Type="http://schemas.openxmlformats.org/officeDocument/2006/relationships/hyperlink" Target="https://www.tripadvisor.ca/Hotel_Review-g150807-d154452-Reviews-Oleo_Cancun_Playa-Cancun_Yucatan_Peninsula.html" TargetMode="External"/><Relationship Id="rId119" Type="http://schemas.openxmlformats.org/officeDocument/2006/relationships/hyperlink" Target="https://www.tripadvisor.ca/Hotel_Review-g3176298-d17840488-Reviews-Coral_Level_at_Iberostar_Selection_Bavaro-Bavaro_Punta_Cana_La_Altagracia_Province_D.html" TargetMode="External"/><Relationship Id="rId110" Type="http://schemas.openxmlformats.org/officeDocument/2006/relationships/hyperlink" Target="https://www.tripadvisor.ca/Hotel_Review-g152516-d266838-Reviews-Marquis_Los_Cabos-San_Jose_del_Cabo_Los_Cabos_Baja_California.html" TargetMode="External"/><Relationship Id="rId231" Type="http://schemas.openxmlformats.org/officeDocument/2006/relationships/hyperlink" Target="https://www.tripadvisor.ca/Hotel_Review-g152515-d8529385-Reviews-Breathless_Cabo_San_Lucas_Resort_Spa-Cabo_San_Lucas_Los_Cabos_Baja_California.html" TargetMode="External"/><Relationship Id="rId352" Type="http://schemas.openxmlformats.org/officeDocument/2006/relationships/hyperlink" Target="https://www.tripadvisor.ca/Hotel_Review-g152515-d15751779-Reviews-Hard_Rock_Hotel_Los_Cabos-Cabo_San_Lucas_Los_Cabos_Baja_California.html" TargetMode="External"/><Relationship Id="rId230" Type="http://schemas.openxmlformats.org/officeDocument/2006/relationships/hyperlink" Target="https://www.tripadvisor.ca/Hotel_Review-g150793-d481596-Reviews-Hyatt_Ziva_Puerto_Vallarta-Puerto_Vallarta.html" TargetMode="External"/><Relationship Id="rId351" Type="http://schemas.openxmlformats.org/officeDocument/2006/relationships/hyperlink" Target="https://www.tripadvisor.ca/Hotel_Review-g150793-d2336351-Reviews-Dreams_Vallarta_Bay_Resort_Spa-Puerto_Vallarta.html" TargetMode="External"/><Relationship Id="rId350" Type="http://schemas.openxmlformats.org/officeDocument/2006/relationships/hyperlink" Target="https://www.tripadvisor.ca/Hotel_Review-g663484-d10400968-Reviews-Dreams_Dominicus_La_Romana-Bayahibe_La_Altagracia_Province_Dominican_Republic.html" TargetMode="External"/><Relationship Id="rId114" Type="http://schemas.openxmlformats.org/officeDocument/2006/relationships/hyperlink" Target="https://www.tripadvisor.ca/Hotel_Review-g150792-d152916-Reviews-El_Cid_Marina_Beach_Hotel-Mazatlan_Pacific_Coast.html" TargetMode="External"/><Relationship Id="rId235" Type="http://schemas.openxmlformats.org/officeDocument/2006/relationships/hyperlink" Target="https://www.tripadvisor.ca/Hotel_Review-g147248-d147644-Reviews-Renaissance_Wind_Creek_Aruba_Resort-Oranjestad_Aruba.html" TargetMode="External"/><Relationship Id="rId356" Type="http://schemas.openxmlformats.org/officeDocument/2006/relationships/hyperlink" Target="https://www.tripadvisor.ca/Hotel_Review-g499445-d503104-Reviews-Bahia_Principe_Grand_Tulum-Akumal_Yucatan_Peninsula.html" TargetMode="External"/><Relationship Id="rId113" Type="http://schemas.openxmlformats.org/officeDocument/2006/relationships/hyperlink" Target="https://www.tripadvisor.ca/Hotel_Review-g150793-d254471-Reviews-Villa_Premiere_Boutique_Hotel_Romantic_Getaway-Puerto_Vallarta.html" TargetMode="External"/><Relationship Id="rId234" Type="http://schemas.openxmlformats.org/officeDocument/2006/relationships/hyperlink" Target="https://www.tripadvisor.ca/Hotel_Review-g150807-d21307994-Reviews-Turquoize_at_Hyatt_Ziva_Cancun-Cancun_Yucatan_Peninsula.html" TargetMode="External"/><Relationship Id="rId355" Type="http://schemas.openxmlformats.org/officeDocument/2006/relationships/hyperlink" Target="https://www.tripadvisor.ca/Hotel_Review-g3176298-d579774-Reviews-Iberostar_Punta_Cana-Bavaro_Punta_Cana_La_Altagracia_Province_Dominican_Republic.html" TargetMode="External"/><Relationship Id="rId112" Type="http://schemas.openxmlformats.org/officeDocument/2006/relationships/hyperlink" Target="https://www.tripadvisor.ca/Hotel_Review-g147313-d148748-Reviews-Sunset_At_The_Palms-Negril_Westmoreland_Parish_Jamaica.html" TargetMode="External"/><Relationship Id="rId233" Type="http://schemas.openxmlformats.org/officeDocument/2006/relationships/hyperlink" Target="https://www.tripadvisor.ca/Hotel_Review-g150807-d154428-Reviews-Temptation_Cancun_Resort-Cancun_Yucatan_Peninsula.html" TargetMode="External"/><Relationship Id="rId354" Type="http://schemas.openxmlformats.org/officeDocument/2006/relationships/hyperlink" Target="https://www.tripadvisor.com/Hotel_Review-g150809-d12730974-Reviews-The_Westin_Cozumel-Cozumel_Yucatan_Peninsula.html" TargetMode="External"/><Relationship Id="rId111" Type="http://schemas.openxmlformats.org/officeDocument/2006/relationships/hyperlink" Target="https://www.tripadvisor.ca/Hotel_Review-g150810-d154002-Reviews-Zoetry_Villa_Rolandi_Isla_Mujeres_Cancun-Isla_Mujeres_Yucatan_Peninsula.html" TargetMode="External"/><Relationship Id="rId232" Type="http://schemas.openxmlformats.org/officeDocument/2006/relationships/hyperlink" Target="https://www.tripadvisor.ca/Hotel_Review-g150812-d156853-Reviews-Mahekal_Beach_Resort-Playa_del_Carmen_Yucatan_Peninsula.html" TargetMode="External"/><Relationship Id="rId353" Type="http://schemas.openxmlformats.org/officeDocument/2006/relationships/hyperlink" Target="https://www.tripadvisor.ca/Hotel_Review-g147293-d611703-Reviews-Catalonia_Royal_Bavaro-Punta_Cana_La_Altagracia_Province_Dominican_Republic.html" TargetMode="External"/><Relationship Id="rId305" Type="http://schemas.openxmlformats.org/officeDocument/2006/relationships/hyperlink" Target="https://www.tripadvisor.ca/Hotel_Review-g147293-d19985038-Reviews-Dreams_Macao_Beach_Punta_Cana-Punta_Cana_La_Altagracia_Province_Dominican_Republic.html" TargetMode="External"/><Relationship Id="rId426" Type="http://schemas.openxmlformats.org/officeDocument/2006/relationships/hyperlink" Target="https://www.tripadvisor.ca/Hotel_Review-g147275-d266716-Reviews-Iberostar_Origin_Playa_Alameda-Varadero_Matanzas_Province_Cuba.html" TargetMode="External"/><Relationship Id="rId304" Type="http://schemas.openxmlformats.org/officeDocument/2006/relationships/hyperlink" Target="https://www.tripadvisor.ca/Hotel_Review-g2535585-d152279-Reviews-Dreams_Huatulco_Resort_Spa-Tangolunda_Huatulco_Southern_Mexico.html" TargetMode="External"/><Relationship Id="rId425" Type="http://schemas.openxmlformats.org/officeDocument/2006/relationships/hyperlink" Target="https://www.tripadvisor.ca/Hotel_Review-g240327-d23025230-Reviews-Secrets_Riviera_Cancun_Resort_Spa-Puerto_Morelos_Yucatan_Peninsula.html" TargetMode="External"/><Relationship Id="rId303" Type="http://schemas.openxmlformats.org/officeDocument/2006/relationships/hyperlink" Target="https://www.tripadvisor.ca/Hotel_Review-g150807-d17765597-Reviews-Dreams_Vista_Cancun_Golf_Spa_Resort-Cancun_Yucatan_Peninsula.html" TargetMode="External"/><Relationship Id="rId424" Type="http://schemas.openxmlformats.org/officeDocument/2006/relationships/hyperlink" Target="https://www.tripadvisor.ca/Hotel_Review-g147311-d10587228-Reviews-Breathless_Montego_Bay_Resort_Spa-Montego_Bay_Saint_James_Parish_Jamaica.html" TargetMode="External"/><Relationship Id="rId302" Type="http://schemas.openxmlformats.org/officeDocument/2006/relationships/hyperlink" Target="https://www.tripadvisor.ca/Hotel_Review-g150807-d2554709-Reviews-Sandos_Cancun-Cancun_Yucatan_Peninsula.html" TargetMode="External"/><Relationship Id="rId423" Type="http://schemas.openxmlformats.org/officeDocument/2006/relationships/hyperlink" Target="https://www.tripadvisor.com/Hotel_Review-g147266-d17324792-Reviews-The_Abidah_By_Accra-Christ_Church_Parish_Barbados.html" TargetMode="External"/><Relationship Id="rId309" Type="http://schemas.openxmlformats.org/officeDocument/2006/relationships/hyperlink" Target="https://www.tripadvisor.ca/Hotel_Review-g3176298-d149213-Reviews-Barcelo_Bavaro_Beach-Bavaro_Punta_Cana_La_Altagracia_Province_Dominican_Republic.html" TargetMode="External"/><Relationship Id="rId308" Type="http://schemas.openxmlformats.org/officeDocument/2006/relationships/hyperlink" Target="https://www.tripadvisor.ca/Hotel_Review-g147343-d149080-Reviews-Sandals_Halcyon_Beach-Castries_Castries_Quarter_St_Lucia.html" TargetMode="External"/><Relationship Id="rId429" Type="http://schemas.openxmlformats.org/officeDocument/2006/relationships/hyperlink" Target="https://www.tripadvisor.ca/Hotel_Review-g150793-d154751-Reviews-Sheraton_Buganvilias_Resort_Convention_Center-Puerto_Vallarta.html" TargetMode="External"/><Relationship Id="rId307" Type="http://schemas.openxmlformats.org/officeDocument/2006/relationships/hyperlink" Target="https://www.tripadvisor.ca/Hotel_Review-g297476-d24025128-Reviews-Dreams_Karibana_Cartagena_Golf_Spa_Resort-Cartagena_Cartagena_District_Bolivar_Depart.html" TargetMode="External"/><Relationship Id="rId428" Type="http://schemas.openxmlformats.org/officeDocument/2006/relationships/hyperlink" Target="https://www.tripadvisor.ca/Hotel_Review-g670039-d2477611-Reviews-Hotel_Playa_Cayo_Santa_Maria-Cayo_Santa_Maria_Villa_Clara_Province_Cuba.html" TargetMode="External"/><Relationship Id="rId306" Type="http://schemas.openxmlformats.org/officeDocument/2006/relationships/hyperlink" Target="https://www.tripadvisor.ca/Hotel_Review-g12900715-d596004-Reviews-Grand_Palladium_White_Sand_Resort_Spa-Solidaridad_Yucatan_Peninsula.html" TargetMode="External"/><Relationship Id="rId427" Type="http://schemas.openxmlformats.org/officeDocument/2006/relationships/hyperlink" Target="https://www.tripadvisor.ca/Hotel_Review-g147275-d8549504-Reviews-Sanctuary_At_Grand_Memories_Varadero-Varadero_Matanzas_Province_Cuba.html" TargetMode="External"/><Relationship Id="rId301" Type="http://schemas.openxmlformats.org/officeDocument/2006/relationships/hyperlink" Target="https://www.tripadvisor.ca/Hotel_Review-g150807-d24119687-Reviews-Hotel_Riu_Palace_Kukulkan-Cancun_Yucatan_Peninsula.html" TargetMode="External"/><Relationship Id="rId422" Type="http://schemas.openxmlformats.org/officeDocument/2006/relationships/hyperlink" Target="https://www.tripadvisor.ca/Hotel_Review-g147311-d1604119-Reviews-Secrets_Wild_Orchid_Montego_Bay-Montego_Bay_Saint_James_Parish_Jamaica.html" TargetMode="External"/><Relationship Id="rId300" Type="http://schemas.openxmlformats.org/officeDocument/2006/relationships/hyperlink" Target="https://www.tripadvisor.ca/Hotel_Review-g150807-d503456-Reviews-Wyndham_Alltra_Cancun-Cancun_Yucatan_Peninsula.html" TargetMode="External"/><Relationship Id="rId421" Type="http://schemas.openxmlformats.org/officeDocument/2006/relationships/hyperlink" Target="https://www.tripadvisor.ca/Hotel_Review-g152515-d503041-Reviews-Hotel_Riu_Palace_Cabo_San_Lucas-Cabo_San_Lucas_Los_Cabos_Baja_California.html" TargetMode="External"/><Relationship Id="rId420" Type="http://schemas.openxmlformats.org/officeDocument/2006/relationships/hyperlink" Target="https://www.tripadvisor.com/Hotel_Review-g150810-d259074-Reviews-Mia_Reef_Isla_Mujeres-Isla_Mujeres_Yucatan_Peninsula.html" TargetMode="External"/><Relationship Id="rId415" Type="http://schemas.openxmlformats.org/officeDocument/2006/relationships/hyperlink" Target="https://www.tripadvisor.ca/Hotel_Review-g499445-d593981-Reviews-Bahia_Principe_Grand_Coba-Akumal_Yucatan_Peninsula.html" TargetMode="External"/><Relationship Id="rId414" Type="http://schemas.openxmlformats.org/officeDocument/2006/relationships/hyperlink" Target="https://www.tripadvisor.ca/Hotel_Review-g150791-d155105-Reviews-Barcelo_Karmina-Manzanillo_Pacific_Coast.html" TargetMode="External"/><Relationship Id="rId413" Type="http://schemas.openxmlformats.org/officeDocument/2006/relationships/hyperlink" Target="https://www.tripadvisor.ca/Hotel_Review-g153445-d185424-Reviews-Azul_Ixtapa_Hotels_Beach_Resort_Convention_Center-Ixtapa_Zihuatanejo_de_Azueta_Pacific_.html" TargetMode="External"/><Relationship Id="rId412" Type="http://schemas.openxmlformats.org/officeDocument/2006/relationships/hyperlink" Target="https://www.tripadvisor.ca/Hotel_Review-g153510-d530105-Reviews-Dreams_Aventuras_Riviera_Maya-Puerto_Aventuras_Yucatan_Peninsula.html" TargetMode="External"/><Relationship Id="rId419" Type="http://schemas.openxmlformats.org/officeDocument/2006/relationships/hyperlink" Target="https://www.tripadvisor.ca/Hotel_Review-g147313-d209701-Reviews-Hotel_Riu_Palace_Tropical_Bay-Negril_Westmoreland_Parish_Jamaica.html" TargetMode="External"/><Relationship Id="rId418" Type="http://schemas.openxmlformats.org/officeDocument/2006/relationships/hyperlink" Target="https://www.tripadvisor.ca/Hotel_Review-g147293-d611114-Reviews-Hotel_Riu_Palace_Punta_Cana-Punta_Cana_La_Altagracia_Province_Dominican_Republic.html" TargetMode="External"/><Relationship Id="rId417" Type="http://schemas.openxmlformats.org/officeDocument/2006/relationships/hyperlink" Target="https://www.tripadvisor.ca/Hotel_Review-g793509-d1012524-Reviews-Grand_Palladium_Lady_Hamilton_All_Inclusive_Resort_Spa-Lucea_Hanover_Parish_Jamaica.html" TargetMode="External"/><Relationship Id="rId416" Type="http://schemas.openxmlformats.org/officeDocument/2006/relationships/hyperlink" Target="https://www.tripadvisor.ca/Hotel_Review-g3176298-d584407-Reviews-Ocean_Blue_and_Sand_Beach_Resort-Bavaro_Punta_Cana_La_Altagracia_Province_Dominican_Re.html" TargetMode="External"/><Relationship Id="rId411" Type="http://schemas.openxmlformats.org/officeDocument/2006/relationships/hyperlink" Target="https://www.tripadvisor.ca/Hotel_Review-g10006284-d151184-Reviews-Club_Med_Turkoise_Turks_Caicos-Grace_Bay_Providenciales_Turks_and_Caicos.html" TargetMode="External"/><Relationship Id="rId410" Type="http://schemas.openxmlformats.org/officeDocument/2006/relationships/hyperlink" Target="https://www.tripadvisor.ca/Hotel_Review-g240327-d248849-Reviews-Dreams_Sapphire_Resort_Spa-Puerto_Morelos_Yucatan_Peninsula.html" TargetMode="External"/><Relationship Id="rId206" Type="http://schemas.openxmlformats.org/officeDocument/2006/relationships/hyperlink" Target="https://www.tripadvisor.ca/Hotel_Review-g240327-d21405427-Reviews-Margaritaville_Island_Reserve_Riviera_Maya_by_Karisma_Adults_Only-Puerto_Morelos_Yuca.html" TargetMode="External"/><Relationship Id="rId327" Type="http://schemas.openxmlformats.org/officeDocument/2006/relationships/hyperlink" Target="https://www.tripadvisor.ca/Hotel_Review-g147311-d151461-Reviews-Sandals_Montego_Bay-Montego_Bay_Saint_James_Parish_Jamaica.html" TargetMode="External"/><Relationship Id="rId205" Type="http://schemas.openxmlformats.org/officeDocument/2006/relationships/hyperlink" Target="https://www.tripadvisor.ca/Hotel_Review-g3176298-d1717417-Reviews-Garden_Suites_by_Melia-Bavaro_Punta_Cana_La_Altagracia_Province_Dominican_Republic.html" TargetMode="External"/><Relationship Id="rId326" Type="http://schemas.openxmlformats.org/officeDocument/2006/relationships/hyperlink" Target="https://www.tripadvisor.ca/Hotel_Review-g150807-d152896-Reviews-Hard_Rock_Hotel_Cancun-Cancun_Yucatan_Peninsula.html" TargetMode="External"/><Relationship Id="rId447" Type="http://schemas.openxmlformats.org/officeDocument/2006/relationships/vmlDrawing" Target="../drawings/vmlDrawing1.vml"/><Relationship Id="rId204" Type="http://schemas.openxmlformats.org/officeDocument/2006/relationships/hyperlink" Target="https://www.tripadvisor.ca/Hotel_Review-g147313-d147502-Reviews-Couples_Swept_Away-Negril_Westmoreland_Parish_Jamaica.html" TargetMode="External"/><Relationship Id="rId325" Type="http://schemas.openxmlformats.org/officeDocument/2006/relationships/hyperlink" Target="https://www.tripadvisor.ca/Hotel_Review-g147248-d150690-Reviews-Tamarijn_Aruba_All_Inclusive-Oranjestad_Aruba.html" TargetMode="External"/><Relationship Id="rId446" Type="http://schemas.openxmlformats.org/officeDocument/2006/relationships/drawing" Target="../drawings/drawing2.xml"/><Relationship Id="rId203" Type="http://schemas.openxmlformats.org/officeDocument/2006/relationships/hyperlink" Target="https://www.tripadvisor.com/Hotel_Review-g240327-d21167816-Reviews-The_Fives_Oceanfront_Riviera_Cancun-Puerto_Morelos_Yucatan_Peninsula.html" TargetMode="External"/><Relationship Id="rId324" Type="http://schemas.openxmlformats.org/officeDocument/2006/relationships/hyperlink" Target="https://www.tripadvisor.ca/Hotel_Review-g499445-d295150-Reviews-Grand_Palladium_Kantenah_Resort_Spa-Akumal_Yucatan_Peninsula.html" TargetMode="External"/><Relationship Id="rId445" Type="http://schemas.openxmlformats.org/officeDocument/2006/relationships/hyperlink" Target="https://www.tripadvisor.ca/Hotel_Review-g660508-d3356189-Reviews-La_Quinta_Gran_Bahia_Cuastecomates-Cihuatlan_Costalegre.html" TargetMode="External"/><Relationship Id="rId209" Type="http://schemas.openxmlformats.org/officeDocument/2006/relationships/hyperlink" Target="https://www.tripadvisor.ca/Hotel_Review-g147265-d150706-Reviews-Treasure_Beach_by_Elegant_Hotels-Saint_James_Parish_Barbados.html" TargetMode="External"/><Relationship Id="rId208" Type="http://schemas.openxmlformats.org/officeDocument/2006/relationships/hyperlink" Target="https://www.tripadvisor.ca/Hotel_Review-g1009314-d499965-Reviews-Sandals_South_Coast-White_House_Westmoreland_Parish_Jamaica.html" TargetMode="External"/><Relationship Id="rId329" Type="http://schemas.openxmlformats.org/officeDocument/2006/relationships/hyperlink" Target="https://www.tripadvisor.ca/Hotel_Review-g147275-d258247-Reviews-Iberostar_Tainos-Varadero_Matanzas_Province_Cuba.html" TargetMode="External"/><Relationship Id="rId207" Type="http://schemas.openxmlformats.org/officeDocument/2006/relationships/hyperlink" Target="https://www.tripadvisor.com/Hotel_Review-g147343-d149215-Reviews-Windjammer_Landing_Villa_Beach_Resort-Castries_Castries_Quarter_St_Lucia.html" TargetMode="External"/><Relationship Id="rId328" Type="http://schemas.openxmlformats.org/officeDocument/2006/relationships/hyperlink" Target="https://www.tripadvisor.ca/Hotel_Review-g150789-d152274-Reviews-Barcelo_Huatulco-Huatulco_Southern_Mexico.html" TargetMode="External"/><Relationship Id="rId440" Type="http://schemas.openxmlformats.org/officeDocument/2006/relationships/hyperlink" Target="https://www.tripadvisor.ca/Hotel_Review-g3458466-d20355844-Reviews-Ocean_Eden_Bay_Adults_Only-Trelawny_Parish_Jamaica.html" TargetMode="External"/><Relationship Id="rId202" Type="http://schemas.openxmlformats.org/officeDocument/2006/relationships/hyperlink" Target="https://www.tripadvisor.ca/Hotel_Review-g150807-d153138-Reviews-The_Royal_Sands_All_Suites_Resort_Spa-Cancun_Yucatan_Peninsula.html" TargetMode="External"/><Relationship Id="rId323" Type="http://schemas.openxmlformats.org/officeDocument/2006/relationships/hyperlink" Target="https://www.tripadvisor.ca/Hotel_Review-g6510596-d6510597-Reviews-Dreams_Las_Mareas_Costa_Rica-El_Jobo_Province_of_Guanacaste.html" TargetMode="External"/><Relationship Id="rId444" Type="http://schemas.openxmlformats.org/officeDocument/2006/relationships/hyperlink" Target="https://www.tripadvisor.ca/Hotel_Review-g499445-d599193-Reviews-Grand_Sirenis_Riviera_Maya_Resort-Akumal_Yucatan_Peninsula.html" TargetMode="External"/><Relationship Id="rId201" Type="http://schemas.openxmlformats.org/officeDocument/2006/relationships/hyperlink" Target="https://www.tripadvisor.ca/Hotel_Review-g153510-d263373-Reviews-Barcelo_Maya_Caribe-Puerto_Aventuras_Yucatan_Peninsula.html" TargetMode="External"/><Relationship Id="rId322" Type="http://schemas.openxmlformats.org/officeDocument/2006/relationships/hyperlink" Target="https://www.tripadvisor.ca/Hotel_Review-g150807-d152892-Reviews-Iberostar_Selection_Cancun-Cancun_Yucatan_Peninsula.html" TargetMode="External"/><Relationship Id="rId443" Type="http://schemas.openxmlformats.org/officeDocument/2006/relationships/hyperlink" Target="https://www.tripadvisor.ca/Hotel_Review-g147293-d32681262-Reviews-Dreams_Cap_Cana_Resort_Spa-Punta_Cana_La_Altagracia_Province_Dominican_Republic.html" TargetMode="External"/><Relationship Id="rId200" Type="http://schemas.openxmlformats.org/officeDocument/2006/relationships/hyperlink" Target="https://www.tripadvisor.ca/Hotel_Review-g10293056-d3746563-Reviews-Bahia_Principe_Luxury_Bouganville-El_Soco_San_Pedro_de_Macoris_San_Pedro_de_Macoris_.html" TargetMode="External"/><Relationship Id="rId321" Type="http://schemas.openxmlformats.org/officeDocument/2006/relationships/hyperlink" Target="https://www.tripadvisor.ca/Hotel_Review-g1229340-d18931134-Reviews-Catalonia_Grand_Costa_Mujeres-Playa_Mujeres_Costa_Mujeres_Yucatan_Peninsula.html" TargetMode="External"/><Relationship Id="rId442" Type="http://schemas.openxmlformats.org/officeDocument/2006/relationships/hyperlink" Target="https://www.tripadvisor.ca/Hotel_Review-g150810-d27709073-Reviews-Almare_A_Luxury_Collection_Adult_All_inclusive_Resort_Isla_Mujeres-Isla_Mujeres_Yucat.html" TargetMode="External"/><Relationship Id="rId320" Type="http://schemas.openxmlformats.org/officeDocument/2006/relationships/hyperlink" Target="https://www.tripadvisor.ca/Hotel_Review-g499445-d285109-Reviews-Grand_Palladium_Colonial_Resort_Spa-Akumal_Yucatan_Peninsula.html" TargetMode="External"/><Relationship Id="rId441" Type="http://schemas.openxmlformats.org/officeDocument/2006/relationships/hyperlink" Target="https://www.tripadvisor.ca/Hotel_Review-g147347-d151149-Reviews-Divi_Little_Bay_Beach_Resort-Philipsburg_Sint_Maarten_St_Martin_St_Maarten.html" TargetMode="External"/><Relationship Id="rId316" Type="http://schemas.openxmlformats.org/officeDocument/2006/relationships/hyperlink" Target="https://www.tripadvisor.ca/Hotel_Review-g4053317-d285111-Reviews-Catalonia_Playa_Maroma-Playa_Maroma_Playa_del_Carmen_Yucatan_Peninsula.html" TargetMode="External"/><Relationship Id="rId437" Type="http://schemas.openxmlformats.org/officeDocument/2006/relationships/hyperlink" Target="https://www.tripadvisor.ca/Hotel_Review-g147248-d7039092-Reviews-Divi_Dutch_Village_Beach_Resort-Oranjestad_Aruba.html" TargetMode="External"/><Relationship Id="rId315" Type="http://schemas.openxmlformats.org/officeDocument/2006/relationships/hyperlink" Target="https://www.tripadvisor.ca/Hotel_Review-g240327-d579133-Reviews-Hotel_Marina_El_Cid_Spa_Beach_Resort-Puerto_Morelos_Yucatan_Peninsula.html" TargetMode="External"/><Relationship Id="rId436" Type="http://schemas.openxmlformats.org/officeDocument/2006/relationships/hyperlink" Target="https://www.tripadvisor.ca/Hotel_Review-g150812-d153378-Reviews-Sandos_Playacar-Playa_del_Carmen_Yucatan_Peninsula.html" TargetMode="External"/><Relationship Id="rId314" Type="http://schemas.openxmlformats.org/officeDocument/2006/relationships/hyperlink" Target="https://www.tripadvisor.ca/Hotel_Review-g259440-d149384-Reviews-Bahia_Principe_Grand_El_Portillo_All_Inclusive-Las_Terrenas_Samana_Province_Dominican_R.html" TargetMode="External"/><Relationship Id="rId435" Type="http://schemas.openxmlformats.org/officeDocument/2006/relationships/hyperlink" Target="https://www.tripadvisor.ca/Hotel_Review-g150812-d185331-Reviews-Viva_Wyndham_Azteca_All_Inclusive_Resort-Playa_del_Carmen_Yucatan_Peninsula.html" TargetMode="External"/><Relationship Id="rId313" Type="http://schemas.openxmlformats.org/officeDocument/2006/relationships/hyperlink" Target="https://www.tripadvisor.ca/Hotel_Review-g150812-d219166-Reviews-Hotel_Riu_Tequila-Playa_del_Carmen_Yucatan_Peninsula.html" TargetMode="External"/><Relationship Id="rId434" Type="http://schemas.openxmlformats.org/officeDocument/2006/relationships/hyperlink" Target="https://www.tripadvisor.ca/Hotel_Review-g1015495-d153550-Reviews-Barcelo_Puerto_Vallarta-Mismaloya_Puerto_Vallarta.html" TargetMode="External"/><Relationship Id="rId319" Type="http://schemas.openxmlformats.org/officeDocument/2006/relationships/hyperlink" Target="https://www.tripadvisor.ca/Hotel_Review-g150812-d1141280-Reviews-The_Fives_Beach_Hotel_Residences-Playa_del_Carmen_Yucatan_Peninsula.html" TargetMode="External"/><Relationship Id="rId318" Type="http://schemas.openxmlformats.org/officeDocument/2006/relationships/hyperlink" Target="https://www.tripadvisor.ca/Hotel_Review-g9723540-d320513-Reviews-Villa_del_Palmar_Flamingos_Beach_Resort_Spa-Flamingos_Nuevo_Vallarta_Pacific_Coast.html" TargetMode="External"/><Relationship Id="rId439" Type="http://schemas.openxmlformats.org/officeDocument/2006/relationships/hyperlink" Target="https://www.tripadvisor.ca/Hotel_Review-g147311-d1604118-Reviews-Secrets_St_James_Montego_Bay-Montego_Bay_Saint_James_Parish_Jamaica.html" TargetMode="External"/><Relationship Id="rId317" Type="http://schemas.openxmlformats.org/officeDocument/2006/relationships/hyperlink" Target="https://www.tripadvisor.ca/Hotel_Review-g152515-d151801-Reviews-Solmar_Resort-Cabo_San_Lucas_Los_Cabos_Baja_California.html" TargetMode="External"/><Relationship Id="rId438" Type="http://schemas.openxmlformats.org/officeDocument/2006/relationships/hyperlink" Target="https://www.tripadvisor.ca/Hotel_Review-g150812-d7851484-Reviews-Princess_Family_Club_Riviera-Playa_del_Carmen_Yucatan_Peninsula.html" TargetMode="External"/><Relationship Id="rId312" Type="http://schemas.openxmlformats.org/officeDocument/2006/relationships/hyperlink" Target="https://www.tripadvisor.ca/Hotel_Review-g1229340-d11737960-Reviews-Dreams_Playa_Mujeres_Golf_Spa_Resort-Playa_Mujeres_Costa_Mujeres_Yucatan_Peninsula.html" TargetMode="External"/><Relationship Id="rId433" Type="http://schemas.openxmlformats.org/officeDocument/2006/relationships/hyperlink" Target="https://www.tripadvisor.ca/Hotel_Review-g793703-d248410-Reviews-Wyndham_Alltra_Samana-Las_Galeras_Samana_Province_Dominican_Republic.html" TargetMode="External"/><Relationship Id="rId311" Type="http://schemas.openxmlformats.org/officeDocument/2006/relationships/hyperlink" Target="https://www.tripadvisor.ca/Hotel_Review-g150807-d219163-Reviews-Moon_Palace_Cancun-Cancun_Yucatan_Peninsula.html" TargetMode="External"/><Relationship Id="rId432" Type="http://schemas.openxmlformats.org/officeDocument/2006/relationships/hyperlink" Target="https://www.tripadvisor.ca/Hotel_Review-g10293056-d218528-Reviews-Bahia_Principe_Grand_La_Romana-El_Soco_San_Pedro_de_Macoris_San_Pedro_de_Macoris_Prov.html" TargetMode="External"/><Relationship Id="rId310" Type="http://schemas.openxmlformats.org/officeDocument/2006/relationships/hyperlink" Target="https://www.tripadvisor.ca/Hotel_Review-g670039-d13153412-Reviews-Paradisus_Los_Cayos-Cayo_Santa_Maria_Villa_Clara_Province_Cuba.html" TargetMode="External"/><Relationship Id="rId431" Type="http://schemas.openxmlformats.org/officeDocument/2006/relationships/hyperlink" Target="https://www.tripadvisor.ca/Hotel_Review-g154267-d1210292-Reviews-Occidental_Nuevo_Vallarta-Nuevo_Nayarit_Pacific_Coast.html" TargetMode="External"/><Relationship Id="rId430" Type="http://schemas.openxmlformats.org/officeDocument/2006/relationships/hyperlink" Target="https://www.tripadvisor.ca/Hotel_Review-g150809-d284334-Reviews-Melia_Cozumel-Cozumel_Yucatan_Peninsula.html"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tripadvisor.ca/Hotel_Review-g499445-d1163247-Reviews-Bahia_Principe_Luxury_Sian_Ka_an-Akumal_Yucatan_Peninsula.html" TargetMode="External"/><Relationship Id="rId194" Type="http://schemas.openxmlformats.org/officeDocument/2006/relationships/hyperlink" Target="https://www.tripadvisor.ca/Hotel_Review-g150793-d152980-Reviews-Marriott_Puerto_Vallarta_Resort_Spa-Puerto_Vallarta.html" TargetMode="External"/><Relationship Id="rId193" Type="http://schemas.openxmlformats.org/officeDocument/2006/relationships/hyperlink" Target="https://www.tripadvisor.ca/Hotel_Review-g150812-d530483-Reviews-Hilton_Playa_del_Carmen_an_All_Inclusive_Adult_Only_Resort-Playa_del_Carmen_Yucatan_Pen.html" TargetMode="External"/><Relationship Id="rId192" Type="http://schemas.openxmlformats.org/officeDocument/2006/relationships/hyperlink" Target="https://www.tripadvisor.ca/Hotel_Review-g150812-d258447-Reviews-Ocean_Maya_Royale-Playa_del_Carmen_Yucatan_Peninsula.html" TargetMode="External"/><Relationship Id="rId191" Type="http://schemas.openxmlformats.org/officeDocument/2006/relationships/hyperlink" Target="https://www.tripadvisor.ca/Hotel_Review-g147275-d25354817-Reviews-Sol_Caribe_Beach-Varadero_Matanzas_Province_Cuba.html" TargetMode="External"/><Relationship Id="rId187" Type="http://schemas.openxmlformats.org/officeDocument/2006/relationships/hyperlink" Target="https://www.tripadvisor.ca/Hotel_Review-g1184718-d287666-Reviews-Carlisle_Bay_Antigua-Saint_Mary_s_Antigua_Antigua_and_Barbuda.html" TargetMode="External"/><Relationship Id="rId186" Type="http://schemas.openxmlformats.org/officeDocument/2006/relationships/hyperlink" Target="https://www.tripadvisor.ca/Hotel_Review-g150810-d25347353-Reviews-Impression_Isla_Mujeres_by_Secrets-Isla_Mujeres_Yucatan_Peninsula.html" TargetMode="External"/><Relationship Id="rId185" Type="http://schemas.openxmlformats.org/officeDocument/2006/relationships/hyperlink" Target="https://www.tripadvisor.ca/Hotel_Review-g1905484-d278091-Reviews-Sugar_Bay_Barbados-Garrison_Saint_Michael_Parish_Barbados.html" TargetMode="External"/><Relationship Id="rId184" Type="http://schemas.openxmlformats.org/officeDocument/2006/relationships/hyperlink" Target="https://www.tripadvisor.com/Hotel_Review-g1013693-d2095544-Reviews-The_Westin_Reserva_Conchal_an_All_Inclusive_Golf_Resort_Spa-Brasilito_Province_of_Gua.html" TargetMode="External"/><Relationship Id="rId189" Type="http://schemas.openxmlformats.org/officeDocument/2006/relationships/hyperlink" Target="https://www.tripadvisor.ca/Hotel_Review-g285732-d15125556-Reviews-Iberostar_Selection_Holguin-Holguin_Holguin_Province_Cuba.html" TargetMode="External"/><Relationship Id="rId188" Type="http://schemas.openxmlformats.org/officeDocument/2006/relationships/hyperlink" Target="https://www.tripadvisor.ca/Hotel_Review-g8283306-d224202-Reviews-Laluna_Boutique_Hotel_Villas-Morne_Rouge_Saint_George_Parish_Grenada.html" TargetMode="External"/><Relationship Id="rId183" Type="http://schemas.openxmlformats.org/officeDocument/2006/relationships/hyperlink" Target="https://www.tripadvisor.ca/Hotel_Review-g23328775-d27148941-Reviews-Secrets_Playa_Blanca-Costa_Mujeres_Yucatan_Peninsula.html" TargetMode="External"/><Relationship Id="rId182" Type="http://schemas.openxmlformats.org/officeDocument/2006/relationships/hyperlink" Target="https://www.tripadvisor.ca/Hotel_Review-g152515-d225501-Reviews-Pueblo_Bonito_Sunset_Beach_Golf_and_Spa_Resort-Cabo_San_Lucas_Los_Cabos_Baja_California.html" TargetMode="External"/><Relationship Id="rId181" Type="http://schemas.openxmlformats.org/officeDocument/2006/relationships/hyperlink" Target="https://www.tripadvisor.ca/Hotel_Review-g150792-d226267-Reviews-Pueblo_Bonito_Emerald_Bay_Resort_Spa-Mazatlan_Pacific_Coast.html" TargetMode="External"/><Relationship Id="rId180" Type="http://schemas.openxmlformats.org/officeDocument/2006/relationships/hyperlink" Target="https://www.tripadvisor.ca/Hotel_Review-g9723540-d776424-Reviews-Villa_La_Estancia_Beach_Resort_Spa_Riviera_Nayarit-Flamingos_Nuevo_Vallarta_Pacific_Co.html" TargetMode="External"/><Relationship Id="rId176" Type="http://schemas.openxmlformats.org/officeDocument/2006/relationships/hyperlink" Target="https://www.tripadvisor.ca/Hotel_Review-g154267-d154855-Reviews-Marival_Distinct_Luxury_Residences_World_Spa-Nuevo_Vallarta_Pacific_Coast.html" TargetMode="External"/><Relationship Id="rId175" Type="http://schemas.openxmlformats.org/officeDocument/2006/relationships/hyperlink" Target="https://www.tripadvisor.ca/Hotel_Review-g147311-d4751032-Reviews-Hotel_Riu_Palace_Jamaica-Montego_Bay_Saint_James_Parish_Jamaica.html" TargetMode="External"/><Relationship Id="rId174" Type="http://schemas.openxmlformats.org/officeDocument/2006/relationships/hyperlink" Target="https://www.tripadvisor.ca/Hotel_Review-g150812-d2514172-Reviews-Blue_Diamond_Luxury_Boutique_Hotel-Playa_del_Carmen_Yucatan_Peninsula.html" TargetMode="External"/><Relationship Id="rId173" Type="http://schemas.openxmlformats.org/officeDocument/2006/relationships/hyperlink" Target="https://www.tripadvisor.ca/Hotel_Review-g16884615-d7212070-Reviews-TRS_Cap_Cana_Waterfront_Marina_Hotel-Cap_Cana_Punta_Cana_La_Altagracia_Province_Domi.html" TargetMode="External"/><Relationship Id="rId179" Type="http://schemas.openxmlformats.org/officeDocument/2006/relationships/hyperlink" Target="https://www.tripadvisor.ca/Hotel_Review-g150809-d184999-Reviews-Scuba_Club_Cozumel-Cozumel_Yucatan_Peninsula.html" TargetMode="External"/><Relationship Id="rId178" Type="http://schemas.openxmlformats.org/officeDocument/2006/relationships/hyperlink" Target="https://www.tripadvisor.ca/Hotel_Review-g150809-d184999-Reviews-Scuba_Club_Cozumel-Cozumel_Yucatan_Peninsula.html" TargetMode="External"/><Relationship Id="rId177" Type="http://schemas.openxmlformats.org/officeDocument/2006/relationships/hyperlink" Target="https://www.tripadvisor.ca/Hotel_Review-g3200052-d26851754-Reviews-Princess_Grand_Jamaica-Green_Island_Hanover_Parish_Jamaica.html" TargetMode="External"/><Relationship Id="rId198" Type="http://schemas.openxmlformats.org/officeDocument/2006/relationships/hyperlink" Target="https://www.tripadvisor.ca/Hotel_Review-g1229340-d14091089-Reviews-TRS_Coral_Hotel-Playa_Mujeres_Costa_Mujeres_Yucatan_Peninsula.html" TargetMode="External"/><Relationship Id="rId197" Type="http://schemas.openxmlformats.org/officeDocument/2006/relationships/hyperlink" Target="https://www.tripadvisor.ca/Hotel_Review-g150812-d214254-Reviews-Iberostar_Tucan-Playa_del_Carmen_Yucatan_Peninsula.html" TargetMode="External"/><Relationship Id="rId196" Type="http://schemas.openxmlformats.org/officeDocument/2006/relationships/hyperlink" Target="https://www.tripadvisor.ca/Hotel_Review-g150812-d154883-Reviews-Iberostar_Quetzal-Playa_del_Carmen_Yucatan_Peninsula.html" TargetMode="External"/><Relationship Id="rId195" Type="http://schemas.openxmlformats.org/officeDocument/2006/relationships/hyperlink" Target="https://www.tripadvisor.ca/Hotel_Review-g150807-d303140-Reviews-Hotel_Riu_Palace_Las_Americas-Cancun_Yucatan_Peninsula.html" TargetMode="External"/><Relationship Id="rId199" Type="http://schemas.openxmlformats.org/officeDocument/2006/relationships/hyperlink" Target="https://www.tripadvisor.ca/Hotel_Review-g147313-d148996-Reviews-Charela_Inn-Negril_Westmoreland_Parish_Jamaica.html" TargetMode="External"/><Relationship Id="rId150" Type="http://schemas.openxmlformats.org/officeDocument/2006/relationships/hyperlink" Target="https://www.tripadvisor.ca/Hotel_Review-g2067331-d16856271-Reviews-Escape_at_Nonsuch_Bay_Antigua_Adults_Only_All_Inclusive-Freetown_Saint_Philip_Parish.html" TargetMode="External"/><Relationship Id="rId392" Type="http://schemas.openxmlformats.org/officeDocument/2006/relationships/hyperlink" Target="https://www.tripadvisor.ca/Hotel_Review-g147275-d270082-Reviews-Royalton_Hicacos_Varadero_Resort_Spa-Varadero_Matanzas_Province_Cuba.html" TargetMode="External"/><Relationship Id="rId391" Type="http://schemas.openxmlformats.org/officeDocument/2006/relationships/hyperlink" Target="https://www.tripadvisor.ca/Hotel_Review-g150813-d3727808-Reviews-PavoReal_Beach_Resort_Tulum-Tulum_Yucatan_Peninsula.html" TargetMode="External"/><Relationship Id="rId390" Type="http://schemas.openxmlformats.org/officeDocument/2006/relationships/hyperlink" Target="https://www.tripadvisor.ca/Hotel_Review-g663501-d23184727-Reviews-Nickelodeon_Hotels_Resorts_Riviera_Maya-Playa_Paraiso_Playa_del_Carmen_Yucatan_Penins.html" TargetMode="External"/><Relationship Id="rId1" Type="http://schemas.openxmlformats.org/officeDocument/2006/relationships/comments" Target="../comments2.xml"/><Relationship Id="rId2" Type="http://schemas.openxmlformats.org/officeDocument/2006/relationships/hyperlink" Target="https://www.tripadvisor.ca/Hotel_Review-g5921325-d325495-Reviews-Coco_Plum_Island_Resort-Coco_Plum_Cay_Belize_Cayes.html" TargetMode="External"/><Relationship Id="rId3" Type="http://schemas.openxmlformats.org/officeDocument/2006/relationships/hyperlink" Target="https://www.tripadvisor.com/Hotel_Review-g26344248-d26326435-Reviews-The_Aerial_BVI-Buck_Island_British_Virgin_Islands.html" TargetMode="External"/><Relationship Id="rId149" Type="http://schemas.openxmlformats.org/officeDocument/2006/relationships/hyperlink" Target="https://www.tripadvisor.ca/Hotel_Review-g13836065-d19606612-Reviews-Grand_Sirenis_Cayo_Santa_Maria-Cayo_Las_Brujas_Cayo_Santa_Maria_Villa_Clara_Provinc.html" TargetMode="External"/><Relationship Id="rId4" Type="http://schemas.openxmlformats.org/officeDocument/2006/relationships/hyperlink" Target="https://www.tripadvisor.ca/Hotel_Review-g150812-d26999496-Reviews-The_Beachfront_By_The_Fives_Hotels-Playa_del_Carmen_Yucatan_Peninsula.html" TargetMode="External"/><Relationship Id="rId148" Type="http://schemas.openxmlformats.org/officeDocument/2006/relationships/hyperlink" Target="https://www.tripadvisor.ca/Hotel_Review-g670039-d3682304-Reviews-Royalton_Cayo_Santa_Maria-Cayo_Santa_Maria_Villa_Clara_Province_Cuba.html" TargetMode="External"/><Relationship Id="rId9" Type="http://schemas.openxmlformats.org/officeDocument/2006/relationships/hyperlink" Target="https://www.tripadvisor.ca/Hotel_Review-g147242-d17794556-Reviews-Hammock_Cove_Antigua-Antigua_Antigua_and_Barbuda.html" TargetMode="External"/><Relationship Id="rId143" Type="http://schemas.openxmlformats.org/officeDocument/2006/relationships/hyperlink" Target="https://www.tripadvisor.ca/Hotel_Review-g152516-d21294207-Reviews-Hilton_Grand_Vacations_Club_La_Pacifica_Los_Cabos-San_Jose_del_Cabo_Los_Cabos_Baja_Ca.html" TargetMode="External"/><Relationship Id="rId385" Type="http://schemas.openxmlformats.org/officeDocument/2006/relationships/hyperlink" Target="https://www.tripadvisor.ca/Hotel_Review-g580450-d25134799-Reviews-Grand_Aston_Cayo_Paredon_Beach_Resort-Cayo_Coco_Jardines_del_Rey_Archipelago_Ciego_de.html" TargetMode="External"/><Relationship Id="rId142" Type="http://schemas.openxmlformats.org/officeDocument/2006/relationships/hyperlink" Target="https://www.tripadvisor.ca/Hotel_Review-g147312-d24172566-Reviews-Sandals_Dunn_s_River-Ocho_Rios_Saint_Ann_Parish_Jamaica.html" TargetMode="External"/><Relationship Id="rId384" Type="http://schemas.openxmlformats.org/officeDocument/2006/relationships/hyperlink" Target="https://www.tripadvisor.ca/Hotel_Review-g150787-d154284-Reviews-Pierre_Mundo_Imperial-Acapulco_Pacific_Coast.html" TargetMode="External"/><Relationship Id="rId141" Type="http://schemas.openxmlformats.org/officeDocument/2006/relationships/hyperlink" Target="https://www.tripadvisor.ca/Hotel_Review-g150792-d152915-Reviews-Pueblo_Bonito_Mazatlan_Beach_Resort-Mazatlan_Pacific_Coast.html" TargetMode="External"/><Relationship Id="rId383" Type="http://schemas.openxmlformats.org/officeDocument/2006/relationships/hyperlink" Target="https://www.tripadvisor.ca/Hotel_Review-g1183194-d147699-Reviews-Sea_Breeze_Beach_House_by_Ocean_Hotels_All_Inclusive-Oistins_Christ_Church_Parish_Barb.html" TargetMode="External"/><Relationship Id="rId140" Type="http://schemas.openxmlformats.org/officeDocument/2006/relationships/hyperlink" Target="https://www.tripadvisor.ca/Hotel_Review-g152515-d543023-Reviews-Pueblo_Bonito_Pacifica_Golf_Spa_Resort-Cabo_San_Lucas_Los_Cabos_Baja_California.html" TargetMode="External"/><Relationship Id="rId382" Type="http://schemas.openxmlformats.org/officeDocument/2006/relationships/hyperlink" Target="https://www.tripadvisor.ca/Hotel_Review-g147313-d214225-Reviews-Sandals_Negril-Negril_Westmoreland_Parish_Jamaica.html" TargetMode="External"/><Relationship Id="rId5" Type="http://schemas.openxmlformats.org/officeDocument/2006/relationships/hyperlink" Target="https://www.tripadvisor.ca/Hotel_Review-g1758638-d150948-Reviews-Guana_Island-Guana_Island_British_Virgin_Islands.html" TargetMode="External"/><Relationship Id="rId147" Type="http://schemas.openxmlformats.org/officeDocument/2006/relationships/hyperlink" Target="https://www.tripadvisor.ca/Hotel_Review-g285732-d263971-Reviews-Paradisus_Rio_De_Oro_Resort_Spa-Holguin_Holguin_Province_Cuba.html" TargetMode="External"/><Relationship Id="rId389" Type="http://schemas.openxmlformats.org/officeDocument/2006/relationships/hyperlink" Target="https://www.tripadvisor.ca/Hotel_Review-g150793-d155673-Reviews-Fiesta_Americana_Puerto_Vallarta_All_Inclusive_Spa-Puerto_Vallarta.html" TargetMode="External"/><Relationship Id="rId6" Type="http://schemas.openxmlformats.org/officeDocument/2006/relationships/hyperlink" Target="https://www.tripadvisor.com/Hotel_Review-g652398-d12548619-Reviews-Serenity_at_Coconut_Bay-Vieux_Fort_Vieux_Fort_Quarter_St_Lucia.html" TargetMode="External"/><Relationship Id="rId146" Type="http://schemas.openxmlformats.org/officeDocument/2006/relationships/hyperlink" Target="https://www.tripadvisor.ca/Hotel_Review-g7808902-d1022643-Reviews-Blue_Haven_All_Inclusive-Leeward_Providenciales_Turks_and_Caicos.html" TargetMode="External"/><Relationship Id="rId388" Type="http://schemas.openxmlformats.org/officeDocument/2006/relationships/hyperlink" Target="https://www.tripadvisor.ca/Hotel_Review-g150807-d219163-Reviews-Moon_Palace_Cancun-Cancun_Yucatan_Peninsula.html" TargetMode="External"/><Relationship Id="rId7" Type="http://schemas.openxmlformats.org/officeDocument/2006/relationships/hyperlink" Target="https://www.tripadvisor.ca/Hotel_Review-g150812-d19517260-Reviews-Fairmont_Heritage_Place_Mayakoba-Playa_del_Carmen_Yucatan_Peninsula.htmlhttps://www.tripadvisor.ca/Hotel_Review-g150812-d19517260-Reviews-Fairmont_Heritage_Place_Mayakoba-Playa_del_Carmen_Yucatan_Peninsula.html" TargetMode="External"/><Relationship Id="rId145" Type="http://schemas.openxmlformats.org/officeDocument/2006/relationships/hyperlink" Target="https://www.tripadvisor.ca/Hotel_Review-g152515-d12237068-Reviews-Grand_Solmar_Pacific_Dunes_Resort_Golf_Spa-Cabo_San_Lucas_Los_Cabos_Baja_California.html" TargetMode="External"/><Relationship Id="rId387" Type="http://schemas.openxmlformats.org/officeDocument/2006/relationships/hyperlink" Target="https://www.tripadvisor.ca/Hotel_Review-g737152-d25190103-Reviews-Starfish_Cayo_Largo-Cayo_Largo_Cuba.html" TargetMode="External"/><Relationship Id="rId8" Type="http://schemas.openxmlformats.org/officeDocument/2006/relationships/hyperlink" Target="https://www.tripadvisor.ca/Hotel_Review-g292018-d1070439-Reviews-Villa_on_Dunbar_Rock-Guanaja_Bay_Islands.html" TargetMode="External"/><Relationship Id="rId144" Type="http://schemas.openxmlformats.org/officeDocument/2006/relationships/hyperlink" Target="https://www.tripadvisor.ca/Hotel_Review-g10822792-d149341-Reviews-Sandals_Grenada-Pink_Gin_Beach_Saint_George_Parish_Grenada.html" TargetMode="External"/><Relationship Id="rId386" Type="http://schemas.openxmlformats.org/officeDocument/2006/relationships/hyperlink" Target="https://www.tripadvisor.ca/Hotel_Review-g285732-d24134096-Reviews-Grand_Memories_Holguin-Holguin_Holguin_Province_Cuba.html" TargetMode="External"/><Relationship Id="rId381" Type="http://schemas.openxmlformats.org/officeDocument/2006/relationships/hyperlink" Target="https://www.tripadvisor.ca/Hotel_Review-g150809-d153003-Reviews-Fiesta_Americana_Cozumel_All_Inclusive-Cozumel_Yucatan_Peninsula.html" TargetMode="External"/><Relationship Id="rId380" Type="http://schemas.openxmlformats.org/officeDocument/2006/relationships/hyperlink" Target="https://www.tripadvisor.ca/Hotel_Review-g616319-d12124376-Reviews-Villas_HM_Palapas_del_Mar-Holbox_Island_Yucatan_Peninsula.html" TargetMode="External"/><Relationship Id="rId139" Type="http://schemas.openxmlformats.org/officeDocument/2006/relationships/hyperlink" Target="https://www.tripadvisor.com/Hotel_Review-g240327-d19646887-Reviews-Margaritaville_Island_Reserve_Riviera_Cancun_by_Karisma-Puerto_Morelos_Yucatan_Penins.html" TargetMode="External"/><Relationship Id="rId138" Type="http://schemas.openxmlformats.org/officeDocument/2006/relationships/hyperlink" Target="https://www.tripadvisor.ca/Hotel_Review-g150793-d1438800-Reviews-Garza_Blanca_Preserve_Resort_Spa-Puerto_Vallarta.html" TargetMode="External"/><Relationship Id="rId137" Type="http://schemas.openxmlformats.org/officeDocument/2006/relationships/hyperlink" Target="https://www.tripadvisor.ca/Hotel_Review-g152515-d672982-Reviews-Casa_Dorada_Los_Cabos_Resort_Spa-Cabo_San_Lucas_Los_Cabos_Baja_California.html" TargetMode="External"/><Relationship Id="rId379" Type="http://schemas.openxmlformats.org/officeDocument/2006/relationships/hyperlink" Target="https://www.tripadvisor.ca/Hotel_Review-g150807-d154413-Reviews-Grand_Park_Royal_Cancun-Cancun_Yucatan_Peninsula.html" TargetMode="External"/><Relationship Id="rId132" Type="http://schemas.openxmlformats.org/officeDocument/2006/relationships/hyperlink" Target="https://www.tripadvisor.ca/Hotel_Review-g150807-d152890-Reviews-Club_Med_Cancun-Cancun_Yucatan_Peninsula.html" TargetMode="External"/><Relationship Id="rId374" Type="http://schemas.openxmlformats.org/officeDocument/2006/relationships/hyperlink" Target="https://www.tripadvisor.ca/Hotel_Review-g147293-d611703-Reviews-Catalonia_Royal_Bavaro-Punta_Cana_La_Altagracia_Province_Dominican_Republic.html" TargetMode="External"/><Relationship Id="rId131" Type="http://schemas.openxmlformats.org/officeDocument/2006/relationships/hyperlink" Target="https://www.tripadvisor.ca/Hotel_Review-g25211303-d26689011-Reviews-Sandals_Saint_Vincent-Buccament_St_Vincent_and_the_Grenadines.html" TargetMode="External"/><Relationship Id="rId373" Type="http://schemas.openxmlformats.org/officeDocument/2006/relationships/hyperlink" Target="https://www.tripadvisor.ca/Hotel_Review-g152515-d15751779-Reviews-Hard_Rock_Hotel_Los_Cabos-Cabo_San_Lucas_Los_Cabos_Baja_California.html" TargetMode="External"/><Relationship Id="rId130" Type="http://schemas.openxmlformats.org/officeDocument/2006/relationships/hyperlink" Target="https://www.tripadvisor.ca/Hotel_Review-g152515-d213858-Reviews-Villa_La_Estancia_Beach_Resort_Spa_Los_Cabos-Cabo_San_Lucas_Los_Cabos_Baja_California.html" TargetMode="External"/><Relationship Id="rId372" Type="http://schemas.openxmlformats.org/officeDocument/2006/relationships/hyperlink" Target="https://www.tripadvisor.ca/Hotel_Review-g150793-d2336351-Reviews-Dreams_Vallarta_Bay_Resort_Spa-Puerto_Vallarta.html" TargetMode="External"/><Relationship Id="rId371" Type="http://schemas.openxmlformats.org/officeDocument/2006/relationships/hyperlink" Target="https://www.tripadvisor.ca/Hotel_Review-g663484-d10400968-Reviews-Dreams_Dominicus_La_Romana-Bayahibe_La_Altagracia_Province_Dominican_Republic.html" TargetMode="External"/><Relationship Id="rId136" Type="http://schemas.openxmlformats.org/officeDocument/2006/relationships/hyperlink" Target="https://www.tripadvisor.ca/Hotel_Review-g150812-d155824-Reviews-Playacar_Palace-Playa_del_Carmen_Yucatan_Peninsula.html" TargetMode="External"/><Relationship Id="rId378" Type="http://schemas.openxmlformats.org/officeDocument/2006/relationships/hyperlink" Target="https://www.tripadvisor.ca/Hotel_Review-g150807-d154452-Reviews-Oleo_Cancun_Playa-Cancun_Yucatan_Peninsula.html" TargetMode="External"/><Relationship Id="rId135" Type="http://schemas.openxmlformats.org/officeDocument/2006/relationships/hyperlink" Target="https://www.tripadvisor.ca/Hotel_Review-g147313-d148625-Reviews-Couples_Resorts_Negril-Negril_Westmoreland_Parish_Jamaica.html" TargetMode="External"/><Relationship Id="rId377" Type="http://schemas.openxmlformats.org/officeDocument/2006/relationships/hyperlink" Target="https://www.tripadvisor.ca/Hotel_Review-g499445-d503104-Reviews-Bahia_Principe_Grand_Tulum-Akumal_Yucatan_Peninsula.html" TargetMode="External"/><Relationship Id="rId134" Type="http://schemas.openxmlformats.org/officeDocument/2006/relationships/hyperlink" Target="https://www.tripadvisor.ca/Hotel_Review-g147312-d251578-Reviews-Couples_Sans_Souci-Ocho_Rios_Saint_Ann_Parish_Jamaica.html" TargetMode="External"/><Relationship Id="rId376" Type="http://schemas.openxmlformats.org/officeDocument/2006/relationships/hyperlink" Target="https://www.tripadvisor.ca/Hotel_Review-g3176298-d579774-Reviews-Iberostar_Punta_Cana-Bavaro_Punta_Cana_La_Altagracia_Province_Dominican_Republic.html" TargetMode="External"/><Relationship Id="rId133" Type="http://schemas.openxmlformats.org/officeDocument/2006/relationships/hyperlink" Target="https://www.tripadvisor.ca/Hotel_Review-g3200043-d649099-Reviews-Zoetry_Agua_Punta_Cana-Uvero_Alto_Punta_Cana_La_Altagracia_Province_Dominican_Republic.html" TargetMode="External"/><Relationship Id="rId375" Type="http://schemas.openxmlformats.org/officeDocument/2006/relationships/hyperlink" Target="https://www.tripadvisor.com/Hotel_Review-g150809-d12730974-Reviews-The_Westin_Cozumel-Cozumel_Yucatan_Peninsula.html" TargetMode="External"/><Relationship Id="rId172" Type="http://schemas.openxmlformats.org/officeDocument/2006/relationships/hyperlink" Target="https://www.tripadvisor.ca/Hotel_Review-g663484-d1163459-Reviews-Hilton_La_Romana_An_All_Inclusive_Adult_Only_Resort-Bayahibe_La_Altagracia_Province_Do.html" TargetMode="External"/><Relationship Id="rId171" Type="http://schemas.openxmlformats.org/officeDocument/2006/relationships/hyperlink" Target="https://www.tripadvisor.ca/Hotel_Review-g666621-d2202180-Reviews-O2_Beach_Club_Spa-St_Lawrence_Gap_Christ_Church_Parish_Barbados.html" TargetMode="External"/><Relationship Id="rId170" Type="http://schemas.openxmlformats.org/officeDocument/2006/relationships/hyperlink" Target="https://www.tripadvisor.ca/Hotel_Review-g147265-d260445-Reviews-Waves_Hotel_Spa_by_Elegant_Hotels_All_Inclusive-Saint_James_Parish_Barbados.html" TargetMode="External"/><Relationship Id="rId165" Type="http://schemas.openxmlformats.org/officeDocument/2006/relationships/hyperlink" Target="https://www.tripadvisor.ca/Hotel_Review-g150812-d651166-Reviews-The_Royal_Haciendas_All_Suites_Resort_Spa-Playa_del_Carmen_Yucatan_Peninsula.html" TargetMode="External"/><Relationship Id="rId164" Type="http://schemas.openxmlformats.org/officeDocument/2006/relationships/hyperlink" Target="https://www.tripadvisor.ca/Hotel_Review-g499455-d220209-Reviews-Catalonia_Royal_Tulum-Xpu_Ha_Yucatan_Peninsula.html" TargetMode="External"/><Relationship Id="rId163" Type="http://schemas.openxmlformats.org/officeDocument/2006/relationships/hyperlink" Target="https://www.tripadvisor.ca/Hotel_Review-g16884615-d23308900-Reviews-Margaritaville_Island_Reserve_Cap_Cana_Hammock-Cap_Cana_Punta_Cana_La_Altagracia_Pr.html" TargetMode="External"/><Relationship Id="rId162" Type="http://schemas.openxmlformats.org/officeDocument/2006/relationships/hyperlink" Target="https://www.tripadvisor.ca/Hotel_Review-g23594254-d12212865-Reviews-Catalonia_Royal_La_Romana_Adults_Only-Dominicus_Bayahibe_La_Altagracia_Province_Dom.html" TargetMode="External"/><Relationship Id="rId169" Type="http://schemas.openxmlformats.org/officeDocument/2006/relationships/hyperlink" Target="https://www.tripadvisor.ca/Hotel_Review-g13882869-d6721790-Reviews-The_Explorean_Cozumel-San_Miguel_de_Cozumel_Cozumel_Yucatan_Peninsula.html" TargetMode="External"/><Relationship Id="rId168" Type="http://schemas.openxmlformats.org/officeDocument/2006/relationships/hyperlink" Target="https://www.tripadvisor.ca/Hotel_Review-g152515-d153085-Reviews-Pueblo_Bonito_Blanco_Los_Cabos_Beach_Resort-Cabo_San_Lucas_Los_Cabos_Baja_California.html" TargetMode="External"/><Relationship Id="rId167" Type="http://schemas.openxmlformats.org/officeDocument/2006/relationships/hyperlink" Target="https://www.tripadvisor.ca/Hotel_Review-g1229340-d16855390-Reviews-Majestic_Elegance_Costa_Mujeres-Playa_Mujeres_Costa_Mujeres_Yucatan_Peninsula.html" TargetMode="External"/><Relationship Id="rId166" Type="http://schemas.openxmlformats.org/officeDocument/2006/relationships/hyperlink" Target="https://www.tripadvisor.ca/Hotel_Review-g663501-d284824-Reviews-Iberostar_Selection_Paraiso_Lindo-Playa_Paraiso_Playa_del_Carmen_Yucatan_Peninsula.html" TargetMode="External"/><Relationship Id="rId161" Type="http://schemas.openxmlformats.org/officeDocument/2006/relationships/hyperlink" Target="https://www.tripadvisor.ca/Hotel_Review-g3200043-d16774738-Reviews-Live_Aqua_Beach_Resort_Punta_Cana-Uvero_Alto_Punta_Cana_La_Altagracia_Province_Domin.html" TargetMode="External"/><Relationship Id="rId160" Type="http://schemas.openxmlformats.org/officeDocument/2006/relationships/hyperlink" Target="https://www.tripadvisor.ca/Hotel_Review-g150812-d2299038-Reviews-Paradisus_Playa_Del_Carmen-Playa_del_Carmen_Yucatan_Peninsula.html" TargetMode="External"/><Relationship Id="rId159" Type="http://schemas.openxmlformats.org/officeDocument/2006/relationships/hyperlink" Target="https://www.tripadvisor.ca/Hotel_Review-g3176298-d1068246-Reviews-Majestic_Elegance_Punta_Cana-Bavaro_Punta_Cana_La_Altagracia_Province_Dominican_Repub.html" TargetMode="External"/><Relationship Id="rId154" Type="http://schemas.openxmlformats.org/officeDocument/2006/relationships/hyperlink" Target="https://www.tripadvisor.ca/Hotel_Review-g153510-d673129-Reviews-Barcelo_Maya_Palace-Puerto_Aventuras_Yucatan_Peninsula.html" TargetMode="External"/><Relationship Id="rId396" Type="http://schemas.openxmlformats.org/officeDocument/2006/relationships/hyperlink" Target="https://www.tripadvisor.ca/Hotel_Review-g153510-d254937-Reviews-Barcelo_Maya_Grand_Resort-Puerto_Aventuras_Yucatan_Peninsula.html" TargetMode="External"/><Relationship Id="rId153" Type="http://schemas.openxmlformats.org/officeDocument/2006/relationships/hyperlink" Target="https://www.tripadvisor.ca/Hotel_Review-g1184696-d209594-Reviews-Cocobay_Resort_All_Inclusive_Adults_Only-Bolans_Saint_Mary_s_Antigua_Antigua_and_Barbu.html" TargetMode="External"/><Relationship Id="rId395" Type="http://schemas.openxmlformats.org/officeDocument/2006/relationships/hyperlink" Target="https://www.tripadvisor.ca/Hotel_Review-g153445-d155714-Reviews-Qualton_Club_Ixtapa_All_Inclusive-Ixtapa_Zihuatanejo_de_Azueta_Pacific_Coast.html" TargetMode="External"/><Relationship Id="rId152" Type="http://schemas.openxmlformats.org/officeDocument/2006/relationships/hyperlink" Target="https://www.tripadvisor.ca/Hotel_Review-g147275-d14163595-Reviews-Melia_Internacional_Varadero-Varadero_Matanzas_Province_Cuba.html" TargetMode="External"/><Relationship Id="rId394" Type="http://schemas.openxmlformats.org/officeDocument/2006/relationships/hyperlink" Target="https://www.tripadvisor.ca/Hotel_Review-g552078-d19888521-Reviews-Decameron_La_Marina-Rincon_de_Guayabitos_Pacific_Coast.html" TargetMode="External"/><Relationship Id="rId151" Type="http://schemas.openxmlformats.org/officeDocument/2006/relationships/hyperlink" Target="https://www.tripadvisor.com/Hotel_Review-g10639015-d150733-Reviews-Sugar_Cane_Club_Hotel_Spa-Retreat_Saint_Peter_Parish_Barbados.html" TargetMode="External"/><Relationship Id="rId393" Type="http://schemas.openxmlformats.org/officeDocument/2006/relationships/hyperlink" Target="https://www.tripadvisor.ca/Hotel_Review-g3176298-d313884-Reviews-Punta_Cana_Princess-Bavaro_Punta_Cana_La_Altagracia_Province_Dominican_Republic.html" TargetMode="External"/><Relationship Id="rId158" Type="http://schemas.openxmlformats.org/officeDocument/2006/relationships/hyperlink" Target="https://www.tripadvisor.ca/Hotel_Review-g152515-d1103734-Reviews-Montecristo_Estates_Luxury_Villas-Cabo_San_Lucas_Los_Cabos_Baja_California.html" TargetMode="External"/><Relationship Id="rId157" Type="http://schemas.openxmlformats.org/officeDocument/2006/relationships/hyperlink" Target="https://www.tripadvisor.ca/Hotel_Review-g153445-d154176-Reviews-Club_Med_Ixtapa_Pacific-Ixtapa_Zihuatanejo_de_Azueta_Pacific_Coast.html" TargetMode="External"/><Relationship Id="rId399" Type="http://schemas.openxmlformats.org/officeDocument/2006/relationships/hyperlink" Target="https://www.tripadvisor.ca/Hotel_Review-g147275-d268765-Reviews-Melia_Varadero-Varadero_Matanzas_Province_Cuba.html" TargetMode="External"/><Relationship Id="rId156" Type="http://schemas.openxmlformats.org/officeDocument/2006/relationships/hyperlink" Target="https://www.tripadvisor.ca/Hotel_Review-g659488-d288383-Reviews-Hidden_Beach_Au_Naturel_Resort-Riviera_Maya_Yucatan_Peninsula.html" TargetMode="External"/><Relationship Id="rId398" Type="http://schemas.openxmlformats.org/officeDocument/2006/relationships/hyperlink" Target="https://www.tripadvisor.ca/Hotel_Review-g666625-d16708341-Reviews-Gran_Muthu_Imperial_Hotel-Cayo_Guillermo_Jardines_del_Rey_Archipelago_Ciego_de_Avila_.html" TargetMode="External"/><Relationship Id="rId155" Type="http://schemas.openxmlformats.org/officeDocument/2006/relationships/hyperlink" Target="https://www.tripadvisor.ca/Hotel_Review-g150812-d596668-Reviews-Hotel_Riu_Palace_Riviera_Maya-Playa_del_Carmen_Yucatan_Peninsula.html" TargetMode="External"/><Relationship Id="rId397" Type="http://schemas.openxmlformats.org/officeDocument/2006/relationships/hyperlink" Target="https://www.tripadvisor.ca/Hotel_Review-g147317-d149099-Reviews-Franklyn_D_Resort_Spa-Runaway_Bay_Saint_Ann_Parish_Jamaica.html" TargetMode="External"/><Relationship Id="rId808" Type="http://schemas.openxmlformats.org/officeDocument/2006/relationships/hyperlink" Target="https://www.tripadvisor.ca/Hotel_Review-g147313-d274597-Reviews-Fun_Holiday_Beach_Resort-Negril_Westmoreland_Parish_Jamaica.html" TargetMode="External"/><Relationship Id="rId807" Type="http://schemas.openxmlformats.org/officeDocument/2006/relationships/hyperlink" Target="https://www.tripadvisor.ca/Hotel_Review-g2441050-d28623629-Reviews-Viva_Miches_By_Wyndham_A_Trademark_All_Inclusive_Resort-Miches_El_Seibo_Province_Dom.html" TargetMode="External"/><Relationship Id="rId806" Type="http://schemas.openxmlformats.org/officeDocument/2006/relationships/hyperlink" Target="https://www.tripadvisor.ca/Hotel_Review-g150807-d154444-Reviews-Grand_Oasis_Cancun-Cancun_Yucatan_Peninsula.html" TargetMode="External"/><Relationship Id="rId805" Type="http://schemas.openxmlformats.org/officeDocument/2006/relationships/hyperlink" Target="https://www.tripadvisor.ca/Hotel_Review-g967189-d2518986-Reviews-Be_Live_Experience_Hamaca_Garden-Boca_Chica_Santo_Domingo_Province_Dominican_Republic.html" TargetMode="External"/><Relationship Id="rId809" Type="http://schemas.openxmlformats.org/officeDocument/2006/relationships/hyperlink" Target="https://www.tripadvisor.ca/Hotel_Review-g150807-d155812-Reviews-Melia_Casa_Maya_Cancun_All_Inclusive-Cancun_Yucatan_Peninsula.html" TargetMode="External"/><Relationship Id="rId800" Type="http://schemas.openxmlformats.org/officeDocument/2006/relationships/hyperlink" Target="https://www.tripadvisor.ca/Hotel_Review-g147290-d10414041-Reviews-Envy_Vacations-Puerto_Plata_Puerto_Plata_Province_Dominican_Republic.html" TargetMode="External"/><Relationship Id="rId804" Type="http://schemas.openxmlformats.org/officeDocument/2006/relationships/hyperlink" Target="https://www.tripadvisor.ca/Hotel_Review-g147275-d12715267-Reviews-Occidental_Arenas_Blancas-Varadero_Matanzas_Province_Cuba.html" TargetMode="External"/><Relationship Id="rId803" Type="http://schemas.openxmlformats.org/officeDocument/2006/relationships/hyperlink" Target="https://www.tripadvisor.ca/Hotel_Review-g2441050-d32848925-Reviews-Marriott_Miches_Beach_An_All_inclusive_Resort-Miches_El_Seibo_Province_Dominican_Rep.html" TargetMode="External"/><Relationship Id="rId802" Type="http://schemas.openxmlformats.org/officeDocument/2006/relationships/hyperlink" Target="https://www.tripadvisor.ca/Hotel_Review-g147275-d254482-Reviews-Barcelo_Solymar-Varadero_Matanzas_Province_Cuba.html" TargetMode="External"/><Relationship Id="rId801" Type="http://schemas.openxmlformats.org/officeDocument/2006/relationships/hyperlink" Target="https://www.tripadvisor.ca/Hotel_Review-g499455-d552302-Reviews-Bel_Air_Collection_Resort_Spa_Riviera_Maya-Xpu_Ha_Yucatan_Peninsula.html" TargetMode="External"/><Relationship Id="rId40" Type="http://schemas.openxmlformats.org/officeDocument/2006/relationships/hyperlink" Target="https://www.tripadvisor.ca/Hotel_Review-g150807-d154868-Reviews-Le_Blanc_Spa_Resort_Cancun-Cancun_Yucatan_Peninsula.html" TargetMode="External"/><Relationship Id="rId42" Type="http://schemas.openxmlformats.org/officeDocument/2006/relationships/hyperlink" Target="https://www.tripadvisor.ca/Hotel_Review-g1229340-d15144755-Reviews-Atelier_Playa_Mujeres-Playa_Mujeres_Costa_Mujeres_Yucatan_Peninsula.html" TargetMode="External"/><Relationship Id="rId41" Type="http://schemas.openxmlformats.org/officeDocument/2006/relationships/hyperlink" Target="https://www.tripadvisor.ca/Hotel_Review-g1931394-d270565-Reviews-BodyHoliday_Saint_Lucia-Cap_Estate_Gros_Islet_Quarter_St_Lucia.html" TargetMode="External"/><Relationship Id="rId44" Type="http://schemas.openxmlformats.org/officeDocument/2006/relationships/hyperlink" Target="https://www.tripadvisor.ca/Hotel_Review-g147249-d150689-Reviews-Manchebo_Beach_Resort_Spa-Palm_Eagle_Beach_Aruba.html" TargetMode="External"/><Relationship Id="rId43" Type="http://schemas.openxmlformats.org/officeDocument/2006/relationships/hyperlink" Target="https://www.tripadvisor.ca/Hotel_Review-g309268-d25010868-Reviews-Hotel_Serendipity_Tortuguero-Tortuguero_Province_of_Limon.html" TargetMode="External"/><Relationship Id="rId46" Type="http://schemas.openxmlformats.org/officeDocument/2006/relationships/hyperlink" Target="https://www.tripadvisor.ca/Hotel_Review-g2705982-d150079-Reviews-Galley_Bay_Resort_Spa-Five_Islands_Village_Saint_John_Parish_Antigua_Antigua_and_Barbu.html" TargetMode="External"/><Relationship Id="rId45" Type="http://schemas.openxmlformats.org/officeDocument/2006/relationships/hyperlink" Target="https://www.tripadvisor.ca/Hotel_Review-g642244-d17573572-Reviews-Iberostar_Coral_Ensenachos-Cayo_Ensenachos_Cuba.html" TargetMode="External"/><Relationship Id="rId509" Type="http://schemas.openxmlformats.org/officeDocument/2006/relationships/hyperlink" Target="https://www.tripadvisor.ca/Hotel_Review-g147290-d12801910-Reviews-Emotions_All_Inclusive_Puerto_Plata_Ascend_Hotel_Collection-Puerto_Plata_Puerto_Plata.html" TargetMode="External"/><Relationship Id="rId508" Type="http://schemas.openxmlformats.org/officeDocument/2006/relationships/hyperlink" Target="https://www.tripadvisor.ca/Hotel_Review-g150792-d483268-Reviews-El_Cid_Granada_Hotel-Mazatlan_Pacific_Coast.html" TargetMode="External"/><Relationship Id="rId503" Type="http://schemas.openxmlformats.org/officeDocument/2006/relationships/hyperlink" Target="https://www.tripadvisor.ca/Hotel_Review-g154267-d1725906-Reviews-Marival_Emotions_Resort_Suites-Nuevo_Vallarta_Pacific_Coast.html" TargetMode="External"/><Relationship Id="rId745" Type="http://schemas.openxmlformats.org/officeDocument/2006/relationships/hyperlink" Target="https://www.tripadvisor.ca/Hotel_Review-g147313-d155168-Reviews-Merrils_Beach_Resort_II-Negril_Westmoreland_Parish_Jamaica.html" TargetMode="External"/><Relationship Id="rId502" Type="http://schemas.openxmlformats.org/officeDocument/2006/relationships/hyperlink" Target="https://www.tripadvisor.ca/Hotel_Review-g152515-d23150281-Reviews-Villa_La_Valencia_Beach_Resort_Spa-Cabo_San_Lucas_Los_Cabos_Baja_California.html" TargetMode="External"/><Relationship Id="rId744" Type="http://schemas.openxmlformats.org/officeDocument/2006/relationships/hyperlink" Target="https://www.tripadvisor.ca/Hotel_Review-g147416-d147627-Reviews-Breezes_Resorts_Spas-Nassau_New_Providence_Island_Bahamas.html" TargetMode="External"/><Relationship Id="rId501" Type="http://schemas.openxmlformats.org/officeDocument/2006/relationships/hyperlink" Target="https://www.tripadvisor.ca/Hotel_Review-g150807-d186909-Reviews-Royal_Uno_All_Inclusive_Resort_Spa-Cancun_Yucatan_Peninsula.html" TargetMode="External"/><Relationship Id="rId743" Type="http://schemas.openxmlformats.org/officeDocument/2006/relationships/hyperlink" Target="https://www.tripadvisor.ca/Hotel_Review-g150807-d27671171-Reviews-Ava_Resort_Cancun-Cancun_Yucatan_Peninsula.html" TargetMode="External"/><Relationship Id="rId500" Type="http://schemas.openxmlformats.org/officeDocument/2006/relationships/hyperlink" Target="https://www.tripadvisor.ca/Hotel_Review-g150807-d23760011-Reviews-Breathless_Cancun_Soul_Resort_Spa-Cancun_Yucatan_Peninsula.html" TargetMode="External"/><Relationship Id="rId742" Type="http://schemas.openxmlformats.org/officeDocument/2006/relationships/hyperlink" Target="https://www.tripadvisor.ca/Hotel_Review-g147313-d251584-Reviews-Samsara_Cliffs_Resort-Negril_Westmoreland_Parish_Jamaica.html" TargetMode="External"/><Relationship Id="rId507" Type="http://schemas.openxmlformats.org/officeDocument/2006/relationships/hyperlink" Target="https://www.tripadvisor.ca/Hotel_Review-g147248-d222976-Reviews-Divi_Village_Golf_and_Beach_Resort-Oranjestad_Aruba.html" TargetMode="External"/><Relationship Id="rId749" Type="http://schemas.openxmlformats.org/officeDocument/2006/relationships/hyperlink" Target="https://www.tripadvisor.ca/Hotel_Review-g147402-d148176-Reviews-Divi_Carina_Bay_Beach_Resort_Casino-Christiansted_St_Croix_U_S_Virgin_Islands.html" TargetMode="External"/><Relationship Id="rId506" Type="http://schemas.openxmlformats.org/officeDocument/2006/relationships/hyperlink" Target="https://www.tripadvisor.ca/Hotel_Review-g663484-d263551-Reviews-Catalonia_Bayahibe-Bayahibe_La_Altagracia_Province_Dominican_Republic.html" TargetMode="External"/><Relationship Id="rId748" Type="http://schemas.openxmlformats.org/officeDocument/2006/relationships/hyperlink" Target="https://www.tripadvisor.ca/Hotel_Review-g147290-d150853-Reviews-PlayaBachata_Spa_Resort-Puerto_Plata_Puerto_Plata_Province_Dominican_Republic.html" TargetMode="External"/><Relationship Id="rId505" Type="http://schemas.openxmlformats.org/officeDocument/2006/relationships/hyperlink" Target="https://www.tripadvisor.ca/Hotel_Review-g147290-d150887-Reviews-BlueBay_Villas_Doradas-Puerto_Plata_Puerto_Plata_Province_Dominican_Republic.html" TargetMode="External"/><Relationship Id="rId747" Type="http://schemas.openxmlformats.org/officeDocument/2006/relationships/hyperlink" Target="https://www.tripadvisor.ca/Hotel_Review-g147402-d25096823-Reviews-Oceans_at_Divi_Carina_Bay-Christiansted_St_Croix_U_S_Virgin_Islands.html" TargetMode="External"/><Relationship Id="rId504" Type="http://schemas.openxmlformats.org/officeDocument/2006/relationships/hyperlink" Target="https://www.tripadvisor.ca/Hotel_Review-g147313-d5039969-Reviews-Azul_Beach_Resort_Negril_by_Karisma-Negril_Westmoreland_Parish_Jamaica.html" TargetMode="External"/><Relationship Id="rId746" Type="http://schemas.openxmlformats.org/officeDocument/2006/relationships/hyperlink" Target="https://www.tripadvisor.ca/Hotel_Review-g147313-d155168-Reviews-Merrils_Beach_Resort_II-Negril_Westmoreland_Parish_Jamaica.html" TargetMode="External"/><Relationship Id="rId48" Type="http://schemas.openxmlformats.org/officeDocument/2006/relationships/hyperlink" Target="https://www.tripadvisor.ca/Hotel_Review-g3198845-d774804-Reviews-Valentin_Imperial_Riviera_Maya-Playa_del_Secreto_Playa_del_Carmen_Yucatan_Peninsula.html" TargetMode="External"/><Relationship Id="rId47" Type="http://schemas.openxmlformats.org/officeDocument/2006/relationships/hyperlink" Target="https://www.tripadvisor.ca/Hotel_Review-g147345-d149078-Reviews-Sugar_Beach_A_Viceroy_Resort-Soufriere_Soufriere_Quarter_St_Lucia.html" TargetMode="External"/><Relationship Id="rId49" Type="http://schemas.openxmlformats.org/officeDocument/2006/relationships/hyperlink" Target="https://www.tripadvisor.ca/Hotel_Review-g660724-d1167103-Reviews-JOIA_Rose_Hall_by_Iberostar-Rose_Hall_Montego_Bay_Saint_James_Parish_Jamaica.html" TargetMode="External"/><Relationship Id="rId741" Type="http://schemas.openxmlformats.org/officeDocument/2006/relationships/hyperlink" Target="https://www.tripadvisor.ca/Hotel_Review-g2705982-d15194188-Reviews-Royalton_Antigua_An_Autograph_Collection_All_Inclusive_Resort-Five_Islands_Village_S.html" TargetMode="External"/><Relationship Id="rId740" Type="http://schemas.openxmlformats.org/officeDocument/2006/relationships/hyperlink" Target="https://www.tripadvisor.ca/Hotel_Review-g150809-d214260-Reviews-Sunscape_Sabor_Cozumel-Cozumel_Yucatan_Peninsula.html" TargetMode="External"/><Relationship Id="rId31" Type="http://schemas.openxmlformats.org/officeDocument/2006/relationships/hyperlink" Target="https://www.tripadvisor.ca/Hotel_Review-g3176298-d1233228-Reviews-Iberostar_Grand_Bavaro-Bavaro_Punta_Cana_La_Altagracia_Province_Dominican_Republic.html" TargetMode="External"/><Relationship Id="rId30" Type="http://schemas.openxmlformats.org/officeDocument/2006/relationships/hyperlink" Target="https://www.tripadvisor.ca/Hotel_Review-g147313-d184421-Reviews-The_Caves-Negril_Westmoreland_Parish_Jamaica.html" TargetMode="External"/><Relationship Id="rId33" Type="http://schemas.openxmlformats.org/officeDocument/2006/relationships/hyperlink" Target="https://www.tripadvisor.ca/Hotel_Review-g1184718-d148274-Reviews-Curtain_Bluff-Saint_Mary_s_Antigua_Antigua_and_Barbuda.html" TargetMode="External"/><Relationship Id="rId32" Type="http://schemas.openxmlformats.org/officeDocument/2006/relationships/hyperlink" Target="https://www.tripadvisor.ca/Hotel_Review-g12296642-d25267098-Reviews-Cayo_Levantado_Resort-Cayo_Levantado_Samana_Province_Dominican_Republic.html" TargetMode="External"/><Relationship Id="rId35" Type="http://schemas.openxmlformats.org/officeDocument/2006/relationships/hyperlink" Target="https://www.tripadvisor.ca/Hotel_Review-g1184718-d634067-Reviews-Hermitage_Bay-Saint_Mary_s_Antigua_Antigua_and_Barbuda.html" TargetMode="External"/><Relationship Id="rId34" Type="http://schemas.openxmlformats.org/officeDocument/2006/relationships/hyperlink" Target="https://www.tripadvisor.ca/Hotel_Review-g150793-d155190-Reviews-Casa_Velas-Puerto_Vallarta.html" TargetMode="External"/><Relationship Id="rId739" Type="http://schemas.openxmlformats.org/officeDocument/2006/relationships/hyperlink" Target="https://www.tripadvisor.ca/Hotel_Review-g147311-d155359-Reviews-SeaGarden_Beach_Resort-Montego_Bay_Saint_James_Parish_Jamaica.html" TargetMode="External"/><Relationship Id="rId734" Type="http://schemas.openxmlformats.org/officeDocument/2006/relationships/hyperlink" Target="https://www.tripadvisor.ca/Hotel_Review-g150807-d566509-Reviews-Grand_Oasis_Palm-Cancun_Yucatan_Peninsula.html" TargetMode="External"/><Relationship Id="rId733" Type="http://schemas.openxmlformats.org/officeDocument/2006/relationships/hyperlink" Target="https://www.tripadvisor.ca/Hotel_Review-g147293-d634363-Reviews-Occidental_Caribe-Punta_Cana_La_Altagracia_Province_Dominican_Republic.html" TargetMode="External"/><Relationship Id="rId732" Type="http://schemas.openxmlformats.org/officeDocument/2006/relationships/hyperlink" Target="https://www.tripadvisor.ca/Hotel_Review-g150787-d4662721-Reviews-Krystal_Beach_Acapulco-Acapulco_Pacific_Coast.html" TargetMode="External"/><Relationship Id="rId731" Type="http://schemas.openxmlformats.org/officeDocument/2006/relationships/hyperlink" Target="https://www.tripadvisor.ca/Hotel_Review-g612473-d4718839-Reviews-Hideaway_at_Royalton_Blue_Waters_An_Autograph_Collection_All_Inclusive_Resort_Adults_O.html" TargetMode="External"/><Relationship Id="rId738" Type="http://schemas.openxmlformats.org/officeDocument/2006/relationships/hyperlink" Target="https://www.tripadvisor.ca/Hotel_Review-g147290-d286726-Reviews-Lifestyle_Tropical_Beach_Resort_Spa-Puerto_Plata_Puerto_Plata_Province_Dominican_Republ.html" TargetMode="External"/><Relationship Id="rId737" Type="http://schemas.openxmlformats.org/officeDocument/2006/relationships/hyperlink" Target="https://www.tripadvisor.ca/Hotel_Review-g147275-d151563-Reviews-Hotel_Roc_Barlovento-Varadero_Matanzas_Province_Cuba.html" TargetMode="External"/><Relationship Id="rId736" Type="http://schemas.openxmlformats.org/officeDocument/2006/relationships/hyperlink" Target="https://www.tripadvisor.ca/Hotel_Review-g317146-d209586-Reviews-Casa_Marina_Beach-Sosua_Puerto_Plata_Province_Dominican_Republic.html" TargetMode="External"/><Relationship Id="rId735" Type="http://schemas.openxmlformats.org/officeDocument/2006/relationships/hyperlink" Target="https://www.tripadvisor.ca/Hotel_Review-g666625-d6220008-Reviews-Starfish_Cayo_Guillermo-Cayo_Guillermo_Jardines_del_Rey_Archipelago_Ciego_de_Avila_Pro.html" TargetMode="External"/><Relationship Id="rId37" Type="http://schemas.openxmlformats.org/officeDocument/2006/relationships/hyperlink" Target="https://www.tripadvisor.ca/Hotel_Review-g1457345-d1454311-Reviews-Keyonna_Beach_Resort-Turners_Beach_Saint_Mary_Parish_Antigua_Antigua_and_Barbuda.html" TargetMode="External"/><Relationship Id="rId36" Type="http://schemas.openxmlformats.org/officeDocument/2006/relationships/hyperlink" Target="https://www.tripadvisor.ca/Hotel_Review-g150807-d15594344-Reviews-U_by_Grand_Fiesta_Americana-Cancun_Yucatan_Peninsula.html" TargetMode="External"/><Relationship Id="rId39" Type="http://schemas.openxmlformats.org/officeDocument/2006/relationships/hyperlink" Target="https://www.tripadvisor.ca/Hotel_Review-g16884615-d16663802-Reviews-Hyatt_Ziva_Cap_Cana-Cap_Cana_Punta_Cana_La_Altagracia_Province_Dominican_Republic.html" TargetMode="External"/><Relationship Id="rId38" Type="http://schemas.openxmlformats.org/officeDocument/2006/relationships/hyperlink" Target="https://www.tripadvisor.ca/Hotel_Review-g4053317-d1007582-Reviews-Secrets_Maroma_Beach_Riviera_Cancun-Playa_Maroma_Playa_del_Carmen_Yucatan_Peninsula.html" TargetMode="External"/><Relationship Id="rId730" Type="http://schemas.openxmlformats.org/officeDocument/2006/relationships/hyperlink" Target="https://www.tripadvisor.ca/Hotel_Review-g294480-d594688-Reviews-Dreams_Playa_Bonita_Panama-Panama_City_Panama_Province.html" TargetMode="External"/><Relationship Id="rId20" Type="http://schemas.openxmlformats.org/officeDocument/2006/relationships/hyperlink" Target="https://www.tripadvisor.ca/Hotel_Review-g26829253-d148078-Reviews-Jumby_Bay_Island_An_Oetker_Collection_Hotel-Long_Island_Antigua_Antigua_and_Barbuda.html" TargetMode="External"/><Relationship Id="rId22" Type="http://schemas.openxmlformats.org/officeDocument/2006/relationships/hyperlink" Target="https://www.tripadvisor.ca/Hotel_Review-g147345-d623374-Reviews-Jade_Mountain_Resort-Soufriere_Soufriere_Quarter_St_Lucia.html" TargetMode="External"/><Relationship Id="rId21" Type="http://schemas.openxmlformats.org/officeDocument/2006/relationships/hyperlink" Target="https://www.tripadvisor.ca/Hotel_Review-g150773-d26688019-Reviews-Grand_Velas_Boutique_Hotel_Los_Cabos-Los_Cabos_Baja_California.html" TargetMode="External"/><Relationship Id="rId24" Type="http://schemas.openxmlformats.org/officeDocument/2006/relationships/hyperlink" Target="https://www.tripadvisor.ca/Hotel_Review-g16884615-d16663786-Reviews-Hyatt_Zilara_Cap_Cana-Cap_Cana_Punta_Cana_La_Altagracia_Province_Dominican_Republic.html" TargetMode="External"/><Relationship Id="rId23" Type="http://schemas.openxmlformats.org/officeDocument/2006/relationships/hyperlink" Target="https://www.tripadvisor.ca/Hotel_Review-g1229340-d649432-Reviews-Excellence_Playa_Mujeres-Playa_Mujeres_Costa_Mujeres_Yucatan_Peninsula.html" TargetMode="External"/><Relationship Id="rId525" Type="http://schemas.openxmlformats.org/officeDocument/2006/relationships/hyperlink" Target="https://www.tripadvisor.ca/Hotel_Review-g147311-d5257082-Reviews-Oasis_at_Sunset_Montego_Bay-Montego_Bay_Saint_James_Parish_Jamaica.html" TargetMode="External"/><Relationship Id="rId767" Type="http://schemas.openxmlformats.org/officeDocument/2006/relationships/hyperlink" Target="https://www.tripadvisor.ca/Hotel_Review-g967189-d149450-Reviews-Whala_Bocachica-Boca_Chica_Santo_Domingo_Province_Dominican_Republic.html" TargetMode="External"/><Relationship Id="rId524" Type="http://schemas.openxmlformats.org/officeDocument/2006/relationships/hyperlink" Target="https://www.tripadvisor.ca/Hotel_Review-g147275-d266611-Reviews-Melia_Las_Antillas-Varadero_Matanzas_Province_Cuba.html" TargetMode="External"/><Relationship Id="rId766" Type="http://schemas.openxmlformats.org/officeDocument/2006/relationships/hyperlink" Target="https://www.tripadvisor.ca/Hotel_Review-g150807-d155818-Reviews-Krystal_Altitude_Cancun-Cancun_Yucatan_Peninsula.html" TargetMode="External"/><Relationship Id="rId523" Type="http://schemas.openxmlformats.org/officeDocument/2006/relationships/hyperlink" Target="https://www.tripadvisor.ca/Hotel_Review-g154267-d625275-Reviews-Hotel_Riu_Vallarta-Nuevo_Nayarit_Pacific_Coast.html" TargetMode="External"/><Relationship Id="rId765" Type="http://schemas.openxmlformats.org/officeDocument/2006/relationships/hyperlink" Target="https://www.tripadvisor.ca/Hotel_Review-g944573-d636741-Reviews-Henry_Morgan_Beach_Resort-West_Bay_Roatan_Bay_Islands.html" TargetMode="External"/><Relationship Id="rId522" Type="http://schemas.openxmlformats.org/officeDocument/2006/relationships/hyperlink" Target="https://www.tripadvisor.ca/Hotel_Review-g499443-d218958-Reviews-Grand_Palladium_Vallarta_Resort_Spa-Punta_de_Mita_Pacific_Coast.html" TargetMode="External"/><Relationship Id="rId764" Type="http://schemas.openxmlformats.org/officeDocument/2006/relationships/hyperlink" Target="https://www.tripadvisor.ca/Hotel_Review-g24189352-d23115836-Reviews-Grand_Oasis_Tulum_Riviera-Gran_Bahia_Principe_Tulum_Yucatan_Peninsula.html" TargetMode="External"/><Relationship Id="rId529" Type="http://schemas.openxmlformats.org/officeDocument/2006/relationships/hyperlink" Target="https://www.tripadvisor.ca/Hotel_Review-g147417-d151524-Reviews-Warwick_Paradise_Island_Bahamas-Paradise_Island_New_Providence_Island_Bahamas.html" TargetMode="External"/><Relationship Id="rId528" Type="http://schemas.openxmlformats.org/officeDocument/2006/relationships/hyperlink" Target="https://www.tripadvisor.ca/Hotel_Review-g147312-d151462-Reviews-Sandals_Ochi_Beach_Resort-Ocho_Rios_Saint_Ann_Parish_Jamaica.html" TargetMode="External"/><Relationship Id="rId527" Type="http://schemas.openxmlformats.org/officeDocument/2006/relationships/hyperlink" Target="https://www.tripadvisor.ca/Hotel_Review-g1639469-d1639204-Reviews-Royal_Decameron_Mompiche-Mompiche_Esmeraldas_Province.html" TargetMode="External"/><Relationship Id="rId769" Type="http://schemas.openxmlformats.org/officeDocument/2006/relationships/hyperlink" Target="https://www.tripadvisor.ca/Hotel_Review-g147290-d16638374-Reviews-Lifestyle_Crown_Residence_Suites-Puerto_Plata_Puerto_Plata_Province_Dominican_Republi.html" TargetMode="External"/><Relationship Id="rId526" Type="http://schemas.openxmlformats.org/officeDocument/2006/relationships/hyperlink" Target="https://www.tripadvisor.ca/Hotel_Review-g147275-d320768-Reviews-Paradisus_Princesa_Del_Mar_Resort_Spa-Varadero_Matanzas_Province_Cuba.html" TargetMode="External"/><Relationship Id="rId768" Type="http://schemas.openxmlformats.org/officeDocument/2006/relationships/hyperlink" Target="https://www.tripadvisor.ca/Hotel_Review-g147313-d218561-Reviews-Legends_Beach_Hotel-Negril_Westmoreland_Parish_Jamaica.html" TargetMode="External"/><Relationship Id="rId26" Type="http://schemas.openxmlformats.org/officeDocument/2006/relationships/hyperlink" Target="https://www.tripadvisor.ca/Hotel_Review-g150812-d1204526-Reviews-Grand_Velas_Riviera_Maya-Playa_del_Carmen_Yucatan_Peninsula.html" TargetMode="External"/><Relationship Id="rId25" Type="http://schemas.openxmlformats.org/officeDocument/2006/relationships/hyperlink" Target="https://www.tripadvisor.ca/Hotel_Review-g154267-d283703-Reviews-Grand_Velas_Riviera_Nayarit-Nuevo_Vallarta_Pacific_Coast.html" TargetMode="External"/><Relationship Id="rId28" Type="http://schemas.openxmlformats.org/officeDocument/2006/relationships/hyperlink" Target="https://www.tripadvisor.ca/Hotel_Review-g240327-d499896-Reviews-Excellence_Riviera_Cancun-Puerto_Morelos_Yucatan_Peninsula.html" TargetMode="External"/><Relationship Id="rId27" Type="http://schemas.openxmlformats.org/officeDocument/2006/relationships/hyperlink" Target="https://www.tripadvisor.ca/Hotel_Review-g1182535-d148386-Reviews-Spice_Island_Beach_Resort-Grand_Anse_South_Coast_Saint_George_Parish_Grenada.html" TargetMode="External"/><Relationship Id="rId521" Type="http://schemas.openxmlformats.org/officeDocument/2006/relationships/hyperlink" Target="https://www.tripadvisor.ca/Hotel_Review-g153510-d240507-Reviews-Catalonia_Riviera_Maya-Puerto_Aventuras_Yucatan_Peninsula.html" TargetMode="External"/><Relationship Id="rId763" Type="http://schemas.openxmlformats.org/officeDocument/2006/relationships/hyperlink" Target="https://www.tripadvisor.ca/Hotel_Review-g3176298-d279809-Reviews-VIK_Hotel_Arena_Blanca-Bavaro_Punta_Cana_La_Altagracia_Province_Dominican_Republic.html" TargetMode="External"/><Relationship Id="rId29" Type="http://schemas.openxmlformats.org/officeDocument/2006/relationships/hyperlink" Target="https://www.tripadvisor.ca/Hotel_Review-g663501-d647536-Reviews-Iberostar_Grand_Paraiso-Playa_Paraiso_Playa_del_Carmen_Yucatan_Peninsula.html" TargetMode="External"/><Relationship Id="rId520" Type="http://schemas.openxmlformats.org/officeDocument/2006/relationships/hyperlink" Target="https://www.tripadvisor.ca/Hotel_Review-g147293-d20412107-Reviews-Serenade_Punta_Cana_Beach_Spa_Resort-Punta_Cana_La_Altagracia_Province_Dominican_Repu.html" TargetMode="External"/><Relationship Id="rId762" Type="http://schemas.openxmlformats.org/officeDocument/2006/relationships/hyperlink" Target="https://www.tripadvisor.ca/Hotel_Review-g147278-d254238-Reviews-Sunscape_Curacao_Resort_Spa_Casino-Willemstad_Curacao.html" TargetMode="External"/><Relationship Id="rId761" Type="http://schemas.openxmlformats.org/officeDocument/2006/relationships/hyperlink" Target="https://www.tripadvisor.ca/Hotel_Review-g1892998-d23148758-Reviews-Jolly_Beach_Antigua-Jolly_Harbour_Saint_Mary_Parish_Antigua_Antigua_and_Barbuda.html" TargetMode="External"/><Relationship Id="rId760" Type="http://schemas.openxmlformats.org/officeDocument/2006/relationships/hyperlink" Target="https://www.tripadvisor.ca/Hotel_Review-g147290-d15184307-Reviews-Royal_Villas_Cofresi_5-Puerto_Plata_Puerto_Plata_Province_Dominican_Republic.html" TargetMode="External"/><Relationship Id="rId11" Type="http://schemas.openxmlformats.org/officeDocument/2006/relationships/hyperlink" Target="https://www.tripadvisor.ca/Hotel_Review-g152516-d10328794-Reviews-Grand_Velas_Los_Cabos-San_Jose_del_Cabo_Los_Cabos_Baja_California.html" TargetMode="External"/><Relationship Id="rId10" Type="http://schemas.openxmlformats.org/officeDocument/2006/relationships/hyperlink" Target="https://www.tripadvisor.ca/Hotel_Review-g150793-d284331-Reviews-Hotel_Playa_Fiesta-Puerto_Vallarta.html" TargetMode="External"/><Relationship Id="rId13" Type="http://schemas.openxmlformats.org/officeDocument/2006/relationships/hyperlink" Target="https://www.tripadvisor.ca/Hotel_Review-g17756453-d15521560-Reviews-Ambergris_Cay_Private_Island_All_Inclusive-Big_Ambergris_Cay_Turks_and_Caicos.html" TargetMode="External"/><Relationship Id="rId12" Type="http://schemas.openxmlformats.org/officeDocument/2006/relationships/hyperlink" Target="https://www.tripadvisor.ca/Hotel_Review-g2102288-d148801-Reviews-Calabash_Hotel-Lance_aux_Epines_Saint_George_Parish_Grenada.html" TargetMode="External"/><Relationship Id="rId519" Type="http://schemas.openxmlformats.org/officeDocument/2006/relationships/hyperlink" Target="https://www.tripadvisor.ca/Hotel_Review-g150807-d15580232-Reviews-Royalton_CHIC_Cancun_An_Autograph_Collection_All_Inclusive_Resort_Adults_Only-Cancun_.html" TargetMode="External"/><Relationship Id="rId514" Type="http://schemas.openxmlformats.org/officeDocument/2006/relationships/hyperlink" Target="https://www.tripadvisor.ca/Hotel_Review-g3458466-d18031983-Reviews-Ocean_Coral_Spring_Resort-Trelawny_Parish_Jamaica.html" TargetMode="External"/><Relationship Id="rId756" Type="http://schemas.openxmlformats.org/officeDocument/2006/relationships/hyperlink" Target="https://www.tripadvisor.ca/Hotel_Review-g150809-d153006-Reviews-Hotel_El_Cozumeleno_Beach_Resort-Cozumel_Yucatan_Peninsula.html" TargetMode="External"/><Relationship Id="rId513" Type="http://schemas.openxmlformats.org/officeDocument/2006/relationships/hyperlink" Target="https://www.tripadvisor.ca/Hotel_Review-g660724-d10714226-Reviews-Hotel_Riu_Reggae-Rose_Hall_Montego_Bay_Saint_James_Parish_Jamaica.html" TargetMode="External"/><Relationship Id="rId755" Type="http://schemas.openxmlformats.org/officeDocument/2006/relationships/hyperlink" Target="https://www.tripadvisor.ca/Hotel_Review-g150787-d19370535-Reviews-Dreams_Acapulco_Resort_Spa-Acapulco_Pacific_Coast.html" TargetMode="External"/><Relationship Id="rId512" Type="http://schemas.openxmlformats.org/officeDocument/2006/relationships/hyperlink" Target="https://www.tripadvisor.ca/Hotel_Review-g150807-d286104-Reviews-Hotel_Riu_Cancun-Cancun_Yucatan_Peninsula.html" TargetMode="External"/><Relationship Id="rId754" Type="http://schemas.openxmlformats.org/officeDocument/2006/relationships/hyperlink" Target="https://www.tripadvisor.ca/Hotel_Review-g147317-d259388-Reviews-Decameron_Club_Caribbean_Runaway_Bay_Ramada_All_inclusive_Resort-Runaway_Bay_Saint_Ann_.html" TargetMode="External"/><Relationship Id="rId511" Type="http://schemas.openxmlformats.org/officeDocument/2006/relationships/hyperlink" Target="https://www.tripadvisor.ca/Hotel_Review-g150812-d21310222-Reviews-Grand_Sunset_Princess-Playa_del_Carmen_Yucatan_Peninsula.html" TargetMode="External"/><Relationship Id="rId753" Type="http://schemas.openxmlformats.org/officeDocument/2006/relationships/hyperlink" Target="https://www.tripadvisor.ca/Hotel_Review-g147311-d209673-Reviews-Catalonia_Montego_Bay-Montego_Bay_Saint_James_Parish_Jamaica.html" TargetMode="External"/><Relationship Id="rId518" Type="http://schemas.openxmlformats.org/officeDocument/2006/relationships/hyperlink" Target="https://www.tripadvisor.ca/Hotel_Review-g150807-d634235-Reviews-Seadust_Cancun_Family_Resort-Cancun_Yucatan_Peninsula.html" TargetMode="External"/><Relationship Id="rId517" Type="http://schemas.openxmlformats.org/officeDocument/2006/relationships/hyperlink" Target="https://www.tripadvisor.ca/Hotel_Review-g3176298-d313883-Reviews-Tropical_Deluxe_Princess-Bavaro_Punta_Cana_La_Altagracia_Province_Dominican_Republic.html" TargetMode="External"/><Relationship Id="rId759" Type="http://schemas.openxmlformats.org/officeDocument/2006/relationships/hyperlink" Target="https://www.tripadvisor.ca/Hotel_Review-g147290-d15184307-Reviews-Royal_Villas_Cofresi_5-Puerto_Plata_Puerto_Plata_Province_Dominican_Republic.html" TargetMode="External"/><Relationship Id="rId516" Type="http://schemas.openxmlformats.org/officeDocument/2006/relationships/hyperlink" Target="https://www.tripadvisor.ca/Hotel_Review-g1229340-d12818673-Reviews-Hotel_Riu_Dunamar-Playa_Mujeres_Costa_Mujeres_Yucatan_Peninsula.html" TargetMode="External"/><Relationship Id="rId758" Type="http://schemas.openxmlformats.org/officeDocument/2006/relationships/hyperlink" Target="https://www.tripadvisor.ca/Hotel_Review-g150809-d24118495-Reviews-Dreams_Cozumel_Cape_Resort_Spa-Cozumel_Yucatan_Peninsula.html" TargetMode="External"/><Relationship Id="rId515" Type="http://schemas.openxmlformats.org/officeDocument/2006/relationships/hyperlink" Target="https://www.tripadvisor.ca/Hotel_Review-g150787-d154283-Reviews-Princess_Mundo_Imperial-Acapulco_Pacific_Coast.html" TargetMode="External"/><Relationship Id="rId757" Type="http://schemas.openxmlformats.org/officeDocument/2006/relationships/hyperlink" Target="https://www.tripadvisor.ca/Hotel_Review-g147275-d266656-Reviews-Hotel_Los_Cactus-Varadero_Matanzas_Province_Cuba.html" TargetMode="External"/><Relationship Id="rId15" Type="http://schemas.openxmlformats.org/officeDocument/2006/relationships/hyperlink" Target="https://www.tripadvisor.ca/Hotel_Review-g1229340-d1180633-Reviews-Beloved_Playa_Mujeres-Playa_Mujeres_Costa_Mujeres_Yucatan_Peninsula.html" TargetMode="External"/><Relationship Id="rId14" Type="http://schemas.openxmlformats.org/officeDocument/2006/relationships/hyperlink" Target="https://www.tripadvisor.ca/Hotel_Review-g150812-d23651944-Reviews-La_Casa_de_La_Playa-Playa_del_Carmen_Yucatan_Peninsula.html" TargetMode="External"/><Relationship Id="rId17" Type="http://schemas.openxmlformats.org/officeDocument/2006/relationships/hyperlink" Target="https://www.tripadvisor.ca/Hotel_Review-g150812-d16859032-Reviews-Palmaia_The_House_of_AiA_All_Inclusive_Wellness_Resort-Playa_del_Carmen_Yucatan_Penin.html" TargetMode="External"/><Relationship Id="rId16" Type="http://schemas.openxmlformats.org/officeDocument/2006/relationships/hyperlink" Target="https://www.tripadvisor.ca/Hotel_Review-g147425-d149298-Reviews-Small_Hope_Bay_Lodge-Andros_Out_Islands_Bahamas.html" TargetMode="External"/><Relationship Id="rId19" Type="http://schemas.openxmlformats.org/officeDocument/2006/relationships/hyperlink" Target="https://www.tripadvisor.ca/Hotel_Review-g313830-d7080041-Reviews-Drake_Bay_Getaway_Resort-Drake_Bay_Osa_Peninsula_Province_of_Puntarenas.html" TargetMode="External"/><Relationship Id="rId510" Type="http://schemas.openxmlformats.org/officeDocument/2006/relationships/hyperlink" Target="https://www.tripadvisor.ca/Hotel_Review-g3176298-d259337-Reviews-Grand_Palladium_Bavaro_Suites_Resort_Spa-Bavaro_Punta_Cana_La_Altagracia_Province_Domi.html" TargetMode="External"/><Relationship Id="rId752" Type="http://schemas.openxmlformats.org/officeDocument/2006/relationships/hyperlink" Target="https://www.tripadvisor.ca/Hotel_Review-g150812-d650492-Reviews-BlueBay_Grand_Esmeralda-Playa_del_Carmen_Yucatan_Peninsula.html" TargetMode="External"/><Relationship Id="rId18" Type="http://schemas.openxmlformats.org/officeDocument/2006/relationships/hyperlink" Target="https://www.tripadvisor.ca/Hotel_Review-g150812-d17676128-Reviews-Palafitos_Overwater_Bungalows-Playa_del_Carmen_Yucatan_Peninsula.html" TargetMode="External"/><Relationship Id="rId751" Type="http://schemas.openxmlformats.org/officeDocument/2006/relationships/hyperlink" Target="https://www.tripadvisor.ca/Hotel_Review-g793703-d508189-Reviews-La_Tambora_Beach_Resort-Las_Galeras_Samana_Province_Dominican_Republic.html" TargetMode="External"/><Relationship Id="rId750" Type="http://schemas.openxmlformats.org/officeDocument/2006/relationships/hyperlink" Target="https://www.tripadvisor.ca/Hotel_Review-g147311-d11621784-Reviews-Grand_Decameron_Cornwall_Beach_A_Trademark_All_Inclusive_Resort-Montego_Bay_Saint_Jam.html" TargetMode="External"/><Relationship Id="rId84" Type="http://schemas.openxmlformats.org/officeDocument/2006/relationships/hyperlink" Target="https://www.tripadvisor.ca/Hotel_Review-g7983226-d26685809-Reviews-Hotel_Mousai_Cancun-Punta_Sam_Costa_Mujeres_Yucatan_Peninsula.html" TargetMode="External"/><Relationship Id="rId83" Type="http://schemas.openxmlformats.org/officeDocument/2006/relationships/hyperlink" Target="https://www.tripadvisor.ca/Hotel_Review-g150807-d3785900-Reviews-Casa_Margarita_Hotel_Boutique-Cancun_Yucatan_Peninsula.html" TargetMode="External"/><Relationship Id="rId86" Type="http://schemas.openxmlformats.org/officeDocument/2006/relationships/hyperlink" Target="https://www.tripadvisor.ca/Hotel_Review-g147345-d148994-Reviews-Anse_Chastanet-Soufriere_Soufriere_Quarter_St_Lucia.html" TargetMode="External"/><Relationship Id="rId85" Type="http://schemas.openxmlformats.org/officeDocument/2006/relationships/hyperlink" Target="https://www.tripadvisor.ca/Hotel_Review-g152515-d1866479-Reviews-Grand_Solmar_Land_s_End_Resort_Spa-Cabo_San_Lucas_Los_Cabos_Baja_California.html" TargetMode="External"/><Relationship Id="rId88" Type="http://schemas.openxmlformats.org/officeDocument/2006/relationships/hyperlink" Target="https://www.tripadvisor.ca/Hotel_Review-g2441050-d19092655-Reviews-Club_Med_Miches_Playa_Esmeralda_Dominican_Republic-Miches_El_Seibo_Province_Dominica.html" TargetMode="External"/><Relationship Id="rId87" Type="http://schemas.openxmlformats.org/officeDocument/2006/relationships/hyperlink" Target="https://www.tripadvisor.ca/Hotel_Review-g150807-d506374-Reviews-Live_Aqua_Beach_Resort_Cancun-Cancun_Yucatan_Peninsula.html" TargetMode="External"/><Relationship Id="rId89" Type="http://schemas.openxmlformats.org/officeDocument/2006/relationships/hyperlink" Target="https://www.tripadvisor.ca/Hotel_Review-g1889167-d184439-Reviews-Bluefields_Bay_Villas-Bluefields_Westmoreland_Parish_Jamaica.html" TargetMode="External"/><Relationship Id="rId709" Type="http://schemas.openxmlformats.org/officeDocument/2006/relationships/hyperlink" Target="https://www.tripadvisor.ca/Hotel_Review-g150807-d184989-Reviews-Golden_Parnassus_All_Inclusive_Resort_Spa_Cancun-Cancun_Yucatan_Peninsula.html" TargetMode="External"/><Relationship Id="rId708" Type="http://schemas.openxmlformats.org/officeDocument/2006/relationships/hyperlink" Target="https://www.tripadvisor.ca/Hotel_Review-g147293-d218492-Reviews-Be_Live_Collection_Punta_Cana-Punta_Cana_La_Altagracia_Province_Dominican_Republic.html" TargetMode="External"/><Relationship Id="rId707" Type="http://schemas.openxmlformats.org/officeDocument/2006/relationships/hyperlink" Target="https://www.tripadvisor.ca/Hotel_Review-g147278-d23764604-Reviews-Zoetry_Curacao_Resort_Spa-Willemstad_Curacao.html" TargetMode="External"/><Relationship Id="rId706" Type="http://schemas.openxmlformats.org/officeDocument/2006/relationships/hyperlink" Target="https://www.tripadvisor.com/Hotel_Review-g15292635-d27477788-Reviews-Royalton_CHIC_Antigua-Cedar_Grove_Saint_John_Parish_Antigua_Antigua_and_Barbuda.html" TargetMode="External"/><Relationship Id="rId80" Type="http://schemas.openxmlformats.org/officeDocument/2006/relationships/hyperlink" Target="https://www.tripadvisor.ca/Hotel_Review-g147292-d149217-Reviews-Casa_de_Campo_Resort_Villas-La_Romana_La_Romana_Province_Dominican_Republic.html" TargetMode="External"/><Relationship Id="rId82" Type="http://schemas.openxmlformats.org/officeDocument/2006/relationships/hyperlink" Target="https://www.tripadvisor.ca/Hotel_Review-g666625-d19852380-Reviews-Gran_Muthu_Rainbow_Hotel-Cayo_Guillermo_Jardines_del_Rey_Archipelago_Ciego_de_Avila_P.html" TargetMode="External"/><Relationship Id="rId81" Type="http://schemas.openxmlformats.org/officeDocument/2006/relationships/hyperlink" Target="https://www.tripadvisor.ca/Hotel_Review-g150812-d23353929-Reviews-Hotel_Xcaret_Arte-Playa_del_Carmen_Yucatan_Peninsula.html" TargetMode="External"/><Relationship Id="rId701" Type="http://schemas.openxmlformats.org/officeDocument/2006/relationships/hyperlink" Target="https://www.tripadvisor.com/Hotel_Review-g297482-d1015760-Reviews-Decameron_Los_Delfines-San_Andres_Island_San_Andres_and_Providencia_Department.html" TargetMode="External"/><Relationship Id="rId700" Type="http://schemas.openxmlformats.org/officeDocument/2006/relationships/hyperlink" Target="https://www.tripadvisor.ca/Hotel_Review-g147293-d218492-Reviews-Be_Live_Collection_Punta_Cana-Punta_Cana_La_Altagracia_Province_Dominican_Republic.html" TargetMode="External"/><Relationship Id="rId705" Type="http://schemas.openxmlformats.org/officeDocument/2006/relationships/hyperlink" Target="https://www.tripadvisor.ca/Hotel_Review-g25226430-d26867234-Reviews-or10-Sunscape_Coco_Punta_Cana-Cabeza_De_Toro_Punta_Cana_La_Altagracia_Province_Domi.html" TargetMode="External"/><Relationship Id="rId704" Type="http://schemas.openxmlformats.org/officeDocument/2006/relationships/hyperlink" Target="https://www.tripadvisor.ca/Hotel_Review-g670039-d7315229-Reviews-Starfish_Cayo_Santa_Maria-Cayo_Santa_Maria_Villa_Clara_Province_Cuba.html" TargetMode="External"/><Relationship Id="rId703" Type="http://schemas.openxmlformats.org/officeDocument/2006/relationships/hyperlink" Target="https://www.tripadvisor.ca/Hotel_Review-g147275-d1646887-Reviews-Sirenis_Tropical_Varadero-Varadero_Matanzas_Province_Cuba.html" TargetMode="External"/><Relationship Id="rId702" Type="http://schemas.openxmlformats.org/officeDocument/2006/relationships/hyperlink" Target="https://www.tripadvisor.ca/Hotel_Review-g1026781-d4573646-Reviews-Grand_Matlali_Riviera_Nayarit-La_Cruz_de_Huanacaxtle_Pacific_Coast.html" TargetMode="External"/><Relationship Id="rId73" Type="http://schemas.openxmlformats.org/officeDocument/2006/relationships/hyperlink" Target="https://www.tripadvisor.ca/Hotel_Review-g147275-d535717-Reviews-Iberostar_Selection_Varadero-Varadero_Matanzas_Province_Cuba.html" TargetMode="External"/><Relationship Id="rId72" Type="http://schemas.openxmlformats.org/officeDocument/2006/relationships/hyperlink" Target="https://www.tripadvisor.ca/Hotel_Review-g656909-d11929569-Reviews-Sailrock_South_Caicos-South_Caicos_Turks_and_Caicos.html" TargetMode="External"/><Relationship Id="rId75" Type="http://schemas.openxmlformats.org/officeDocument/2006/relationships/hyperlink" Target="https://www.tripadvisor.ca/Hotel_Review-g150812-d25179780-Reviews-Impression_Moxche_by_Secrets-Playa_del_Carmen_Yucatan_Peninsula.html" TargetMode="External"/><Relationship Id="rId74" Type="http://schemas.openxmlformats.org/officeDocument/2006/relationships/hyperlink" Target="https://www.tripadvisor.ca/Hotel_Review-g152516-d13342469-Reviews-Le_Blanc_Spa_Resort_Los_Cabos-San_Jose_del_Cabo_Los_Cabos_Baja_California.html" TargetMode="External"/><Relationship Id="rId77" Type="http://schemas.openxmlformats.org/officeDocument/2006/relationships/hyperlink" Target="https://www.tripadvisor.ca/Hotel_Review-g150807-d642781-Reviews-Hyatt_Zilara_Cancun-Cancun_Yucatan_Peninsula.html" TargetMode="External"/><Relationship Id="rId76" Type="http://schemas.openxmlformats.org/officeDocument/2006/relationships/hyperlink" Target="https://www.tripadvisor.ca/Hotel_Review-g150807-d15152197-Reviews-Coral_Level_at_Iberostar_Selection_Cancun-Cancun_Yucatan_Peninsula.html" TargetMode="External"/><Relationship Id="rId79" Type="http://schemas.openxmlformats.org/officeDocument/2006/relationships/hyperlink" Target="https://www.tripadvisor.ca/Hotel_Review-g12900715-d983682-Reviews-TRS_Yucatan_Hotel-Solidaridad_Yucatan_Peninsula.html" TargetMode="External"/><Relationship Id="rId78" Type="http://schemas.openxmlformats.org/officeDocument/2006/relationships/hyperlink" Target="https://www.tripadvisor.ca/Hotel_Review-g150793-d6002592-Reviews-Hotel_Mousai_Puerto_Vallarta-Puerto_Vallarta.html" TargetMode="External"/><Relationship Id="rId71" Type="http://schemas.openxmlformats.org/officeDocument/2006/relationships/hyperlink" Target="https://www.tripadvisor.ca/Hotel_Review-g147312-d483838-Reviews-Sandals_Royal_Plantation-Ocho_Rios_Saint_Ann_Parish_Jamaica.html" TargetMode="External"/><Relationship Id="rId70" Type="http://schemas.openxmlformats.org/officeDocument/2006/relationships/hyperlink" Target="https://www.tripadvisor.ca/Hotel_Review-g240327-d282105-Reviews-Desire_Riviera_Maya_Resort-Puerto_Morelos_Yucatan_Peninsula.html" TargetMode="External"/><Relationship Id="rId62" Type="http://schemas.openxmlformats.org/officeDocument/2006/relationships/hyperlink" Target="https://www.tripadvisor.com/Hotel_Review-g34393-d113467-Reviews-Little_Palm_Island_Resort_Spa-Little_Torch_Key_Lower_Keys_Florida_Keys_Florida.html" TargetMode="External"/><Relationship Id="rId61" Type="http://schemas.openxmlformats.org/officeDocument/2006/relationships/hyperlink" Target="https://www.tripadvisor.ca/Hotel_Review-g147278-d1519028-Reviews-Baoase_Luxury_Resort-Willemstad_Curacao.html" TargetMode="External"/><Relationship Id="rId64" Type="http://schemas.openxmlformats.org/officeDocument/2006/relationships/hyperlink" Target="https://www.tripadvisor.ca/Hotel_Review-g3200043-d8709413-Reviews-Excellence_El_Carmen-Uvero_Alto_Punta_Cana_La_Altagracia_Province_Dominican_Republic.html" TargetMode="External"/><Relationship Id="rId63" Type="http://schemas.openxmlformats.org/officeDocument/2006/relationships/hyperlink" Target="https://www.tripadvisor.ca/Hotel_Review-g147293-d218524-Reviews-Excellence_Punta_Cana-Punta_Cana_La_Altagracia_Province_Dominican_Republic.html" TargetMode="External"/><Relationship Id="rId66" Type="http://schemas.openxmlformats.org/officeDocument/2006/relationships/hyperlink" Target="https://www.tripadvisor.ca/Hotel_Review-g147293-d20410547-Reviews-Finest_Punta_Cana_By_The_Excellence_Collection_All_Inclusive-Punta_Cana_La_Altagracia.html" TargetMode="External"/><Relationship Id="rId65" Type="http://schemas.openxmlformats.org/officeDocument/2006/relationships/hyperlink" Target="https://www.tripadvisor.ca/Hotel_Review-g499455-d17424258-Reviews-Barcelo_Maya_Riviera-Xpu_Ha_Yucatan_Peninsula.html" TargetMode="External"/><Relationship Id="rId68" Type="http://schemas.openxmlformats.org/officeDocument/2006/relationships/hyperlink" Target="https://www.tripadvisor.ca/Hotel_Review-g1229340-d6966139-Reviews-Finest_Playa_Mujeres-Playa_Mujeres_Costa_Mujeres_Yucatan_Peninsula.html" TargetMode="External"/><Relationship Id="rId67" Type="http://schemas.openxmlformats.org/officeDocument/2006/relationships/hyperlink" Target="https://www.tripadvisor.ca/Hotel_Review-g1632727-d153132-Reviews-The_Explorean_Kohunlich-Escarcega_Yucatan_Peninsula.html" TargetMode="External"/><Relationship Id="rId729" Type="http://schemas.openxmlformats.org/officeDocument/2006/relationships/hyperlink" Target="https://www.tripadvisor.ca/Hotel_Review-g3493965-d307530-Reviews-Decameron_Aquarium-San_Andres_San_Andres_Island_San_Andres_and_Providencia_Department.html" TargetMode="External"/><Relationship Id="rId728" Type="http://schemas.openxmlformats.org/officeDocument/2006/relationships/hyperlink" Target="https://www.tripadvisor.ca/Hotel_Review-g150807-d154427-Reviews-All_Ritmo_Cancun_Resort_Waterpark-Cancun_Yucatan_Peninsula.html" TargetMode="External"/><Relationship Id="rId60" Type="http://schemas.openxmlformats.org/officeDocument/2006/relationships/hyperlink" Target="https://www.tripadvisor.ca/Hotel_Review-g499445-d8285376-Reviews-Secrets_Akumal_Riviera_Maya-Akumal_Yucatan_Peninsula.html" TargetMode="External"/><Relationship Id="rId723" Type="http://schemas.openxmlformats.org/officeDocument/2006/relationships/hyperlink" Target="https://www.tripadvisor.com/Hotel_Review-g1547306-d1165897-Reviews-Decameron_Las_Heliconias-Quimbaya_Quindio_Department.html" TargetMode="External"/><Relationship Id="rId722" Type="http://schemas.openxmlformats.org/officeDocument/2006/relationships/hyperlink" Target="https://www.tripadvisor.ca/Hotel_Review-g147290-d647825-Reviews-The_Crown_Villas_at_Lifestyle_Holidays_Vacation_Resort-Puerto_Plata_Puerto_Plata_Provin.html" TargetMode="External"/><Relationship Id="rId721" Type="http://schemas.openxmlformats.org/officeDocument/2006/relationships/hyperlink" Target="https://www.tripadvisor.ca/Hotel_Review-g150793-d155675-Reviews-Sunscape_Puerto_Vallarta_Resort_Spa-Puerto_Vallarta.html" TargetMode="External"/><Relationship Id="rId720" Type="http://schemas.openxmlformats.org/officeDocument/2006/relationships/hyperlink" Target="https://www.tripadvisor.ca/Hotel_Review-g147290-d627088-Reviews-Presidential_Suites_by_Lifestyle_All_Inclusive-Puerto_Plata_Puerto_Plata_Province_Domin.html" TargetMode="External"/><Relationship Id="rId727" Type="http://schemas.openxmlformats.org/officeDocument/2006/relationships/hyperlink" Target="https://www.tripadvisor.ca/Hotel_Review-g147263-d26629074-Reviews-Wyndham_Grand_Barbados_Sam_Lords_Castle_All_Inclusive_Resort-Bridgetown_Saint_Michael.html" TargetMode="External"/><Relationship Id="rId726" Type="http://schemas.openxmlformats.org/officeDocument/2006/relationships/hyperlink" Target="https://www.tripadvisor.ca/Hotel_Review-g147417-d529827-Reviews-Hotel_Riu_Palace_Paradise_Island-Paradise_Island_New_Providence_Island_Bahamas.html" TargetMode="External"/><Relationship Id="rId725" Type="http://schemas.openxmlformats.org/officeDocument/2006/relationships/hyperlink" Target="https://www.tripadvisor.ca/Hotel_Review-g153445-d185426-Reviews-Hotel_Fontan_Ixtapa-Ixtapa_Zihuatanejo_de_Azueta_Pacific_Coast.html" TargetMode="External"/><Relationship Id="rId724" Type="http://schemas.openxmlformats.org/officeDocument/2006/relationships/hyperlink" Target="https://www.tripadvisor.ca/Hotel_Review-g1172156-d609594-Reviews-Starfish_Jibacoa-Jibacoa_Mayabeque_Province_Cuba.html" TargetMode="External"/><Relationship Id="rId69" Type="http://schemas.openxmlformats.org/officeDocument/2006/relationships/hyperlink" Target="https://www.tripadvisor.ca/Hotel_Review-g616296-d1389615-Reviews-Petite_Anse_Hotel-Saint_Patrick_Parish_Grenada.html" TargetMode="External"/><Relationship Id="rId51" Type="http://schemas.openxmlformats.org/officeDocument/2006/relationships/hyperlink" Target="https://www.tripadvisor.ca/Hotel_Review-g1892998-d538172-Reviews-COCOS_Hotel_Antigua-Jolly_Harbour_Saint_Mary_Parish_Antigua_Antigua_and_Barbuda.html" TargetMode="External"/><Relationship Id="rId50" Type="http://schemas.openxmlformats.org/officeDocument/2006/relationships/hyperlink" Target="https://www.tripadvisor.ca/Hotel_Review-g240327-d5247722-Reviews-Grand_Residences_Riviera_Cancun_a_Registry_Collection_Hotel-Puerto_Morelos_Yucatan_Pen.html" TargetMode="External"/><Relationship Id="rId53" Type="http://schemas.openxmlformats.org/officeDocument/2006/relationships/hyperlink" Target="https://www.tripadvisor.ca/Hotel_Review-g240327-d2641451-Reviews-Desire_Riviera_Maya_Pearl_Resort-Puerto_Morelos_Yucatan_Peninsula.html" TargetMode="External"/><Relationship Id="rId52" Type="http://schemas.openxmlformats.org/officeDocument/2006/relationships/hyperlink" Target="https://www.tripadvisor.ca/Hotel_Review-g4053317-d1010527-Reviews-El_Dorado_Maroma-Playa_Maroma_Playa_del_Carmen_Yucatan_Peninsula.html" TargetMode="External"/><Relationship Id="rId55" Type="http://schemas.openxmlformats.org/officeDocument/2006/relationships/hyperlink" Target="https://www.tripadvisor.ca/Hotel_Review-g152516-d1534912-Reviews-Zoetry_Casa_del_Mar_Los_Cabos-San_Jose_del_Cabo_Los_Cabos_Baja_California.html" TargetMode="External"/><Relationship Id="rId54" Type="http://schemas.openxmlformats.org/officeDocument/2006/relationships/hyperlink" Target="https://www.tripadvisor.ca/Hotel_Review-g16884615-d10175054-Reviews-Secrets_Cap_Cana_Resort_Spa-Cap_Cana_Punta_Cana_La_Altagracia_Province_Dominican_Re.html" TargetMode="External"/><Relationship Id="rId57" Type="http://schemas.openxmlformats.org/officeDocument/2006/relationships/hyperlink" Target="https://www.tripadvisor.ca/Hotel_Review-g2307447-d147496-Reviews-Round_Hill_Hotel_and_Villas-Hopewell_Montego_Bay_Saint_James_Parish_Jamaica.html" TargetMode="External"/><Relationship Id="rId56" Type="http://schemas.openxmlformats.org/officeDocument/2006/relationships/hyperlink" Target="https://www.tripadvisor.ca/Hotel_Review-g150812-d574376-Reviews-Fairmont_Mayakoba-Playa_del_Carmen_Yucatan_Peninsula.html" TargetMode="External"/><Relationship Id="rId719" Type="http://schemas.openxmlformats.org/officeDocument/2006/relationships/hyperlink" Target="https://www.tripadvisor.ca/Hotel_Review-g580450-d4703309-Reviews-Playa_Paraiso_Cayo_Coco_Beach_Resort-Cayo_Coco_Jardines_del_Rey_Archipelago_Ciego_de_A.html" TargetMode="External"/><Relationship Id="rId718" Type="http://schemas.openxmlformats.org/officeDocument/2006/relationships/hyperlink" Target="https://www.tripadvisor.ca/Hotel_Review-g298431-d301154-Reviews-Grand_Decameron_Panama_A_Trademark_All_inclusive_Resort-Farallon_Rio_Hato_Cocle_Provinc.html" TargetMode="External"/><Relationship Id="rId717" Type="http://schemas.openxmlformats.org/officeDocument/2006/relationships/hyperlink" Target="https://www.tripadvisor.ca/Hotel_Review-g297482-d307532-Reviews-Decameron_Marazul-San_Andres_Island_San_Andres_and_Providencia_Department.html" TargetMode="External"/><Relationship Id="rId712" Type="http://schemas.openxmlformats.org/officeDocument/2006/relationships/hyperlink" Target="https://www.tripadvisor.ca/Hotel_Review-g147420-d12050905-Reviews-Lighthouse_Pointe_at_Grand_Lucayan_Resort-Freeport_Grand_Bahama_Island_Bahamas.html" TargetMode="External"/><Relationship Id="rId711" Type="http://schemas.openxmlformats.org/officeDocument/2006/relationships/hyperlink" Target="https://www.tripadvisor.ca/Hotel_Review-g147293-d150849-Reviews-Hotel_Riu_Bambu-Punta_Cana_La_Altagracia_Province_Dominican_Republic.html" TargetMode="External"/><Relationship Id="rId710" Type="http://schemas.openxmlformats.org/officeDocument/2006/relationships/hyperlink" Target="https://www.tripadvisor.ca/Hotel_Review-g153445-d154177-Reviews-Hotel_Krystal_Ixtapa-Ixtapa_Zihuatanejo_de_Azueta_Pacific_Coast.html" TargetMode="External"/><Relationship Id="rId716" Type="http://schemas.openxmlformats.org/officeDocument/2006/relationships/hyperlink" Target="https://www.tripadvisor.ca/Hotel_Review-g150793-d154755-Reviews-Vamar_Vallarta_All_Inclusive_Marina_and_Beach_Resort-Puerto_Vallarta.html" TargetMode="External"/><Relationship Id="rId715" Type="http://schemas.openxmlformats.org/officeDocument/2006/relationships/hyperlink" Target="https://www.tripadvisor.ca/Hotel_Review-g150807-d8009670-Reviews-The_Pyramid_Cancun-Cancun_Yucatan_Peninsula.html" TargetMode="External"/><Relationship Id="rId714" Type="http://schemas.openxmlformats.org/officeDocument/2006/relationships/hyperlink" Target="https://www.tripadvisor.ca/Hotel_Review-g1183194-d13137140-Reviews-Sandals_Royal_Barbados-Oistins_Christ_Church_Parish_Barbados.html" TargetMode="External"/><Relationship Id="rId713" Type="http://schemas.openxmlformats.org/officeDocument/2006/relationships/hyperlink" Target="https://www.tripadvisor.ca/Hotel_Review-g147290-d241697-Reviews-Marien_Puerto_Plata-Puerto_Plata_Puerto_Plata_Province_Dominican_Republic.html" TargetMode="External"/><Relationship Id="rId59" Type="http://schemas.openxmlformats.org/officeDocument/2006/relationships/hyperlink" Target="https://www.tripadvisor.ca/Hotel_Review-g147354-d147883-Reviews-Sugar_Mill_Hotel-Tortola_British_Virgin_Islands.html" TargetMode="External"/><Relationship Id="rId58" Type="http://schemas.openxmlformats.org/officeDocument/2006/relationships/hyperlink" Target="https://www.tripadvisor.ca/Hotel_Review-g580450-d266729-Reviews-Melia_Cayo_Coco-Cayo_Coco_Jardines_del_Rey_Archipelago_Ciego_de_Avila_Province_Cuba.html" TargetMode="External"/><Relationship Id="rId590" Type="http://schemas.openxmlformats.org/officeDocument/2006/relationships/hyperlink" Target="https://www.tripadvisor.ca/Hotel_Review-g150812-d8903733-Reviews-The_Yucatan_Playa_Del_Carmen_All_Inclusive_Resort_Tapestry_By_Hilton-Playa_del_Carmen_.html" TargetMode="External"/><Relationship Id="rId107" Type="http://schemas.openxmlformats.org/officeDocument/2006/relationships/hyperlink" Target="https://www.tripadvisor.ca/Hotel_Review-g147243-d150668-Reviews-Blue_Waters_Resort_Spa_Antigua-St_John_s_Saint_John_Parish_Antigua_Antigua_and_Barbuda.html" TargetMode="External"/><Relationship Id="rId349" Type="http://schemas.openxmlformats.org/officeDocument/2006/relationships/hyperlink" Target="https://www.tripadvisor.ca/Hotel_Review-g147275-d258247-Reviews-Iberostar_Tainos-Varadero_Matanzas_Province_Cuba.html" TargetMode="External"/><Relationship Id="rId106" Type="http://schemas.openxmlformats.org/officeDocument/2006/relationships/hyperlink" Target="https://www.tripadvisor.ca/Hotel_Review-g150807-d152887-Reviews-Hyatt_Ziva_Cancun-Cancun_Yucatan_Peninsula.html" TargetMode="External"/><Relationship Id="rId348" Type="http://schemas.openxmlformats.org/officeDocument/2006/relationships/hyperlink" Target="https://www.tripadvisor.ca/Hotel_Review-g150789-d152274-Reviews-Barcelo_Huatulco-Huatulco_Southern_Mexico.html" TargetMode="External"/><Relationship Id="rId105" Type="http://schemas.openxmlformats.org/officeDocument/2006/relationships/hyperlink" Target="https://www.tripadvisor.ca/Hotel_Review-g150772-d1987334-Reviews-Villa_Del_Palmar_At_The_Islands_Of_Loreto_By_Danzante_Bay-Loreto_Baja_California.html" TargetMode="External"/><Relationship Id="rId347" Type="http://schemas.openxmlformats.org/officeDocument/2006/relationships/hyperlink" Target="https://www.tripadvisor.ca/Hotel_Review-g147311-d151461-Reviews-Sandals_Montego_Bay-Montego_Bay_Saint_James_Parish_Jamaica.html" TargetMode="External"/><Relationship Id="rId589" Type="http://schemas.openxmlformats.org/officeDocument/2006/relationships/hyperlink" Target="https://www.tripadvisor.ca/Hotel_Review-g1931394-d10524706-Reviews-Royalton_Saint_Lucia_An_Autograph_Collection-Cap_Estate_Gros_Islet_Quarter_St_Lucia.html" TargetMode="External"/><Relationship Id="rId104" Type="http://schemas.openxmlformats.org/officeDocument/2006/relationships/hyperlink" Target="https://www.tripadvisor.ca/Hotel_Review-g150807-d18379599-Reviews-The_Tower_by_Temptation_Cancun_Resort-Cancun_Yucatan_Peninsula.html" TargetMode="External"/><Relationship Id="rId346" Type="http://schemas.openxmlformats.org/officeDocument/2006/relationships/hyperlink" Target="https://www.tripadvisor.ca/Hotel_Review-g150807-d152896-Reviews-Hard_Rock_Hotel_Cancun-Cancun_Yucatan_Peninsula.html" TargetMode="External"/><Relationship Id="rId588" Type="http://schemas.openxmlformats.org/officeDocument/2006/relationships/hyperlink" Target="https://www.tripadvisor.ca/Hotel_Review-g3176298-d247957-Reviews-Occidental_Punta_Cana-Bavaro_Punta_Cana_La_Altagracia_Province_Dominican_Republic.html" TargetMode="External"/><Relationship Id="rId109" Type="http://schemas.openxmlformats.org/officeDocument/2006/relationships/hyperlink" Target="https://www.tripadvisor.ca/Hotel_Review-g150812-d13189438-Reviews-Hotel_Xcaret_Mexico-Playa_del_Carmen_Yucatan_Peninsula.html" TargetMode="External"/><Relationship Id="rId108" Type="http://schemas.openxmlformats.org/officeDocument/2006/relationships/hyperlink" Target="https://www.tripadvisor.ca/Hotel_Review-g8843287-d887223-Reviews-The_Landings_Resort_and_Spa-Rodney_Bay_Gros_Islet_Quarter_St_Lucia.html" TargetMode="External"/><Relationship Id="rId341" Type="http://schemas.openxmlformats.org/officeDocument/2006/relationships/hyperlink" Target="https://www.tripadvisor.ca/Hotel_Review-g1229340-d18931134-Reviews-Catalonia_Grand_Costa_Mujeres-Playa_Mujeres_Costa_Mujeres_Yucatan_Peninsula.html" TargetMode="External"/><Relationship Id="rId583" Type="http://schemas.openxmlformats.org/officeDocument/2006/relationships/hyperlink" Target="https://www.tripadvisor.ca/Hotel_Review-g147293-d218482-Reviews-Catalonia_Punta_Cana_Golf_Casino_Resort-Punta_Cana_La_Altagracia_Province_Dominican_Rep.html" TargetMode="External"/><Relationship Id="rId340" Type="http://schemas.openxmlformats.org/officeDocument/2006/relationships/hyperlink" Target="https://www.tripadvisor.ca/Hotel_Review-g499445-d285109-Reviews-Grand_Palladium_Colonial_Resort_Spa-Akumal_Yucatan_Peninsula.html" TargetMode="External"/><Relationship Id="rId582" Type="http://schemas.openxmlformats.org/officeDocument/2006/relationships/hyperlink" Target="https://www.tripadvisor.ca/Hotel_Review-g150812-d153965-Reviews-Allegro_Playacar-Playa_del_Carmen_Yucatan_Peninsula.html" TargetMode="External"/><Relationship Id="rId581" Type="http://schemas.openxmlformats.org/officeDocument/2006/relationships/hyperlink" Target="https://www.tripadvisor.ca/Hotel_Review-g147275-d151545-Reviews-Starfish_Cuatro_Palmas-Varadero_Matanzas_Province_Cuba.html" TargetMode="External"/><Relationship Id="rId580" Type="http://schemas.openxmlformats.org/officeDocument/2006/relationships/hyperlink" Target="https://www.tripadvisor.ca/Hotel_Review-g3176298-d12860904-Reviews-Royalton_Bavaro_Resort_and_Spa-Bavaro_Punta_Cana_La_Altagracia_Province_Dominican_Re.html" TargetMode="External"/><Relationship Id="rId103" Type="http://schemas.openxmlformats.org/officeDocument/2006/relationships/hyperlink" Target="https://www.tripadvisor.ca/Hotel_Review-g147293-d27103964-Reviews-Secrets_Tides_Punta_Cana-Punta_Cana_La_Altagracia_Province_Dominican_Republic.html" TargetMode="External"/><Relationship Id="rId345" Type="http://schemas.openxmlformats.org/officeDocument/2006/relationships/hyperlink" Target="https://www.tripadvisor.ca/Hotel_Review-g147248-d150690-Reviews-Tamarijn_Aruba_All_Inclusive-Oranjestad_Aruba.html" TargetMode="External"/><Relationship Id="rId587" Type="http://schemas.openxmlformats.org/officeDocument/2006/relationships/hyperlink" Target="https://www.tripadvisor.ca/Hotel_Review-g153445-d155708-Reviews-Holiday_Inn_Resort_Ixtapa_All_Inclusive_an_IHG_Hotel-Ixtapa_Zihuatanejo_de_Azueta_Pacif.html" TargetMode="External"/><Relationship Id="rId102" Type="http://schemas.openxmlformats.org/officeDocument/2006/relationships/hyperlink" Target="https://www.tripadvisor.ca/Hotel_Review-g499445-d249916-Reviews-Akumal_Bay_Beach_Wellness_Resort-Akumal_Yucatan_Peninsula.html" TargetMode="External"/><Relationship Id="rId344" Type="http://schemas.openxmlformats.org/officeDocument/2006/relationships/hyperlink" Target="https://www.tripadvisor.ca/Hotel_Review-g499445-d295150-Reviews-Grand_Palladium_Kantenah_Resort_Spa-Akumal_Yucatan_Peninsula.html" TargetMode="External"/><Relationship Id="rId586" Type="http://schemas.openxmlformats.org/officeDocument/2006/relationships/hyperlink" Target="https://www.tripadvisor.ca/Hotel_Review-g150812-d796925-Reviews-Grand_Riviera_Princess-Playa_del_Carmen_Yucatan_Peninsula.html" TargetMode="External"/><Relationship Id="rId101" Type="http://schemas.openxmlformats.org/officeDocument/2006/relationships/hyperlink" Target="https://www.tripadvisor.ca/Hotel_Review-g3176298-d1005302-Reviews-TRS_Turquesa_Hotel-Bavaro_Punta_Cana_La_Altagracia_Province_Dominican_Republic.html" TargetMode="External"/><Relationship Id="rId343" Type="http://schemas.openxmlformats.org/officeDocument/2006/relationships/hyperlink" Target="https://www.tripadvisor.ca/Hotel_Review-g6510596-d6510597-Reviews-Dreams_Las_Mareas_Costa_Rica-El_Jobo_Province_of_Guanacaste.html" TargetMode="External"/><Relationship Id="rId585" Type="http://schemas.openxmlformats.org/officeDocument/2006/relationships/hyperlink" Target="https://www.tripadvisor.ca/Hotel_Review-g152516-d5961003-Reviews-Royal_Decameron_Los_Cabos-San_Jose_del_Cabo_Los_Cabos_Baja_California.html" TargetMode="External"/><Relationship Id="rId100" Type="http://schemas.openxmlformats.org/officeDocument/2006/relationships/hyperlink" Target="https://www.tripadvisor.ca/Hotel_Review-g150793-d154767-Reviews-Velas_Vallarta_Suites_Resort-Puerto_Vallarta.html" TargetMode="External"/><Relationship Id="rId342" Type="http://schemas.openxmlformats.org/officeDocument/2006/relationships/hyperlink" Target="https://www.tripadvisor.ca/Hotel_Review-g150807-d152892-Reviews-Iberostar_Selection_Cancun-Cancun_Yucatan_Peninsula.html" TargetMode="External"/><Relationship Id="rId584" Type="http://schemas.openxmlformats.org/officeDocument/2006/relationships/hyperlink" Target="https://www.tripadvisor.ca/Hotel_Review-g1507145-d1633552-Reviews-Decameron_Baru-Isla_Baru_Cartagena_District_Bolivar_Department.html" TargetMode="External"/><Relationship Id="rId338" Type="http://schemas.openxmlformats.org/officeDocument/2006/relationships/hyperlink" Target="https://www.tripadvisor.ca/Hotel_Review-g9723540-d320513-Reviews-Villa_del_Palmar_Flamingos_Beach_Resort_Spa-Flamingos_Nuevo_Vallarta_Pacific_Coast.html" TargetMode="External"/><Relationship Id="rId337" Type="http://schemas.openxmlformats.org/officeDocument/2006/relationships/hyperlink" Target="https://www.tripadvisor.ca/Hotel_Review-g152515-d151801-Reviews-Solmar_Resort-Cabo_San_Lucas_Los_Cabos_Baja_California.html" TargetMode="External"/><Relationship Id="rId579" Type="http://schemas.openxmlformats.org/officeDocument/2006/relationships/hyperlink" Target="https://www.tripadvisor.ca/Hotel_Review-g147275-d8795096-Reviews-Hotel_Playa_Vista_Azul-Varadero_Matanzas_Province_Cuba.html" TargetMode="External"/><Relationship Id="rId336" Type="http://schemas.openxmlformats.org/officeDocument/2006/relationships/hyperlink" Target="https://www.tripadvisor.ca/Hotel_Review-g4053317-d285111-Reviews-Catalonia_Playa_Maroma-Playa_Maroma_Playa_del_Carmen_Yucatan_Peninsula.html" TargetMode="External"/><Relationship Id="rId578" Type="http://schemas.openxmlformats.org/officeDocument/2006/relationships/hyperlink" Target="https://www.tripadvisor.ca/Hotel_Review-g1931394-d10800087-Reviews-Hideaway_at_Royalton_Saint_Lucia_An_Autograph_Collection_All_Inclusive_Resort-Cap_Es.html" TargetMode="External"/><Relationship Id="rId335" Type="http://schemas.openxmlformats.org/officeDocument/2006/relationships/hyperlink" Target="https://www.tripadvisor.ca/Hotel_Review-g240327-d579133-Reviews-Hotel_Marina_El_Cid_Spa_Beach_Resort-Puerto_Morelos_Yucatan_Peninsula.html" TargetMode="External"/><Relationship Id="rId577" Type="http://schemas.openxmlformats.org/officeDocument/2006/relationships/hyperlink" Target="https://www.tripadvisor.ca/Hotel_Review-g147275-d25302520-Reviews-Selectum_Family_Resort_Varadero-Varadero_Matanzas_Province_Cuba.html" TargetMode="External"/><Relationship Id="rId339" Type="http://schemas.openxmlformats.org/officeDocument/2006/relationships/hyperlink" Target="https://www.tripadvisor.ca/Hotel_Review-g150812-d1141280-Reviews-The_Fives_Beach_Hotel_Residences-Playa_del_Carmen_Yucatan_Peninsula.html" TargetMode="External"/><Relationship Id="rId330" Type="http://schemas.openxmlformats.org/officeDocument/2006/relationships/hyperlink" Target="https://www.tripadvisor.ca/Hotel_Review-g13836065-d12995119-Reviews-GRAND_ASTON_Cayo_Las_Brujas_Beach_Resort_Spa-Cayo_Las_Brujas_Cayo_Santa_Maria_Villa.html" TargetMode="External"/><Relationship Id="rId572" Type="http://schemas.openxmlformats.org/officeDocument/2006/relationships/hyperlink" Target="https://www.tripadvisor.ca/Hotel_Review-g240327-d17789250-Reviews-Dreams_Natura_Resort_Spa-Puerto_Morelos_Yucatan_Peninsula.html" TargetMode="External"/><Relationship Id="rId571" Type="http://schemas.openxmlformats.org/officeDocument/2006/relationships/hyperlink" Target="https://www.tripadvisor.ca/Hotel_Review-g147408-d150885-Reviews-Bolongo_Bay_Beach_Resort-South_Coast_St_Thomas_U_S_Virgin_Islands.html" TargetMode="External"/><Relationship Id="rId570" Type="http://schemas.openxmlformats.org/officeDocument/2006/relationships/hyperlink" Target="https://www.tripadvisor.ca/Hotel_Review-g25226430-d25226431-Reviews-Jewel_Palm_Beach-Cabeza_De_Toro_Punta_Cana_La_Altagracia_Province_Dominican_Republi.html" TargetMode="External"/><Relationship Id="rId334" Type="http://schemas.openxmlformats.org/officeDocument/2006/relationships/hyperlink" Target="https://www.tripadvisor.ca/Hotel_Review-g259440-d149384-Reviews-Bahia_Principe_Grand_El_Portillo_All_Inclusive-Las_Terrenas_Samana_Province_Dominican_R.html" TargetMode="External"/><Relationship Id="rId576" Type="http://schemas.openxmlformats.org/officeDocument/2006/relationships/hyperlink" Target="https://www.tripadvisor.ca/Hotel_Review-g152516-d482539-Reviews-Dreams_Los_Cabos_Suites_Golf_Resort_Spa-San_Jose_del_Cabo_Los_Cabos_Baja_California.html" TargetMode="External"/><Relationship Id="rId333" Type="http://schemas.openxmlformats.org/officeDocument/2006/relationships/hyperlink" Target="https://www.tripadvisor.ca/Hotel_Review-g150812-d219166-Reviews-Hotel_Riu_Tequila-Playa_del_Carmen_Yucatan_Peninsula.html" TargetMode="External"/><Relationship Id="rId575" Type="http://schemas.openxmlformats.org/officeDocument/2006/relationships/hyperlink" Target="https://www.tripadvisor.ca/Hotel_Review-g612473-d26663080-Reviews-Hotel_Riu_Palace_Aquarelle-Falmouth_Trelawny_Parish_Jamaica.html" TargetMode="External"/><Relationship Id="rId332" Type="http://schemas.openxmlformats.org/officeDocument/2006/relationships/hyperlink" Target="https://www.tripadvisor.ca/Hotel_Review-g1229340-d11737960-Reviews-Dreams_Playa_Mujeres_Golf_Spa_Resort-Playa_Mujeres_Costa_Mujeres_Yucatan_Peninsula.html" TargetMode="External"/><Relationship Id="rId574" Type="http://schemas.openxmlformats.org/officeDocument/2006/relationships/hyperlink" Target="https://www.tripadvisor.ca/Hotel_Review-g9723540-d214251-Reviews-Samba_Vallarta_All_Inclusive-Flamingos_Nuevo_Vallarta_Pacific_Coast.html" TargetMode="External"/><Relationship Id="rId331" Type="http://schemas.openxmlformats.org/officeDocument/2006/relationships/hyperlink" Target="https://www.tripadvisor.ca/Hotel_Review-g150807-d219163-Reviews-Moon_Palace_Cancun-Cancun_Yucatan_Peninsula.html" TargetMode="External"/><Relationship Id="rId573" Type="http://schemas.openxmlformats.org/officeDocument/2006/relationships/hyperlink" Target="https://www.tripadvisor.ca/Hotel_Review-g793509-d1094847-Reviews-Grand_Palladium_Jamaica_All_Inclusive_Resort_Spa-Lucea_Hanover_Parish_Jamaica.html" TargetMode="External"/><Relationship Id="rId370" Type="http://schemas.openxmlformats.org/officeDocument/2006/relationships/hyperlink" Target="https://www.tripadvisor.ca/Hotel_Review-g7983226-d1917247-Reviews-Villa_Del_Palmar_Cancun_Luxury_Beach_Resort_Spa-Punta_Sam_Costa_Mujeres_Yucatan_Penin.html" TargetMode="External"/><Relationship Id="rId129" Type="http://schemas.openxmlformats.org/officeDocument/2006/relationships/hyperlink" Target="https://www.tripadvisor.ca/Hotel_Review-g670039-d1931078-Reviews-Melia_Buenavista_All_Inclusive_The_Level_Spa-Cayo_Santa_Maria_Villa_Clara_Province_Cub.html" TargetMode="External"/><Relationship Id="rId128" Type="http://schemas.openxmlformats.org/officeDocument/2006/relationships/hyperlink" Target="https://www.tripadvisor.ca/Hotel_Review-g580450-d9603176-Reviews-Melia_Costa_Rey-Cayo_Coco_Jardines_del_Rey_Archipelago_Ciego_de_Avila_Province_Cuba.html" TargetMode="External"/><Relationship Id="rId127" Type="http://schemas.openxmlformats.org/officeDocument/2006/relationships/hyperlink" Target="https://www.tripadvisor.ca/Hotel_Review-g910817-d25167230-Reviews-Aston_Costa_Verde_Beach_Resort-Rafael_Freyre_Holguin_Province_Cuba.html" TargetMode="External"/><Relationship Id="rId369" Type="http://schemas.openxmlformats.org/officeDocument/2006/relationships/hyperlink" Target="https://www.tripadvisor.ca/Hotel_Review-g946443-d150701-Reviews-Mango_Bay_Hotel-Holetown_Saint_James_Parish_Barbados.html" TargetMode="External"/><Relationship Id="rId126" Type="http://schemas.openxmlformats.org/officeDocument/2006/relationships/hyperlink" Target="https://www.tripadvisor.ca/Hotel_Review-g3176298-d17840488-Reviews-Coral_Level_at_Iberostar_Selection_Bavaro-Bavaro_Punta_Cana_La_Altagracia_Province_D.html" TargetMode="External"/><Relationship Id="rId368" Type="http://schemas.openxmlformats.org/officeDocument/2006/relationships/hyperlink" Target="https://www.tripadvisor.ca/Hotel_Review-g147248-d150688-Reviews-Divi_Aruba_All_Inclusive-Oranjestad_Aruba.html" TargetMode="External"/><Relationship Id="rId121" Type="http://schemas.openxmlformats.org/officeDocument/2006/relationships/hyperlink" Target="https://www.tripadvisor.ca/Hotel_Review-g150792-d152916-Reviews-El_Cid_Marina_Beach_Hotel-Mazatlan_Pacific_Coast.html" TargetMode="External"/><Relationship Id="rId363" Type="http://schemas.openxmlformats.org/officeDocument/2006/relationships/hyperlink" Target="https://www.tripadvisor.ca/Hotel_Review-g3176298-d283391-Reviews-Grand_Palladium_Palace_Resort_Spa_Casino-Bavaro_Punta_Cana_La_Altagracia_Province_Domi.html" TargetMode="External"/><Relationship Id="rId120" Type="http://schemas.openxmlformats.org/officeDocument/2006/relationships/hyperlink" Target="https://www.tripadvisor.ca/Hotel_Review-g150793-d254471-Reviews-Villa_Premiere_Boutique_Hotel_Romantic_Getaway-Puerto_Vallarta.html" TargetMode="External"/><Relationship Id="rId362" Type="http://schemas.openxmlformats.org/officeDocument/2006/relationships/hyperlink" Target="https://www.tripadvisor.ca/Hotel_Review-g240327-d1213971-Reviews-Dreams_Jade_Resort_Spa-Puerto_Morelos_Yucatan_Peninsula.html" TargetMode="External"/><Relationship Id="rId361" Type="http://schemas.openxmlformats.org/officeDocument/2006/relationships/hyperlink" Target="https://www.tripadvisor.ca/Hotel_Review-g147293-d1533216-Reviews-Vik_Hotel_Cayena_Beach-Punta_Cana_La_Altagracia_Province_Dominican_Republic.html" TargetMode="External"/><Relationship Id="rId360" Type="http://schemas.openxmlformats.org/officeDocument/2006/relationships/hyperlink" Target="https://www.tripadvisor.ca/Hotel_Review-g147293-d25219833-Reviews-Wyndham_Alltra_Punta_Cana-Punta_Cana_La_Altagracia_Province_Dominican_Republic.html" TargetMode="External"/><Relationship Id="rId125" Type="http://schemas.openxmlformats.org/officeDocument/2006/relationships/hyperlink" Target="https://www.tripadvisor.ca/Hotel_Review-g147313-d12288844-Reviews-Grand_Lido_Negril_Au_Naturel_An_Autograph_Collection_All_Inclusive_Resort_Adults_Only.html" TargetMode="External"/><Relationship Id="rId367" Type="http://schemas.openxmlformats.org/officeDocument/2006/relationships/hyperlink" Target="https://www.tripadvisor.ca/Hotel_Review-g240327-d1550490-Reviews-Dreams_Riviera_Cancun_Resort_Spa-Puerto_Morelos_Yucatan_Peninsula.html" TargetMode="External"/><Relationship Id="rId124" Type="http://schemas.openxmlformats.org/officeDocument/2006/relationships/hyperlink" Target="https://www.tripadvisor.ca/Hotel_Review-g663484-d253138-Reviews-Iberostar_Selection_Hacienda_Dominicus-Bayahibe_La_Altagracia_Province_Dominican_Republ.html" TargetMode="External"/><Relationship Id="rId366" Type="http://schemas.openxmlformats.org/officeDocument/2006/relationships/hyperlink" Target="https://www.tripadvisor.ca/Hotel_Review-g147293-d21301750-Reviews-Radisson_Blu_Punta_Cana_an_All_Inclusive_Resort-Punta_Cana_La_Altagracia_Province_Dom.html" TargetMode="External"/><Relationship Id="rId123" Type="http://schemas.openxmlformats.org/officeDocument/2006/relationships/hyperlink" Target="https://www.tripadvisor.ca/Hotel_Review-g152515-d308090-Reviews-Sandos_Finisterra-Cabo_San_Lucas_Los_Cabos_Baja_California.html" TargetMode="External"/><Relationship Id="rId365" Type="http://schemas.openxmlformats.org/officeDocument/2006/relationships/hyperlink" Target="https://www.tripadvisor.ca/Hotel_Review-g240327-d28213141-Reviews-Paraiso_De_La_Bonita_A_Luxury_Collection_Resort_Riviera_Maya_Adult_All_inclusive-Puer.html" TargetMode="External"/><Relationship Id="rId122" Type="http://schemas.openxmlformats.org/officeDocument/2006/relationships/hyperlink" Target="https://www.tripadvisor.ca/Hotel_Review-g3723905-d267240-Reviews-Couples_Tower_Isle-Tower_Isle_Saint_Mary_Parish_Jamaica.html" TargetMode="External"/><Relationship Id="rId364" Type="http://schemas.openxmlformats.org/officeDocument/2006/relationships/hyperlink" Target="https://www.tripadvisor.ca/Hotel_Review-g499443-d17464564-Reviews-Armony_Marival_Resort_Spa-Punta_de_Mita_Pacific_Coast.html" TargetMode="External"/><Relationship Id="rId95" Type="http://schemas.openxmlformats.org/officeDocument/2006/relationships/hyperlink" Target="https://www.tripadvisor.ca/Hotel_Review-g152515-d18457123-Reviews-The_Towers_at_Pacifica_at_Pueblo_Bonito_Pacifica_Golf_Spa_Resort-Cabo_San_Lucas_Los_C.html" TargetMode="External"/><Relationship Id="rId94" Type="http://schemas.openxmlformats.org/officeDocument/2006/relationships/hyperlink" Target="https://www.tripadvisor.com/Hotel_Review-g147343-d150434-Reviews-StolenTime_by_Rendezvous-Castries_Castries_Quarter_St_Lucia.html" TargetMode="External"/><Relationship Id="rId97" Type="http://schemas.openxmlformats.org/officeDocument/2006/relationships/hyperlink" Target="https://www.tripadvisor.ca/Hotel_Review-g499445-d11775703-Reviews-UNICO_20_87_Hotel_Riviera_Maya-Akumal_Yucatan_Peninsula.html" TargetMode="External"/><Relationship Id="rId96" Type="http://schemas.openxmlformats.org/officeDocument/2006/relationships/hyperlink" Target="https://www.tripadvisor.ca/Hotel_Review-g150792-d1728928-Reviews-Emerald_Estates_Luxury_Villas-Mazatlan_Pacific_Coast.html" TargetMode="External"/><Relationship Id="rId99" Type="http://schemas.openxmlformats.org/officeDocument/2006/relationships/hyperlink" Target="https://www.tripadvisor.ca/Hotel_Review-g10006284-d265922-Reviews-Beach_House_Turks_and_Caicos-Grace_Bay_Providenciales_Turks_and_Caicos.html" TargetMode="External"/><Relationship Id="rId98" Type="http://schemas.openxmlformats.org/officeDocument/2006/relationships/hyperlink" Target="https://www.tripadvisor.ca/Hotel_Review-g150807-d152894-Reviews-Sun_Palace-Cancun_Yucatan_Peninsula.html" TargetMode="External"/><Relationship Id="rId91" Type="http://schemas.openxmlformats.org/officeDocument/2006/relationships/hyperlink" Target="https://www.tripadvisor.ca/Hotel_Review-g16884615-d1022212-Reviews-Sanctuary_Cap_Cana_A_Luxury_Collection_Resort_Dominican_Republic_Adult_All_inclusive.html" TargetMode="External"/><Relationship Id="rId90" Type="http://schemas.openxmlformats.org/officeDocument/2006/relationships/hyperlink" Target="https://www.tripadvisor.ca/Hotel_Review-g150809-d153002-Reviews-Cozumel_Palace-Cozumel_Yucatan_Peninsula.html" TargetMode="External"/><Relationship Id="rId93" Type="http://schemas.openxmlformats.org/officeDocument/2006/relationships/hyperlink" Target="https://www.tripadvisor.ca/Hotel_Review-g612473-d12605999-Reviews-Excellence_Oyster_Bay-Falmouth_Trelawny_Parish_Jamaica.html" TargetMode="External"/><Relationship Id="rId92" Type="http://schemas.openxmlformats.org/officeDocument/2006/relationships/hyperlink" Target="https://www.tripadvisor.ca/Hotel_Review-g150807-d152681-Reviews-Grand_Fiesta_Americana_Coral_Beach_Cancun_All_Inclusive-Cancun_Yucatan_Peninsula.html" TargetMode="External"/><Relationship Id="rId118" Type="http://schemas.openxmlformats.org/officeDocument/2006/relationships/hyperlink" Target="https://www.tripadvisor.ca/Hotel_Review-g150810-d154002-Reviews-Zoetry_Villa_Rolandi_Isla_Mujeres_Cancun-Isla_Mujeres_Yucatan_Peninsula.html" TargetMode="External"/><Relationship Id="rId117" Type="http://schemas.openxmlformats.org/officeDocument/2006/relationships/hyperlink" Target="https://www.tripadvisor.ca/Hotel_Review-g152516-d266838-Reviews-Marquis_Los_Cabos-San_Jose_del_Cabo_Los_Cabos_Baja_California.html" TargetMode="External"/><Relationship Id="rId359" Type="http://schemas.openxmlformats.org/officeDocument/2006/relationships/hyperlink" Target="https://www.tripadvisor.ca/Hotel_Review-g153510-d1383489-Reviews-Hard_Rock_Hotel_Riviera_Maya-Puerto_Aventuras_Yucatan_Peninsula.html" TargetMode="External"/><Relationship Id="rId116" Type="http://schemas.openxmlformats.org/officeDocument/2006/relationships/hyperlink" Target="https://www.tripadvisor.ca/Hotel_Review-g240327-d19646887-Reviews-Margaritaville_Island_Reserve_Riviera_Cancun-Puerto_Morelos_Yucatan_Peninsula.html" TargetMode="External"/><Relationship Id="rId358" Type="http://schemas.openxmlformats.org/officeDocument/2006/relationships/hyperlink" Target="https://www.tripadvisor.ca/Hotel_Review-g150812-d10259725-Reviews-Ocean_Riviera_Paradise-Playa_del_Carmen_Yucatan_Peninsula.html" TargetMode="External"/><Relationship Id="rId115" Type="http://schemas.openxmlformats.org/officeDocument/2006/relationships/hyperlink" Target="https://www.tripadvisor.ca/Hotel_Review-g240327-d19646887-Reviews-Margaritaville_Island_Reserve_Riviera_Cancun-Puerto_Morelos_Yucatan_Peninsula.html" TargetMode="External"/><Relationship Id="rId357" Type="http://schemas.openxmlformats.org/officeDocument/2006/relationships/hyperlink" Target="https://www.tripadvisor.ca/Hotel_Review-g240327-d1128762-Reviews-Ocean_Coral_Turquesa-Puerto_Morelos_Yucatan_Peninsula.html" TargetMode="External"/><Relationship Id="rId599" Type="http://schemas.openxmlformats.org/officeDocument/2006/relationships/hyperlink" Target="https://www.tripadvisor.ca/Hotel_Review-g1183186-d147780-Reviews-Turtle_Beach_By_Elegant_Hotels-Dover_Christ_Church_Parish_Barbados.html" TargetMode="External"/><Relationship Id="rId119" Type="http://schemas.openxmlformats.org/officeDocument/2006/relationships/hyperlink" Target="https://www.tripadvisor.ca/Hotel_Review-g147313-d148748-Reviews-Sunset_At_The_Palms-Negril_Westmoreland_Parish_Jamaica.html" TargetMode="External"/><Relationship Id="rId110" Type="http://schemas.openxmlformats.org/officeDocument/2006/relationships/hyperlink" Target="https://www.tripadvisor.ca/Hotel_Review-g25226430-d26656550-Reviews-Serenade_All_Suites-Cabeza_De_Toro_Punta_Cana_La_Altagracia_Province_Dominican_Repu.html" TargetMode="External"/><Relationship Id="rId352" Type="http://schemas.openxmlformats.org/officeDocument/2006/relationships/hyperlink" Target="https://www.tripadvisor.ca/Hotel_Review-g3176298-d14838260-Reviews-Melia_Punta_Cana_Beach_Wellness_Inclusive_Adults_only-Bavaro_Punta_Cana_La_Altagraci.html" TargetMode="External"/><Relationship Id="rId594" Type="http://schemas.openxmlformats.org/officeDocument/2006/relationships/hyperlink" Target="https://www.tripadvisor.ca/Hotel_Review-g147293-d2399068-Reviews-Hotel_Riu_Palace_Bavaro-Punta_Cana_La_Altagracia_Province_Dominican_Republic.html" TargetMode="External"/><Relationship Id="rId351" Type="http://schemas.openxmlformats.org/officeDocument/2006/relationships/hyperlink" Target="https://www.tripadvisor.ca/Hotel_Review-g240327-d1176806-Reviews-Palmar_Beach_Resort-Puerto_Morelos_Yucatan_Peninsula.html" TargetMode="External"/><Relationship Id="rId593" Type="http://schemas.openxmlformats.org/officeDocument/2006/relationships/hyperlink" Target="https://www.tripadvisor.ca/Hotel_Review-g147268-d148643-Reviews-Divi_Flamingo_Beach_Resort_Casino-Kralendijk_Bonaire.html" TargetMode="External"/><Relationship Id="rId350" Type="http://schemas.openxmlformats.org/officeDocument/2006/relationships/hyperlink" Target="https://www.tripadvisor.ca/Hotel_Review-g150792-d152750-Reviews-Hotel_Playa_Mazatlan-Mazatlan_Pacific_Coast.html" TargetMode="External"/><Relationship Id="rId592" Type="http://schemas.openxmlformats.org/officeDocument/2006/relationships/hyperlink" Target="https://www.tripadvisor.ca/Hotel_Review-g147317-d3746481-Reviews-Bahia_Principe_Luxury_Runaway_Bay-Runaway_Bay_Saint_Ann_Parish_Jamaica.html" TargetMode="External"/><Relationship Id="rId591" Type="http://schemas.openxmlformats.org/officeDocument/2006/relationships/hyperlink" Target="https://www.tripadvisor.ca/Hotel_Review-g147290-d149799-Reviews-Sunscape_Puerto_Plata-Puerto_Plata_Puerto_Plata_Province_Dominican_Republic.html" TargetMode="External"/><Relationship Id="rId114" Type="http://schemas.openxmlformats.org/officeDocument/2006/relationships/hyperlink" Target="https://www.tripadvisor.ca/Hotel_Review-g659488-d6454138-Reviews-Premium_Level_at_Barcelo_Maya_Palace-Riviera_Maya_Yucatan_Peninsula.html" TargetMode="External"/><Relationship Id="rId356" Type="http://schemas.openxmlformats.org/officeDocument/2006/relationships/hyperlink" Target="https://www.tripadvisor.ca/Hotel_Review-g150807-d185322-Reviews-Hotel_Riu_Caribe-Cancun_Yucatan_Peninsula.html" TargetMode="External"/><Relationship Id="rId598" Type="http://schemas.openxmlformats.org/officeDocument/2006/relationships/hyperlink" Target="https://www.tripadvisor.ca/Hotel_Review-g147416-d181641-Reviews-Sandals_Royal_Bahamian-Nassau_New_Providence_Island_Bahamas.html" TargetMode="External"/><Relationship Id="rId113" Type="http://schemas.openxmlformats.org/officeDocument/2006/relationships/hyperlink" Target="https://www.tripadvisor.ca/Hotel_Review-g3176298-d9580294-Reviews-Majestic_Mirage_Punta_Cana-Bavaro_Punta_Cana_La_Altagracia_Province_Dominican_Republi.html" TargetMode="External"/><Relationship Id="rId355" Type="http://schemas.openxmlformats.org/officeDocument/2006/relationships/hyperlink" Target="https://www.tripadvisor.ca/Hotel_Review-g552078-d19862979-Reviews-Decameron_Isla_Coral_Guayabitos_Ramada_All_Inclusive_Resort-Rincon_de_Guayabitos_Paci.html" TargetMode="External"/><Relationship Id="rId597" Type="http://schemas.openxmlformats.org/officeDocument/2006/relationships/hyperlink" Target="https://www.tripadvisor.ca/Hotel_Review-g3176298-d17769124-Reviews-Princess_Family_Club_Bavaro-Bavaro_Punta_Cana_La_Altagracia_Province_Dominican_Repub.html" TargetMode="External"/><Relationship Id="rId112" Type="http://schemas.openxmlformats.org/officeDocument/2006/relationships/hyperlink" Target="https://www.tripadvisor.ca/Hotel_Review-g150807-d13499839-Reviews-Haven_Riviera_Cancun-Cancun_Yucatan_Peninsula.html" TargetMode="External"/><Relationship Id="rId354" Type="http://schemas.openxmlformats.org/officeDocument/2006/relationships/hyperlink" Target="https://www.tripadvisor.ca/Hotel_Review-g3176298-d150842-Reviews-Iberostar_Waves_Dominicana-Bavaro_Punta_Cana_La_Altagracia_Province_Dominican_Republic.html" TargetMode="External"/><Relationship Id="rId596" Type="http://schemas.openxmlformats.org/officeDocument/2006/relationships/hyperlink" Target="https://www.tripadvisor.ca/Hotel_Review-g150793-d155681-Reviews-Melia_Puerto_Vallarta-Puerto_Vallarta.html" TargetMode="External"/><Relationship Id="rId111" Type="http://schemas.openxmlformats.org/officeDocument/2006/relationships/hyperlink" Target="https://www.tripadvisor.ca/Hotel_Review-g150812-d23373079-Reviews-Paradisus_La_Perla_Adults_Only_Riviera_Maya-Playa_del_Carmen_Yucatan_Peninsula.html" TargetMode="External"/><Relationship Id="rId353" Type="http://schemas.openxmlformats.org/officeDocument/2006/relationships/hyperlink" Target="https://www.tripadvisor.ca/Hotel_Review-g737152-d25152556-Reviews-Memories_Cayo_Largo-Cayo_Largo_Cuba.html" TargetMode="External"/><Relationship Id="rId595" Type="http://schemas.openxmlformats.org/officeDocument/2006/relationships/hyperlink" Target="https://www.tripadvisor.ca/Hotel_Review-g670039-d637255-Reviews-Melia_Las_Dunas-Cayo_Santa_Maria_Villa_Clara_Province_Cuba.html" TargetMode="External"/><Relationship Id="rId305" Type="http://schemas.openxmlformats.org/officeDocument/2006/relationships/hyperlink" Target="https://www.tripadvisor.ca/Hotel_Review-g1229340-d14216187-Reviews-Hotel_Riu_Palace_Costa_Mujeres-Playa_Mujeres_Costa_Mujeres_Yucatan_Peninsula.html" TargetMode="External"/><Relationship Id="rId547" Type="http://schemas.openxmlformats.org/officeDocument/2006/relationships/hyperlink" Target="https://www.tripadvisor.com/Hotel_Review-g2561261-d3608262-Reviews-Hotel_Riu_Palace_Costa_Rica-Sardinal_Gulf_of_Papagayo_Province_of_Guanacaste.html" TargetMode="External"/><Relationship Id="rId789" Type="http://schemas.openxmlformats.org/officeDocument/2006/relationships/hyperlink" Target="https://www.tripadvisor.ca/Hotel_Review-g147290-d310282-Reviews-Residence_Suite_Resort-Puerto_Plata_Puerto_Plata_Province_Dominican_Republic.html" TargetMode="External"/><Relationship Id="rId304" Type="http://schemas.openxmlformats.org/officeDocument/2006/relationships/hyperlink" Target="https://www.tripadvisor.ca/Hotel_Review-g240327-d23123528-Reviews-Sensira_Resort_Spa_Riviera_Maya-Puerto_Morelos_Yucatan_Peninsula.html" TargetMode="External"/><Relationship Id="rId546" Type="http://schemas.openxmlformats.org/officeDocument/2006/relationships/hyperlink" Target="https://www.tripadvisor.ca/Hotel_Review-g1575485-d26997115-Reviews-Hyatt_Vivid_Grand_Island-Quintana_Roo_Yucatan_Peninsula.html" TargetMode="External"/><Relationship Id="rId788" Type="http://schemas.openxmlformats.org/officeDocument/2006/relationships/hyperlink" Target="https://www.tripadvisor.ca/Hotel_Review-g147420-d209619-Reviews-Viva_Fortuna_Beach_by_Wyndham_An_All_Inclusive_Resort-Freeport_Grand_Bahama_Island_Baha.html" TargetMode="External"/><Relationship Id="rId303" Type="http://schemas.openxmlformats.org/officeDocument/2006/relationships/hyperlink" Target="https://www.tripadvisor.ca/Hotel_Review-g152515-d151977-Reviews-Pueblo_Bonito_Rose_Resort_Spa-Cabo_San_Lucas_Los_Cabos_Baja_California.html" TargetMode="External"/><Relationship Id="rId545" Type="http://schemas.openxmlformats.org/officeDocument/2006/relationships/hyperlink" Target="https://www.tripadvisor.ca/Hotel_Review-g147311-d10588160-Reviews-Zoetry_Montego_Bay_Jamaica-Montego_Bay_Saint_James_Parish_Jamaica.html" TargetMode="External"/><Relationship Id="rId787" Type="http://schemas.openxmlformats.org/officeDocument/2006/relationships/hyperlink" Target="https://www.tripadvisor.ca/Hotel_Review-g34580-d219076-Reviews-Sandpiper_Bay_All_Inclusive_Trademark_Collection_by_Wyndham-Port_Saint_Lucie_Florida.html" TargetMode="External"/><Relationship Id="rId302" Type="http://schemas.openxmlformats.org/officeDocument/2006/relationships/hyperlink" Target="https://www.tripadvisor.ca/Hotel_Review-g147293-d10074376-Reviews-Dreams_Onyx_Resort_Spa-Punta_Cana_La_Altagracia_Province_Dominican_Republic.html" TargetMode="External"/><Relationship Id="rId544" Type="http://schemas.openxmlformats.org/officeDocument/2006/relationships/hyperlink" Target="https://www.tripadvisor.ca/Hotel_Review-g2441050-d27255577-Reviews-Sunrise_Miches_Beach_Resort_All_Inclusive-Miches_El_Seibo_Province_Dominican_Republi.html" TargetMode="External"/><Relationship Id="rId786" Type="http://schemas.openxmlformats.org/officeDocument/2006/relationships/hyperlink" Target="https://www.tripadvisor.ca/Hotel_Review-g147290-d149801-Reviews-Hotel_Beach_House_Playa_Dorada-Puerto_Plata_Puerto_Plata_Province_Dominican_Republic.html" TargetMode="External"/><Relationship Id="rId309" Type="http://schemas.openxmlformats.org/officeDocument/2006/relationships/hyperlink" Target="https://www.tripadvisor.ca/Hotel_Review-g154267-d569315-Reviews-The_Grand_Mayan_at_Vidanta_Nuevo_Vallarta-Nuevo_Vallarta_Pacific_Coast.html" TargetMode="External"/><Relationship Id="rId308" Type="http://schemas.openxmlformats.org/officeDocument/2006/relationships/hyperlink" Target="https://www.tripadvisor.ca/Hotel_Review-g240327-d488579-Reviews-Zoetry_Paraiso_de_La_Bonita_Riviera_Maya-Puerto_Morelos_Yucatan_Peninsula.html" TargetMode="External"/><Relationship Id="rId307" Type="http://schemas.openxmlformats.org/officeDocument/2006/relationships/hyperlink" Target="https://www.tripadvisor.ca/Hotel_Review-g147290-d12640357-Reviews-VH_Atmosphere_Adults_Only_Resort_Beach_Club-Puerto_Plata_Puerto_Plata_Province_Domini.html" TargetMode="External"/><Relationship Id="rId549" Type="http://schemas.openxmlformats.org/officeDocument/2006/relationships/hyperlink" Target="https://www.tripadvisor.ca/Hotel_Review-g317145-d8573522-Reviews-Emotions_All_Inclusive_Juan_Dolio_Ascend_Hotel_Collection-Juan_Dolio_San_Pedro_de_Maco.html" TargetMode="External"/><Relationship Id="rId306" Type="http://schemas.openxmlformats.org/officeDocument/2006/relationships/hyperlink" Target="https://www.tripadvisor.ca/Hotel_Review-g3176298-d897108-Reviews-Dreams_Royal_Beach_Punta_Cana-Bavaro_Punta_Cana_La_Altagracia_Province_Dominican_Repub.html" TargetMode="External"/><Relationship Id="rId548" Type="http://schemas.openxmlformats.org/officeDocument/2006/relationships/hyperlink" Target="https://www.tripadvisor.ca/Hotel_Review-g16884615-d15532011-Reviews-Sports_Illustrated_Resorts_Marina_Villas_Cap_Cana-Cap_Cana_Punta_Cana_La_Altagracia.html" TargetMode="External"/><Relationship Id="rId781" Type="http://schemas.openxmlformats.org/officeDocument/2006/relationships/hyperlink" Target="https://www.tripadvisor.ca/Hotel_Review-g147290-d7249738-Reviews-Crown_Suites_at_Lifestyle_Holidays_Vacation_Resort-Puerto_Plata_Puerto_Plata_Province_.html" TargetMode="External"/><Relationship Id="rId780" Type="http://schemas.openxmlformats.org/officeDocument/2006/relationships/hyperlink" Target="https://www.tripadvisor.ca/Hotel_Review-g147313-d507172-Reviews-Merrils_Beach_Resort_III-Negril_Westmoreland_Parish_Jamaica.html" TargetMode="External"/><Relationship Id="rId301" Type="http://schemas.openxmlformats.org/officeDocument/2006/relationships/hyperlink" Target="https://www.tripadvisor.ca/Hotel_Review-g150812-d12700386-Reviews-The_Reef_28-Playa_del_Carmen_Yucatan_Peninsula.html" TargetMode="External"/><Relationship Id="rId543" Type="http://schemas.openxmlformats.org/officeDocument/2006/relationships/hyperlink" Target="https://www.tripadvisor.ca/Hotel_Review-g666625-d9703487-Reviews-Iberostar_Origin_Playa_Pilar-Cayo_Guillermo_Jardines_del_Rey_Archipelago_Ciego_de_Avil.html" TargetMode="External"/><Relationship Id="rId785" Type="http://schemas.openxmlformats.org/officeDocument/2006/relationships/hyperlink" Target="https://www.tripadvisor.ca/Hotel_Review-g147290-d149801-Reviews-Hotel_Beach_House_Playa_Dorada-Puerto_Plata_Puerto_Plata_Province_Dominican_Republic.html" TargetMode="External"/><Relationship Id="rId300" Type="http://schemas.openxmlformats.org/officeDocument/2006/relationships/hyperlink" Target="https://www.tripadvisor.ca/Hotel_Review-g3176298-d150841-Reviews-Iberostar_Selection_Bavaro_Suites-Bavaro_Punta_Cana_La_Altagracia_Province_Dominican_R.html" TargetMode="External"/><Relationship Id="rId542" Type="http://schemas.openxmlformats.org/officeDocument/2006/relationships/hyperlink" Target="https://www.tripadvisor.ca/Hotel_Review-g3176298-d1673192-Reviews-Barcelo_Bavaro_Palace_All_Inclusive_Resort-Bavaro_Punta_Cana_La_Altagracia_Province_D.html" TargetMode="External"/><Relationship Id="rId784" Type="http://schemas.openxmlformats.org/officeDocument/2006/relationships/hyperlink" Target="https://www.tripadvisor.ca/Hotel_Review-g147290-d218484-Reviews-Cofresi_Palm_Beach_Spa_Resort-Puerto_Plata_Puerto_Plata_Province_Dominican_Republic.html" TargetMode="External"/><Relationship Id="rId541" Type="http://schemas.openxmlformats.org/officeDocument/2006/relationships/hyperlink" Target="https://www.tripadvisor.ca/Hotel_Review-g147249-d151981-Reviews-Barcelo_Aruba-Palm_Eagle_Beach_Aruba.html" TargetMode="External"/><Relationship Id="rId783" Type="http://schemas.openxmlformats.org/officeDocument/2006/relationships/hyperlink" Target="https://www.tripadvisor.ca/Hotel_Review-g1606589-d17431491-Reviews-Secrets_St_Martin_Resort_Spa-Saint_Martin_St_Martin_St_Maarten.html" TargetMode="External"/><Relationship Id="rId540" Type="http://schemas.openxmlformats.org/officeDocument/2006/relationships/hyperlink" Target="https://www.tripadvisor.ca/Hotel_Review-g150807-d154448-Reviews-Royal_Solaris_Cancun-Cancun_Yucatan_Peninsula.html" TargetMode="External"/><Relationship Id="rId782" Type="http://schemas.openxmlformats.org/officeDocument/2006/relationships/hyperlink" Target="https://www.tripadvisor.ca/Hotel_Review-g147311-d531845-Reviews-Grand_Decameron_Montego_Beach_A_Trademark_All_Inclusive_Resort-Montego_Bay_Saint_James_.html" TargetMode="External"/><Relationship Id="rId536" Type="http://schemas.openxmlformats.org/officeDocument/2006/relationships/hyperlink" Target="https://www.tripadvisor.ca/Hotel_Review-g150807-d501418-Reviews-GR_Solaris_Cancun-Cancun_Yucatan_Peninsula.html" TargetMode="External"/><Relationship Id="rId778" Type="http://schemas.openxmlformats.org/officeDocument/2006/relationships/hyperlink" Target="https://www.tripadvisor.ca/Hotel_Review-g147290-d7249738-Reviews-Crown_Suites_at_Lifestyle_Holidays_Vacation_Resort-Puerto_Plata_Puerto_Plata_Province_.html" TargetMode="External"/><Relationship Id="rId535" Type="http://schemas.openxmlformats.org/officeDocument/2006/relationships/hyperlink" Target="https://www.tripadvisor.ca/Hotel_Review-g150793-d559384-Reviews-Costa_Sur_Resort_Spa_Puerto_Vallarta-Puerto_Vallarta.html" TargetMode="External"/><Relationship Id="rId777" Type="http://schemas.openxmlformats.org/officeDocument/2006/relationships/hyperlink" Target="https://www.tripadvisor.ca/Hotel_Review-g150812-d240509-Reviews-Real_Playa_del_Carmen-Playa_del_Carmen_Yucatan_Peninsula.html" TargetMode="External"/><Relationship Id="rId534" Type="http://schemas.openxmlformats.org/officeDocument/2006/relationships/hyperlink" Target="https://www.tripadvisor.ca/Hotel_Review-g147293-d943738-Reviews-Bahia_Principe_Grand_Turquesa-Punta_Cana_La_Altagracia_Province_Dominican_Republic.html" TargetMode="External"/><Relationship Id="rId776" Type="http://schemas.openxmlformats.org/officeDocument/2006/relationships/hyperlink" Target="https://www.tripadvisor.ca/Hotel_Review-g147290-d218476-Reviews-Hotel_Playa_Grande-Puerto_Plata_Puerto_Plata_Province_Dominican_Republic.html" TargetMode="External"/><Relationship Id="rId533" Type="http://schemas.openxmlformats.org/officeDocument/2006/relationships/hyperlink" Target="https://www.tripadvisor.ca/Hotel_Review-g150809-d663635-Reviews-Royal_Level_at_Occidental_Cozumel-Cozumel_Yucatan_Peninsula.html" TargetMode="External"/><Relationship Id="rId775" Type="http://schemas.openxmlformats.org/officeDocument/2006/relationships/hyperlink" Target="https://www.tripadvisor.ca/Hotel_Review-g150812-d240509-Reviews-Real_Playa_del_Carmen-Playa_del_Carmen_Yucatan_Peninsula.html" TargetMode="External"/><Relationship Id="rId539" Type="http://schemas.openxmlformats.org/officeDocument/2006/relationships/hyperlink" Target="https://www.tripadvisor.ca/Hotel_Review-g147317-d151183-Reviews-Jewel_Runaway_Bay_Beach_Resort_Waterpark-Runaway_Bay_Saint_Ann_Parish_Jamaica.html" TargetMode="External"/><Relationship Id="rId538" Type="http://schemas.openxmlformats.org/officeDocument/2006/relationships/hyperlink" Target="https://www.tripadvisor.ca/Hotel_Review-g660724-d652636-Reviews-Iberostar_Rose_Hall_Beach-Rose_Hall_Montego_Bay_Saint_James_Parish_Jamaica.html" TargetMode="External"/><Relationship Id="rId537" Type="http://schemas.openxmlformats.org/officeDocument/2006/relationships/hyperlink" Target="https://www.tripadvisor.ca/Hotel_Review-g3176298-d149397-Reviews-Grand_Bavaro_Princess-Bavaro_Punta_Cana_La_Altagracia_Province_Dominican_Republic.html" TargetMode="External"/><Relationship Id="rId779" Type="http://schemas.openxmlformats.org/officeDocument/2006/relationships/hyperlink" Target="https://www.tripadvisor.ca/Hotel_Review-g147313-d507172-Reviews-Merrils_Beach_Resort_III-Negril_Westmoreland_Parish_Jamaica.html" TargetMode="External"/><Relationship Id="rId770" Type="http://schemas.openxmlformats.org/officeDocument/2006/relationships/hyperlink" Target="https://www.tripadvisor.ca/Hotel_Review-g150807-d154894-Reviews-Flamingo_Cancun_Resort-Cancun_Yucatan_Peninsula.html" TargetMode="External"/><Relationship Id="rId532" Type="http://schemas.openxmlformats.org/officeDocument/2006/relationships/hyperlink" Target="https://www.tripadvisor.ca/Hotel_Review-g663484-d12574646-Reviews-Hm_Alma_De_Bayahibe-Bayahibe_La_Altagracia_Province_Dominican_Republic.html" TargetMode="External"/><Relationship Id="rId774" Type="http://schemas.openxmlformats.org/officeDocument/2006/relationships/hyperlink" Target="https://www.tripadvisor.ca/Hotel_Review-g147290-d218476-Reviews-Hotel_Playa_Grande-Puerto_Plata_Puerto_Plata_Province_Dominican_Republic.html" TargetMode="External"/><Relationship Id="rId531" Type="http://schemas.openxmlformats.org/officeDocument/2006/relationships/hyperlink" Target="https://www.tripadvisor.ca/Hotel_Review-g147290-d150815-Reviews-Iberostar_Costa_Dorada-Puerto_Plata_Puerto_Plata_Province_Dominican_Republic.html" TargetMode="External"/><Relationship Id="rId773" Type="http://schemas.openxmlformats.org/officeDocument/2006/relationships/hyperlink" Target="https://www.tripadvisor.ca/Hotel_Review-g297476-d307529-Reviews-Decameron_Cartagena-Cartagena_Cartagena_District_Bolivar_Department.html" TargetMode="External"/><Relationship Id="rId530" Type="http://schemas.openxmlformats.org/officeDocument/2006/relationships/hyperlink" Target="https://www.tripadvisor.ca/Hotel_Review-g10006284-d251093-Reviews-Alexandra_Resort-Grace_Bay_Providenciales_Turks_and_Caicos.html" TargetMode="External"/><Relationship Id="rId772" Type="http://schemas.openxmlformats.org/officeDocument/2006/relationships/hyperlink" Target="https://www.tripadvisor.ca/Hotel_Review-g147317-d155079-Reviews-Club_Ambiance-Runaway_Bay_Saint_Ann_Parish_Jamaica.html" TargetMode="External"/><Relationship Id="rId771" Type="http://schemas.openxmlformats.org/officeDocument/2006/relationships/hyperlink" Target="https://www.tripadvisor.ca/Hotel_Review-g150809-d939910-Reviews-Secrets_Aura_Cozumel-Cozumel_Yucatan_Peninsula.html" TargetMode="External"/><Relationship Id="rId327" Type="http://schemas.openxmlformats.org/officeDocument/2006/relationships/hyperlink" Target="https://www.tripadvisor.ca/Hotel_Review-g147343-d149080-Reviews-Sandals_Halcyon_Beach-Castries_Castries_Quarter_St_Lucia.html" TargetMode="External"/><Relationship Id="rId569" Type="http://schemas.openxmlformats.org/officeDocument/2006/relationships/hyperlink" Target="https://www.tripadvisor.ca/Hotel_Review-g152515-d153086-Reviews-Villa_del_Palmar_Beach_Resort_Spa_Cabo_San_Lucas-Cabo_San_Lucas_Los_Cabos_Baja_Californ.html" TargetMode="External"/><Relationship Id="rId326" Type="http://schemas.openxmlformats.org/officeDocument/2006/relationships/hyperlink" Target="https://www.tripadvisor.ca/Hotel_Review-g297476-d24025128-Reviews-Dreams_Karibana_Cartagena_Golf_Spa_Resort-Cartagena_Cartagena_District_Bolivar_Depart.html" TargetMode="External"/><Relationship Id="rId568" Type="http://schemas.openxmlformats.org/officeDocument/2006/relationships/hyperlink" Target="https://www.tripadvisor.ca/Hotel_Review-g946443-d650212-Reviews-The_Club_Barbados_Resort_Spa-Holetown_Saint_James_Parish_Barbados.html" TargetMode="External"/><Relationship Id="rId325" Type="http://schemas.openxmlformats.org/officeDocument/2006/relationships/hyperlink" Target="https://www.tripadvisor.ca/Hotel_Review-g12900715-d596004-Reviews-Grand_Palladium_White_Sand_Resort_Spa-Solidaridad_Yucatan_Peninsula.html" TargetMode="External"/><Relationship Id="rId567" Type="http://schemas.openxmlformats.org/officeDocument/2006/relationships/hyperlink" Target="https://www.tripadvisor.ca/Hotel_Review-g150807-d154449-Reviews-Sunset_Marina_Resort_Yacht_Club-Cancun_Yucatan_Peninsula.html" TargetMode="External"/><Relationship Id="rId324" Type="http://schemas.openxmlformats.org/officeDocument/2006/relationships/hyperlink" Target="https://www.tripadvisor.ca/Hotel_Review-g147293-d19985038-Reviews-Dreams_Macao_Beach_Punta_Cana-Punta_Cana_La_Altagracia_Province_Dominican_Republic.html" TargetMode="External"/><Relationship Id="rId566" Type="http://schemas.openxmlformats.org/officeDocument/2006/relationships/hyperlink" Target="https://www.tripadvisor.com/Hotel_Review-g666621-d4187495-Reviews-Sandals_Barbados-St_Lawrence_Gap_Christ_Church_Parish_Barbados.html" TargetMode="External"/><Relationship Id="rId329" Type="http://schemas.openxmlformats.org/officeDocument/2006/relationships/hyperlink" Target="https://www.tripadvisor.ca/Hotel_Review-g670039-d13153412-Reviews-Paradisus_Los_Cayos-Cayo_Santa_Maria_Villa_Clara_Province_Cuba.html" TargetMode="External"/><Relationship Id="rId328" Type="http://schemas.openxmlformats.org/officeDocument/2006/relationships/hyperlink" Target="https://www.tripadvisor.ca/Hotel_Review-g3176298-d149213-Reviews-Barcelo_Bavaro_Beach-Bavaro_Punta_Cana_La_Altagracia_Province_Dominican_Republic.html" TargetMode="External"/><Relationship Id="rId561" Type="http://schemas.openxmlformats.org/officeDocument/2006/relationships/hyperlink" Target="https://www.tripadvisor.ca/Hotel_Review-g150793-d152381-Reviews-Hacienda_Buenaventura_Hotel_Mexican_Charm_All_Inclusive-Puerto_Vallarta.html" TargetMode="External"/><Relationship Id="rId560" Type="http://schemas.openxmlformats.org/officeDocument/2006/relationships/hyperlink" Target="https://www.tripadvisor.ca/Hotel_Review-g1547306-d320557-Reviews-Decameron_Panaca-Quimbaya_Quindio_Department.html" TargetMode="External"/><Relationship Id="rId323" Type="http://schemas.openxmlformats.org/officeDocument/2006/relationships/hyperlink" Target="https://www.tripadvisor.ca/Hotel_Review-g2535585-d152279-Reviews-Dreams_Huatulco_Resort_Spa-Tangolunda_Huatulco_Southern_Mexico.html" TargetMode="External"/><Relationship Id="rId565" Type="http://schemas.openxmlformats.org/officeDocument/2006/relationships/hyperlink" Target="https://www.tripadvisor.ca/Hotel_Review-g3200043-d6958549-Reviews-Royalton_CHIC_Punta_Cana_An_Autograph_Collection_Resort_Casino_Adults_Only-Uvero_Alto.html" TargetMode="External"/><Relationship Id="rId322" Type="http://schemas.openxmlformats.org/officeDocument/2006/relationships/hyperlink" Target="https://www.tripadvisor.ca/Hotel_Review-g150807-d17765597-Reviews-Dreams_Vista_Cancun_Golf_Spa_Resort-Cancun_Yucatan_Peninsula.html" TargetMode="External"/><Relationship Id="rId564" Type="http://schemas.openxmlformats.org/officeDocument/2006/relationships/hyperlink" Target="https://www.tripadvisor.ca/Hotel_Review-g580450-d7350593-Reviews-Melia_Jardines_del_Rey-Cayo_Coco_Jardines_del_Rey_Archipelago_Ciego_de_Avila_Province_.html" TargetMode="External"/><Relationship Id="rId321" Type="http://schemas.openxmlformats.org/officeDocument/2006/relationships/hyperlink" Target="https://www.tripadvisor.ca/Hotel_Review-g150807-d2554709-Reviews-Sandos_Cancun-Cancun_Yucatan_Peninsula.html" TargetMode="External"/><Relationship Id="rId563" Type="http://schemas.openxmlformats.org/officeDocument/2006/relationships/hyperlink" Target="https://www.tripadvisor.ca/Hotel_Review-g147249-d7059228-Reviews-Hotel_Riu_Palace_Antillas-Palm_Eagle_Beach_Aruba.html" TargetMode="External"/><Relationship Id="rId320" Type="http://schemas.openxmlformats.org/officeDocument/2006/relationships/hyperlink" Target="https://www.tripadvisor.ca/Hotel_Review-g150807-d24119687-Reviews-Hotel_Riu_Palace_Kukulkan-Cancun_Yucatan_Peninsula.html" TargetMode="External"/><Relationship Id="rId562" Type="http://schemas.openxmlformats.org/officeDocument/2006/relationships/hyperlink" Target="https://www.tripadvisor.ca/Hotel_Review-g150813-d23608360-Reviews-Hilton_Tulum_Riviera_Maya_All_Inclusive_Resort-Tulum_Yucatan_Peninsula.html" TargetMode="External"/><Relationship Id="rId316" Type="http://schemas.openxmlformats.org/officeDocument/2006/relationships/hyperlink" Target="https://www.tripadvisor.ca/Hotel_Review-g150812-d185329-Reviews-Wyndham_Alltra_Playa_Del_Carmen_Adults_Only_All_Inclusive-Playa_del_Carmen_Yucatan_Peni.html" TargetMode="External"/><Relationship Id="rId558" Type="http://schemas.openxmlformats.org/officeDocument/2006/relationships/hyperlink" Target="https://www.tripadvisor.ca/Hotel_Review-g150807-d154434-Reviews-Cancun_Bay_Resort-Cancun_Yucatan_Peninsula.html" TargetMode="External"/><Relationship Id="rId315" Type="http://schemas.openxmlformats.org/officeDocument/2006/relationships/hyperlink" Target="https://www.tripadvisor.ca/Hotel_Review-g1172156-d254186-Reviews-Memories_Jibacoa_Adults_Only_All_Inclusive-Jibacoa_Mayabeque_Province_Cuba.html" TargetMode="External"/><Relationship Id="rId557" Type="http://schemas.openxmlformats.org/officeDocument/2006/relationships/hyperlink" Target="https://www.tripadvisor.ca/Hotel_Review-g34344-d13980722-Reviews-Bungalows_Key_Largo-Key_Largo_Florida_Keys_Florida.html" TargetMode="External"/><Relationship Id="rId799" Type="http://schemas.openxmlformats.org/officeDocument/2006/relationships/hyperlink" Target="https://www.tripadvisor.ca/Hotel_Review-g150807-d628864-Reviews-Ocean_View_Cancun_Arenas-Cancun_Yucatan_Peninsula.html" TargetMode="External"/><Relationship Id="rId314" Type="http://schemas.openxmlformats.org/officeDocument/2006/relationships/hyperlink" Target="https://www.tripadvisor.ca/Hotel_Review-g652398-d534892-Reviews-Coconut_Bay_Beach_Resort_Spa-Vieux_Fort_Vieux_Fort_Quarter_St_Lucia.html" TargetMode="External"/><Relationship Id="rId556" Type="http://schemas.openxmlformats.org/officeDocument/2006/relationships/hyperlink" Target="https://www.tripadvisor.ca/Hotel_Review-g153445-d185427-Reviews-Sunscape_Dorado_Pacifico_Ixtapa-Ixtapa_Zihuatanejo_de_Azueta_Pacific_Coast.html" TargetMode="External"/><Relationship Id="rId798" Type="http://schemas.openxmlformats.org/officeDocument/2006/relationships/hyperlink" Target="https://www.tripadvisor.ca/Hotel_Review-g147290-d253663-Reviews-Puerto_Plata_Village_Caribbean_Resort_Beach_Club-Puerto_Plata_Puerto_Plata_Province_Dom.html" TargetMode="External"/><Relationship Id="rId313" Type="http://schemas.openxmlformats.org/officeDocument/2006/relationships/hyperlink" Target="https://www.tripadvisor.ca/Hotel_Review-g660724-d6535703-Reviews-Hyatt_Zilara_Rose_Hall-Rose_Hall_Montego_Bay_Saint_James_Parish_Jamaica.html" TargetMode="External"/><Relationship Id="rId555" Type="http://schemas.openxmlformats.org/officeDocument/2006/relationships/hyperlink" Target="https://www.tripadvisor.ca/Hotel_Review-g150812-d6408185-Reviews-Platinum_Yucatan_Princess_Adults_Only-Playa_del_Carmen_Yucatan_Peninsula.html" TargetMode="External"/><Relationship Id="rId797" Type="http://schemas.openxmlformats.org/officeDocument/2006/relationships/hyperlink" Target="https://www.tripadvisor.ca/Hotel_Review-g147290-d253663-Reviews-Puerto_Plata_Village_Caribbean_Resort_Beach_Club-Puerto_Plata_Puerto_Plata_Province_Dom.html" TargetMode="External"/><Relationship Id="rId319" Type="http://schemas.openxmlformats.org/officeDocument/2006/relationships/hyperlink" Target="https://www.tripadvisor.ca/Hotel_Review-g150807-d503456-Reviews-Wyndham_Alltra_Cancun-Cancun_Yucatan_Peninsula.html" TargetMode="External"/><Relationship Id="rId318" Type="http://schemas.openxmlformats.org/officeDocument/2006/relationships/hyperlink" Target="https://www.tripadvisor.ca/Hotel_Review-g562684-d147864-Reviews-Grotto_Bay_Beach_Resort_Spa-Hamilton_Parish_Bermuda.html" TargetMode="External"/><Relationship Id="rId317" Type="http://schemas.openxmlformats.org/officeDocument/2006/relationships/hyperlink" Target="https://www.tripadvisor.ca/Hotel_Review-g153445-d156766-Reviews-Barcelo_Ixtapa-Ixtapa_Zihuatanejo_de_Azueta_Pacific_Coast.html" TargetMode="External"/><Relationship Id="rId559" Type="http://schemas.openxmlformats.org/officeDocument/2006/relationships/hyperlink" Target="https://www.tripadvisor.ca/Hotel_Review-g153510-d680158-Reviews-Catalonia_Yucatan_Beach-Puerto_Aventuras_Yucatan_Peninsula.html" TargetMode="External"/><Relationship Id="rId550" Type="http://schemas.openxmlformats.org/officeDocument/2006/relationships/hyperlink" Target="https://www.tripadvisor.ca/Hotel_Review-g3176298-d292158-Reviews-Grand_Palladium_Punta_Cana_Resort_Spa-Bavaro_Punta_Cana_La_Altagracia_Province_Dominic.html" TargetMode="External"/><Relationship Id="rId792" Type="http://schemas.openxmlformats.org/officeDocument/2006/relationships/hyperlink" Target="https://www.tripadvisor.ca/Hotel_Review-g147313-d596160-Reviews-Negril_Escape_Resort_Spa-Negril_Westmoreland_Parish_Jamaica.html" TargetMode="External"/><Relationship Id="rId791" Type="http://schemas.openxmlformats.org/officeDocument/2006/relationships/hyperlink" Target="https://www.tripadvisor.ca/Hotel_Review-g147290-d14802117-Reviews-Lifestyle_Tropical_Beach_Resort_Spa-Puerto_Plata_Puerto_Plata_Province_Dominican_Repu.html" TargetMode="External"/><Relationship Id="rId790" Type="http://schemas.openxmlformats.org/officeDocument/2006/relationships/hyperlink" Target="https://www.tripadvisor.ca/Hotel_Review-g147290-d310282-Reviews-Residence_Suite_Resort-Puerto_Plata_Puerto_Plata_Province_Dominican_Republic.html" TargetMode="External"/><Relationship Id="rId312" Type="http://schemas.openxmlformats.org/officeDocument/2006/relationships/hyperlink" Target="https://www.tripadvisor.ca/Hotel_Review-g150812-d7180828-Reviews-Grand_Hyatt_Playa_Del_Carmen_Resort-Playa_del_Carmen_Yucatan_Peninsula.html" TargetMode="External"/><Relationship Id="rId554" Type="http://schemas.openxmlformats.org/officeDocument/2006/relationships/hyperlink" Target="https://www.tripadvisor.ca/Hotel_Review-g152515-d14210078-Reviews-Hotel_Riu_Palace_Baja_California-Cabo_San_Lucas_Los_Cabos_Baja_California.html" TargetMode="External"/><Relationship Id="rId796" Type="http://schemas.openxmlformats.org/officeDocument/2006/relationships/hyperlink" Target="https://www.tripadvisor.ca/Hotel_Review-g147275-d15749140-Reviews-Hotel_Puntarena_Playa_Caleta-Varadero_Matanzas_Province_Cuba.html" TargetMode="External"/><Relationship Id="rId311" Type="http://schemas.openxmlformats.org/officeDocument/2006/relationships/hyperlink" Target="https://www.tripadvisor.com/Hotel_Review-g671541-d549924-Reviews-Zoetry_Marigot_Bay_St_Lucia-Marigot_Bay_Castries_Quarter_St_Lucia.html" TargetMode="External"/><Relationship Id="rId553" Type="http://schemas.openxmlformats.org/officeDocument/2006/relationships/hyperlink" Target="https://www.tripadvisor.ca/Hotel_Review-g147249-d151277-Reviews-Hotel_Riu_Palace_Aruba-Palm_Eagle_Beach_Aruba.html" TargetMode="External"/><Relationship Id="rId795" Type="http://schemas.openxmlformats.org/officeDocument/2006/relationships/hyperlink" Target="https://www.tripadvisor.ca/Hotel_Review-g3176298-d325042-Reviews-Whala_bavaro-Bavaro_Punta_Cana_La_Altagracia_Province_Dominican_Republic.html" TargetMode="External"/><Relationship Id="rId310" Type="http://schemas.openxmlformats.org/officeDocument/2006/relationships/hyperlink" Target="https://www.tripadvisor.ca/Hotel_Review-g152516-d469312-Reviews-Hyatt_Ziva_Los_Cabos-San_Jose_del_Cabo_Los_Cabos_Baja_California.html" TargetMode="External"/><Relationship Id="rId552" Type="http://schemas.openxmlformats.org/officeDocument/2006/relationships/hyperlink" Target="https://www.tripadvisor.ca/Hotel_Review-g150812-d265897-Reviews-Hotel_Riu_Lupita-Playa_del_Carmen_Yucatan_Peninsula.html" TargetMode="External"/><Relationship Id="rId794" Type="http://schemas.openxmlformats.org/officeDocument/2006/relationships/hyperlink" Target="https://www.tripadvisor.ca/Hotel_Review-g147278-d19141400-Reviews-Dreams_Curacao_Resort_Spa_Casino-Willemstad_Curacao.html" TargetMode="External"/><Relationship Id="rId551" Type="http://schemas.openxmlformats.org/officeDocument/2006/relationships/hyperlink" Target="https://www.tripadvisor.ca/Hotel_Review-g2705982-d148275-Reviews-Hawksbill_Resort_Antigua-Five_Islands_Village_Saint_John_Parish_Antigua_Antigua_and_Ba.html" TargetMode="External"/><Relationship Id="rId793" Type="http://schemas.openxmlformats.org/officeDocument/2006/relationships/hyperlink" Target="https://www.tripadvisor.ca/Hotel_Review-g7097391-d286483-Reviews-Playa_Esmeralda_Beach_Resort-Guayacanes_San_Pedro_de_Macoris_Province_Dominican_Republ.html" TargetMode="External"/><Relationship Id="rId297" Type="http://schemas.openxmlformats.org/officeDocument/2006/relationships/hyperlink" Target="https://www.tripadvisor.ca/Hotel_Review-g499443-d23452846-Reviews-Secrets_Bahia_Mita_Surf_Spa_Resort-Punta_de_Mita_Pacific_Coast.html" TargetMode="External"/><Relationship Id="rId296" Type="http://schemas.openxmlformats.org/officeDocument/2006/relationships/hyperlink" Target="https://www.tripadvisor.ca/Hotel_Review-g150807-d540461-Reviews-Fiesta_Americana_Cancun_Villas-Cancun_Yucatan_Peninsula.html" TargetMode="External"/><Relationship Id="rId295" Type="http://schemas.openxmlformats.org/officeDocument/2006/relationships/hyperlink" Target="https://www.tripadvisor.ca/Hotel_Review-g153510-d586539-Reviews-Barcelo_Maya_Colonial-Puerto_Aventuras_Yucatan_Peninsula.html" TargetMode="External"/><Relationship Id="rId294" Type="http://schemas.openxmlformats.org/officeDocument/2006/relationships/hyperlink" Target="https://www.tripadvisor.ca/Hotel_Review-g1229340-d23995980-Reviews-Hotel_Riu_Latino-Playa_Mujeres_Costa_Mujeres_Yucatan_Peninsula.html" TargetMode="External"/><Relationship Id="rId299" Type="http://schemas.openxmlformats.org/officeDocument/2006/relationships/hyperlink" Target="https://www.tripadvisor.ca/Hotel_Review-g147278-d150663-Reviews-Curacao_Marriott_Beach_Resort-Willemstad_Curacao.html" TargetMode="External"/><Relationship Id="rId298" Type="http://schemas.openxmlformats.org/officeDocument/2006/relationships/hyperlink" Target="https://www.tripadvisor.ca/Hotel_Review-g499445-d247628-Reviews-Bahia_Principe_Luxury_Akumal-Akumal_Yucatan_Peninsula.html" TargetMode="External"/><Relationship Id="rId271" Type="http://schemas.openxmlformats.org/officeDocument/2006/relationships/hyperlink" Target="https://www.tripadvisor.ca/Hotel_Review-g150807-d152680-Reviews-Fiesta_Americana_Condesa_Cancun_All_Inclusive-Cancun_Yucatan_Peninsula.html" TargetMode="External"/><Relationship Id="rId270" Type="http://schemas.openxmlformats.org/officeDocument/2006/relationships/hyperlink" Target="https://www.tripadvisor.ca/Hotel_Review-g660724-d1205371-Reviews-Iberostar_Selection_Rose_Hall_Suites-Rose_Hall_Montego_Bay_Saint_James_Parish_Jamaica.html" TargetMode="External"/><Relationship Id="rId269" Type="http://schemas.openxmlformats.org/officeDocument/2006/relationships/hyperlink" Target="https://www.tripadvisor.ca/Hotel_Review-g152515-d15054618-Reviews-Garza_Blanca_Resort_Spa_Los_Cabos-Cabo_San_Lucas_Los_Cabos_Baja_California.html" TargetMode="External"/><Relationship Id="rId264" Type="http://schemas.openxmlformats.org/officeDocument/2006/relationships/hyperlink" Target="https://www.tripadvisor.ca/Hotel_Review-g150807-d21401702-Reviews-Garza_Blanca_Resort_Spa_Cancun-Cancun_Yucatan_Peninsula.html" TargetMode="External"/><Relationship Id="rId263" Type="http://schemas.openxmlformats.org/officeDocument/2006/relationships/hyperlink" Target="https://www.tripadvisor.ca/Hotel_Review-g150809-d184998-Reviews-Iberostar_Cozumel-Cozumel_Yucatan_Peninsula.html" TargetMode="External"/><Relationship Id="rId262" Type="http://schemas.openxmlformats.org/officeDocument/2006/relationships/hyperlink" Target="https://www.tripadvisor.ca/Hotel_Review-g147311-d15327038-Reviews-S_Hotel_Montego_Bay-Montego_Bay_Saint_James_Parish_Jamaica.html" TargetMode="External"/><Relationship Id="rId261" Type="http://schemas.openxmlformats.org/officeDocument/2006/relationships/hyperlink" Target="https://www.tripadvisor.ca/Hotel_Review-g147293-d1604057-Reviews-Secrets_Royal_Beach_Punta_Cana-Punta_Cana_La_Altagracia_Province_Dominican_Republic.html" TargetMode="External"/><Relationship Id="rId268" Type="http://schemas.openxmlformats.org/officeDocument/2006/relationships/hyperlink" Target="https://www.tripadvisor.ca/Hotel_Review-g152515-d604937-Reviews-Villa_del_Arco_Beach_Resort_Spa-Cabo_San_Lucas_Los_Cabos_Baja_California.html" TargetMode="External"/><Relationship Id="rId267" Type="http://schemas.openxmlformats.org/officeDocument/2006/relationships/hyperlink" Target="https://www.tripadvisor.ca/Hotel_Review-g150812-d153142-Reviews-Royal_Hideaway_Playacar-Playa_del_Carmen_Yucatan_Peninsula.html" TargetMode="External"/><Relationship Id="rId266" Type="http://schemas.openxmlformats.org/officeDocument/2006/relationships/hyperlink" Target="https://www.tripadvisor.com/Hotel_Review-g147265-d239274-Reviews-The_House_by_Elegant_Hotels_All_Inclusive_Adults_Only-Saint_James_Parish_Barbados.html" TargetMode="External"/><Relationship Id="rId265" Type="http://schemas.openxmlformats.org/officeDocument/2006/relationships/hyperlink" Target="https://www.tripadvisor.ca/Hotel_Review-g150807-d13138532-Reviews-Moon_Palace_The_Grand_Cancun-Cancun_Yucatan_Peninsula.html" TargetMode="External"/><Relationship Id="rId260" Type="http://schemas.openxmlformats.org/officeDocument/2006/relationships/hyperlink" Target="https://www.tripadvisor.ca/Hotel_Review-g150789-d2089597-Reviews-Secrets_Huatulco_Resort_Spa-Huatulco_Southern_Mexico.html" TargetMode="External"/><Relationship Id="rId259" Type="http://schemas.openxmlformats.org/officeDocument/2006/relationships/hyperlink" Target="https://www.tripadvisor.ca/Hotel_Review-g147431-d147636-Reviews-Club_Med_Columbus_Bahamas-San_Salvador_Out_Islands_Bahamas.html" TargetMode="External"/><Relationship Id="rId258" Type="http://schemas.openxmlformats.org/officeDocument/2006/relationships/hyperlink" Target="https://www.tripadvisor.ca/Hotel_Review-g3176298-d583034-Reviews-Paradisus_Palma_Real_Golf_Spa_Resort-Bavaro_Punta_Cana_La_Altagracia_Province_Dominica.html" TargetMode="External"/><Relationship Id="rId253" Type="http://schemas.openxmlformats.org/officeDocument/2006/relationships/hyperlink" Target="https://www.tripadvisor.ca/Hotel_Review-g150810-d1175973-Reviews-Privilege_Aluxes-Isla_Mujeres_Yucatan_Peninsula.html" TargetMode="External"/><Relationship Id="rId495" Type="http://schemas.openxmlformats.org/officeDocument/2006/relationships/hyperlink" Target="https://www.tripadvisor.ca/Hotel_Review-g580450-d2416310-Reviews-Memories_Caribe_Beach_Resort-Cayo_Coco_Jardines_del_Rey_Archipelago_Ciego_de_Avila_Pro.html" TargetMode="External"/><Relationship Id="rId252" Type="http://schemas.openxmlformats.org/officeDocument/2006/relationships/hyperlink" Target="https://www.tripadvisor.com/Hotel_Review-g9723540-d1097502-Reviews-Hotel_Riu_Palace_Pacifico-Flamingos_Nuevo_Vallarta_Pacific_Coast.html" TargetMode="External"/><Relationship Id="rId494" Type="http://schemas.openxmlformats.org/officeDocument/2006/relationships/hyperlink" Target="https://www.tripadvisor.ca/Hotel_Review-g147249-d184828-Reviews-Holiday_Inn_Resort_Aruba_Beach_Resort_Casino-Palm_Eagle_Beach_Aruba.html" TargetMode="External"/><Relationship Id="rId251" Type="http://schemas.openxmlformats.org/officeDocument/2006/relationships/hyperlink" Target="https://www.tripadvisor.ca/Hotel_Review-g150789-d152600-Reviews-Binniguenda_Huatulco_All_Inclusive_Hotel_Beach_Club-Huatulco_Southern_Mexico.html" TargetMode="External"/><Relationship Id="rId493" Type="http://schemas.openxmlformats.org/officeDocument/2006/relationships/hyperlink" Target="https://www.tripadvisor.ca/Hotel_Review-g150812-d1022792-Reviews-Kimpton_Tres_Rios-Playa_del_Carmen_Yucatan_Peninsula.html" TargetMode="External"/><Relationship Id="rId250" Type="http://schemas.openxmlformats.org/officeDocument/2006/relationships/hyperlink" Target="https://www.tripadvisor.ca/Hotel_Review-g152515-d317460-Reviews-Grand_Fiesta_Americana_Los_Cabos_All_Inclusive_Golf_Spa-Cabo_San_Lucas_Los_Cabos_Baja_C.html" TargetMode="External"/><Relationship Id="rId492" Type="http://schemas.openxmlformats.org/officeDocument/2006/relationships/hyperlink" Target="https://www.tripadvisor.ca/Hotel_Review-g147293-d150854-Reviews-Hotel_Riu_Palace_Macao-Punta_Cana_La_Altagracia_Province_Dominican_Republic.html" TargetMode="External"/><Relationship Id="rId257" Type="http://schemas.openxmlformats.org/officeDocument/2006/relationships/hyperlink" Target="https://www.tripadvisor.ca/Hotel_Review-g21410690-d219161-Reviews-El_Dorado_Seaside_Palms_By_Karisma-El_Dorado_Solidaridad_Yucatan_Peninsula.html" TargetMode="External"/><Relationship Id="rId499" Type="http://schemas.openxmlformats.org/officeDocument/2006/relationships/hyperlink" Target="https://www.tripadvisor.ca/Hotel_Review-g150807-d154897-Reviews-Wyndham_Grand_Cancun_All_Inclusive_Resort_Villas-Cancun_Yucatan_Peninsula.html" TargetMode="External"/><Relationship Id="rId256" Type="http://schemas.openxmlformats.org/officeDocument/2006/relationships/hyperlink" Target="https://www.tripadvisor.ca/Hotel_Review-g147275-d26837399-Reviews-Grand_Aston_Varadero-Varadero_Matanzas_Province_Cuba.html" TargetMode="External"/><Relationship Id="rId498" Type="http://schemas.openxmlformats.org/officeDocument/2006/relationships/hyperlink" Target="https://www.tripadvisor.ca/Hotel_Review-g147275-d2344970-Reviews-Valentin_Varadero_El_Patriarca-Varadero_Matanzas_Province_Cuba.html" TargetMode="External"/><Relationship Id="rId255" Type="http://schemas.openxmlformats.org/officeDocument/2006/relationships/hyperlink" Target="https://www.tripadvisor.ca/Hotel_Review-g21410690-d9787632-Reviews-El_Dorado_Seaside_Suites-El_Dorado_Solidaridad_Yucatan_Peninsula.html" TargetMode="External"/><Relationship Id="rId497" Type="http://schemas.openxmlformats.org/officeDocument/2006/relationships/hyperlink" Target="https://www.tripadvisor.ca/Hotel_Review-g1584775-d148278-Reviews-St_James_Club_Villas-Mamora_Bay_Saint_Paul_Parish_Antigua_Antigua_and_Barbuda.html" TargetMode="External"/><Relationship Id="rId254" Type="http://schemas.openxmlformats.org/officeDocument/2006/relationships/hyperlink" Target="https://www.tripadvisor.ca/Hotel_Review-g150812-d219165-Reviews-Hotel_Riu_Playacar-Playa_del_Carmen_Yucatan_Peninsula.html" TargetMode="External"/><Relationship Id="rId496" Type="http://schemas.openxmlformats.org/officeDocument/2006/relationships/hyperlink" Target="https://www.tripadvisor.ca/Hotel_Review-g580450-d263110-Reviews-Sol_Cayo_Coco-Cayo_Coco_Jardines_del_Rey_Archipelago_Ciego_de_Avila_Province_Cuba.html" TargetMode="External"/><Relationship Id="rId293" Type="http://schemas.openxmlformats.org/officeDocument/2006/relationships/hyperlink" Target="https://www.tripadvisor.ca/Hotel_Review-g153445-d3869865-Reviews-Azul_Ixtapa_Grand_Beach_Resort_Spa_Convention_Center-Ixtapa_Zihuatanejo_de_Azueta_Paci.html" TargetMode="External"/><Relationship Id="rId292" Type="http://schemas.openxmlformats.org/officeDocument/2006/relationships/hyperlink" Target="https://www.tripadvisor.ca/Hotel_Review-g660724-d6535647-Reviews-Hyatt_Ziva_Rose_Hall-Rose_Hall_Montego_Bay_Saint_James_Parish_Jamaica.html" TargetMode="External"/><Relationship Id="rId291" Type="http://schemas.openxmlformats.org/officeDocument/2006/relationships/hyperlink" Target="https://www.tripadvisor.ca/Hotel_Review-g3176298-d13973616-Reviews-Lopesan_Costa_Bavaro_Resort_Spa_Casino-Bavaro_Punta_Cana_La_Altagracia_Province_Domi.html" TargetMode="External"/><Relationship Id="rId290" Type="http://schemas.openxmlformats.org/officeDocument/2006/relationships/hyperlink" Target="https://www.tripadvisor.ca/Hotel_Review-g147293-d25026838-Reviews-Paradisus_Grand_Cana_All_Suites-Punta_Cana_La_Altagracia_Province_Dominican_Republic.html" TargetMode="External"/><Relationship Id="rId286" Type="http://schemas.openxmlformats.org/officeDocument/2006/relationships/hyperlink" Target="https://www.tripadvisor.ca/Hotel_Review-g147293-d4459010-Reviews-Breathless_Punta_Cana_Resort_Spa-Punta_Cana_La_Altagracia_Province_Dominican_Republic.html" TargetMode="External"/><Relationship Id="rId285" Type="http://schemas.openxmlformats.org/officeDocument/2006/relationships/hyperlink" Target="https://www.tripadvisor.ca/Hotel_Review-g663501-d315136-Reviews-Iberostar_Paraiso_Del_Mar-Playa_Paraiso_Playa_del_Carmen_Yucatan_Peninsula.html" TargetMode="External"/><Relationship Id="rId284" Type="http://schemas.openxmlformats.org/officeDocument/2006/relationships/hyperlink" Target="https://www.tripadvisor.ca/Hotel_Review-g663501-d259116-Reviews-Iberostar_Paraiso_Beach-Playa_Paraiso_Playa_del_Carmen_Yucatan_Peninsula.html" TargetMode="External"/><Relationship Id="rId283" Type="http://schemas.openxmlformats.org/officeDocument/2006/relationships/hyperlink" Target="https://www.tripadvisor.ca/Hotel_Review-g152516-d185358-Reviews-Paradisus_Los_Cabos_Adults_only_The_Leading_Hotels_of_the_World-San_Jose_del_Cabo_Los_C.html" TargetMode="External"/><Relationship Id="rId289" Type="http://schemas.openxmlformats.org/officeDocument/2006/relationships/hyperlink" Target="https://www.tripadvisor.ca/Hotel_Review-g150793-d8154349-Reviews-Hilton_Vallarta_Riviera_All_Inclusive_Resort-Puerto_Vallarta.html" TargetMode="External"/><Relationship Id="rId288" Type="http://schemas.openxmlformats.org/officeDocument/2006/relationships/hyperlink" Target="https://www.tripadvisor.ca/Hotel_Review-g25226430-d25323278-Reviews-Dreams_Flora_Resort_Spa-Cabeza_De_Toro_Punta_Cana_La_Altagracia_Province_Dominican_.html" TargetMode="External"/><Relationship Id="rId287" Type="http://schemas.openxmlformats.org/officeDocument/2006/relationships/hyperlink" Target="https://www.tripadvisor.ca/Hotel_Review-g152515-d671119-Reviews-Hacienda_Encantada_Resort_Residences-Cabo_San_Lucas_Los_Cabos_Baja_California.html" TargetMode="External"/><Relationship Id="rId282" Type="http://schemas.openxmlformats.org/officeDocument/2006/relationships/hyperlink" Target="https://www.tripadvisor.ca/Hotel_Review-g150807-d154403-Reviews-Hotel_NYX_Cancun-Cancun_Yucatan_Peninsula.html" TargetMode="External"/><Relationship Id="rId281" Type="http://schemas.openxmlformats.org/officeDocument/2006/relationships/hyperlink" Target="https://www.tripadvisor.ca/Hotel_Review-g7983226-d6510287-Reviews-Secrets_Playa_Mujeres_Golf_Spa_Resort-Punta_Sam_Costa_Mujeres_Yucatan_Peninsula.html" TargetMode="External"/><Relationship Id="rId280" Type="http://schemas.openxmlformats.org/officeDocument/2006/relationships/hyperlink" Target="https://www.tripadvisor.ca/Hotel_Review-g150807-d152895-Reviews-Beach_Palace_All_Inclusive-Cancun_Yucatan_Peninsula.html" TargetMode="External"/><Relationship Id="rId275" Type="http://schemas.openxmlformats.org/officeDocument/2006/relationships/hyperlink" Target="https://www.tripadvisor.ca/Hotel_Review-g150807-d2464153-Reviews-Hotel_Riu_Palace_Peninsula-Cancun_Yucatan_Peninsula.html" TargetMode="External"/><Relationship Id="rId274" Type="http://schemas.openxmlformats.org/officeDocument/2006/relationships/hyperlink" Target="https://www.tripadvisor.ca/Hotel_Review-g153445-d185428-Reviews-Pacifica_Resort_Ixtapa-Ixtapa_Zihuatanejo_de_Azueta_Pacific_Coast.html" TargetMode="External"/><Relationship Id="rId273" Type="http://schemas.openxmlformats.org/officeDocument/2006/relationships/hyperlink" Target="https://www.tripadvisor.ca/Hotel_Review-g150812-d2507435-Reviews-The_Palm_at_Playa-Playa_del_Carmen_Yucatan_Peninsula.html" TargetMode="External"/><Relationship Id="rId272" Type="http://schemas.openxmlformats.org/officeDocument/2006/relationships/hyperlink" Target="https://www.tripadvisor.ca/Hotel_Review-g3200052-d26785468-Reviews-Princess_Senses_The_Mangrove-Green_Island_Hanover_Parish_Jamaica.html" TargetMode="External"/><Relationship Id="rId279" Type="http://schemas.openxmlformats.org/officeDocument/2006/relationships/hyperlink" Target="https://www.tripadvisor.ca/Hotel_Review-g7983226-d28162941-Reviews-SLS_Playa_Mujeres-Punta_Sam_Costa_Mujeres_Yucatan_Peninsula.html" TargetMode="External"/><Relationship Id="rId278" Type="http://schemas.openxmlformats.org/officeDocument/2006/relationships/hyperlink" Target="https://www.tripadvisor.ca/Hotel_Review-g910832-d23754240-Reviews-Gran_Muthu_Almirante_Beach_Hotel-Guardalavaca_Holguin_Province_Cuba.html" TargetMode="External"/><Relationship Id="rId277" Type="http://schemas.openxmlformats.org/officeDocument/2006/relationships/hyperlink" Target="https://www.tripadvisor.ca/Hotel_Review-g147344-d263015-Reviews-Sandals_Grande_St_Lucian-Gros_Islet_Gros_Islet_Quarter_St_Lucia.html" TargetMode="External"/><Relationship Id="rId276" Type="http://schemas.openxmlformats.org/officeDocument/2006/relationships/hyperlink" Target="https://www.tripadvisor.com/Hotel_Review-g635536-d580778-Reviews-CC_Beach_Front_Papagayo-Playa_Panama_Gulf_of_Papagayo_Province_of_Guanacaste.html" TargetMode="External"/><Relationship Id="rId629" Type="http://schemas.openxmlformats.org/officeDocument/2006/relationships/hyperlink" Target="https://www.tripadvisor.ca/Hotel_Review-g147293-d4939796-Reviews-Royalton_Punta_Cana_An_Autograph_Collection_Resort_Casino-Punta_Cana_La_Altagracia_Pro.html" TargetMode="External"/><Relationship Id="rId624" Type="http://schemas.openxmlformats.org/officeDocument/2006/relationships/hyperlink" Target="https://www.tripadvisor.ca/Hotel_Review-g150807-d13010726-Reviews-Armar_House_All_Inclusive-Cancun_Yucatan_Peninsula.html" TargetMode="External"/><Relationship Id="rId623" Type="http://schemas.openxmlformats.org/officeDocument/2006/relationships/hyperlink" Target="https://www.tripadvisor.ca/Hotel_Review-g147290-d602537-Reviews-The_Royal_Suites-Puerto_Plata_Puerto_Plata_Province_Dominican_Republic.html" TargetMode="External"/><Relationship Id="rId622" Type="http://schemas.openxmlformats.org/officeDocument/2006/relationships/hyperlink" Target="https://www.tripadvisor.ca/Hotel_Review-g150807-d13010726-Reviews-Armar_House_All_Inclusive-Cancun_Yucatan_Peninsula.html" TargetMode="External"/><Relationship Id="rId621" Type="http://schemas.openxmlformats.org/officeDocument/2006/relationships/hyperlink" Target="https://www.tripadvisor.ca/Hotel_Review-g150793-d24960817-Reviews-Krystal_Grand_Puerto_Vallarta-Puerto_Vallarta.html" TargetMode="External"/><Relationship Id="rId628" Type="http://schemas.openxmlformats.org/officeDocument/2006/relationships/hyperlink" Target="https://www.tripadvisor.ca/Hotel_Review-g23282480-d25096821-Reviews-Oceans_At_Divi_Little_Bay-Little_Bay_Sint_Maarten_St_Martin_St_Maarten.html" TargetMode="External"/><Relationship Id="rId627" Type="http://schemas.openxmlformats.org/officeDocument/2006/relationships/hyperlink" Target="https://www.tripadvisor.ca/Hotel_Review-g150807-d154419-Reviews-Occidental_Tucancun-Cancun_Yucatan_Peninsula.html" TargetMode="External"/><Relationship Id="rId626" Type="http://schemas.openxmlformats.org/officeDocument/2006/relationships/hyperlink" Target="https://www.tripadvisor.ca/Hotel_Review-g26265630-d1523441-Reviews-Royal_Decameron_Indigo_Beach_Resort_Spa-Augier_Artibonite_Department_Haiti.html" TargetMode="External"/><Relationship Id="rId625" Type="http://schemas.openxmlformats.org/officeDocument/2006/relationships/hyperlink" Target="https://www.tripadvisor.ca/Hotel_Review-g147290-d602537-Reviews-The_Royal_Suites-Puerto_Plata_Puerto_Plata_Province_Dominican_Republic.html" TargetMode="External"/><Relationship Id="rId620" Type="http://schemas.openxmlformats.org/officeDocument/2006/relationships/hyperlink" Target="https://www.tripadvisor.ca/Hotel_Review-g3206475-d1078147-Reviews-Hotel_Riu_Montego_Bay-Ironshore_Montego_Bay_Saint_James_Parish_Jamaica.html" TargetMode="External"/><Relationship Id="rId619" Type="http://schemas.openxmlformats.org/officeDocument/2006/relationships/hyperlink" Target="https://www.tripadvisor.ca/Hotel_Review-g150793-d288532-Reviews-Canto_del_Sol_Puerto_Vallarta-Puerto_Vallarta.html" TargetMode="External"/><Relationship Id="rId618" Type="http://schemas.openxmlformats.org/officeDocument/2006/relationships/hyperlink" Target="https://www.tripadvisor.ca/Hotel_Review-g150809-d1191402-Reviews-Allegro_Cozumel-Cozumel_Yucatan_Peninsula.html" TargetMode="External"/><Relationship Id="rId613" Type="http://schemas.openxmlformats.org/officeDocument/2006/relationships/hyperlink" Target="https://www.tripadvisor.ca/Hotel_Review-g150812-d219156-Reviews-Sandos_Caracol_Eco_Resort-Playa_del_Carmen_Yucatan_Peninsula.html" TargetMode="External"/><Relationship Id="rId612" Type="http://schemas.openxmlformats.org/officeDocument/2006/relationships/hyperlink" Target="https://www.tripadvisor.ca/Hotel_Review-g8304887-d296478-Reviews-Occidental_Tamarindo-Playa_Langosta_Tamarindo_Province_of_Guanacaste.html" TargetMode="External"/><Relationship Id="rId611" Type="http://schemas.openxmlformats.org/officeDocument/2006/relationships/hyperlink" Target="https://www.tripadvisor.ca/Hotel_Review-g635535-d501072-Reviews-Occidental_Papagayo_Adults_Only-Gulf_of_Papagayo_Province_of_Guanacaste.html" TargetMode="External"/><Relationship Id="rId610" Type="http://schemas.openxmlformats.org/officeDocument/2006/relationships/hyperlink" Target="https://www.tripadvisor.ca/Hotel_Review-g2539283-d5971448-Reviews-Hotel_Riu_Playa_Blanca-El_Farallon_del_Chiru_Cocle_Province.html" TargetMode="External"/><Relationship Id="rId617" Type="http://schemas.openxmlformats.org/officeDocument/2006/relationships/hyperlink" Target="https://www.tripadvisor.ca/Hotel_Review-g3176298-d15080584-Reviews-Impressive_Premium_Punta_Cana-Bavaro_Punta_Cana_La_Altagracia_Province_Dominican_Rep.html" TargetMode="External"/><Relationship Id="rId616" Type="http://schemas.openxmlformats.org/officeDocument/2006/relationships/hyperlink" Target="https://www.tripadvisor.com/Hotel_Review-g23594254-d27106593-Reviews-Sunscape_Dominicus_La_Romana-Dominicus_Bayahibe_La_Altagracia_Province_Dominican_Re.html" TargetMode="External"/><Relationship Id="rId615" Type="http://schemas.openxmlformats.org/officeDocument/2006/relationships/hyperlink" Target="https://www.tripadvisor.ca/Hotel_Review-g15785999-d185330-Reviews-Viva_Wyndham_Maya_All_Inclusive_Resort-Playacar_Playa_del_Carmen_Yucatan_Peninsula.html" TargetMode="External"/><Relationship Id="rId614" Type="http://schemas.openxmlformats.org/officeDocument/2006/relationships/hyperlink" Target="https://www.tripadvisor.ca/Hotel_Review-g150812-d214263-Reviews-The_Reef_Playacar-Playa_del_Carmen_Yucatan_Peninsula.html" TargetMode="External"/><Relationship Id="rId409" Type="http://schemas.openxmlformats.org/officeDocument/2006/relationships/hyperlink" Target="https://www.tripadvisor.ca/Hotel_Review-g152515-d154858-Reviews-Marina_Fiesta_Resort_Spa-Cabo_San_Lucas_Los_Cabos_Baja_California.html" TargetMode="External"/><Relationship Id="rId404" Type="http://schemas.openxmlformats.org/officeDocument/2006/relationships/hyperlink" Target="https://www.tripadvisor.ca/Hotel_Review-g552078-d285107-Reviews-Decameron_Los_Cocos_Guayabitos_Ramada_All_inclusive_Resort-Rincon_de_Guayabitos_Pacific.html" TargetMode="External"/><Relationship Id="rId646" Type="http://schemas.openxmlformats.org/officeDocument/2006/relationships/hyperlink" Target="https://www.tripadvisor.ca/Hotel_Review-g150807-d219148-Reviews-Park_Royal_Beach_Cancun-Cancun_Yucatan_Peninsula.html" TargetMode="External"/><Relationship Id="rId403" Type="http://schemas.openxmlformats.org/officeDocument/2006/relationships/hyperlink" Target="https://www.tripadvisor.com/Hotel_Review-g1026781-d23624452-Reviews-Delta_Hotels_by_Marriott_Riviera_Nayarit_An_All_Inclusive_Resort-La_Cruz_de_Huanacax.html" TargetMode="External"/><Relationship Id="rId645" Type="http://schemas.openxmlformats.org/officeDocument/2006/relationships/hyperlink" Target="https://www.tripadvisor.ca/Hotel_Review-g147313-d10800140-Reviews-Hideaway_at_Royalton_Negril_An_Autograph_Collection_All_Inclusive_Resort_Adults_Only-.html" TargetMode="External"/><Relationship Id="rId402" Type="http://schemas.openxmlformats.org/officeDocument/2006/relationships/hyperlink" Target="https://www.tripadvisor.ca/Hotel_Review-g150812-d154739-Reviews-Hotel_Riu_Yucatan-Playa_del_Carmen_Yucatan_Peninsula.html" TargetMode="External"/><Relationship Id="rId644" Type="http://schemas.openxmlformats.org/officeDocument/2006/relationships/hyperlink" Target="https://www.tripadvisor.ca/Hotel_Review-g294316-d615755-Reviews-Decameron_El_Pueblo-Lima_Lima_Region.html" TargetMode="External"/><Relationship Id="rId401" Type="http://schemas.openxmlformats.org/officeDocument/2006/relationships/hyperlink" Target="https://www.tripadvisor.ca/Hotel_Review-g147275-d151553-Reviews-Sol_Palmeras-Varadero_Matanzas_Province_Cuba.html" TargetMode="External"/><Relationship Id="rId643" Type="http://schemas.openxmlformats.org/officeDocument/2006/relationships/hyperlink" Target="https://www.tripadvisor.ca/Hotel_Review-g150807-d155814-Reviews-Crown_Paradise_Club_Cancun-Cancun_Yucatan_Peninsula.html" TargetMode="External"/><Relationship Id="rId408" Type="http://schemas.openxmlformats.org/officeDocument/2006/relationships/hyperlink" Target="https://www.tripadvisor.ca/Hotel_Review-g1229340-d13964145-Reviews-Grand_Palladium_Costa_Mujeres_Resort_Spa-Playa_Mujeres_Costa_Mujeres_Yucatan_Peninsu.html" TargetMode="External"/><Relationship Id="rId407" Type="http://schemas.openxmlformats.org/officeDocument/2006/relationships/hyperlink" Target="https://www.tripadvisor.ca/Hotel_Review-g147293-d1595124-Reviews-Bahia_Principe_Luxury_Esmeralda-Punta_Cana_La_Altagracia_Province_Dominican_Republic.html" TargetMode="External"/><Relationship Id="rId649" Type="http://schemas.openxmlformats.org/officeDocument/2006/relationships/hyperlink" Target="https://www.tripadvisor.ca/Hotel_Review-g147290-d150764-Reviews-Gran_Ventana_Beach_Resort-Puerto_Plata_Puerto_Plata_Province_Dominican_Republic.html" TargetMode="External"/><Relationship Id="rId406" Type="http://schemas.openxmlformats.org/officeDocument/2006/relationships/hyperlink" Target="https://www.tripadvisor.ca/Hotel_Review-g240327-d13074109-Reviews-Ventus_at_Marina_El_Cid_Spa_Beach_Resort-Puerto_Morelos_Yucatan_Peninsula.html" TargetMode="External"/><Relationship Id="rId648" Type="http://schemas.openxmlformats.org/officeDocument/2006/relationships/hyperlink" Target="https://www.tripadvisor.ca/Hotel_Review-g150793-d155752-Reviews-Crown_Paradise_Golden_Puerto_Vallarta-Puerto_Vallarta.html" TargetMode="External"/><Relationship Id="rId405" Type="http://schemas.openxmlformats.org/officeDocument/2006/relationships/hyperlink" Target="https://www.tripadvisor.ca/Hotel_Review-g12900715-d24093475-Reviews-Hyatt_Zilara_Riviera_Maya-Solidaridad_Yucatan_Peninsula.html" TargetMode="External"/><Relationship Id="rId647" Type="http://schemas.openxmlformats.org/officeDocument/2006/relationships/hyperlink" Target="https://www.tripadvisor.ca/Hotel_Review-g147317-d629722-Reviews-Bahia_Principe_Grand_Jamaica-Runaway_Bay_Saint_Ann_Parish_Jamaica.html" TargetMode="External"/><Relationship Id="rId400" Type="http://schemas.openxmlformats.org/officeDocument/2006/relationships/hyperlink" Target="https://www.tripadvisor.ca/Hotel_Review-g153445-d559701-Reviews-Emporio_Ixtapa-Ixtapa_Zihuatanejo_de_Azueta_Pacific_Coast.html" TargetMode="External"/><Relationship Id="rId642" Type="http://schemas.openxmlformats.org/officeDocument/2006/relationships/hyperlink" Target="https://www.tripadvisor.ca/Hotel_Review-g298360-d305397-Reviews-Barcelo_Montelimar-Montelimar_Managua_Department.html" TargetMode="External"/><Relationship Id="rId641" Type="http://schemas.openxmlformats.org/officeDocument/2006/relationships/hyperlink" Target="https://www.tripadvisor.ca/Hotel_Review-g150813-d26720940-Reviews-Secrets_Tulum_Resort_Beach_Club-Tulum_Yucatan_Peninsula.html" TargetMode="External"/><Relationship Id="rId640" Type="http://schemas.openxmlformats.org/officeDocument/2006/relationships/hyperlink" Target="https://www.tripadvisor.ca/Hotel_Review-g3176298-d14815741-Reviews-Melia_Caribe_Beach_Resort-Bavaro_Punta_Cana_La_Altagracia_Province_Dominican_Republi.html" TargetMode="External"/><Relationship Id="rId635" Type="http://schemas.openxmlformats.org/officeDocument/2006/relationships/hyperlink" Target="https://www.tripadvisor.ca/Hotel_Review-g1825624-d578213-Reviews-Hotel_Riu_Ocho_Rios-Mammee_Bay_Saint_Ann_Parish_Jamaica.html" TargetMode="External"/><Relationship Id="rId634" Type="http://schemas.openxmlformats.org/officeDocument/2006/relationships/hyperlink" Target="https://www.tripadvisor.ca/Hotel_Review-g657267-d264910-Reviews-Grand_Decameron_Complex_Bucerias_A_Trademark_All_Inclusive-Bucerias_Pacific_Coast.html" TargetMode="External"/><Relationship Id="rId633" Type="http://schemas.openxmlformats.org/officeDocument/2006/relationships/hyperlink" Target="https://www.tripadvisor.ca/Hotel_Review-g150809-d153308-Reviews-Cozumel_Hotel_Resort_Trademark_Collection_by_Wyndham-Cozumel_Yucatan_Peninsula.html" TargetMode="External"/><Relationship Id="rId632" Type="http://schemas.openxmlformats.org/officeDocument/2006/relationships/hyperlink" Target="https://www.tripadvisor.ca/Hotel_Review-g150813-d278752-Reviews-AZULIK_Tulum-Tulum_Yucatan_Peninsula.html" TargetMode="External"/><Relationship Id="rId639" Type="http://schemas.openxmlformats.org/officeDocument/2006/relationships/hyperlink" Target="https://www.tripadvisor.ca/Hotel_Review-g15338858-d15025732-Reviews-Impressive_Punta_Cana-El_Cortecito_Punta_Cana_La_Altagracia_Province_Dominican_Repu.html" TargetMode="External"/><Relationship Id="rId638" Type="http://schemas.openxmlformats.org/officeDocument/2006/relationships/hyperlink" Target="https://www.tripadvisor.ca/Hotel_Review-g150812-d282535-Reviews-The_Reef_Coco_Beach-Playa_del_Carmen_Yucatan_Peninsula.html" TargetMode="External"/><Relationship Id="rId637" Type="http://schemas.openxmlformats.org/officeDocument/2006/relationships/hyperlink" Target="https://www.tripadvisor.ca/Hotel_Review-g1905484-d147873-Reviews-Savannah_Beach_Club_Hotel_Spa-Garrison_Saint_Michael_Parish_Barbados.html" TargetMode="External"/><Relationship Id="rId636" Type="http://schemas.openxmlformats.org/officeDocument/2006/relationships/hyperlink" Target="https://www.tripadvisor.ca/Hotel_Review-g150809-d259238-Reviews-Occidental_Cozumel_All_Inclusive_Resort-Cozumel_Yucatan_Peninsula.html" TargetMode="External"/><Relationship Id="rId631" Type="http://schemas.openxmlformats.org/officeDocument/2006/relationships/hyperlink" Target="https://www.tripadvisor.ca/Hotel_Review-g150807-d249861-Reviews-Sunset_Royal_Beach_Resort-Cancun_Yucatan_Peninsula.html" TargetMode="External"/><Relationship Id="rId630" Type="http://schemas.openxmlformats.org/officeDocument/2006/relationships/hyperlink" Target="https://www.tripadvisor.ca/Hotel_Review-g147290-d265694-Reviews-Senator_Puerto_Plata_Spa_Resort-Puerto_Plata_Puerto_Plata_Province_Dominican_Republic.html" TargetMode="External"/><Relationship Id="rId822" Type="http://schemas.openxmlformats.org/officeDocument/2006/relationships/drawing" Target="../drawings/drawing3.xml"/><Relationship Id="rId821" Type="http://schemas.openxmlformats.org/officeDocument/2006/relationships/hyperlink" Target="https://www.tripadvisor.com/Hotel_Review-g2441050-d26345888-Reviews-Temptation_Gran_Miches-Miches_El_Seibo_Province_Dominican_Republic.html" TargetMode="External"/><Relationship Id="rId820" Type="http://schemas.openxmlformats.org/officeDocument/2006/relationships/hyperlink" Target="https://www.tripadvisor.ca/Hotel_Review-g147290-d10414041-Reviews-Envy_Vacations-Puerto_Plata_Puerto_Plata_Province_Dominican_Republic.html" TargetMode="External"/><Relationship Id="rId823" Type="http://schemas.openxmlformats.org/officeDocument/2006/relationships/vmlDrawing" Target="../drawings/vmlDrawing2.vml"/><Relationship Id="rId819" Type="http://schemas.openxmlformats.org/officeDocument/2006/relationships/hyperlink" Target="https://www.tripadvisor.ca/Hotel_Review-g499455-d552302-Reviews-Bel_Air_Collection_Resort_Spa_Riviera_Maya-Xpu_Ha_Yucatan_Peninsula.html" TargetMode="External"/><Relationship Id="rId818" Type="http://schemas.openxmlformats.org/officeDocument/2006/relationships/hyperlink" Target="https://www.tripadvisor.com/Hotel_Review-g2441050-d27717397-Reviews-Zemi_Miches_All_inclusive_Resort_Curio_Collection_By_Hilton-Miches_El_Seibo_Province.html" TargetMode="External"/><Relationship Id="rId817" Type="http://schemas.openxmlformats.org/officeDocument/2006/relationships/hyperlink" Target="https://www.tripadvisor.ca/Hotel_Review-g150813-d28212845-Reviews-Trobbu_Tulum_All_Inclusive-Tulum_Yucatan_Peninsula.html" TargetMode="External"/><Relationship Id="rId816" Type="http://schemas.openxmlformats.org/officeDocument/2006/relationships/hyperlink" Target="https://www.tripadvisor.com/Hotel_Review-g147293-d29011390-Reviews-W_Punta_Cana_Adult_All_Inclusive-Punta_Cana_La_Altagracia_Province_Dominican_Republic.html" TargetMode="External"/><Relationship Id="rId811" Type="http://schemas.openxmlformats.org/officeDocument/2006/relationships/hyperlink" Target="https://www.tripadvisor.ca/Hotel_Review-g3809999-d152316-Reviews-Hotel_Club_Amigo_Ancon-Playa_Ancon_Sancti_Spiritus_Province_Cuba.html" TargetMode="External"/><Relationship Id="rId810" Type="http://schemas.openxmlformats.org/officeDocument/2006/relationships/hyperlink" Target="https://www.tripadvisor.ca/Hotel_Review-g967189-d2665737-Reviews-Be_Live_Experience_Hamaca_Suites-Boca_Chica_Santo_Domingo_Province_Dominican_Republic.html" TargetMode="External"/><Relationship Id="rId815" Type="http://schemas.openxmlformats.org/officeDocument/2006/relationships/hyperlink" Target="https://www.tripadvisor.com/Hotel_Review-g150807-d27530888-Reviews-Excellence_Coral_Playa_Mujeres-Cancun_Yucatan_Peninsula.html" TargetMode="External"/><Relationship Id="rId814" Type="http://schemas.openxmlformats.org/officeDocument/2006/relationships/hyperlink" Target="https://www.tripadvisor.com/Hotel_Review-g2441050-d28985417-Reviews-Secrets_Playa_Esmeralda_Resort_Spa-Miches_El_Seibo_Province_Dominican_Republic.html" TargetMode="External"/><Relationship Id="rId813" Type="http://schemas.openxmlformats.org/officeDocument/2006/relationships/hyperlink" Target="https://www.tripadvisor.com/Hotel_Review-g2441050-d28985437-Reviews-Dreams_Playa_Esmeralda_Resort_Spa-Miches_El_Seibo_Province_Dominican_Republic.html" TargetMode="External"/><Relationship Id="rId812" Type="http://schemas.openxmlformats.org/officeDocument/2006/relationships/hyperlink" Target="https://www.tripadvisor.ca/Hotel_Review-g737152-d25418350-Reviews-Grand_Memories_Cayo_Largo-Cayo_Largo_Cuba.html" TargetMode="External"/><Relationship Id="rId609" Type="http://schemas.openxmlformats.org/officeDocument/2006/relationships/hyperlink" Target="https://www.tripadvisor.ca/Hotel_Review-g240327-d7085194-Reviews-Hideaway_at_Royalton_Riviera_Cancun_An_Autograph_Collection_All_Inclusive_Resort_Adult.html" TargetMode="External"/><Relationship Id="rId608" Type="http://schemas.openxmlformats.org/officeDocument/2006/relationships/hyperlink" Target="https://www.tripadvisor.ca/Hotel_Review-g150809-d219149-Reviews-Grand_Park_Royal_Cozumel-Cozumel_Yucatan_Peninsula.html" TargetMode="External"/><Relationship Id="rId607" Type="http://schemas.openxmlformats.org/officeDocument/2006/relationships/hyperlink" Target="https://www.tripadvisor.ca/Hotel_Review-g644052-d300734-Reviews-Barcelo_Tambor_All_Inclusive-Tambor_Province_of_Puntarenas.html" TargetMode="External"/><Relationship Id="rId602" Type="http://schemas.openxmlformats.org/officeDocument/2006/relationships/hyperlink" Target="https://www.tripadvisor.ca/Hotel_Review-g150792-d1097495-Reviews-Hotel_Riu_Emerald_Bay-Mazatlan_Pacific_Coast.html" TargetMode="External"/><Relationship Id="rId601" Type="http://schemas.openxmlformats.org/officeDocument/2006/relationships/hyperlink" Target="https://www.tripadvisor.ca/Hotel_Review-g3200043-d9762283-Reviews-Nickelodeon_Hotels_Resorts_Punta_Cana-Uvero_Alto_Punta_Cana_La_Altagracia_Province_Do.html" TargetMode="External"/><Relationship Id="rId600" Type="http://schemas.openxmlformats.org/officeDocument/2006/relationships/hyperlink" Target="https://www.tripadvisor.ca/Hotel_Review-g150813-d591029-Reviews-Dreams_Tulum_Resort_Spa-Tulum_Yucatan_Peninsula.html" TargetMode="External"/><Relationship Id="rId606" Type="http://schemas.openxmlformats.org/officeDocument/2006/relationships/hyperlink" Target="https://www.tripadvisor.ca/Hotel_Review-g666625-d12889496-Reviews-Grand_Muthu_Cayo_Guillermo_Hotel-Cayo_Guillermo_Jardines_del_Rey_Archipelago_Ciego_de.html" TargetMode="External"/><Relationship Id="rId605" Type="http://schemas.openxmlformats.org/officeDocument/2006/relationships/hyperlink" Target="https://www.tripadvisor.com/Hotel_Review-g152516-d225504-Reviews-Gr_Solaris_Lighthouse_Los_Cabos-San_Jose_del_Cabo_Los_Cabos_Baja_California.html" TargetMode="External"/><Relationship Id="rId604" Type="http://schemas.openxmlformats.org/officeDocument/2006/relationships/hyperlink" Target="https://www.tripadvisor.ca/Hotel_Review-g150812-d275866-Reviews-Sunset_Fishermen_Beach_Resort-Playa_del_Carmen_Yucatan_Peninsula.html" TargetMode="External"/><Relationship Id="rId603" Type="http://schemas.openxmlformats.org/officeDocument/2006/relationships/hyperlink" Target="https://www.tripadvisor.ca/Hotel_Review-g150807-d183427-Reviews-Occidental_Costa_Cancun-Cancun_Yucatan_Peninsula.html" TargetMode="External"/><Relationship Id="rId228" Type="http://schemas.openxmlformats.org/officeDocument/2006/relationships/hyperlink" Target="https://www.tripadvisor.ca/Hotel_Review-g663484-d15581459-Reviews-Hilton_La_Romana_an_All_Inclusive_Family_Resort-Bayahibe_La_Altagracia_Province_Domin.html" TargetMode="External"/><Relationship Id="rId227" Type="http://schemas.openxmlformats.org/officeDocument/2006/relationships/hyperlink" Target="https://www.tripadvisor.ca/Hotel_Review-g659488-d1720341-Reviews-El_Dorado_Casitas_Royale_by_Karisma-Riviera_Maya_Yucatan_Peninsula.html" TargetMode="External"/><Relationship Id="rId469" Type="http://schemas.openxmlformats.org/officeDocument/2006/relationships/hyperlink" Target="https://www.tripadvisor.ca/Hotel_Review-g150807-d154432-Reviews-Ocean_Spa_Hotel-Cancun_Yucatan_Peninsula.html" TargetMode="External"/><Relationship Id="rId226" Type="http://schemas.openxmlformats.org/officeDocument/2006/relationships/hyperlink" Target="https://www.tripadvisor.ca/Hotel_Review-g147313-d147782-Reviews-Resorts_Hedonism_Hedonism_II_Resort-Negril_Westmoreland_Parish_Jamaica.html" TargetMode="External"/><Relationship Id="rId468" Type="http://schemas.openxmlformats.org/officeDocument/2006/relationships/hyperlink" Target="https://www.tripadvisor.ca/Hotel_Review-g150807-d249860-Reviews-Laguna_Suites-Cancun_Yucatan_Peninsula.html" TargetMode="External"/><Relationship Id="rId225" Type="http://schemas.openxmlformats.org/officeDocument/2006/relationships/hyperlink" Target="https://www.tripadvisor.ca/Hotel_Review-g150793-d2336336-Reviews-Secrets_Vallarta_Bay_Todo_Incluido-Puerto_Vallarta.html" TargetMode="External"/><Relationship Id="rId467" Type="http://schemas.openxmlformats.org/officeDocument/2006/relationships/hyperlink" Target="https://www.tripadvisor.ca/Hotel_Review-g1825624-d1881415-Reviews-Jewel_Dunn_s_River_Beach_Resort_Spa-Mammee_Bay_Saint_Ann_Parish_Jamaica.html" TargetMode="External"/><Relationship Id="rId229" Type="http://schemas.openxmlformats.org/officeDocument/2006/relationships/hyperlink" Target="https://www.tripadvisor.ca/Hotel_Review-g152516-d4569347-Reviews-Secrets_Puerto_Los_Cabos_Golf_Spa_Resort-San_Jose_del_Cabo_Los_Cabos_Baja_California.html" TargetMode="External"/><Relationship Id="rId220" Type="http://schemas.openxmlformats.org/officeDocument/2006/relationships/hyperlink" Target="https://www.tripadvisor.ca/Hotel_Review-g1009314-d499965-Reviews-Sandals_South_Coast-White_House_Westmoreland_Parish_Jamaica.html" TargetMode="External"/><Relationship Id="rId462" Type="http://schemas.openxmlformats.org/officeDocument/2006/relationships/hyperlink" Target="https://www.tripadvisor.ca/Hotel_Review-g150812-d153378-Reviews-Sandos_Playacar-Playa_del_Carmen_Yucatan_Peninsula.html" TargetMode="External"/><Relationship Id="rId461" Type="http://schemas.openxmlformats.org/officeDocument/2006/relationships/hyperlink" Target="https://www.tripadvisor.ca/Hotel_Review-g150812-d185331-Reviews-Viva_Wyndham_Azteca_All_Inclusive_Resort-Playa_del_Carmen_Yucatan_Peninsula.html" TargetMode="External"/><Relationship Id="rId460" Type="http://schemas.openxmlformats.org/officeDocument/2006/relationships/hyperlink" Target="https://www.tripadvisor.ca/Hotel_Review-g1015495-d153550-Reviews-Barcelo_Puerto_Vallarta-Mismaloya_Puerto_Vallarta.html" TargetMode="External"/><Relationship Id="rId224" Type="http://schemas.openxmlformats.org/officeDocument/2006/relationships/hyperlink" Target="https://www.tripadvisor.ca/Hotel_Review-g285732-d25418341-Reviews-Sanctuary_at_Grand_Memories_Holguin-Holguin_Holguin_Province_Cuba.html" TargetMode="External"/><Relationship Id="rId466" Type="http://schemas.openxmlformats.org/officeDocument/2006/relationships/hyperlink" Target="https://www.tripadvisor.ca/Hotel_Review-g23594254-d209587-Reviews-Be_Live_Collection_Canoa-Dominicus_La_Altagracia_Province_Dominican_Republic.html" TargetMode="External"/><Relationship Id="rId223" Type="http://schemas.openxmlformats.org/officeDocument/2006/relationships/hyperlink" Target="https://www.tripadvisor.ca/Hotel_Review-g147275-d19006639-Reviews-Sol_Varadero_Beach-Varadero_Matanzas_Province_Cuba.html" TargetMode="External"/><Relationship Id="rId465" Type="http://schemas.openxmlformats.org/officeDocument/2006/relationships/hyperlink" Target="https://www.tripadvisor.ca/Hotel_Review-g150807-d154432-Reviews-Ocean_Spa_Hotel-Cancun_Yucatan_Peninsula.html" TargetMode="External"/><Relationship Id="rId222" Type="http://schemas.openxmlformats.org/officeDocument/2006/relationships/hyperlink" Target="https://www.tripadvisor.ca/Hotel_Review-g150807-d219145-Reviews-Marriott_Cancun_An_All_Inclusive_Resort-Cancun_Yucatan_Peninsula.html" TargetMode="External"/><Relationship Id="rId464" Type="http://schemas.openxmlformats.org/officeDocument/2006/relationships/hyperlink" Target="https://www.tripadvisor.ca/Hotel_Review-g1825624-d1881415-Reviews-Jewel_Dunn_s_River_Beach_Resort_Spa-Mammee_Bay_Saint_Ann_Parish_Jamaica.html" TargetMode="External"/><Relationship Id="rId221" Type="http://schemas.openxmlformats.org/officeDocument/2006/relationships/hyperlink" Target="https://www.tripadvisor.ca/Hotel_Review-g147265-d150706-Reviews-Treasure_Beach_by_Elegant_Hotels-Saint_James_Parish_Barbados.html" TargetMode="External"/><Relationship Id="rId463" Type="http://schemas.openxmlformats.org/officeDocument/2006/relationships/hyperlink" Target="https://www.tripadvisor.ca/Hotel_Review-g23594254-d209587-Reviews-Be_Live_Collection_Canoa-Dominicus_La_Altagracia_Province_Dominican_Republic.html" TargetMode="External"/><Relationship Id="rId217" Type="http://schemas.openxmlformats.org/officeDocument/2006/relationships/hyperlink" Target="https://www.tripadvisor.ca/Hotel_Review-g3176298-d1717417-Reviews-Garden_Suites_by_Melia-Bavaro_Punta_Cana_La_Altagracia_Province_Dominican_Republic.html" TargetMode="External"/><Relationship Id="rId459" Type="http://schemas.openxmlformats.org/officeDocument/2006/relationships/hyperlink" Target="https://www.tripadvisor.ca/Hotel_Review-g793703-d248410-Reviews-Wyndham_Alltra_Samana-Las_Galeras_Samana_Province_Dominican_Republic.html" TargetMode="External"/><Relationship Id="rId216" Type="http://schemas.openxmlformats.org/officeDocument/2006/relationships/hyperlink" Target="https://www.tripadvisor.ca/Hotel_Review-g147313-d147502-Reviews-Couples_Swept_Away-Negril_Westmoreland_Parish_Jamaica.html" TargetMode="External"/><Relationship Id="rId458" Type="http://schemas.openxmlformats.org/officeDocument/2006/relationships/hyperlink" Target="https://www.tripadvisor.ca/Hotel_Review-g10293056-d218528-Reviews-Bahia_Principe_Grand_La_Romana-El_Soco_San_Pedro_de_Macoris_San_Pedro_de_Macoris_Prov.html" TargetMode="External"/><Relationship Id="rId215" Type="http://schemas.openxmlformats.org/officeDocument/2006/relationships/hyperlink" Target="https://www.tripadvisor.com/Hotel_Review-g240327-d21167816-Reviews-The_Fives_Oceanfront_Riviera_Cancun-Puerto_Morelos_Yucatan_Peninsula.html" TargetMode="External"/><Relationship Id="rId457" Type="http://schemas.openxmlformats.org/officeDocument/2006/relationships/hyperlink" Target="https://www.tripadvisor.ca/Hotel_Review-g154267-d1210292-Reviews-Occidental_Nuevo_Vallarta-Nuevo_Nayarit_Pacific_Coast.html" TargetMode="External"/><Relationship Id="rId699" Type="http://schemas.openxmlformats.org/officeDocument/2006/relationships/hyperlink" Target="https://www.tripadvisor.ca/Hotel_Review-g317144-d291623-Reviews-Viva_Wyndham_Tangerine-Cabarete_Puerto_Plata_Province_Dominican_Republic.html" TargetMode="External"/><Relationship Id="rId214" Type="http://schemas.openxmlformats.org/officeDocument/2006/relationships/hyperlink" Target="https://www.tripadvisor.ca/Hotel_Review-g150807-d153138-Reviews-The_Royal_Sands_All_Suites_Resort_Spa-Cancun_Yucatan_Peninsula.html" TargetMode="External"/><Relationship Id="rId456" Type="http://schemas.openxmlformats.org/officeDocument/2006/relationships/hyperlink" Target="https://www.tripadvisor.ca/Hotel_Review-g150809-d284334-Reviews-Melia_Cozumel-Cozumel_Yucatan_Peninsula.html" TargetMode="External"/><Relationship Id="rId698" Type="http://schemas.openxmlformats.org/officeDocument/2006/relationships/hyperlink" Target="https://www.tripadvisor.ca/Hotel_Review-g663501-d7381803-Reviews-Senses_Riviera_Maya_by_Artisan-Playa_Paraiso_Playa_del_Carmen_Yucatan_Peninsula.html" TargetMode="External"/><Relationship Id="rId219" Type="http://schemas.openxmlformats.org/officeDocument/2006/relationships/hyperlink" Target="https://www.tripadvisor.com/Hotel_Review-g147343-d149215-Reviews-Windjammer_Landing_Villa_Beach_Resort-Castries_Castries_Quarter_St_Lucia.html" TargetMode="External"/><Relationship Id="rId218" Type="http://schemas.openxmlformats.org/officeDocument/2006/relationships/hyperlink" Target="https://www.tripadvisor.ca/Hotel_Review-g240327-d21405427-Reviews-Margaritaville_Island_Reserve_Riviera_Maya_by_Karisma_Adults_Only-Puerto_Morelos_Yuca.html" TargetMode="External"/><Relationship Id="rId451" Type="http://schemas.openxmlformats.org/officeDocument/2006/relationships/hyperlink" Target="https://www.tripadvisor.ca/Hotel_Review-g240327-d23025230-Reviews-Secrets_Riviera_Cancun_Resort_Spa-Puerto_Morelos_Yucatan_Peninsula.html" TargetMode="External"/><Relationship Id="rId693" Type="http://schemas.openxmlformats.org/officeDocument/2006/relationships/hyperlink" Target="https://www.tripadvisor.ca/Hotel_Review-g23328775-d17789352-Reviews-Planet_Hollywood_Cancun_An_Autograph_Collection_All_Inclusive_Resort-Costa_Mujeres_.html" TargetMode="External"/><Relationship Id="rId450" Type="http://schemas.openxmlformats.org/officeDocument/2006/relationships/hyperlink" Target="https://www.tripadvisor.ca/Hotel_Review-g147311-d10587228-Reviews-Breathless_Montego_Bay_Resort_Spa-Montego_Bay_Saint_James_Parish_Jamaica.html" TargetMode="External"/><Relationship Id="rId692" Type="http://schemas.openxmlformats.org/officeDocument/2006/relationships/hyperlink" Target="https://www.tripadvisor.ca/Hotel_Review-g3176298-d218483-Reviews-Vista_Sol_Punta_Cana_Beach_Resort_Spa-Bavaro_Punta_Cana_La_Altagracia_Province_Dominic.html" TargetMode="External"/><Relationship Id="rId691" Type="http://schemas.openxmlformats.org/officeDocument/2006/relationships/hyperlink" Target="https://www.tripadvisor.ca/Hotel_Review-g147290-d150762-Reviews-Grand_Paradise_Playa_Dorada-Puerto_Plata_Puerto_Plata_Province_Dominican_Republic.html" TargetMode="External"/><Relationship Id="rId690" Type="http://schemas.openxmlformats.org/officeDocument/2006/relationships/hyperlink" Target="https://www.tripadvisor.ca/Hotel_Review-g147290-d150762-Reviews-Grand_Paradise_Playa_Dorada-Puerto_Plata_Puerto_Plata_Province_Dominican_Republic.html" TargetMode="External"/><Relationship Id="rId213" Type="http://schemas.openxmlformats.org/officeDocument/2006/relationships/hyperlink" Target="https://www.tripadvisor.ca/Hotel_Review-g153510-d263373-Reviews-Barcelo_Maya_Caribe-Puerto_Aventuras_Yucatan_Peninsula.html" TargetMode="External"/><Relationship Id="rId455" Type="http://schemas.openxmlformats.org/officeDocument/2006/relationships/hyperlink" Target="https://www.tripadvisor.ca/Hotel_Review-g150793-d154751-Reviews-Sheraton_Buganvilias_Resort_Convention_Center-Puerto_Vallarta.html" TargetMode="External"/><Relationship Id="rId697" Type="http://schemas.openxmlformats.org/officeDocument/2006/relationships/hyperlink" Target="https://www.tripadvisor.ca/Hotel_Review-g150813-d5519640-Reviews-Kore_Tulum_Retreat_and_Spa_Resort-Tulum_Yucatan_Peninsula.html" TargetMode="External"/><Relationship Id="rId212" Type="http://schemas.openxmlformats.org/officeDocument/2006/relationships/hyperlink" Target="https://www.tripadvisor.ca/Hotel_Review-g150787-d572703-Reviews-The_Grand_Mayan_at_Vidanta_Acapulco-Acapulco_Pacific_Coast.html" TargetMode="External"/><Relationship Id="rId454" Type="http://schemas.openxmlformats.org/officeDocument/2006/relationships/hyperlink" Target="https://www.tripadvisor.ca/Hotel_Review-g670039-d2477611-Reviews-Hotel_Playa_Cayo_Santa_Maria-Cayo_Santa_Maria_Villa_Clara_Province_Cuba.html" TargetMode="External"/><Relationship Id="rId696" Type="http://schemas.openxmlformats.org/officeDocument/2006/relationships/hyperlink" Target="https://www.tripadvisor.ca/Hotel_Review-g4274353-d478349-Reviews-Hotel_Riu_Negril-Orange_Bay_Hanover_Parish_Jamaica.html" TargetMode="External"/><Relationship Id="rId211" Type="http://schemas.openxmlformats.org/officeDocument/2006/relationships/hyperlink" Target="https://www.tripadvisor.ca/Hotel_Review-g13836065-d15246701-Reviews-Angsana_Cayo_Santa_Maria-Cayo_Las_Brujas_Cayo_Santa_Maria_Villa_Clara_Province_Cuba.html" TargetMode="External"/><Relationship Id="rId453" Type="http://schemas.openxmlformats.org/officeDocument/2006/relationships/hyperlink" Target="https://www.tripadvisor.ca/Hotel_Review-g147275-d8549504-Reviews-Sanctuary_At_Grand_Memories_Varadero-Varadero_Matanzas_Province_Cuba.html" TargetMode="External"/><Relationship Id="rId695" Type="http://schemas.openxmlformats.org/officeDocument/2006/relationships/hyperlink" Target="https://www.tripadvisor.ca/Hotel_Review-g147293-d1163894-Reviews-Bahia_Principe_Grand_Punta_Cana-Punta_Cana_La_Altagracia_Province_Dominican_Republic.html" TargetMode="External"/><Relationship Id="rId210" Type="http://schemas.openxmlformats.org/officeDocument/2006/relationships/hyperlink" Target="https://www.tripadvisor.ca/Hotel_Review-g10293056-d3746563-Reviews-Bahia_Principe_Luxury_Bouganville-El_Soco_San_Pedro_de_Macoris_San_Pedro_de_Macoris_.html" TargetMode="External"/><Relationship Id="rId452" Type="http://schemas.openxmlformats.org/officeDocument/2006/relationships/hyperlink" Target="https://www.tripadvisor.ca/Hotel_Review-g147275-d266716-Reviews-Iberostar_Origin_Playa_Alameda-Varadero_Matanzas_Province_Cuba.html" TargetMode="External"/><Relationship Id="rId694" Type="http://schemas.openxmlformats.org/officeDocument/2006/relationships/hyperlink" Target="https://www.tripadvisor.ca/Hotel_Review-g240327-d23439941-Reviews-Hyatt_Ziva_Riviera_Cancun-Puerto_Morelos_Yucatan_Peninsula.html" TargetMode="External"/><Relationship Id="rId491" Type="http://schemas.openxmlformats.org/officeDocument/2006/relationships/hyperlink" Target="https://www.tripadvisor.ca/Hotel_Review-g147293-d266625-Reviews-Grand_Sirenis_Punta_Cana_Resort-Punta_Cana_La_Altagracia_Province_Dominican_Republic.html" TargetMode="External"/><Relationship Id="rId490" Type="http://schemas.openxmlformats.org/officeDocument/2006/relationships/hyperlink" Target="https://www.tripadvisor.ca/Hotel_Review-g147429-d278089-Reviews-Sandals_Emerald_Bay-Great_Exuma_Out_Islands_Bahamas.html" TargetMode="External"/><Relationship Id="rId249" Type="http://schemas.openxmlformats.org/officeDocument/2006/relationships/hyperlink" Target="https://www.tripadvisor.ca/Hotel_Review-g147275-d590422-Reviews-Blau_Varadero-Varadero_Matanzas_Province_Cuba.html" TargetMode="External"/><Relationship Id="rId248" Type="http://schemas.openxmlformats.org/officeDocument/2006/relationships/hyperlink" Target="https://www.tripadvisor.ca/Hotel_Review-g25226430-d25323278-Reviews-Dreams_Flora_Resort_Spa-Cabeza_De_Toro_Punta_Cana_La_Altagracia_Province_Dominican_.html" TargetMode="External"/><Relationship Id="rId247" Type="http://schemas.openxmlformats.org/officeDocument/2006/relationships/hyperlink" Target="https://www.tripadvisor.ca/Hotel_Review-g147248-d147644-Reviews-Renaissance_Wind_Creek_Aruba_Resort-Oranjestad_Aruba.html" TargetMode="External"/><Relationship Id="rId489" Type="http://schemas.openxmlformats.org/officeDocument/2006/relationships/hyperlink" Target="https://www.tripadvisor.ca/Hotel_Review-g499443-d23546474-Reviews-Dreams_Bahia_Mita_Surf_Spa_Resort-Punta_de_Mita_Pacific_Coast.html" TargetMode="External"/><Relationship Id="rId242" Type="http://schemas.openxmlformats.org/officeDocument/2006/relationships/hyperlink" Target="https://www.tripadvisor.ca/Hotel_Review-g150793-d481596-Reviews-Hyatt_Ziva_Puerto_Vallarta-Puerto_Vallarta.html" TargetMode="External"/><Relationship Id="rId484" Type="http://schemas.openxmlformats.org/officeDocument/2006/relationships/hyperlink" Target="https://www.tripadvisor.ca/Hotel_Review-g147293-d10595200-Reviews-Bahia_Principe_Grand_Aquamarine-Punta_Cana_La_Altagracia_Province_Dominican_Republic.html" TargetMode="External"/><Relationship Id="rId241" Type="http://schemas.openxmlformats.org/officeDocument/2006/relationships/hyperlink" Target="https://www.tripadvisor.ca/Hotel_Review-g499443-d4778666-Reviews-Iberostar_Selection_Playa_Mita-Punta_de_Mita_Pacific_Coast.html" TargetMode="External"/><Relationship Id="rId483" Type="http://schemas.openxmlformats.org/officeDocument/2006/relationships/hyperlink" Target="https://www.tripadvisor.ca/Hotel_Review-g259440-d7736780-Reviews-Viva_V_Samana_by_Wyndham_A_Trademark_Adults_All_Inclusive-Las_Terrenas_Samana_Province.html" TargetMode="External"/><Relationship Id="rId240" Type="http://schemas.openxmlformats.org/officeDocument/2006/relationships/hyperlink" Target="https://www.tripadvisor.ca/Hotel_Review-g635535-d301221-Reviews-Secrets_Papagayo_Costa_Rica-Gulf_of_Papagayo_Province_of_Guanacaste.html" TargetMode="External"/><Relationship Id="rId482" Type="http://schemas.openxmlformats.org/officeDocument/2006/relationships/hyperlink" Target="https://www.tripadvisor.ca/Hotel_Review-g147317-d4751111-Reviews-Jewel_Paradise_Cove_Beach_Resort_Spa-Runaway_Bay_Saint_Ann_Parish_Jamaica.html" TargetMode="External"/><Relationship Id="rId481" Type="http://schemas.openxmlformats.org/officeDocument/2006/relationships/hyperlink" Target="https://www.tripadvisor.ca/Hotel_Review-g3176298-d1076311-Reviews-Hard_Rock_Hotel_Casino_Punta_Cana-Bavaro_Punta_Cana_La_Altagracia_Province_Dominican_.html" TargetMode="External"/><Relationship Id="rId246" Type="http://schemas.openxmlformats.org/officeDocument/2006/relationships/hyperlink" Target="https://www.tripadvisor.ca/Hotel_Review-g150807-d21307994-Reviews-Turquoize_at_Hyatt_Ziva_Cancun-Cancun_Yucatan_Peninsula.html" TargetMode="External"/><Relationship Id="rId488" Type="http://schemas.openxmlformats.org/officeDocument/2006/relationships/hyperlink" Target="https://www.tripadvisor.ca/Hotel_Review-g147265-d147778-Reviews-Crystal_Cove_by_Elegant_Hotels_All_Inclusive-Saint_James_Parish_Barbados.html" TargetMode="External"/><Relationship Id="rId245" Type="http://schemas.openxmlformats.org/officeDocument/2006/relationships/hyperlink" Target="https://www.tripadvisor.ca/Hotel_Review-g150807-d154428-Reviews-Temptation_Cancun_Resort-Cancun_Yucatan_Peninsula.html" TargetMode="External"/><Relationship Id="rId487" Type="http://schemas.openxmlformats.org/officeDocument/2006/relationships/hyperlink" Target="https://www.tripadvisor.ca/Hotel_Review-g147243-d148277-Reviews-Sandals_Grande_Antigua_Resort_Spa-St_John_s_Saint_John_Parish_Antigua_Antigua_and_Barbu.html" TargetMode="External"/><Relationship Id="rId244" Type="http://schemas.openxmlformats.org/officeDocument/2006/relationships/hyperlink" Target="https://www.tripadvisor.ca/Hotel_Review-g150812-d156853-Reviews-Mahekal_Beach_Resort-Playa_del_Carmen_Yucatan_Peninsula.html" TargetMode="External"/><Relationship Id="rId486" Type="http://schemas.openxmlformats.org/officeDocument/2006/relationships/hyperlink" Target="https://www.tripadvisor.ca/Hotel_Review-g147278-d26803015-Reviews-The_Rif_At_Mangrove_Beach_Corendon_Curacao_All_inclusive_Curio_By_Hilton-Willemstad_C.html" TargetMode="External"/><Relationship Id="rId243" Type="http://schemas.openxmlformats.org/officeDocument/2006/relationships/hyperlink" Target="https://www.tripadvisor.ca/Hotel_Review-g152515-d8529385-Reviews-Breathless_Cabo_San_Lucas_Resort_Spa-Cabo_San_Lucas_Los_Cabos_Baja_California.html" TargetMode="External"/><Relationship Id="rId485" Type="http://schemas.openxmlformats.org/officeDocument/2006/relationships/hyperlink" Target="https://www.tripadvisor.ca/Hotel_Review-g150807-d671540-Reviews-Dreams_Sands_Cancun_Resort_Spa-Cancun_Yucatan_Peninsula.html" TargetMode="External"/><Relationship Id="rId480" Type="http://schemas.openxmlformats.org/officeDocument/2006/relationships/hyperlink" Target="https://www.tripadvisor.ca/Hotel_Review-g147312-d7134812-Reviews-Moon_Palace_Jamaica-Ocho_Rios_Saint_Ann_Parish_Jamaica.html" TargetMode="External"/><Relationship Id="rId239" Type="http://schemas.openxmlformats.org/officeDocument/2006/relationships/hyperlink" Target="https://www.tripadvisor.com/Hotel_Review-g154267-d154718-Reviews-Hard_Rock_Hotel_Vallarta-Nuevo_Vallarta_Pacific_Coast.html" TargetMode="External"/><Relationship Id="rId238" Type="http://schemas.openxmlformats.org/officeDocument/2006/relationships/hyperlink" Target="https://www.tripadvisor.ca/Hotel_Review-g303461-d1796680-Reviews-The_Westin_Porto_de_Galinhas_All_inclusive-Porto_de_Galinhas_Ipojuca_State_of_Pernambu.html" TargetMode="External"/><Relationship Id="rId237" Type="http://schemas.openxmlformats.org/officeDocument/2006/relationships/hyperlink" Target="https://www.tripadvisor.ca/Hotel_Review-g150793-d1917232-Reviews-Sunset_Plaza_Beach_Resort-Puerto_Vallarta.html" TargetMode="External"/><Relationship Id="rId479" Type="http://schemas.openxmlformats.org/officeDocument/2006/relationships/hyperlink" Target="https://www.tripadvisor.ca/Hotel_Review-g660508-d3356189-Reviews-La_Quinta_Gran_Bahia_Cuastecomates-Cihuatlan_Costalegre.html" TargetMode="External"/><Relationship Id="rId236" Type="http://schemas.openxmlformats.org/officeDocument/2006/relationships/hyperlink" Target="https://www.tripadvisor.ca/Hotel_Review-g240327-d23688770-Reviews-Ventus_Ha_at_Marina_El_Cid_Spa_Beach_Resort-Puerto_Morelos_Yucatan_Peninsula.html" TargetMode="External"/><Relationship Id="rId478" Type="http://schemas.openxmlformats.org/officeDocument/2006/relationships/hyperlink" Target="https://www.tripadvisor.ca/Hotel_Review-g499445-d599193-Reviews-Grand_Sirenis_Riviera_Maya_Resort-Akumal_Yucatan_Peninsula.html" TargetMode="External"/><Relationship Id="rId231" Type="http://schemas.openxmlformats.org/officeDocument/2006/relationships/hyperlink" Target="https://www.tripadvisor.ca/Hotel_Review-g317145-d8029038-Reviews-Hodelpa_Garden_Suites_Golf_Convention_Center-Juan_Dolio_San_Pedro_de_Macoris_Province_.html" TargetMode="External"/><Relationship Id="rId473" Type="http://schemas.openxmlformats.org/officeDocument/2006/relationships/hyperlink" Target="https://www.tripadvisor.ca/Hotel_Review-g147311-d1604118-Reviews-Secrets_St_James_Montego_Bay-Montego_Bay_Saint_James_Parish_Jamaica.html" TargetMode="External"/><Relationship Id="rId230" Type="http://schemas.openxmlformats.org/officeDocument/2006/relationships/hyperlink" Target="https://www.tripadvisor.ca/Hotel_Review-g660724-d12473683-Reviews-Jewel_Grande_Montego_Bay_Resort_Spa-Rose_Hall_Montego_Bay_Saint_James_Parish_Jamaica.html" TargetMode="External"/><Relationship Id="rId472" Type="http://schemas.openxmlformats.org/officeDocument/2006/relationships/hyperlink" Target="https://www.tripadvisor.ca/Hotel_Review-g150812-d7851484-Reviews-Princess_Family_Club_Riviera-Playa_del_Carmen_Yucatan_Peninsula.html" TargetMode="External"/><Relationship Id="rId471" Type="http://schemas.openxmlformats.org/officeDocument/2006/relationships/hyperlink" Target="https://www.tripadvisor.ca/Hotel_Review-g147248-d7039092-Reviews-Divi_Dutch_Village_Beach_Resort-Oranjestad_Aruba.html" TargetMode="External"/><Relationship Id="rId470" Type="http://schemas.openxmlformats.org/officeDocument/2006/relationships/hyperlink" Target="https://www.tripadvisor.ca/Hotel_Review-g150787-d154378-Reviews-Ritz_Acapulco-Acapulco_Pacific_Coast.html" TargetMode="External"/><Relationship Id="rId235" Type="http://schemas.openxmlformats.org/officeDocument/2006/relationships/hyperlink" Target="https://www.tripadvisor.ca/Hotel_Review-g150807-d254865-Reviews-The_Royal_Cancun_All_Suites_Resort-Cancun_Yucatan_Peninsula.html" TargetMode="External"/><Relationship Id="rId477" Type="http://schemas.openxmlformats.org/officeDocument/2006/relationships/hyperlink" Target="https://www.tripadvisor.ca/Hotel_Review-g147293-d32681262-Reviews-Dreams_Cap_Cana_Resort_Spa-Punta_Cana_La_Altagracia_Province_Dominican_Republic.html" TargetMode="External"/><Relationship Id="rId234" Type="http://schemas.openxmlformats.org/officeDocument/2006/relationships/hyperlink" Target="https://www.tripadvisor.ca/Hotel_Review-g153510-d209429-Reviews-Heaven_At_The_Hard_Rock_Hotel_Riviera_Maya-Puerto_Aventuras_Yucatan_Peninsula.html" TargetMode="External"/><Relationship Id="rId476" Type="http://schemas.openxmlformats.org/officeDocument/2006/relationships/hyperlink" Target="https://www.tripadvisor.ca/Hotel_Review-g150810-d27709073-Reviews-Almare_A_Luxury_Collection_Adult_All_inclusive_Resort_Isla_Mujeres-Isla_Mujeres_Yucat.html" TargetMode="External"/><Relationship Id="rId233" Type="http://schemas.openxmlformats.org/officeDocument/2006/relationships/hyperlink" Target="https://www.tripadvisor.ca/Hotel_Review-g153510-d586540-Reviews-Barcelo_Maya_Tropical-Puerto_Aventuras_Yucatan_Peninsula.html" TargetMode="External"/><Relationship Id="rId475" Type="http://schemas.openxmlformats.org/officeDocument/2006/relationships/hyperlink" Target="https://www.tripadvisor.ca/Hotel_Review-g147347-d151149-Reviews-Divi_Little_Bay_Beach_Resort-Philipsburg_Sint_Maarten_St_Martin_St_Maarten.html" TargetMode="External"/><Relationship Id="rId232" Type="http://schemas.openxmlformats.org/officeDocument/2006/relationships/hyperlink" Target="https://www.tripadvisor.ca/Hotel_Review-g147293-d1199681-Reviews-Bahia_Principe_Luxury_Ambar-Punta_Cana_La_Altagracia_Province_Dominican_Republic.html" TargetMode="External"/><Relationship Id="rId474" Type="http://schemas.openxmlformats.org/officeDocument/2006/relationships/hyperlink" Target="https://www.tripadvisor.ca/Hotel_Review-g3458466-d20355844-Reviews-Ocean_Eden_Bay_Adults_Only-Trelawny_Parish_Jamaica.html" TargetMode="External"/><Relationship Id="rId426" Type="http://schemas.openxmlformats.org/officeDocument/2006/relationships/hyperlink" Target="https://www.tripadvisor.ca/Hotel_Review-g150807-d6001367-Reviews-Emporio_Cancun-Cancun_Yucatan_Peninsula.html" TargetMode="External"/><Relationship Id="rId668" Type="http://schemas.openxmlformats.org/officeDocument/2006/relationships/hyperlink" Target="https://www.tripadvisor.ca/Hotel_Review-g3179435-d3179437-Reviews-Royal_Decameron_Punta_Sal-Punta_Sal_Tumbes_Region.html" TargetMode="External"/><Relationship Id="rId425" Type="http://schemas.openxmlformats.org/officeDocument/2006/relationships/hyperlink" Target="https://www.tripadvisor.ca/Hotel_Review-g150792-d27248493-Reviews-Dreams_Estrella_del_Mar_Mazatlan_Golf_Spa_Resort-Mazatlan_Pacific_Coast.html" TargetMode="External"/><Relationship Id="rId667" Type="http://schemas.openxmlformats.org/officeDocument/2006/relationships/hyperlink" Target="https://www.tripadvisor.ca/Hotel_Review-g150813-d270505-Reviews-Maya_Tulum_By_G_Hotels-Tulum_Yucatan_Peninsula.html" TargetMode="External"/><Relationship Id="rId424" Type="http://schemas.openxmlformats.org/officeDocument/2006/relationships/hyperlink" Target="https://www.tripadvisor.ca/Hotel_Review-g317145-d207897-Reviews-Coral_Costa_Caribe_Beach_Resort-Juan_Dolio_San_Pedro_de_Macoris_Province_Dominican_Repu.html" TargetMode="External"/><Relationship Id="rId666" Type="http://schemas.openxmlformats.org/officeDocument/2006/relationships/hyperlink" Target="https://www.tripadvisor.ca/Hotel_Review-g147278-d19849230-Reviews-Mangrove_Beach_Corendon_Curacao_All_Inclusive_Resort_Curio_by_Hilton-Willemstad_Curac.html" TargetMode="External"/><Relationship Id="rId423" Type="http://schemas.openxmlformats.org/officeDocument/2006/relationships/hyperlink" Target="https://www.tripadvisor.ca/Hotel_Review-g15141671-d13978051-Reviews-Planet_Hollywood_Costa_Rica-Culebra_Gulf_of_Papagayo_Province_of_Guanacaste.html" TargetMode="External"/><Relationship Id="rId665" Type="http://schemas.openxmlformats.org/officeDocument/2006/relationships/hyperlink" Target="https://www.tripadvisor.ca/Hotel_Review-g9723540-d12730990-Reviews-Krystal_Grand_Nuevo_Vallarta-Flamingos_Nuevo_Nayarit_Pacific_Coast.html" TargetMode="External"/><Relationship Id="rId429" Type="http://schemas.openxmlformats.org/officeDocument/2006/relationships/hyperlink" Target="https://www.tripadvisor.ca/Hotel_Review-g147293-d10472272-Reviews-Bahia_Principe_Fantasia_Punta_Cana-Punta_Cana_La_Altagracia_Province_Dominican_Republ.html" TargetMode="External"/><Relationship Id="rId428" Type="http://schemas.openxmlformats.org/officeDocument/2006/relationships/hyperlink" Target="https://www.tripadvisor.ca/Hotel_Review-g3176298-d292867-Reviews-Caribe_Deluxe_Princess-Bavaro_Punta_Cana_La_Altagracia_Province_Dominican_Republic.html" TargetMode="External"/><Relationship Id="rId427" Type="http://schemas.openxmlformats.org/officeDocument/2006/relationships/hyperlink" Target="https://www.tripadvisor.ca/Hotel_Review-g150807-d6001367-Reviews-Emporio_Cancun-Cancun_Yucatan_Peninsula.html" TargetMode="External"/><Relationship Id="rId669" Type="http://schemas.openxmlformats.org/officeDocument/2006/relationships/hyperlink" Target="https://www.tripadvisor.ca/Hotel_Review-g12346190-d19721732-Reviews-Royalton_Grenada_an_Autograph_Collection_All_Inclusive_Resort-Magazine_Beach_Port_S.html" TargetMode="External"/><Relationship Id="rId660" Type="http://schemas.openxmlformats.org/officeDocument/2006/relationships/hyperlink" Target="https://www.tripadvisor.ca/Hotel_Review-g147293-d1816956-Reviews-Presidential_Suites_Punta_Cana-Punta_Cana_La_Altagracia_Province_Dominican_Republic.html" TargetMode="External"/><Relationship Id="rId422" Type="http://schemas.openxmlformats.org/officeDocument/2006/relationships/hyperlink" Target="https://www.tripadvisor.ca/Hotel_Review-g1184698-d651208-Reviews-The_Verandah_Resort_Spa-Saint_Philips_Saint_Philip_Parish_Antigua_Antigua_and_Barbuda.html" TargetMode="External"/><Relationship Id="rId664" Type="http://schemas.openxmlformats.org/officeDocument/2006/relationships/hyperlink" Target="https://www.tripadvisor.ca/Hotel_Review-g1993121-d148874-Reviews-Beaches_Ocho_Rios_Resort_Golf_Club-Boscobel_Saint_Mary_Parish_Jamaica.html" TargetMode="External"/><Relationship Id="rId421" Type="http://schemas.openxmlformats.org/officeDocument/2006/relationships/hyperlink" Target="https://www.tripadvisor.ca/Hotel_Review-g15584949-d9698509-Reviews-Breathless_Riviera_Cancun_Resort_Spa-Joaquin_Zetina_Gasca_Puerto_Morelos_Yucatan_Pen.html" TargetMode="External"/><Relationship Id="rId663" Type="http://schemas.openxmlformats.org/officeDocument/2006/relationships/hyperlink" Target="https://www.tripadvisor.ca/Hotel_Review-g147293-d478252-Reviews-Bahia_Principe_Grand_Bavaro-Punta_Cana_La_Altagracia_Province_Dominican_Republic.html" TargetMode="External"/><Relationship Id="rId420" Type="http://schemas.openxmlformats.org/officeDocument/2006/relationships/hyperlink" Target="https://www.tripadvisor.ca/Hotel_Review-g150807-d282106-Reviews-Paradisus_Cancun-Cancun_Yucatan_Peninsula.html" TargetMode="External"/><Relationship Id="rId662" Type="http://schemas.openxmlformats.org/officeDocument/2006/relationships/hyperlink" Target="https://www.tripadvisor.ca/Hotel_Review-g150807-d671741-Reviews-The_Sens_Cancun-Cancun_Yucatan_Peninsula.html" TargetMode="External"/><Relationship Id="rId661" Type="http://schemas.openxmlformats.org/officeDocument/2006/relationships/hyperlink" Target="https://www.tripadvisor.ca/Hotel_Review-g152516-d248157-Reviews-Royal_Solaris_Los_Cabos-San_Jose_del_Cabo_Los_Cabos_Baja_California.html" TargetMode="External"/><Relationship Id="rId415" Type="http://schemas.openxmlformats.org/officeDocument/2006/relationships/hyperlink" Target="https://www.tripadvisor.ca/Hotel_Review-g3607797-d23707981-Reviews-Sandals_Royal_Curacao-Nieuwpoort_Curacao.html" TargetMode="External"/><Relationship Id="rId657" Type="http://schemas.openxmlformats.org/officeDocument/2006/relationships/hyperlink" Target="https://www.tripadvisor.ca/Hotel_Review-g147290-d8779909-Reviews-Viva_Wyndham_V_Heavens-Puerto_Plata_Puerto_Plata_Province_Dominican_Republic.html" TargetMode="External"/><Relationship Id="rId414" Type="http://schemas.openxmlformats.org/officeDocument/2006/relationships/hyperlink" Target="https://www.tripadvisor.ca/Hotel_Review-g150807-d23146248-Reviews-Hilton_Cancun_an_All_Inclusive_Resort-Cancun_Yucatan_Peninsula.html" TargetMode="External"/><Relationship Id="rId656" Type="http://schemas.openxmlformats.org/officeDocument/2006/relationships/hyperlink" Target="https://www.tripadvisor.ca/Hotel_Review-g663484-d277640-Reviews-Viva_Dominicus_Palace_by_Wyndham_a_Trademark_All_Inclusive-Bayahibe_La_Altagracia_Provi.html" TargetMode="External"/><Relationship Id="rId413" Type="http://schemas.openxmlformats.org/officeDocument/2006/relationships/hyperlink" Target="https://www.tripadvisor.ca/Hotel_Review-g3200043-d15118805-Reviews-Ocean_El_Faro_Resort-Uvero_Alto_Punta_Cana_La_Altagracia_Province_Dominican_Republic.html" TargetMode="External"/><Relationship Id="rId655" Type="http://schemas.openxmlformats.org/officeDocument/2006/relationships/hyperlink" Target="https://www.tripadvisor.ca/Hotel_Review-g240327-d24076429-Reviews-Royalton_Splash_Riviera_Cancun-Puerto_Morelos_Yucatan_Peninsula.html" TargetMode="External"/><Relationship Id="rId412" Type="http://schemas.openxmlformats.org/officeDocument/2006/relationships/hyperlink" Target="https://www.tripadvisor.ca/Hotel_Review-g147311-d150720-Reviews-Sandals_Royal_Caribbean_Resort_and_Private_Island-Montego_Bay_Saint_James_Parish_Jamaic.html" TargetMode="External"/><Relationship Id="rId654" Type="http://schemas.openxmlformats.org/officeDocument/2006/relationships/hyperlink" Target="https://www.tripadvisor.ca/Hotel_Review-g612473-d10300577-Reviews-Royalton_Blue_Waters_Montego_Bay_An_Autograph_Collection_All_Inclusive_Resort-Falmout.html" TargetMode="External"/><Relationship Id="rId419" Type="http://schemas.openxmlformats.org/officeDocument/2006/relationships/hyperlink" Target="https://www.tripadvisor.ca/Hotel_Review-g150812-d260444-Reviews-Occidental_at_Xcaret_Destination-Playa_del_Carmen_Yucatan_Peninsula.html" TargetMode="External"/><Relationship Id="rId418" Type="http://schemas.openxmlformats.org/officeDocument/2006/relationships/hyperlink" Target="https://www.tripadvisor.ca/Hotel_Review-g147399-d254897-Reviews-Beaches_Turks_Caicos-Providenciales_Turks_and_Caicos.html" TargetMode="External"/><Relationship Id="rId417" Type="http://schemas.openxmlformats.org/officeDocument/2006/relationships/hyperlink" Target="https://www.tripadvisor.ca/Hotel_Review-g147331-d151605-Reviews-Club_Med_Les_Boucaniers_Martinique-Sainte_Anne_Arrondissement_of_Le_Marin_Martinique.html" TargetMode="External"/><Relationship Id="rId659" Type="http://schemas.openxmlformats.org/officeDocument/2006/relationships/hyperlink" Target="https://www.tripadvisor.ca/Hotel_Review-g147293-d1816956-Reviews-Presidential_Suites_Punta_Cana-Punta_Cana_La_Altagracia_Province_Dominican_Republic.html" TargetMode="External"/><Relationship Id="rId416" Type="http://schemas.openxmlformats.org/officeDocument/2006/relationships/hyperlink" Target="https://www.tripadvisor.ca/Hotel_Review-g147313-d214530-Reviews-Beaches_Negril-Negril_Westmoreland_Parish_Jamaica.html" TargetMode="External"/><Relationship Id="rId658" Type="http://schemas.openxmlformats.org/officeDocument/2006/relationships/hyperlink" Target="https://www.tripadvisor.ca/Hotel_Review-g154267-d24975661-Reviews-Wyndham_Alltra_Vallarta_All_Inclusive_Resort-Nuevo_Vallarta_Pacific_Coast.html" TargetMode="External"/><Relationship Id="rId411" Type="http://schemas.openxmlformats.org/officeDocument/2006/relationships/hyperlink" Target="https://www.tripadvisor.ca/Hotel_Review-g660724-d1200370-Reviews-Hilton_Rose_Hall_Resort_Spa-Rose_Hall_Montego_Bay_Saint_James_Parish_Jamaica.html" TargetMode="External"/><Relationship Id="rId653" Type="http://schemas.openxmlformats.org/officeDocument/2006/relationships/hyperlink" Target="https://www.tripadvisor.ca/Hotel_Review-g150792-d154597-Reviews-Oceano_Palace_Beach_Hotel-Mazatlan_Pacific_Coast.html" TargetMode="External"/><Relationship Id="rId410" Type="http://schemas.openxmlformats.org/officeDocument/2006/relationships/hyperlink" Target="https://www.tripadvisor.ca/Hotel_Review-g16884615-d23759839-Reviews-Margaritaville_Island_Reserve_Cap_Cana_Wave-Cap_Cana_Punta_Cana_La_Altagracia_Provi.html" TargetMode="External"/><Relationship Id="rId652" Type="http://schemas.openxmlformats.org/officeDocument/2006/relationships/hyperlink" Target="https://www.tripadvisor.ca/Hotel_Review-g1172156-d609594-Reviews-Starfish_Jibacoa-Jibacoa_Mayabeque_Province_Cuba.html" TargetMode="External"/><Relationship Id="rId651" Type="http://schemas.openxmlformats.org/officeDocument/2006/relationships/hyperlink" Target="https://www.tripadvisor.ca/Hotel_Review-g150807-d1219889-Reviews-Hotel_Dos_Playas_Faranda_Cancun-Cancun_Yucatan_Peninsula.html" TargetMode="External"/><Relationship Id="rId650" Type="http://schemas.openxmlformats.org/officeDocument/2006/relationships/hyperlink" Target="https://www.tripadvisor.ca/Hotel_Review-g147293-d12613021-Reviews-Hideaway_at_Royalton_Punta_Cana_An_Autograph_Collection_All_Inclusive_Resort_Casino_A.html" TargetMode="External"/><Relationship Id="rId206" Type="http://schemas.openxmlformats.org/officeDocument/2006/relationships/hyperlink" Target="https://www.tripadvisor.ca/Hotel_Review-g150812-d23901017-Reviews-Secrets_Moxche_Playa_del_Carmen-Playa_del_Carmen_Yucatan_Peninsula.html" TargetMode="External"/><Relationship Id="rId448" Type="http://schemas.openxmlformats.org/officeDocument/2006/relationships/hyperlink" Target="https://www.tripadvisor.ca/Hotel_Review-g147311-d1604119-Reviews-Secrets_Wild_Orchid_Montego_Bay-Montego_Bay_Saint_James_Parish_Jamaica.html" TargetMode="External"/><Relationship Id="rId205" Type="http://schemas.openxmlformats.org/officeDocument/2006/relationships/hyperlink" Target="https://www.tripadvisor.ca/Hotel_Review-g147293-d149864-Reviews-Club_Med_Punta_Cana-Punta_Cana_La_Altagracia_Province_Dominican_Republic.html" TargetMode="External"/><Relationship Id="rId447" Type="http://schemas.openxmlformats.org/officeDocument/2006/relationships/hyperlink" Target="https://www.tripadvisor.ca/Hotel_Review-g152515-d503041-Reviews-Hotel_Riu_Palace_Cabo_San_Lucas-Cabo_San_Lucas_Los_Cabos_Baja_California.html" TargetMode="External"/><Relationship Id="rId689" Type="http://schemas.openxmlformats.org/officeDocument/2006/relationships/hyperlink" Target="https://www.tripadvisor.ca/Hotel_Review-g3176298-d4543606-Reviews-Royalton_Splash_Punta_Cana_An_Autograph_Collection_Resort_Casino-Bavaro_Punta_Cana_La.html" TargetMode="External"/><Relationship Id="rId204" Type="http://schemas.openxmlformats.org/officeDocument/2006/relationships/hyperlink" Target="https://www.tripadvisor.ca/Hotel_Review-g659488-d5527618-Reviews-Generations_Riviera_Maya_Resort-Riviera_Maya_Yucatan_Peninsula.html" TargetMode="External"/><Relationship Id="rId446" Type="http://schemas.openxmlformats.org/officeDocument/2006/relationships/hyperlink" Target="https://www.tripadvisor.com/Hotel_Review-g150810-d259074-Reviews-Mia_Reef_Isla_Mujeres-Isla_Mujeres_Yucatan_Peninsula.html" TargetMode="External"/><Relationship Id="rId688" Type="http://schemas.openxmlformats.org/officeDocument/2006/relationships/hyperlink" Target="https://www.tripadvisor.ca/Hotel_Review-g3680060-d3668485-Reviews-Kunuku_Resort_All_Inclusive_Curacao_Trademark_by_Wyndham-Tera_Kora_Curacao.html" TargetMode="External"/><Relationship Id="rId203" Type="http://schemas.openxmlformats.org/officeDocument/2006/relationships/hyperlink" Target="https://www.tripadvisor.ca/Hotel_Review-g663501-d524093-Reviews-Iberostar_Selection_Paraiso_Maya_Suites-Playa_Paraiso_Playa_del_Carmen_Yucatan_Peninsul.html" TargetMode="External"/><Relationship Id="rId445" Type="http://schemas.openxmlformats.org/officeDocument/2006/relationships/hyperlink" Target="https://www.tripadvisor.ca/Hotel_Review-g147313-d209701-Reviews-Hotel_Riu_Palace_Tropical_Bay-Negril_Westmoreland_Parish_Jamaica.html" TargetMode="External"/><Relationship Id="rId687" Type="http://schemas.openxmlformats.org/officeDocument/2006/relationships/hyperlink" Target="https://www.tripadvisor.ca/Hotel_Review-g152515-d672603-Reviews-Hotel_Riu_Santa_Fe-Cabo_San_Lucas_Los_Cabos_Baja_California.html" TargetMode="External"/><Relationship Id="rId209" Type="http://schemas.openxmlformats.org/officeDocument/2006/relationships/hyperlink" Target="https://www.tripadvisor.ca/Hotel_Review-g150807-d2627483-Reviews-Secrets_The_Vine_Cancun-Cancun_Yucatan_Peninsula.html" TargetMode="External"/><Relationship Id="rId208" Type="http://schemas.openxmlformats.org/officeDocument/2006/relationships/hyperlink" Target="https://www.tripadvisor.ca/Hotel_Review-g150812-d574249-Reviews-El_Dorado_Royale-Playa_del_Carmen_Yucatan_Peninsula.html" TargetMode="External"/><Relationship Id="rId207" Type="http://schemas.openxmlformats.org/officeDocument/2006/relationships/hyperlink" Target="https://www.tripadvisor.ca/Hotel_Review-g3176298-d578371-Reviews-Majestic_Colonial_Punta_Cana-Bavaro_Punta_Cana_La_Altagracia_Province_Dominican_Republ.html" TargetMode="External"/><Relationship Id="rId449" Type="http://schemas.openxmlformats.org/officeDocument/2006/relationships/hyperlink" Target="https://www.tripadvisor.com/Hotel_Review-g147266-d17324792-Reviews-The_Abidah_By_Accra-Christ_Church_Parish_Barbados.html" TargetMode="External"/><Relationship Id="rId440" Type="http://schemas.openxmlformats.org/officeDocument/2006/relationships/hyperlink" Target="https://www.tripadvisor.ca/Hotel_Review-g150791-d155105-Reviews-Barcelo_Karmina-Manzanillo_Pacific_Coast.html" TargetMode="External"/><Relationship Id="rId682" Type="http://schemas.openxmlformats.org/officeDocument/2006/relationships/hyperlink" Target="https://www.tripadvisor.ca/Hotel_Review-g285731-d15288382-Reviews-Memories_Trinidad_Del_Mar-Trinidad_Sancti_Spiritus_Province_Cuba.html" TargetMode="External"/><Relationship Id="rId681" Type="http://schemas.openxmlformats.org/officeDocument/2006/relationships/hyperlink" Target="https://www.tripadvisor.ca/Hotel_Review-g150807-d154896-Reviews-Krystal_Cancun-Cancun_Yucatan_Peninsula.html" TargetMode="External"/><Relationship Id="rId680" Type="http://schemas.openxmlformats.org/officeDocument/2006/relationships/hyperlink" Target="https://www.tripadvisor.ca/Hotel_Review-g147311-d251575-Reviews-Deja_Resort-Montego_Bay_Saint_James_Parish_Jamaica.html" TargetMode="External"/><Relationship Id="rId202" Type="http://schemas.openxmlformats.org/officeDocument/2006/relationships/hyperlink" Target="https://www.tripadvisor.ca/Hotel_Review-g152515-d503035-Reviews-The_Club_at_Hacienda_del_Mar-Cabo_San_Lucas_Los_Cabos_Baja_California.html" TargetMode="External"/><Relationship Id="rId444" Type="http://schemas.openxmlformats.org/officeDocument/2006/relationships/hyperlink" Target="https://www.tripadvisor.ca/Hotel_Review-g147293-d611114-Reviews-Hotel_Riu_Palace_Punta_Cana-Punta_Cana_La_Altagracia_Province_Dominican_Republic.html" TargetMode="External"/><Relationship Id="rId686" Type="http://schemas.openxmlformats.org/officeDocument/2006/relationships/hyperlink" Target="https://www.tripadvisor.ca/Hotel_Review-g3493965-d6027565-Reviews-Decameron_Isleno-San_Andres_San_Andres_Island_San_Andres_and_Providencia_Department.html" TargetMode="External"/><Relationship Id="rId201" Type="http://schemas.openxmlformats.org/officeDocument/2006/relationships/hyperlink" Target="https://www.tripadvisor.ca/Hotel_Review-g152515-d225508-Reviews-Playa_Grande_Resort_Grand_Spa-Cabo_San_Lucas_Los_Cabos_Baja_California.html" TargetMode="External"/><Relationship Id="rId443" Type="http://schemas.openxmlformats.org/officeDocument/2006/relationships/hyperlink" Target="https://www.tripadvisor.ca/Hotel_Review-g793509-d1012524-Reviews-Grand_Palladium_Lady_Hamilton_All_Inclusive_Resort_Spa-Lucea_Hanover_Parish_Jamaica.html" TargetMode="External"/><Relationship Id="rId685" Type="http://schemas.openxmlformats.org/officeDocument/2006/relationships/hyperlink" Target="https://www.tripadvisor.ca/Hotel_Review-g147292-d149454-Reviews-Viva_Dominicus_Beach_By_Wyndham_A_Trademark_All_Inclusive_Resort-La_Romana_La_Romana_Pr.html" TargetMode="External"/><Relationship Id="rId200" Type="http://schemas.openxmlformats.org/officeDocument/2006/relationships/hyperlink" Target="https://www.tripadvisor.ca/Hotel_Review-g150812-d219633-Reviews-Hotel_Riu_Palace_Mexico-Playa_del_Carmen_Yucatan_Peninsula.html" TargetMode="External"/><Relationship Id="rId442" Type="http://schemas.openxmlformats.org/officeDocument/2006/relationships/hyperlink" Target="https://www.tripadvisor.ca/Hotel_Review-g3176298-d584407-Reviews-Ocean_Blue_and_Sand_Beach_Resort-Bavaro_Punta_Cana_La_Altagracia_Province_Dominican_Re.html" TargetMode="External"/><Relationship Id="rId684" Type="http://schemas.openxmlformats.org/officeDocument/2006/relationships/hyperlink" Target="https://www.tripadvisor.ca/Hotel_Review-g651662-d594674-Reviews-Royal_Decameron_Salinitas-Acajutla_Sonsonate_Department.html" TargetMode="External"/><Relationship Id="rId441" Type="http://schemas.openxmlformats.org/officeDocument/2006/relationships/hyperlink" Target="https://www.tripadvisor.ca/Hotel_Review-g499445-d593981-Reviews-Bahia_Principe_Grand_Coba-Akumal_Yucatan_Peninsula.html" TargetMode="External"/><Relationship Id="rId683" Type="http://schemas.openxmlformats.org/officeDocument/2006/relationships/hyperlink" Target="https://www.tripadvisor.ca/Hotel_Review-g2182261-d3387025-Reviews-Royal_Decameron_Punta_Centinela-Santa_Elena_Santa_Elena_Province.html" TargetMode="External"/><Relationship Id="rId437" Type="http://schemas.openxmlformats.org/officeDocument/2006/relationships/hyperlink" Target="https://www.tripadvisor.ca/Hotel_Review-g10006284-d151184-Reviews-Club_Med_Turkoise_Turks_Caicos-Grace_Bay_Providenciales_Turks_and_Caicos.html" TargetMode="External"/><Relationship Id="rId679" Type="http://schemas.openxmlformats.org/officeDocument/2006/relationships/hyperlink" Target="https://www.tripadvisor.ca/Hotel_Review-g3493965-d307533-Reviews-Decameron_Maryland-San_Andres_San_Andres_Island_San_Andres_and_Providencia_Department.html" TargetMode="External"/><Relationship Id="rId436" Type="http://schemas.openxmlformats.org/officeDocument/2006/relationships/hyperlink" Target="https://www.tripadvisor.ca/Hotel_Review-g240327-d248849-Reviews-Dreams_Sapphire_Resort_Spa-Puerto_Morelos_Yucatan_Peninsula.html" TargetMode="External"/><Relationship Id="rId678" Type="http://schemas.openxmlformats.org/officeDocument/2006/relationships/hyperlink" Target="https://www.tripadvisor.ca/Hotel_Review-g297484-d456409-Reviews-Decameron_Galeon-Santa_Marta_Santa_Marta_Municipality_Magdalena_Department.html" TargetMode="External"/><Relationship Id="rId435" Type="http://schemas.openxmlformats.org/officeDocument/2006/relationships/hyperlink" Target="https://www.tripadvisor.ca/Hotel_Review-g150807-d2034192-Reviews-GR_Caribe_By_Solaris-Cancun_Yucatan_Peninsula.html" TargetMode="External"/><Relationship Id="rId677" Type="http://schemas.openxmlformats.org/officeDocument/2006/relationships/hyperlink" Target="https://www.tripadvisor.ca/Hotel_Review-g153445-d605611-Reviews-Tesoro_Ixtapa-Ixtapa_Zihuatanejo_de_Azueta_Pacific_Coast.html" TargetMode="External"/><Relationship Id="rId434" Type="http://schemas.openxmlformats.org/officeDocument/2006/relationships/hyperlink" Target="https://www.tripadvisor.ca/Hotel_Review-g910817-d294597-Reviews-Playa_Pesquero_Hotel-Rafael_Freyre_Holguin_Province_Cuba.html" TargetMode="External"/><Relationship Id="rId676" Type="http://schemas.openxmlformats.org/officeDocument/2006/relationships/hyperlink" Target="https://www.tripadvisor.ca/Hotel_Review-g240327-d6958510-Reviews-Royalton_Riviera_Cancun-Puerto_Morelos_Yucatan_Peninsula.html" TargetMode="External"/><Relationship Id="rId439" Type="http://schemas.openxmlformats.org/officeDocument/2006/relationships/hyperlink" Target="https://www.tripadvisor.ca/Hotel_Review-g153445-d185424-Reviews-Azul_Ixtapa_Hotels_Beach_Resort_Convention_Center-Ixtapa_Zihuatanejo_de_Azueta_Pacific_.html" TargetMode="External"/><Relationship Id="rId438" Type="http://schemas.openxmlformats.org/officeDocument/2006/relationships/hyperlink" Target="https://www.tripadvisor.ca/Hotel_Review-g153510-d530105-Reviews-Dreams_Aventuras_Riviera_Maya-Puerto_Aventuras_Yucatan_Peninsula.html" TargetMode="External"/><Relationship Id="rId671" Type="http://schemas.openxmlformats.org/officeDocument/2006/relationships/hyperlink" Target="https://www.tripadvisor.ca/Hotel_Review-g147313-d8642860-Reviews-Royalton_Negril_An_Autograph_Collection_All_Inclusive_Resort-Negril_Westmoreland_Paris.html" TargetMode="External"/><Relationship Id="rId670" Type="http://schemas.openxmlformats.org/officeDocument/2006/relationships/hyperlink" Target="https://www.tripadvisor.ca/Hotel_Review-g23328775-d19935893-Reviews-Planet_Hollywood_Cancun_Adult_Scene_An_Autograph_Collection-Costa_Mujeres_Yucatan_P.html" TargetMode="External"/><Relationship Id="rId433" Type="http://schemas.openxmlformats.org/officeDocument/2006/relationships/hyperlink" Target="https://www.tripadvisor.ca/Hotel_Review-g910832-d256423-Reviews-Sol_Rio_de_Luna_y_Mares-Guardalavaca_Holguin_Province_Cuba.html" TargetMode="External"/><Relationship Id="rId675" Type="http://schemas.openxmlformats.org/officeDocument/2006/relationships/hyperlink" Target="https://www.tripadvisor.ca/Hotel_Review-g666625-d256420-Reviews-Iberostar_Daiquiri-Cayo_Guillermo_Jardines_del_Rey_Archipelago_Ciego_de_Avila_Province_.html" TargetMode="External"/><Relationship Id="rId432" Type="http://schemas.openxmlformats.org/officeDocument/2006/relationships/hyperlink" Target="https://www.tripadvisor.ca/Hotel_Review-g1906053-d147776-Reviews-Tamarind_by_Elegant_Hotels_All_Inclusive-Paynes_Bay_Saint_James_Parish_Barbados.html" TargetMode="External"/><Relationship Id="rId674" Type="http://schemas.openxmlformats.org/officeDocument/2006/relationships/hyperlink" Target="https://www.tripadvisor.ca/Hotel_Review-g147293-d9463219-Reviews-Hotel_Riu_Republica-Punta_Cana_La_Altagracia_Province_Dominican_Republic.html" TargetMode="External"/><Relationship Id="rId431" Type="http://schemas.openxmlformats.org/officeDocument/2006/relationships/hyperlink" Target="https://www.tripadvisor.ca/Hotel_Review-g1722406-d263042-Reviews-Wyndham_Reef_Resort-East_End_Grand_Cayman_Cayman_Islands.html" TargetMode="External"/><Relationship Id="rId673" Type="http://schemas.openxmlformats.org/officeDocument/2006/relationships/hyperlink" Target="https://www.tripadvisor.ca/Hotel_Review-g154267-d1167895-Reviews-Hotel_Riu_Jalisco-Nuevo_Nayarit_Pacific_Coast.html" TargetMode="External"/><Relationship Id="rId430" Type="http://schemas.openxmlformats.org/officeDocument/2006/relationships/hyperlink" Target="https://www.tripadvisor.ca/Hotel_Review-g147343-d214167-Reviews-Sandals_Regency_La_Toc-Castries_Castries_Quarter_St_Lucia.html" TargetMode="External"/><Relationship Id="rId672" Type="http://schemas.openxmlformats.org/officeDocument/2006/relationships/hyperlink" Target="https://www.tripadvisor.ca/Hotel_Review-g2561261-d1154805-Reviews-Hotel_Riu_Guanacaste-Sardinal_Gulf_of_Papagayo_Province_of_Guanacaste.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enyaktravel.com/featured-pages/podcas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aasco.tstllc.net/hotel" TargetMode="External"/><Relationship Id="rId2" Type="http://schemas.openxmlformats.org/officeDocument/2006/relationships/hyperlink" Target="https://frequentmiler.com/world-of-hyatt-all-inclusive-complete-list-mexico-caribbean/" TargetMode="External"/><Relationship Id="rId3" Type="http://schemas.openxmlformats.org/officeDocument/2006/relationships/hyperlink" Target="https://www.hyatt.com/explore-hotels?categories=F&amp;regionGroup=2-CaribbeanAndLatinAmerica"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showGridLines="0" workbookViewId="0"/>
  </sheetViews>
  <sheetFormatPr customHeight="1" defaultColWidth="12.63" defaultRowHeight="15.75"/>
  <cols>
    <col customWidth="1" min="1" max="2" width="5.13"/>
    <col customWidth="1" min="3" max="3" width="75.13"/>
    <col customWidth="1" min="4" max="6" width="5.13"/>
    <col customWidth="1" min="7" max="7" width="72.38"/>
    <col customWidth="1" min="8" max="10" width="5.13"/>
    <col customWidth="1" min="11" max="11" width="58.25"/>
    <col customWidth="1" min="12" max="14" width="5.13"/>
  </cols>
  <sheetData>
    <row r="1">
      <c r="A1" s="1" t="s">
        <v>0</v>
      </c>
      <c r="B1" s="2"/>
      <c r="C1" s="3"/>
      <c r="D1" s="2"/>
      <c r="E1" s="4"/>
      <c r="F1" s="2"/>
      <c r="G1" s="2"/>
      <c r="H1" s="2"/>
      <c r="I1" s="4"/>
      <c r="J1" s="2"/>
      <c r="K1" s="5"/>
      <c r="L1" s="2"/>
      <c r="M1" s="2"/>
      <c r="N1" s="2"/>
    </row>
    <row r="2">
      <c r="A2" s="4"/>
      <c r="B2" s="6"/>
      <c r="C2" s="7"/>
      <c r="D2" s="6"/>
      <c r="E2" s="4"/>
      <c r="F2" s="6"/>
      <c r="G2" s="6"/>
      <c r="H2" s="6"/>
      <c r="I2" s="4"/>
      <c r="J2" s="6"/>
      <c r="K2" s="8"/>
      <c r="L2" s="6"/>
      <c r="M2" s="2"/>
      <c r="N2" s="2"/>
    </row>
    <row r="3">
      <c r="A3" s="9" t="s">
        <v>1</v>
      </c>
      <c r="B3" s="6"/>
      <c r="C3" s="10" t="s">
        <v>2</v>
      </c>
      <c r="D3" s="6"/>
      <c r="E3" s="9" t="s">
        <v>1</v>
      </c>
      <c r="F3" s="6"/>
      <c r="G3" s="10" t="s">
        <v>3</v>
      </c>
      <c r="H3" s="6"/>
      <c r="I3" s="9" t="s">
        <v>1</v>
      </c>
      <c r="J3" s="6"/>
      <c r="K3" s="11" t="s">
        <v>4</v>
      </c>
      <c r="L3" s="6"/>
      <c r="M3" s="2"/>
      <c r="N3" s="2"/>
    </row>
    <row r="4">
      <c r="A4" s="4"/>
      <c r="B4" s="6"/>
      <c r="D4" s="6"/>
      <c r="E4" s="4"/>
      <c r="F4" s="6"/>
      <c r="H4" s="6"/>
      <c r="I4" s="4"/>
      <c r="J4" s="6"/>
      <c r="L4" s="6"/>
      <c r="M4" s="2"/>
      <c r="N4" s="2"/>
    </row>
    <row r="5">
      <c r="A5" s="4"/>
      <c r="B5" s="6"/>
      <c r="D5" s="6"/>
      <c r="E5" s="4"/>
      <c r="F5" s="6"/>
      <c r="H5" s="6"/>
      <c r="I5" s="4"/>
      <c r="J5" s="6"/>
      <c r="L5" s="6"/>
      <c r="M5" s="2"/>
      <c r="N5" s="2"/>
    </row>
    <row r="6">
      <c r="A6" s="4"/>
      <c r="B6" s="6"/>
      <c r="D6" s="6"/>
      <c r="E6" s="4"/>
      <c r="F6" s="6"/>
      <c r="H6" s="6"/>
      <c r="I6" s="4"/>
      <c r="J6" s="6"/>
      <c r="L6" s="6"/>
      <c r="M6" s="2"/>
      <c r="N6" s="2"/>
    </row>
    <row r="7">
      <c r="A7" s="4"/>
      <c r="B7" s="6"/>
      <c r="D7" s="6"/>
      <c r="E7" s="4"/>
      <c r="F7" s="6"/>
      <c r="H7" s="6"/>
      <c r="I7" s="4"/>
      <c r="J7" s="6"/>
      <c r="L7" s="6"/>
      <c r="M7" s="2"/>
      <c r="N7" s="2"/>
    </row>
    <row r="8">
      <c r="A8" s="4"/>
      <c r="B8" s="6"/>
      <c r="D8" s="6"/>
      <c r="E8" s="4"/>
      <c r="F8" s="6"/>
      <c r="H8" s="6"/>
      <c r="I8" s="4"/>
      <c r="J8" s="6"/>
      <c r="L8" s="6"/>
      <c r="M8" s="2"/>
      <c r="N8" s="2"/>
    </row>
    <row r="9">
      <c r="A9" s="4"/>
      <c r="B9" s="6"/>
      <c r="D9" s="6"/>
      <c r="E9" s="4"/>
      <c r="F9" s="6"/>
      <c r="H9" s="6"/>
      <c r="I9" s="4"/>
      <c r="J9" s="6"/>
      <c r="L9" s="6"/>
      <c r="M9" s="2"/>
      <c r="N9" s="2"/>
    </row>
    <row r="10">
      <c r="A10" s="4"/>
      <c r="B10" s="6"/>
      <c r="D10" s="6"/>
      <c r="E10" s="4"/>
      <c r="F10" s="6"/>
      <c r="H10" s="6"/>
      <c r="I10" s="4"/>
      <c r="J10" s="6"/>
      <c r="K10" s="12" t="s">
        <v>5</v>
      </c>
      <c r="L10" s="6"/>
      <c r="M10" s="2"/>
      <c r="N10" s="2"/>
    </row>
    <row r="11">
      <c r="A11" s="4"/>
      <c r="B11" s="6"/>
      <c r="D11" s="6"/>
      <c r="E11" s="4"/>
      <c r="F11" s="6"/>
      <c r="H11" s="6"/>
      <c r="I11" s="4"/>
      <c r="J11" s="6"/>
      <c r="K11" s="8"/>
      <c r="L11" s="6"/>
      <c r="M11" s="2"/>
      <c r="N11" s="2"/>
    </row>
    <row r="12">
      <c r="A12" s="4"/>
      <c r="B12" s="6"/>
      <c r="D12" s="6"/>
      <c r="E12" s="4"/>
      <c r="F12" s="6"/>
      <c r="H12" s="6"/>
      <c r="I12" s="4"/>
      <c r="J12" s="6"/>
      <c r="L12" s="6"/>
      <c r="M12" s="2"/>
      <c r="N12" s="2"/>
    </row>
    <row r="13">
      <c r="A13" s="4"/>
      <c r="B13" s="6"/>
      <c r="D13" s="6"/>
      <c r="E13" s="4"/>
      <c r="F13" s="6"/>
      <c r="H13" s="6"/>
      <c r="I13" s="4"/>
      <c r="J13" s="6"/>
      <c r="K13" s="13" t="s">
        <v>6</v>
      </c>
      <c r="L13" s="6"/>
      <c r="M13" s="2"/>
      <c r="N13" s="2"/>
    </row>
    <row r="14">
      <c r="A14" s="4"/>
      <c r="B14" s="6"/>
      <c r="D14" s="6"/>
      <c r="E14" s="4"/>
      <c r="F14" s="6"/>
      <c r="H14" s="6"/>
      <c r="I14" s="4"/>
      <c r="J14" s="6"/>
      <c r="L14" s="6"/>
      <c r="M14" s="2"/>
      <c r="N14" s="2"/>
    </row>
    <row r="15">
      <c r="A15" s="4"/>
      <c r="B15" s="6"/>
      <c r="C15" s="14" t="s">
        <v>7</v>
      </c>
      <c r="D15" s="6"/>
      <c r="E15" s="4"/>
      <c r="F15" s="6"/>
      <c r="H15" s="6"/>
      <c r="I15" s="4"/>
      <c r="J15" s="6"/>
      <c r="L15" s="6"/>
      <c r="M15" s="2"/>
      <c r="N15" s="2"/>
    </row>
    <row r="16">
      <c r="A16" s="4"/>
      <c r="B16" s="6"/>
      <c r="C16" s="6"/>
      <c r="D16" s="6"/>
      <c r="E16" s="4"/>
      <c r="F16" s="6"/>
      <c r="H16" s="6"/>
      <c r="I16" s="4"/>
      <c r="J16" s="6"/>
      <c r="L16" s="6"/>
      <c r="M16" s="2"/>
      <c r="N16" s="2"/>
    </row>
    <row r="17">
      <c r="A17" s="4"/>
      <c r="B17" s="6"/>
      <c r="C17" s="6"/>
      <c r="D17" s="6"/>
      <c r="E17" s="4"/>
      <c r="F17" s="6"/>
      <c r="H17" s="6"/>
      <c r="I17" s="4"/>
      <c r="J17" s="6"/>
      <c r="L17" s="6"/>
      <c r="M17" s="2"/>
      <c r="N17" s="2"/>
    </row>
    <row r="18">
      <c r="A18" s="4"/>
      <c r="B18" s="6"/>
      <c r="C18" s="10" t="s">
        <v>8</v>
      </c>
      <c r="D18" s="6"/>
      <c r="E18" s="4"/>
      <c r="F18" s="6"/>
      <c r="H18" s="6"/>
      <c r="I18" s="4"/>
      <c r="J18" s="6"/>
      <c r="K18" s="15" t="s">
        <v>9</v>
      </c>
      <c r="L18" s="6"/>
      <c r="M18" s="2"/>
      <c r="N18" s="2"/>
    </row>
    <row r="19">
      <c r="A19" s="4"/>
      <c r="B19" s="6"/>
      <c r="D19" s="6"/>
      <c r="E19" s="4"/>
      <c r="F19" s="6"/>
      <c r="H19" s="6"/>
      <c r="I19" s="4"/>
      <c r="J19" s="6"/>
      <c r="K19" s="13"/>
      <c r="L19" s="6"/>
      <c r="M19" s="2"/>
      <c r="N19" s="2"/>
    </row>
    <row r="20">
      <c r="A20" s="4"/>
      <c r="B20" s="6"/>
      <c r="D20" s="6"/>
      <c r="E20" s="4"/>
      <c r="F20" s="6"/>
      <c r="H20" s="6"/>
      <c r="I20" s="4"/>
      <c r="J20" s="6"/>
      <c r="K20" s="13"/>
      <c r="L20" s="6"/>
      <c r="M20" s="2"/>
      <c r="N20" s="2"/>
    </row>
    <row r="21">
      <c r="A21" s="4"/>
      <c r="B21" s="6"/>
      <c r="D21" s="6"/>
      <c r="E21" s="4"/>
      <c r="F21" s="6"/>
      <c r="H21" s="6"/>
      <c r="I21" s="4"/>
      <c r="J21" s="2"/>
      <c r="K21" s="5"/>
      <c r="L21" s="2"/>
      <c r="M21" s="2"/>
      <c r="N21" s="2"/>
    </row>
    <row r="22">
      <c r="A22" s="4"/>
      <c r="B22" s="6"/>
      <c r="D22" s="6"/>
      <c r="E22" s="4"/>
      <c r="F22" s="6"/>
      <c r="H22" s="6"/>
      <c r="I22" s="4"/>
      <c r="J22" s="16" t="s">
        <v>10</v>
      </c>
      <c r="L22" s="2"/>
      <c r="M22" s="2"/>
      <c r="N22" s="2"/>
    </row>
    <row r="23">
      <c r="A23" s="4"/>
      <c r="B23" s="6"/>
      <c r="D23" s="6"/>
      <c r="E23" s="4"/>
      <c r="F23" s="6"/>
      <c r="H23" s="6"/>
      <c r="I23" s="4"/>
      <c r="J23" s="14" t="s">
        <v>11</v>
      </c>
      <c r="L23" s="2"/>
      <c r="M23" s="2"/>
      <c r="N23" s="2"/>
    </row>
    <row r="24">
      <c r="A24" s="4"/>
      <c r="B24" s="6"/>
      <c r="D24" s="6"/>
      <c r="E24" s="4"/>
      <c r="F24" s="6"/>
      <c r="H24" s="6"/>
      <c r="I24" s="4"/>
      <c r="J24" s="2"/>
      <c r="K24" s="5"/>
      <c r="L24" s="2"/>
      <c r="M24" s="2"/>
      <c r="N24" s="2"/>
    </row>
    <row r="25">
      <c r="A25" s="4"/>
      <c r="B25" s="6"/>
      <c r="D25" s="6"/>
      <c r="E25" s="4"/>
      <c r="F25" s="6"/>
      <c r="H25" s="6"/>
      <c r="I25" s="4"/>
      <c r="J25" s="2"/>
      <c r="K25" s="17"/>
      <c r="L25" s="2"/>
      <c r="M25" s="2"/>
      <c r="N25" s="2"/>
    </row>
    <row r="26">
      <c r="A26" s="4"/>
      <c r="B26" s="6"/>
      <c r="D26" s="6"/>
      <c r="E26" s="4"/>
      <c r="F26" s="6"/>
      <c r="H26" s="6"/>
      <c r="I26" s="4"/>
      <c r="J26" s="2"/>
      <c r="K26" s="5"/>
      <c r="L26" s="2"/>
      <c r="M26" s="2"/>
      <c r="N26" s="2"/>
    </row>
    <row r="27">
      <c r="A27" s="4"/>
      <c r="B27" s="6"/>
      <c r="D27" s="6"/>
      <c r="E27" s="4"/>
      <c r="F27" s="6"/>
      <c r="H27" s="6"/>
      <c r="I27" s="4"/>
      <c r="J27" s="2"/>
      <c r="K27" s="5"/>
      <c r="L27" s="2"/>
      <c r="M27" s="2"/>
      <c r="N27" s="2"/>
    </row>
    <row r="28">
      <c r="A28" s="4"/>
      <c r="B28" s="6"/>
      <c r="D28" s="6"/>
      <c r="E28" s="4"/>
      <c r="F28" s="6"/>
      <c r="H28" s="6"/>
      <c r="I28" s="4"/>
      <c r="J28" s="2"/>
      <c r="K28" s="5"/>
      <c r="L28" s="2"/>
      <c r="M28" s="2"/>
      <c r="N28" s="2"/>
    </row>
    <row r="29">
      <c r="A29" s="4"/>
      <c r="B29" s="6"/>
      <c r="D29" s="6"/>
      <c r="E29" s="4"/>
      <c r="F29" s="6"/>
      <c r="H29" s="6"/>
      <c r="I29" s="4"/>
      <c r="J29" s="2"/>
      <c r="K29" s="5"/>
      <c r="L29" s="2"/>
      <c r="M29" s="2"/>
      <c r="N29" s="2"/>
    </row>
    <row r="30">
      <c r="A30" s="4"/>
      <c r="B30" s="6"/>
      <c r="D30" s="6"/>
      <c r="E30" s="4"/>
      <c r="F30" s="6"/>
      <c r="H30" s="6"/>
      <c r="I30" s="4"/>
      <c r="J30" s="2"/>
      <c r="K30" s="5"/>
      <c r="L30" s="2"/>
      <c r="M30" s="2"/>
      <c r="N30" s="2"/>
    </row>
    <row r="31">
      <c r="A31" s="4"/>
      <c r="B31" s="6"/>
      <c r="D31" s="6"/>
      <c r="E31" s="4"/>
      <c r="F31" s="6"/>
      <c r="H31" s="6"/>
      <c r="I31" s="4"/>
      <c r="J31" s="2"/>
      <c r="K31" s="5"/>
      <c r="L31" s="2"/>
      <c r="M31" s="2"/>
      <c r="N31" s="2"/>
    </row>
    <row r="32">
      <c r="A32" s="4"/>
      <c r="B32" s="6"/>
      <c r="D32" s="6"/>
      <c r="E32" s="4"/>
      <c r="F32" s="6"/>
      <c r="H32" s="6"/>
      <c r="I32" s="4"/>
      <c r="J32" s="2"/>
      <c r="K32" s="5"/>
      <c r="L32" s="2"/>
      <c r="M32" s="2"/>
      <c r="N32" s="2"/>
    </row>
    <row r="33">
      <c r="A33" s="4"/>
      <c r="B33" s="6"/>
      <c r="D33" s="6"/>
      <c r="E33" s="4"/>
      <c r="F33" s="6"/>
      <c r="H33" s="6"/>
      <c r="I33" s="4"/>
      <c r="J33" s="2"/>
      <c r="K33" s="5"/>
      <c r="L33" s="2"/>
      <c r="M33" s="2"/>
      <c r="N33" s="2"/>
    </row>
    <row r="34">
      <c r="A34" s="4"/>
      <c r="B34" s="6"/>
      <c r="C34" s="10"/>
      <c r="D34" s="6"/>
      <c r="E34" s="4"/>
      <c r="F34" s="6"/>
      <c r="G34" s="10"/>
      <c r="H34" s="6"/>
      <c r="I34" s="4"/>
      <c r="J34" s="2"/>
      <c r="K34" s="5"/>
      <c r="L34" s="2"/>
      <c r="M34" s="2"/>
      <c r="N34" s="2"/>
    </row>
    <row r="35">
      <c r="A35" s="4"/>
      <c r="B35" s="2"/>
      <c r="C35" s="18"/>
      <c r="D35" s="2"/>
      <c r="E35" s="4"/>
      <c r="F35" s="2"/>
      <c r="G35" s="18"/>
      <c r="H35" s="2"/>
      <c r="I35" s="4"/>
      <c r="J35" s="2"/>
      <c r="K35" s="5"/>
      <c r="L35" s="2"/>
      <c r="M35" s="2"/>
      <c r="N35" s="2"/>
    </row>
    <row r="36">
      <c r="A36" s="4"/>
      <c r="B36" s="2"/>
      <c r="C36" s="18"/>
      <c r="D36" s="2"/>
      <c r="E36" s="4"/>
      <c r="F36" s="2"/>
      <c r="G36" s="18"/>
      <c r="H36" s="2"/>
      <c r="I36" s="4"/>
      <c r="J36" s="2"/>
      <c r="K36" s="5"/>
      <c r="L36" s="2"/>
      <c r="M36" s="2"/>
      <c r="N36" s="2"/>
    </row>
    <row r="37">
      <c r="A37" s="4"/>
      <c r="B37" s="2"/>
      <c r="C37" s="18"/>
      <c r="D37" s="2"/>
      <c r="E37" s="4"/>
      <c r="F37" s="2"/>
      <c r="G37" s="18"/>
      <c r="H37" s="2"/>
      <c r="I37" s="4"/>
      <c r="J37" s="2"/>
      <c r="K37" s="5"/>
      <c r="L37" s="2"/>
      <c r="M37" s="2"/>
      <c r="N37" s="2"/>
    </row>
    <row r="38">
      <c r="A38" s="4"/>
      <c r="B38" s="2"/>
      <c r="C38" s="3"/>
      <c r="D38" s="2"/>
      <c r="E38" s="4"/>
      <c r="F38" s="2"/>
      <c r="G38" s="18"/>
      <c r="H38" s="2"/>
      <c r="I38" s="4"/>
      <c r="J38" s="2"/>
      <c r="K38" s="5"/>
      <c r="L38" s="2"/>
      <c r="M38" s="2"/>
      <c r="N38" s="2"/>
    </row>
    <row r="39">
      <c r="A39" s="4"/>
      <c r="B39" s="2"/>
      <c r="C39" s="3"/>
      <c r="D39" s="2"/>
      <c r="E39" s="4"/>
      <c r="F39" s="2"/>
      <c r="G39" s="18"/>
      <c r="H39" s="2"/>
      <c r="I39" s="4"/>
      <c r="J39" s="2"/>
      <c r="K39" s="5"/>
      <c r="L39" s="2"/>
      <c r="M39" s="2"/>
      <c r="N39" s="2"/>
    </row>
    <row r="40">
      <c r="A40" s="4"/>
      <c r="B40" s="2"/>
      <c r="C40" s="3"/>
      <c r="D40" s="2"/>
      <c r="E40" s="4"/>
      <c r="F40" s="2"/>
      <c r="G40" s="18"/>
      <c r="H40" s="2"/>
      <c r="I40" s="4"/>
      <c r="J40" s="2"/>
      <c r="K40" s="5"/>
      <c r="L40" s="2"/>
      <c r="M40" s="2"/>
      <c r="N40" s="2"/>
    </row>
    <row r="41">
      <c r="A41" s="4"/>
      <c r="B41" s="2"/>
      <c r="C41" s="3"/>
      <c r="D41" s="2"/>
      <c r="E41" s="4"/>
      <c r="F41" s="2"/>
      <c r="G41" s="2"/>
      <c r="H41" s="2"/>
      <c r="I41" s="4"/>
      <c r="J41" s="2"/>
      <c r="K41" s="5"/>
      <c r="L41" s="2"/>
      <c r="M41" s="2"/>
      <c r="N41" s="2"/>
    </row>
    <row r="42">
      <c r="A42" s="4"/>
      <c r="B42" s="2"/>
      <c r="C42" s="3"/>
      <c r="D42" s="2"/>
      <c r="E42" s="4"/>
      <c r="F42" s="2"/>
      <c r="G42" s="2"/>
      <c r="H42" s="2"/>
      <c r="I42" s="4"/>
      <c r="J42" s="2"/>
      <c r="K42" s="5"/>
      <c r="L42" s="2"/>
      <c r="M42" s="2"/>
      <c r="N42" s="2"/>
    </row>
    <row r="43">
      <c r="A43" s="4"/>
      <c r="B43" s="2"/>
      <c r="C43" s="3"/>
      <c r="D43" s="2"/>
      <c r="E43" s="4"/>
      <c r="F43" s="2"/>
      <c r="G43" s="2"/>
      <c r="H43" s="2"/>
      <c r="I43" s="4"/>
      <c r="J43" s="2"/>
      <c r="K43" s="5"/>
      <c r="L43" s="2"/>
      <c r="M43" s="2"/>
      <c r="N43" s="2"/>
    </row>
    <row r="44">
      <c r="A44" s="4"/>
      <c r="B44" s="2"/>
      <c r="C44" s="3"/>
      <c r="D44" s="2"/>
      <c r="E44" s="4"/>
      <c r="F44" s="2"/>
      <c r="G44" s="2"/>
      <c r="H44" s="2"/>
      <c r="I44" s="4"/>
      <c r="J44" s="2"/>
      <c r="K44" s="5"/>
      <c r="L44" s="2"/>
      <c r="M44" s="2"/>
      <c r="N44" s="2"/>
    </row>
    <row r="45">
      <c r="A45" s="4"/>
      <c r="B45" s="2"/>
      <c r="C45" s="3"/>
      <c r="D45" s="2"/>
      <c r="E45" s="4"/>
      <c r="F45" s="2"/>
      <c r="G45" s="2"/>
      <c r="H45" s="2"/>
      <c r="I45" s="4"/>
      <c r="J45" s="2"/>
      <c r="K45" s="5"/>
      <c r="L45" s="2"/>
      <c r="M45" s="2"/>
      <c r="N45" s="2"/>
    </row>
    <row r="46">
      <c r="A46" s="4"/>
      <c r="B46" s="2"/>
      <c r="C46" s="3"/>
      <c r="D46" s="2"/>
      <c r="E46" s="4"/>
      <c r="F46" s="2"/>
      <c r="G46" s="2"/>
      <c r="H46" s="2"/>
      <c r="I46" s="4"/>
      <c r="J46" s="2"/>
      <c r="K46" s="5"/>
      <c r="L46" s="2"/>
      <c r="M46" s="2"/>
      <c r="N46" s="2"/>
    </row>
    <row r="47">
      <c r="A47" s="4"/>
      <c r="B47" s="2"/>
      <c r="C47" s="3"/>
      <c r="D47" s="2"/>
      <c r="E47" s="4"/>
      <c r="F47" s="2"/>
      <c r="G47" s="2"/>
      <c r="H47" s="2"/>
      <c r="I47" s="4"/>
      <c r="J47" s="2"/>
      <c r="K47" s="5"/>
      <c r="L47" s="2"/>
      <c r="M47" s="2"/>
      <c r="N47" s="2"/>
    </row>
    <row r="48">
      <c r="A48" s="4"/>
      <c r="B48" s="2"/>
      <c r="C48" s="3"/>
      <c r="D48" s="2"/>
      <c r="E48" s="4"/>
      <c r="F48" s="2"/>
      <c r="G48" s="2"/>
      <c r="H48" s="2"/>
      <c r="I48" s="4"/>
      <c r="J48" s="2"/>
      <c r="K48" s="5"/>
      <c r="L48" s="2"/>
      <c r="M48" s="2"/>
      <c r="N48" s="2"/>
    </row>
    <row r="49">
      <c r="A49" s="4"/>
      <c r="B49" s="2"/>
      <c r="C49" s="3"/>
      <c r="D49" s="2"/>
      <c r="E49" s="4"/>
      <c r="F49" s="2"/>
      <c r="G49" s="2"/>
      <c r="H49" s="2"/>
      <c r="I49" s="4"/>
      <c r="J49" s="2"/>
      <c r="K49" s="5"/>
      <c r="L49" s="2"/>
      <c r="M49" s="2"/>
      <c r="N49" s="2"/>
    </row>
    <row r="50">
      <c r="A50" s="4"/>
      <c r="B50" s="2"/>
      <c r="C50" s="3"/>
      <c r="D50" s="2"/>
      <c r="E50" s="4"/>
      <c r="F50" s="2"/>
      <c r="G50" s="2"/>
      <c r="H50" s="2"/>
      <c r="I50" s="4"/>
      <c r="J50" s="2"/>
      <c r="K50" s="5"/>
      <c r="L50" s="2"/>
      <c r="M50" s="2"/>
      <c r="N50" s="2"/>
    </row>
    <row r="51">
      <c r="A51" s="4"/>
      <c r="B51" s="2"/>
      <c r="C51" s="3"/>
      <c r="D51" s="2"/>
      <c r="E51" s="4"/>
      <c r="F51" s="2"/>
      <c r="G51" s="2"/>
      <c r="H51" s="2"/>
      <c r="I51" s="4"/>
      <c r="J51" s="2"/>
      <c r="K51" s="5"/>
      <c r="L51" s="2"/>
      <c r="M51" s="2"/>
      <c r="N51" s="2"/>
    </row>
    <row r="52">
      <c r="A52" s="4"/>
      <c r="B52" s="2"/>
      <c r="C52" s="3"/>
      <c r="D52" s="2"/>
      <c r="E52" s="4"/>
      <c r="F52" s="2"/>
      <c r="G52" s="2"/>
      <c r="H52" s="2"/>
      <c r="I52" s="4"/>
      <c r="J52" s="2"/>
      <c r="K52" s="5"/>
      <c r="L52" s="2"/>
      <c r="M52" s="2"/>
      <c r="N52" s="2"/>
    </row>
    <row r="53">
      <c r="A53" s="4"/>
      <c r="B53" s="2"/>
      <c r="C53" s="3"/>
      <c r="D53" s="2"/>
      <c r="E53" s="4"/>
      <c r="F53" s="2"/>
      <c r="G53" s="2"/>
      <c r="H53" s="2"/>
      <c r="I53" s="4"/>
      <c r="J53" s="2"/>
      <c r="K53" s="5"/>
      <c r="L53" s="2"/>
      <c r="M53" s="2"/>
      <c r="N53" s="2"/>
    </row>
    <row r="54">
      <c r="A54" s="4"/>
      <c r="B54" s="2"/>
      <c r="C54" s="3"/>
      <c r="D54" s="2"/>
      <c r="E54" s="4"/>
      <c r="F54" s="2"/>
      <c r="G54" s="2"/>
      <c r="H54" s="2"/>
      <c r="I54" s="4"/>
      <c r="J54" s="2"/>
      <c r="K54" s="5"/>
      <c r="L54" s="2"/>
      <c r="M54" s="2"/>
      <c r="N54" s="2"/>
    </row>
    <row r="55">
      <c r="A55" s="4"/>
      <c r="B55" s="2"/>
      <c r="C55" s="3"/>
      <c r="D55" s="2"/>
      <c r="E55" s="4"/>
      <c r="F55" s="2"/>
      <c r="G55" s="2"/>
      <c r="H55" s="2"/>
      <c r="I55" s="4"/>
      <c r="J55" s="2"/>
      <c r="K55" s="5"/>
      <c r="L55" s="2"/>
      <c r="M55" s="2"/>
      <c r="N55" s="2"/>
    </row>
    <row r="56">
      <c r="A56" s="4"/>
      <c r="B56" s="2"/>
      <c r="C56" s="3"/>
      <c r="D56" s="2"/>
      <c r="E56" s="4"/>
      <c r="F56" s="2"/>
      <c r="G56" s="2"/>
      <c r="H56" s="2"/>
      <c r="I56" s="4"/>
      <c r="J56" s="2"/>
      <c r="K56" s="5"/>
      <c r="L56" s="2"/>
      <c r="M56" s="2"/>
      <c r="N56" s="2"/>
    </row>
    <row r="57">
      <c r="A57" s="4"/>
      <c r="B57" s="2"/>
      <c r="C57" s="3"/>
      <c r="D57" s="2"/>
      <c r="E57" s="4"/>
      <c r="F57" s="2"/>
      <c r="G57" s="2"/>
      <c r="H57" s="2"/>
      <c r="I57" s="4"/>
      <c r="J57" s="2"/>
      <c r="K57" s="5"/>
      <c r="L57" s="2"/>
      <c r="M57" s="2"/>
      <c r="N57" s="2"/>
    </row>
    <row r="58">
      <c r="A58" s="4"/>
      <c r="B58" s="2"/>
      <c r="C58" s="3"/>
      <c r="D58" s="2"/>
      <c r="E58" s="4"/>
      <c r="F58" s="2"/>
      <c r="G58" s="2"/>
      <c r="H58" s="2"/>
      <c r="I58" s="4"/>
      <c r="J58" s="2"/>
      <c r="K58" s="5"/>
      <c r="L58" s="2"/>
      <c r="M58" s="2"/>
      <c r="N58" s="2"/>
    </row>
    <row r="59">
      <c r="A59" s="4"/>
      <c r="B59" s="2"/>
      <c r="C59" s="3"/>
      <c r="D59" s="2"/>
      <c r="E59" s="4"/>
      <c r="F59" s="2"/>
      <c r="G59" s="2"/>
      <c r="H59" s="2"/>
      <c r="I59" s="4"/>
      <c r="J59" s="2"/>
      <c r="K59" s="5"/>
      <c r="L59" s="2"/>
      <c r="M59" s="2"/>
      <c r="N59" s="2"/>
    </row>
    <row r="60">
      <c r="A60" s="4"/>
      <c r="B60" s="2"/>
      <c r="C60" s="3"/>
      <c r="D60" s="2"/>
      <c r="E60" s="4"/>
      <c r="F60" s="2"/>
      <c r="G60" s="2"/>
      <c r="H60" s="2"/>
      <c r="I60" s="4"/>
      <c r="J60" s="2"/>
      <c r="K60" s="5"/>
      <c r="L60" s="2"/>
      <c r="M60" s="2"/>
      <c r="N60" s="2"/>
    </row>
    <row r="61">
      <c r="A61" s="4"/>
      <c r="B61" s="2"/>
      <c r="C61" s="3"/>
      <c r="D61" s="2"/>
      <c r="E61" s="4"/>
      <c r="F61" s="2"/>
      <c r="G61" s="2"/>
      <c r="H61" s="2"/>
      <c r="I61" s="4"/>
      <c r="J61" s="2"/>
      <c r="K61" s="5"/>
      <c r="L61" s="2"/>
      <c r="M61" s="2"/>
      <c r="N61" s="2"/>
    </row>
    <row r="62">
      <c r="A62" s="4"/>
      <c r="B62" s="2"/>
      <c r="C62" s="3"/>
      <c r="D62" s="2"/>
      <c r="E62" s="4"/>
      <c r="F62" s="2"/>
      <c r="G62" s="2"/>
      <c r="H62" s="2"/>
      <c r="I62" s="4"/>
      <c r="J62" s="2"/>
      <c r="K62" s="5"/>
      <c r="L62" s="2"/>
      <c r="M62" s="2"/>
      <c r="N62" s="2"/>
    </row>
    <row r="63">
      <c r="A63" s="4"/>
      <c r="B63" s="2"/>
      <c r="C63" s="3"/>
      <c r="D63" s="2"/>
      <c r="E63" s="4"/>
      <c r="F63" s="2"/>
      <c r="G63" s="2"/>
      <c r="H63" s="2"/>
      <c r="I63" s="4"/>
      <c r="J63" s="2"/>
      <c r="K63" s="5"/>
      <c r="L63" s="2"/>
      <c r="M63" s="2"/>
      <c r="N63" s="2"/>
    </row>
    <row r="64">
      <c r="A64" s="4"/>
      <c r="B64" s="2"/>
      <c r="C64" s="3"/>
      <c r="D64" s="2"/>
      <c r="E64" s="4"/>
      <c r="F64" s="2"/>
      <c r="G64" s="2"/>
      <c r="H64" s="2"/>
      <c r="I64" s="4"/>
      <c r="J64" s="2"/>
      <c r="K64" s="5"/>
      <c r="L64" s="2"/>
      <c r="M64" s="2"/>
      <c r="N64" s="2"/>
    </row>
    <row r="65">
      <c r="A65" s="4"/>
      <c r="B65" s="2"/>
      <c r="C65" s="3"/>
      <c r="D65" s="2"/>
      <c r="E65" s="4"/>
      <c r="F65" s="2"/>
      <c r="G65" s="2"/>
      <c r="H65" s="2"/>
      <c r="I65" s="4"/>
      <c r="J65" s="2"/>
      <c r="K65" s="5"/>
      <c r="L65" s="2"/>
      <c r="M65" s="2"/>
      <c r="N65" s="2"/>
    </row>
    <row r="66">
      <c r="A66" s="4"/>
      <c r="B66" s="2"/>
      <c r="C66" s="3"/>
      <c r="D66" s="2"/>
      <c r="E66" s="4"/>
      <c r="F66" s="2"/>
      <c r="G66" s="2"/>
      <c r="H66" s="2"/>
      <c r="I66" s="4"/>
      <c r="J66" s="2"/>
      <c r="K66" s="5"/>
      <c r="L66" s="2"/>
      <c r="M66" s="2"/>
      <c r="N66" s="2"/>
    </row>
    <row r="67">
      <c r="A67" s="4"/>
      <c r="B67" s="2"/>
      <c r="C67" s="3"/>
      <c r="D67" s="2"/>
      <c r="E67" s="4"/>
      <c r="F67" s="2"/>
      <c r="G67" s="2"/>
      <c r="H67" s="2"/>
      <c r="I67" s="4"/>
      <c r="J67" s="2"/>
      <c r="K67" s="5"/>
      <c r="L67" s="2"/>
      <c r="M67" s="2"/>
      <c r="N67" s="2"/>
    </row>
    <row r="68">
      <c r="A68" s="4"/>
      <c r="B68" s="2"/>
      <c r="C68" s="3"/>
      <c r="D68" s="2"/>
      <c r="E68" s="4"/>
      <c r="F68" s="2"/>
      <c r="G68" s="2"/>
      <c r="H68" s="2"/>
      <c r="I68" s="4"/>
      <c r="J68" s="2"/>
      <c r="K68" s="5"/>
      <c r="L68" s="2"/>
      <c r="M68" s="2"/>
      <c r="N68" s="2"/>
    </row>
    <row r="69">
      <c r="A69" s="4"/>
      <c r="B69" s="2"/>
      <c r="C69" s="3"/>
      <c r="D69" s="2"/>
      <c r="E69" s="4"/>
      <c r="F69" s="2"/>
      <c r="G69" s="2"/>
      <c r="H69" s="2"/>
      <c r="I69" s="4"/>
      <c r="J69" s="2"/>
      <c r="K69" s="5"/>
      <c r="L69" s="2"/>
      <c r="M69" s="2"/>
      <c r="N69" s="2"/>
    </row>
    <row r="70">
      <c r="A70" s="4"/>
      <c r="B70" s="2"/>
      <c r="C70" s="3"/>
      <c r="D70" s="2"/>
      <c r="E70" s="4"/>
      <c r="F70" s="2"/>
      <c r="G70" s="2"/>
      <c r="H70" s="2"/>
      <c r="I70" s="4"/>
      <c r="J70" s="2"/>
      <c r="K70" s="5"/>
      <c r="L70" s="2"/>
      <c r="M70" s="2"/>
      <c r="N70" s="2"/>
    </row>
    <row r="71">
      <c r="A71" s="4"/>
      <c r="B71" s="2"/>
      <c r="C71" s="3"/>
      <c r="D71" s="2"/>
      <c r="E71" s="4"/>
      <c r="F71" s="2"/>
      <c r="G71" s="2"/>
      <c r="H71" s="2"/>
      <c r="I71" s="4"/>
      <c r="J71" s="2"/>
      <c r="K71" s="5"/>
      <c r="L71" s="2"/>
      <c r="M71" s="2"/>
      <c r="N71" s="2"/>
    </row>
    <row r="72">
      <c r="A72" s="4"/>
      <c r="B72" s="2"/>
      <c r="C72" s="3"/>
      <c r="D72" s="2"/>
      <c r="E72" s="4"/>
      <c r="F72" s="2"/>
      <c r="G72" s="2"/>
      <c r="H72" s="2"/>
      <c r="I72" s="4"/>
      <c r="J72" s="2"/>
      <c r="K72" s="5"/>
      <c r="L72" s="2"/>
      <c r="M72" s="2"/>
      <c r="N72" s="2"/>
    </row>
    <row r="73">
      <c r="A73" s="4"/>
      <c r="B73" s="2"/>
      <c r="C73" s="3"/>
      <c r="D73" s="2"/>
      <c r="E73" s="4"/>
      <c r="F73" s="2"/>
      <c r="G73" s="2"/>
      <c r="H73" s="2"/>
      <c r="I73" s="4"/>
      <c r="J73" s="2"/>
      <c r="K73" s="5"/>
      <c r="L73" s="2"/>
      <c r="M73" s="2"/>
      <c r="N73" s="2"/>
    </row>
    <row r="74">
      <c r="A74" s="4"/>
      <c r="B74" s="2"/>
      <c r="C74" s="3"/>
      <c r="D74" s="2"/>
      <c r="E74" s="4"/>
      <c r="F74" s="2"/>
      <c r="G74" s="2"/>
      <c r="H74" s="2"/>
      <c r="I74" s="4"/>
      <c r="J74" s="2"/>
      <c r="K74" s="5"/>
      <c r="L74" s="2"/>
      <c r="M74" s="2"/>
      <c r="N74" s="2"/>
    </row>
    <row r="75">
      <c r="A75" s="4"/>
      <c r="B75" s="2"/>
      <c r="C75" s="3"/>
      <c r="D75" s="2"/>
      <c r="E75" s="4"/>
      <c r="F75" s="2"/>
      <c r="G75" s="2"/>
      <c r="H75" s="2"/>
      <c r="I75" s="4"/>
      <c r="J75" s="2"/>
      <c r="K75" s="5"/>
      <c r="L75" s="2"/>
      <c r="M75" s="2"/>
      <c r="N75" s="2"/>
    </row>
    <row r="76">
      <c r="A76" s="4"/>
      <c r="B76" s="2"/>
      <c r="C76" s="3"/>
      <c r="D76" s="2"/>
      <c r="E76" s="4"/>
      <c r="F76" s="2"/>
      <c r="G76" s="2"/>
      <c r="H76" s="2"/>
      <c r="I76" s="4"/>
      <c r="J76" s="2"/>
      <c r="K76" s="5"/>
      <c r="L76" s="2"/>
      <c r="M76" s="2"/>
      <c r="N76" s="2"/>
    </row>
    <row r="77">
      <c r="A77" s="4"/>
      <c r="B77" s="2"/>
      <c r="C77" s="3"/>
      <c r="D77" s="2"/>
      <c r="E77" s="4"/>
      <c r="F77" s="2"/>
      <c r="G77" s="2"/>
      <c r="H77" s="2"/>
      <c r="I77" s="4"/>
      <c r="J77" s="2"/>
      <c r="K77" s="5"/>
      <c r="L77" s="2"/>
      <c r="M77" s="2"/>
      <c r="N77" s="2"/>
    </row>
    <row r="78">
      <c r="A78" s="4"/>
      <c r="B78" s="2"/>
      <c r="C78" s="3"/>
      <c r="D78" s="2"/>
      <c r="E78" s="4"/>
      <c r="F78" s="2"/>
      <c r="G78" s="2"/>
      <c r="H78" s="2"/>
      <c r="I78" s="4"/>
      <c r="J78" s="2"/>
      <c r="K78" s="5"/>
      <c r="L78" s="2"/>
      <c r="M78" s="2"/>
      <c r="N78" s="2"/>
    </row>
    <row r="79">
      <c r="A79" s="4"/>
      <c r="B79" s="2"/>
      <c r="C79" s="3"/>
      <c r="D79" s="2"/>
      <c r="E79" s="4"/>
      <c r="F79" s="2"/>
      <c r="G79" s="2"/>
      <c r="H79" s="2"/>
      <c r="I79" s="4"/>
      <c r="J79" s="2"/>
      <c r="K79" s="5"/>
      <c r="L79" s="2"/>
      <c r="M79" s="2"/>
      <c r="N79" s="2"/>
    </row>
    <row r="80">
      <c r="A80" s="4"/>
      <c r="B80" s="2"/>
      <c r="C80" s="3"/>
      <c r="D80" s="2"/>
      <c r="E80" s="4"/>
      <c r="F80" s="2"/>
      <c r="G80" s="2"/>
      <c r="H80" s="2"/>
      <c r="I80" s="4"/>
      <c r="J80" s="2"/>
      <c r="K80" s="5"/>
      <c r="L80" s="2"/>
      <c r="M80" s="2"/>
      <c r="N80" s="2"/>
    </row>
    <row r="81">
      <c r="A81" s="4"/>
      <c r="B81" s="2"/>
      <c r="C81" s="3"/>
      <c r="D81" s="2"/>
      <c r="E81" s="4"/>
      <c r="F81" s="2"/>
      <c r="G81" s="2"/>
      <c r="H81" s="2"/>
      <c r="I81" s="4"/>
      <c r="J81" s="2"/>
      <c r="K81" s="5"/>
      <c r="L81" s="2"/>
      <c r="M81" s="2"/>
      <c r="N81" s="2"/>
    </row>
    <row r="82">
      <c r="A82" s="4"/>
      <c r="B82" s="2"/>
      <c r="C82" s="3"/>
      <c r="D82" s="2"/>
      <c r="E82" s="4"/>
      <c r="F82" s="2"/>
      <c r="G82" s="2"/>
      <c r="H82" s="2"/>
      <c r="I82" s="4"/>
      <c r="J82" s="2"/>
      <c r="K82" s="5"/>
      <c r="L82" s="2"/>
      <c r="M82" s="2"/>
      <c r="N82" s="2"/>
    </row>
    <row r="83">
      <c r="A83" s="4"/>
      <c r="B83" s="2"/>
      <c r="C83" s="3"/>
      <c r="D83" s="2"/>
      <c r="E83" s="4"/>
      <c r="F83" s="2"/>
      <c r="G83" s="2"/>
      <c r="H83" s="2"/>
      <c r="I83" s="4"/>
      <c r="J83" s="2"/>
      <c r="K83" s="5"/>
      <c r="L83" s="2"/>
      <c r="M83" s="2"/>
      <c r="N83" s="2"/>
    </row>
    <row r="84">
      <c r="A84" s="4"/>
      <c r="B84" s="2"/>
      <c r="C84" s="3"/>
      <c r="D84" s="2"/>
      <c r="E84" s="4"/>
      <c r="F84" s="2"/>
      <c r="G84" s="2"/>
      <c r="H84" s="2"/>
      <c r="I84" s="4"/>
      <c r="J84" s="2"/>
      <c r="K84" s="5"/>
      <c r="L84" s="2"/>
      <c r="M84" s="2"/>
      <c r="N84" s="2"/>
    </row>
    <row r="85">
      <c r="A85" s="4"/>
      <c r="B85" s="2"/>
      <c r="C85" s="3"/>
      <c r="D85" s="2"/>
      <c r="E85" s="4"/>
      <c r="F85" s="2"/>
      <c r="G85" s="2"/>
      <c r="H85" s="2"/>
      <c r="I85" s="4"/>
      <c r="J85" s="2"/>
      <c r="K85" s="5"/>
      <c r="L85" s="2"/>
      <c r="M85" s="2"/>
      <c r="N85" s="2"/>
    </row>
    <row r="86">
      <c r="A86" s="4"/>
      <c r="B86" s="2"/>
      <c r="C86" s="3"/>
      <c r="D86" s="2"/>
      <c r="E86" s="4"/>
      <c r="F86" s="2"/>
      <c r="G86" s="2"/>
      <c r="H86" s="2"/>
      <c r="I86" s="4"/>
      <c r="J86" s="2"/>
      <c r="K86" s="5"/>
      <c r="L86" s="2"/>
      <c r="M86" s="2"/>
      <c r="N86" s="2"/>
    </row>
    <row r="87">
      <c r="A87" s="4"/>
      <c r="B87" s="2"/>
      <c r="C87" s="3"/>
      <c r="D87" s="2"/>
      <c r="E87" s="4"/>
      <c r="F87" s="2"/>
      <c r="G87" s="2"/>
      <c r="H87" s="2"/>
      <c r="I87" s="4"/>
      <c r="J87" s="2"/>
      <c r="K87" s="5"/>
      <c r="L87" s="2"/>
      <c r="M87" s="2"/>
      <c r="N87" s="2"/>
    </row>
    <row r="88">
      <c r="A88" s="4"/>
      <c r="B88" s="2"/>
      <c r="C88" s="3"/>
      <c r="D88" s="2"/>
      <c r="E88" s="4"/>
      <c r="F88" s="2"/>
      <c r="G88" s="2"/>
      <c r="H88" s="2"/>
      <c r="I88" s="4"/>
      <c r="J88" s="2"/>
      <c r="K88" s="5"/>
      <c r="L88" s="2"/>
      <c r="M88" s="2"/>
      <c r="N88" s="2"/>
    </row>
    <row r="89">
      <c r="A89" s="4"/>
      <c r="B89" s="2"/>
      <c r="C89" s="3"/>
      <c r="D89" s="2"/>
      <c r="E89" s="4"/>
      <c r="F89" s="2"/>
      <c r="G89" s="2"/>
      <c r="H89" s="2"/>
      <c r="I89" s="4"/>
      <c r="J89" s="2"/>
      <c r="K89" s="5"/>
      <c r="L89" s="2"/>
      <c r="M89" s="2"/>
      <c r="N89" s="2"/>
    </row>
    <row r="90">
      <c r="A90" s="4"/>
      <c r="B90" s="2"/>
      <c r="C90" s="3"/>
      <c r="D90" s="2"/>
      <c r="E90" s="4"/>
      <c r="F90" s="2"/>
      <c r="G90" s="2"/>
      <c r="H90" s="2"/>
      <c r="I90" s="4"/>
      <c r="J90" s="2"/>
      <c r="K90" s="5"/>
      <c r="L90" s="2"/>
      <c r="M90" s="2"/>
      <c r="N90" s="2"/>
    </row>
    <row r="91">
      <c r="A91" s="4"/>
      <c r="B91" s="2"/>
      <c r="C91" s="3"/>
      <c r="D91" s="2"/>
      <c r="E91" s="4"/>
      <c r="F91" s="2"/>
      <c r="G91" s="2"/>
      <c r="H91" s="2"/>
      <c r="I91" s="4"/>
      <c r="J91" s="2"/>
      <c r="K91" s="5"/>
      <c r="L91" s="2"/>
      <c r="M91" s="2"/>
      <c r="N91" s="2"/>
    </row>
    <row r="92">
      <c r="A92" s="4"/>
      <c r="B92" s="2"/>
      <c r="C92" s="3"/>
      <c r="D92" s="2"/>
      <c r="E92" s="4"/>
      <c r="F92" s="2"/>
      <c r="G92" s="2"/>
      <c r="H92" s="2"/>
      <c r="I92" s="4"/>
      <c r="J92" s="2"/>
      <c r="K92" s="5"/>
      <c r="L92" s="2"/>
      <c r="M92" s="2"/>
      <c r="N92" s="2"/>
    </row>
    <row r="93">
      <c r="A93" s="4"/>
      <c r="B93" s="2"/>
      <c r="C93" s="3"/>
      <c r="D93" s="2"/>
      <c r="E93" s="4"/>
      <c r="F93" s="2"/>
      <c r="G93" s="2"/>
      <c r="H93" s="2"/>
      <c r="I93" s="4"/>
      <c r="J93" s="2"/>
      <c r="K93" s="5"/>
      <c r="L93" s="2"/>
      <c r="M93" s="2"/>
      <c r="N93" s="2"/>
    </row>
    <row r="94">
      <c r="A94" s="4"/>
      <c r="B94" s="2"/>
      <c r="C94" s="3"/>
      <c r="D94" s="2"/>
      <c r="E94" s="4"/>
      <c r="F94" s="2"/>
      <c r="G94" s="2"/>
      <c r="H94" s="2"/>
      <c r="I94" s="4"/>
      <c r="J94" s="2"/>
      <c r="K94" s="5"/>
      <c r="L94" s="2"/>
      <c r="M94" s="2"/>
      <c r="N94" s="2"/>
    </row>
    <row r="95">
      <c r="A95" s="4"/>
      <c r="B95" s="2"/>
      <c r="C95" s="3"/>
      <c r="D95" s="2"/>
      <c r="E95" s="4"/>
      <c r="F95" s="2"/>
      <c r="G95" s="2"/>
      <c r="H95" s="2"/>
      <c r="I95" s="4"/>
      <c r="J95" s="2"/>
      <c r="K95" s="5"/>
      <c r="L95" s="2"/>
      <c r="M95" s="2"/>
      <c r="N95" s="2"/>
    </row>
    <row r="96">
      <c r="A96" s="4"/>
      <c r="B96" s="2"/>
      <c r="C96" s="3"/>
      <c r="D96" s="2"/>
      <c r="E96" s="4"/>
      <c r="F96" s="2"/>
      <c r="G96" s="2"/>
      <c r="H96" s="2"/>
      <c r="I96" s="4"/>
      <c r="J96" s="2"/>
      <c r="K96" s="5"/>
      <c r="L96" s="2"/>
      <c r="M96" s="2"/>
      <c r="N96" s="2"/>
    </row>
    <row r="97">
      <c r="A97" s="4"/>
      <c r="B97" s="2"/>
      <c r="C97" s="3"/>
      <c r="D97" s="2"/>
      <c r="E97" s="4"/>
      <c r="F97" s="2"/>
      <c r="G97" s="2"/>
      <c r="H97" s="2"/>
      <c r="I97" s="4"/>
      <c r="J97" s="2"/>
      <c r="K97" s="5"/>
      <c r="L97" s="2"/>
      <c r="M97" s="2"/>
      <c r="N97" s="2"/>
    </row>
    <row r="98">
      <c r="A98" s="4"/>
      <c r="B98" s="2"/>
      <c r="C98" s="3"/>
      <c r="D98" s="2"/>
      <c r="E98" s="4"/>
      <c r="F98" s="2"/>
      <c r="G98" s="2"/>
      <c r="H98" s="2"/>
      <c r="I98" s="4"/>
      <c r="J98" s="2"/>
      <c r="K98" s="5"/>
      <c r="L98" s="2"/>
      <c r="M98" s="2"/>
      <c r="N98" s="2"/>
    </row>
    <row r="99">
      <c r="A99" s="4"/>
      <c r="B99" s="2"/>
      <c r="C99" s="3"/>
      <c r="D99" s="2"/>
      <c r="E99" s="4"/>
      <c r="F99" s="2"/>
      <c r="G99" s="2"/>
      <c r="H99" s="2"/>
      <c r="I99" s="4"/>
      <c r="J99" s="2"/>
      <c r="K99" s="5"/>
      <c r="L99" s="2"/>
      <c r="M99" s="2"/>
      <c r="N99" s="2"/>
    </row>
    <row r="100">
      <c r="A100" s="4"/>
      <c r="B100" s="2"/>
      <c r="C100" s="3"/>
      <c r="D100" s="2"/>
      <c r="E100" s="4"/>
      <c r="F100" s="2"/>
      <c r="G100" s="2"/>
      <c r="H100" s="2"/>
      <c r="I100" s="4"/>
      <c r="J100" s="2"/>
      <c r="K100" s="5"/>
      <c r="L100" s="2"/>
      <c r="M100" s="2"/>
      <c r="N100" s="2"/>
    </row>
  </sheetData>
  <mergeCells count="7">
    <mergeCell ref="C3:C14"/>
    <mergeCell ref="G3:G33"/>
    <mergeCell ref="K3:K9"/>
    <mergeCell ref="K13:K17"/>
    <mergeCell ref="C18:C33"/>
    <mergeCell ref="J22:K22"/>
    <mergeCell ref="J23:K23"/>
  </mergeCells>
  <hyperlinks>
    <hyperlink r:id="rId1" ref="K3"/>
    <hyperlink r:id="rId2" ref="K10"/>
    <hyperlink r:id="rId3" ref="C15"/>
    <hyperlink r:id="rId4" ref="K18"/>
    <hyperlink r:id="rId5" ref="J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cols>
    <col customWidth="1" min="1" max="1" width="42.63"/>
    <col customWidth="1" min="2" max="2" width="11.38"/>
    <col customWidth="1" min="3" max="3" width="15.0"/>
    <col customWidth="1" min="4" max="5" width="12.63"/>
    <col customWidth="1" min="6" max="6" width="9.38"/>
    <col customWidth="1" min="7" max="10" width="8.88"/>
    <col customWidth="1" min="11" max="11" width="17.63"/>
    <col customWidth="1" min="12" max="12" width="21.38"/>
    <col customWidth="1" min="13" max="13" width="23.88"/>
    <col customWidth="1" min="14" max="14" width="25.13"/>
    <col customWidth="1" min="15" max="15" width="8.88"/>
    <col customWidth="1" min="16" max="16" width="10.13"/>
    <col customWidth="1" min="17" max="17" width="25.13"/>
    <col customWidth="1" min="18" max="18" width="35.13"/>
    <col customWidth="1" min="19" max="19" width="89.63"/>
    <col customWidth="1" min="20" max="20" width="23.88"/>
    <col customWidth="1" min="21" max="21" width="45.13"/>
    <col customWidth="1" min="22" max="22" width="8.88"/>
    <col customWidth="1" min="23" max="23" width="15.38"/>
    <col customWidth="1" min="24" max="25" width="16.0"/>
    <col customWidth="1" min="26" max="26" width="8.88"/>
  </cols>
  <sheetData>
    <row r="1">
      <c r="A1" s="19" t="s">
        <v>12</v>
      </c>
      <c r="B1" s="20"/>
      <c r="C1" s="21"/>
      <c r="D1" s="22" t="str">
        <f t="array" ref="D1">XLOOKUP(D4,ResortsDD!D2:D2006,ResortsDD!E2:E2006,,0)</f>
        <v>ALL</v>
      </c>
      <c r="E1" s="22"/>
      <c r="F1" s="23"/>
      <c r="G1" s="21"/>
      <c r="H1" s="21"/>
      <c r="I1" s="21"/>
      <c r="J1" s="21"/>
      <c r="K1" s="24" t="str">
        <f>IFERROR(__xludf.DUMMYFUNCTION("IF(ISBLANK(K4),,LET(selected,REGEXREPLACE(JOIN(""|"",SPLIT(K4,"", "",FALSE)),""\+"",""\\+""), selected))"),"")</f>
        <v/>
      </c>
      <c r="L1" s="24" t="str">
        <f>IFERROR(__xludf.DUMMYFUNCTION("IF(ISBLANK(L4),,LET(selected,JOIN(""|"",SPLIT(L4,"", "",FALSE)), IF(L5, JOIN(""|"",FILTER(TOCOL(ResortsDD!L2:L2006,1),NOT(REGEXMATCH(TOCOL(ResortsDD!L2:L2006,1),selected)))), selected)))"),"")</f>
        <v/>
      </c>
      <c r="M1" s="24" t="str">
        <f>IFERROR(__xludf.DUMMYFUNCTION("IF(ISBLANK(M4),,LET(selected,JOIN(""|"",SPLIT(M4,"", "",FALSE)), IF(M5, JOIN(""|"",FILTER(TOCOL(ResortsDD!M2:M2006,1),NOT(REGEXMATCH(TOCOL(ResortsDD!M2:M2006,1),selected)))), selected)))"),"")</f>
        <v/>
      </c>
      <c r="N1" s="24" t="str">
        <f>IFERROR(__xludf.DUMMYFUNCTION("IF(ISBLANK(N4),,LET(selected,JOIN(""|"",SPLIT(N4,"", "",FALSE)), IF(N5, JOIN(""|"",FILTER(TOCOL(ResortsDD!N2:N2006,1),NOT(REGEXMATCH(TOCOL(ResortsDD!N2:N2006,1),selected)))), selected)))"),"")</f>
        <v/>
      </c>
      <c r="O1" s="21" t="str">
        <f>IF(O4,O4,)</f>
        <v/>
      </c>
      <c r="P1" s="25" t="str">
        <f t="array" ref="P1">XLOOKUP(P4,ResortsDD!O2:O2006,ResortsDD!P2:P2006,,0)</f>
        <v>ALL</v>
      </c>
      <c r="Q1" s="24" t="str">
        <f>IFERROR(__xludf.DUMMYFUNCTION("IF(ISBLANK(Q4),,JOIN(""|"",SPLIT(Q4,"", "",FALSE)))"),"")</f>
        <v/>
      </c>
      <c r="R1" s="24" t="str">
        <f>IFERROR(__xludf.DUMMYFUNCTION("IF(ISBLANK(R4),,JOIN("".*"",SORT(TOCOL(SPLIT(R4,"", "",FALSE)))))"),"")</f>
        <v/>
      </c>
      <c r="S1" s="24" t="str">
        <f>IFERROR(__xludf.DUMMYFUNCTION("IF(ISBLANK(S4),,JOIN("".*"",SORT(TOCOL(SPLIT(S4,"", "",FALSE)))))"),"")</f>
        <v/>
      </c>
      <c r="T1" s="21" t="str">
        <f>IF(T4,T4,)</f>
        <v/>
      </c>
      <c r="U1" s="24" t="str">
        <f>IFERROR(__xludf.DUMMYFUNCTION("IF(ISBLANK(U4),,""^""&amp;JOIN(""$|^"",SPLIT(U4,"", "",FALSE))&amp;""$"")"),"")</f>
        <v/>
      </c>
      <c r="V1" s="26" t="str">
        <f>IF(V4,V4,)</f>
        <v/>
      </c>
      <c r="W1" s="27" t="str">
        <f t="array" ref="W1">IF(ISBLANK(W4),,XLOOKUP(W4,ResortsDD!W2:W2006,ResortsDD!X2:X2006,,0))</f>
        <v>ALL</v>
      </c>
      <c r="X1" s="27" t="str">
        <f t="array" ref="X1">IF(ISBLANK(X4),,XLOOKUP(X4,ResortsDD!Y2:Y2006,ResortsDD!Z2:Z2006,,0))</f>
        <v>ALL</v>
      </c>
      <c r="Y1" s="27" t="str">
        <f t="array" ref="Y1">IF(ISBLANK(Y4),,XLOOKUP(Y4,ResortsDD!AA2:AA2006,ResortsDD!AB2:AB2006,,0))</f>
        <v>ALL</v>
      </c>
      <c r="Z1" s="27"/>
    </row>
    <row r="2">
      <c r="A2" s="28" t="s">
        <v>13</v>
      </c>
      <c r="B2" s="29" t="s">
        <v>14</v>
      </c>
      <c r="C2" s="30" t="s">
        <v>15</v>
      </c>
      <c r="D2" s="31" t="s">
        <v>16</v>
      </c>
      <c r="E2" s="32"/>
      <c r="F2" s="33"/>
      <c r="G2" s="34" t="s">
        <v>17</v>
      </c>
      <c r="H2" s="35"/>
      <c r="I2" s="35"/>
      <c r="J2" s="32"/>
      <c r="K2" s="36"/>
      <c r="L2" s="34" t="s">
        <v>18</v>
      </c>
      <c r="M2" s="35"/>
      <c r="N2" s="32"/>
      <c r="O2" s="36"/>
      <c r="P2" s="36"/>
      <c r="Q2" s="34" t="s">
        <v>19</v>
      </c>
      <c r="R2" s="32"/>
      <c r="S2" s="34" t="s">
        <v>20</v>
      </c>
      <c r="T2" s="32"/>
      <c r="U2" s="36"/>
      <c r="V2" s="36"/>
      <c r="W2" s="36"/>
      <c r="X2" s="36"/>
      <c r="Y2" s="36"/>
      <c r="Z2" s="36"/>
    </row>
    <row r="3">
      <c r="A3" s="37" t="str">
        <f>IFERROR(__xludf.DUMMYFUNCTION("LET(filters,TEXTJOIN("", "",TRUE, IF(C4&lt;&gt;""ALL"",C4,), IF(D4&lt;&gt;""The Sky's the Limit!"",E5&amp;"" ""&amp;D4,), TEXTJOIN("", "",TRUE,IFNA(FILTER(G7:J7,G4:J4&lt;&gt;""ALL""),)), TEXTJOIN("", "",TRUE,IFNA(FILTER(K3:N3,K4:N4&lt;&gt;""""),)),
IF(O4,""Direct Flight"",), IF(P4&lt;&gt;""AL"&amp;"L"",""To/From Airport"",), TEXTJOIN("", "",TRUE,IFNA(FILTER(Q3:S3,Q4:S4&lt;&gt;""""),)), IF(T4,""Connecting Rooms"",), IF(U4&lt;&gt;"""",""Beds"",), IF(V4,""High Rise"",),
TEXTJOIN("", "",TRUE,IFNA(FILTER(W3:Y3,W4:Y4&lt;&gt;""ALL""),))),
IF(LEN(filters),""Filtering By: "" "&amp;"&amp; filters,""SELECT A FILTER &gt;""))"),"SELECT A FILTER &gt;")</f>
        <v>SELECT A FILTER &gt;</v>
      </c>
      <c r="B3" s="38"/>
      <c r="C3" s="39" t="s">
        <v>21</v>
      </c>
      <c r="D3" s="40" t="s">
        <v>22</v>
      </c>
      <c r="E3" s="41"/>
      <c r="F3" s="42"/>
      <c r="G3" s="40" t="s">
        <v>23</v>
      </c>
      <c r="J3" s="41"/>
      <c r="K3" s="43" t="s">
        <v>24</v>
      </c>
      <c r="L3" s="44" t="s">
        <v>25</v>
      </c>
      <c r="M3" s="44" t="s">
        <v>26</v>
      </c>
      <c r="N3" s="44" t="s">
        <v>27</v>
      </c>
      <c r="O3" s="44" t="s">
        <v>28</v>
      </c>
      <c r="P3" s="44" t="s">
        <v>29</v>
      </c>
      <c r="Q3" s="44" t="s">
        <v>30</v>
      </c>
      <c r="R3" s="44" t="s">
        <v>31</v>
      </c>
      <c r="S3" s="44" t="s">
        <v>32</v>
      </c>
      <c r="T3" s="44" t="s">
        <v>33</v>
      </c>
      <c r="U3" s="44" t="s">
        <v>34</v>
      </c>
      <c r="V3" s="44" t="s">
        <v>35</v>
      </c>
      <c r="W3" s="44" t="s">
        <v>36</v>
      </c>
      <c r="X3" s="44" t="s">
        <v>37</v>
      </c>
      <c r="Y3" s="44" t="s">
        <v>38</v>
      </c>
      <c r="Z3" s="44"/>
    </row>
    <row r="4">
      <c r="B4" s="38"/>
      <c r="C4" s="26" t="s">
        <v>39</v>
      </c>
      <c r="D4" s="26" t="s">
        <v>40</v>
      </c>
      <c r="F4" s="42"/>
      <c r="G4" s="26" t="s">
        <v>39</v>
      </c>
      <c r="H4" s="26" t="s">
        <v>39</v>
      </c>
      <c r="I4" s="26" t="s">
        <v>39</v>
      </c>
      <c r="J4" s="26" t="s">
        <v>39</v>
      </c>
      <c r="K4" s="45"/>
      <c r="L4" s="45"/>
      <c r="M4" s="45"/>
      <c r="N4" s="45"/>
      <c r="O4" s="46" t="b">
        <v>0</v>
      </c>
      <c r="P4" s="26" t="s">
        <v>39</v>
      </c>
      <c r="Q4" s="45"/>
      <c r="R4" s="26"/>
      <c r="S4" s="26"/>
      <c r="T4" s="46" t="b">
        <v>0</v>
      </c>
      <c r="U4" s="26"/>
      <c r="V4" s="47" t="b">
        <v>0</v>
      </c>
      <c r="W4" s="26" t="s">
        <v>39</v>
      </c>
      <c r="X4" s="26" t="s">
        <v>39</v>
      </c>
      <c r="Y4" s="26" t="s">
        <v>39</v>
      </c>
      <c r="Z4" s="48"/>
    </row>
    <row r="5">
      <c r="B5" s="38"/>
      <c r="C5" s="26"/>
      <c r="D5" s="49" t="s">
        <v>41</v>
      </c>
      <c r="E5" s="50" t="s">
        <v>42</v>
      </c>
      <c r="F5" s="51"/>
      <c r="G5" s="26"/>
      <c r="H5" s="26"/>
      <c r="I5" s="26"/>
      <c r="J5" s="26"/>
      <c r="K5" s="26" t="b">
        <v>1</v>
      </c>
      <c r="L5" s="26" t="b">
        <v>1</v>
      </c>
      <c r="M5" s="26" t="b">
        <v>1</v>
      </c>
      <c r="N5" s="26" t="b">
        <v>1</v>
      </c>
      <c r="O5" s="26"/>
      <c r="P5" s="52"/>
      <c r="Q5" s="45"/>
      <c r="R5" s="26"/>
      <c r="S5" s="26"/>
      <c r="T5" s="45"/>
      <c r="U5" s="45"/>
      <c r="V5" s="48"/>
      <c r="W5" s="48"/>
      <c r="X5" s="48"/>
      <c r="Y5" s="48"/>
      <c r="Z5" s="48"/>
    </row>
    <row r="6">
      <c r="A6" s="37"/>
      <c r="B6" s="53" t="b">
        <v>0</v>
      </c>
      <c r="F6" s="54" t="b">
        <v>0</v>
      </c>
      <c r="K6" s="55" t="str">
        <f>IFERROR(__xludf.DUMMYFUNCTION("IF(ISBLANK(K4),,IF(K5,""Exclude ""&amp;IF(COUNTA(SPLIT(K4,"",""))&gt;1,""Options"",""Option""),))"),"")</f>
        <v/>
      </c>
      <c r="L6" s="55" t="str">
        <f>IFERROR(__xludf.DUMMYFUNCTION("IF(ISBLANK(L4),,IF(L5,""Exclude "",""Include "") &amp; IF(COUNTA(SPLIT(L4,"",""))&gt;1,""Countries"",""Country""))"),"")</f>
        <v/>
      </c>
      <c r="M6" s="55" t="str">
        <f>IFERROR(__xludf.DUMMYFUNCTION("IF(ISBLANK(M4),,IF(M5,""Exclude "",""Include "") &amp; IF(COUNTA(SPLIT(M4,"",""))&gt;1,""Areas"",""Area""))"),"")</f>
        <v/>
      </c>
      <c r="N6" s="55" t="str">
        <f>IFERROR(__xludf.DUMMYFUNCTION("IF(ISBLANK(N4),,IF(N5,""Exclude "",""Include "") &amp; IF(COUNTA(SPLIT(N4,"",""))&gt;1,""Airports"",""Airport""))"),"")</f>
        <v/>
      </c>
      <c r="R6" s="56"/>
      <c r="S6" s="56"/>
    </row>
    <row r="7">
      <c r="A7" s="57" t="str">
        <f>"Resorts (" &amp; COUNTIFS(A8:A2006,"&lt;&gt;", A8:A2006,"&lt;&gt;No Resorts Match Your Filter Criteria") &amp; " Found)"</f>
        <v>Resorts (445 Found)</v>
      </c>
      <c r="B7" s="58" t="s">
        <v>43</v>
      </c>
      <c r="C7" s="59" t="s">
        <v>44</v>
      </c>
      <c r="D7" s="60" t="s">
        <v>45</v>
      </c>
      <c r="E7" s="60" t="s">
        <v>46</v>
      </c>
      <c r="F7" s="61" t="s">
        <v>47</v>
      </c>
      <c r="G7" s="62" t="s">
        <v>48</v>
      </c>
      <c r="H7" s="63" t="s">
        <v>49</v>
      </c>
      <c r="I7" s="62" t="s">
        <v>50</v>
      </c>
      <c r="J7" s="62" t="s">
        <v>51</v>
      </c>
      <c r="K7" s="62" t="s">
        <v>24</v>
      </c>
      <c r="L7" s="62" t="s">
        <v>25</v>
      </c>
      <c r="M7" s="62" t="s">
        <v>26</v>
      </c>
      <c r="N7" s="62" t="s">
        <v>27</v>
      </c>
      <c r="O7" s="62" t="s">
        <v>52</v>
      </c>
      <c r="P7" s="62" t="s">
        <v>53</v>
      </c>
      <c r="Q7" s="62" t="s">
        <v>30</v>
      </c>
      <c r="R7" s="62" t="s">
        <v>31</v>
      </c>
      <c r="S7" s="62" t="s">
        <v>32</v>
      </c>
      <c r="T7" s="62" t="s">
        <v>54</v>
      </c>
      <c r="U7" s="62" t="s">
        <v>34</v>
      </c>
      <c r="V7" s="62" t="s">
        <v>55</v>
      </c>
      <c r="W7" s="63" t="s">
        <v>36</v>
      </c>
      <c r="X7" s="62" t="s">
        <v>37</v>
      </c>
      <c r="Y7" s="63" t="s">
        <v>38</v>
      </c>
      <c r="Z7" s="64" t="s">
        <v>56</v>
      </c>
    </row>
    <row r="8">
      <c r="A8" s="65" t="str">
        <f>IFERROR(__xludf.DUMMYFUNCTION("LET(r,IFNA(FILTER({DATA!A2:F2006,DATA!R2:AK2006}, NOT(REGEXMATCH(DATA!V2:V2006,TEXTJOIN(""|"",TRUE,TOCOL(ResortsDD!A2:A2006,1)))), IF(RESORTS!B6,DATA!B2:B2006&lt;9^9,DATA!B2:B2006&gt;=85), REGEXMATCH(DATA!C2:C2006,IF(RESORTS!C4=""ALL"","".*"",RESORTS!C4)), IF(O"&amp;"R(ISTEXT(RESORTS!D1),RESORTS!E5&lt;&gt;""USD""),DATA!D2:D2006&lt;9^9,(DATA!D2:D2006&lt;=RESORTS!D1)*NOT(ISBLANK(DATA!D2:D2006))), IF(OR(ISTEXT(RESORTS!D1),RESORTS!E5&lt;&gt;""CAD""),DATA!E2:E2006&lt;9^9,(DATA!E2:E2006&lt;=RESORTS!D1)*NOT(ISBLANK(DATA!E2:E2006))), IF(RESORTS!G4="&amp;"""ALL"",NOT(ISBLANK(DATA!R2:R2006))+ISBLANK(DATA!R2:R2006),IF(RESORTS!G4=""Approved"",(DATA!R2:R2006&gt;0)*NOT(ISBLANK(DATA!R2:R2006)),(DATA!R2:R2006&gt;=RESORTS!G4)*(DATA!R2:R2006&lt;&gt;""Approved""))), IF(RESORTS!H4=""ALL"",NOT(ISBLANK(DATA!S2:S2006))+ISBLANK(DATA"&amp;"!S2:S2006),DATA!S2:S2006&gt;=RESORTS!H4), IF(RESORTS!I4=""ALL"",NOT(ISBLANK(DATA!T2:T2006))+ISBLANK(DATA!T2:T2006),DATA!T2:T2006&gt;=RESORTS!I4), IF(RESORTS!J4=""ALL"",NOT(ISBLANK(DATA!U2:U2006))+ISBLANK(DATA!U2:U2006),DATA!U2:U2006&gt;=RESORTS!J4), IF(ISBLANK(RES"&amp;"ORTS!K4),REGEXMATCH(DATA!V2:V2006,"".*""),IF(RESORTS!K5,NOT(REGEXMATCH(DATA!V2:V2006,RESORTS!K1)),REGEXMATCH(DATA!V2:V2006,RESORTS!K1))), REGEXMATCH(DATA!W2:W2006,IF(ISBLANK(RESORTS!L4),"".*"",RESORTS!L1)), REGEXMATCH(DATA!X2:X2006,IF(ISBLANK(RESORTS!M4),"&amp;""".*"",RESORTS!M1)), REGEXMATCH(DATA!Y2:Y2006,IF(ISBLANK(RESORTS!N4),"".*"",RESORTS!N1)), IF(RESORTS!O4,DATA!Z2:Z2006=TRUE,REGEXMATCH(TO_TEXT(DATA!Z2:Z2006),"".*"")), IF(RESORTS!P4=""ALL"",DATA!AA2:AA2006&lt;9^9,(DATA!AA2:AA2006&lt;=RESORTS!P1)*NOT(ISBLANK(DATA"&amp;"!AA2:AA2006))), REGEXMATCH(DATA!AB2:AB2006,IF(ISBLANK(RESORTS!Q4),"".*"",RESORTS!Q1)), REGEXMATCH(DATA!AL2:AL2006,IF(ISBLANK(RESORTS!R4),"".*"",RESORTS!R1)), REGEXMATCH(DATA!AM2:AM2006,IF(ISBLANK(RESORTS!S4),"".*"",RESORTS!S1)), IF(RESORTS!T4,REGEXMATCH(D"&amp;"ATA!AE2:AE2006,TEXTJOIN(""|"",TRUE,TOCOL(ResortsDD!B2:B2006,1))),REGEXMATCH(DATA!AE2:AE2006,"".*"")), REGEXMATCH(DATA!AF2:AF2006,IF(ISBLANK(RESORTS!U4),"".*"",RESORTS!U1)), IF(RESORTS!V4,DATA!AG2:AG2006=FALSE,REGEXMATCH(TO_TEXT(DATA!AG2:AG2006),"".*"")), "&amp;"IF(RESORTS!W4=""ALL"",DATA!AH2:AH2006&lt;9^9,(DATA!AH2:AH2006&lt;=RESORTS!W1)*NOT(ISBLANK(DATA!AH2:AH2006))), IF(RESORTS!X4=""ALL"",DATA!AI2:AI2006&lt;9^9,(DATA!AI2:AI2006&gt;=YEAR(TODAY())-RESORTS!X1)*NOT(ISBLANK(DATA!AI2:AI2006))), IF(RESORTS!Y4=""ALL"",DATA!AJ2:AJ"&amp;"2006&lt;9^9,(DATA!AJ2:AJ2006&gt;=YEAR(TODAY())-RESORTS!Y1)*NOT(ISBLANK(DATA!AJ2:AJ2006)))
),""na""), IF(r=""na"",""No Resorts Match Your Filter Criteria"", SORT(r,IF(RESORTS!F6,6,2),0,4,1)))"),"Coco Plum Island Resort")</f>
        <v>Coco Plum Island Resort</v>
      </c>
      <c r="B8" s="66">
        <f>IFERROR(__xludf.DUMMYFUNCTION("""COMPUTED_VALUE"""),98.5)</f>
        <v>98.5</v>
      </c>
      <c r="C8" s="67" t="str">
        <f>IFERROR(__xludf.DUMMYFUNCTION("""COMPUTED_VALUE"""),"Adults Only")</f>
        <v>Adults Only</v>
      </c>
      <c r="D8" s="68">
        <f>IFERROR(__xludf.DUMMYFUNCTION("""COMPUTED_VALUE"""),5799.99)</f>
        <v>5799.99</v>
      </c>
      <c r="E8" s="68">
        <f>IFERROR(__xludf.DUMMYFUNCTION("""COMPUTED_VALUE"""),8010.075609500998)</f>
        <v>8010.07561</v>
      </c>
      <c r="F8" s="69">
        <f>IFERROR(__xludf.DUMMYFUNCTION("""COMPUTED_VALUE"""),3.19)</f>
        <v>3.19</v>
      </c>
      <c r="G8" s="70"/>
      <c r="H8" s="70"/>
      <c r="I8" s="70"/>
      <c r="J8" s="70"/>
      <c r="K8" s="71"/>
      <c r="L8" s="72" t="str">
        <f>IFERROR(__xludf.DUMMYFUNCTION("""COMPUTED_VALUE"""),"Belize")</f>
        <v>Belize</v>
      </c>
      <c r="M8" s="71" t="str">
        <f>IFERROR(__xludf.DUMMYFUNCTION("""COMPUTED_VALUE"""),"Coco Plum Cay")</f>
        <v>Coco Plum Cay</v>
      </c>
      <c r="N8" s="72" t="str">
        <f>IFERROR(__xludf.DUMMYFUNCTION("""COMPUTED_VALUE"""),"Philip S.W. Goldson")</f>
        <v>Philip S.W. Goldson</v>
      </c>
      <c r="O8" s="70" t="b">
        <f>IFERROR(__xludf.DUMMYFUNCTION("""COMPUTED_VALUE"""),TRUE)</f>
        <v>1</v>
      </c>
      <c r="P8" s="73"/>
      <c r="Q8" s="71"/>
      <c r="R8" s="71" t="str">
        <f>IFERROR(__xludf.DUMMYFUNCTION("""COMPUTED_VALUE"""),"Romantic, Great View")</f>
        <v>Romantic, Great View</v>
      </c>
      <c r="S8" s="71" t="str">
        <f>IFERROR(__xludf.DUMMYFUNCTION("""COMPUTED_VALUE"""),"Beach, Wifi (Free), Diving, Fishing, Yoga Classes")</f>
        <v>Beach, Wifi (Free), Diving, Fishing, Yoga Classes</v>
      </c>
      <c r="T8" s="71"/>
      <c r="U8" s="71"/>
      <c r="V8" s="74" t="b">
        <f>IFERROR(__xludf.DUMMYFUNCTION("""COMPUTED_VALUE"""),FALSE)</f>
        <v>0</v>
      </c>
      <c r="W8" s="74"/>
      <c r="X8" s="74"/>
      <c r="Y8" s="74"/>
      <c r="Z8" s="75"/>
    </row>
    <row r="9">
      <c r="A9" s="65" t="str">
        <f>IFERROR(__xludf.DUMMYFUNCTION("""COMPUTED_VALUE"""),"The Aerial BVI (Non refundable)")</f>
        <v>The Aerial BVI (Non refundable)</v>
      </c>
      <c r="B9" s="66">
        <f>IFERROR(__xludf.DUMMYFUNCTION("""COMPUTED_VALUE"""),98.5)</f>
        <v>98.5</v>
      </c>
      <c r="C9" s="67" t="str">
        <f>IFERROR(__xludf.DUMMYFUNCTION("""COMPUTED_VALUE"""),"Family")</f>
        <v>Family</v>
      </c>
      <c r="D9" s="68">
        <f>IFERROR(__xludf.DUMMYFUNCTION("""COMPUTED_VALUE"""),18917.5)</f>
        <v>18917.5</v>
      </c>
      <c r="E9" s="68">
        <f>IFERROR(__xludf.DUMMYFUNCTION("""COMPUTED_VALUE"""),26126.011483249997)</f>
        <v>26126.01148</v>
      </c>
      <c r="F9" s="69">
        <f>IFERROR(__xludf.DUMMYFUNCTION("""COMPUTED_VALUE"""),0.98)</f>
        <v>0.98</v>
      </c>
      <c r="G9" s="70"/>
      <c r="H9" s="70"/>
      <c r="I9" s="70"/>
      <c r="J9" s="70"/>
      <c r="K9" s="71" t="str">
        <f>IFERROR(__xludf.DUMMYFUNCTION("""COMPUTED_VALUE"""),"Max 3 per Room, Non Refundable")</f>
        <v>Max 3 per Room, Non Refundable</v>
      </c>
      <c r="L9" s="72" t="str">
        <f>IFERROR(__xludf.DUMMYFUNCTION("""COMPUTED_VALUE"""),"British Virgin Islands")</f>
        <v>British Virgin Islands</v>
      </c>
      <c r="M9" s="71" t="str">
        <f>IFERROR(__xludf.DUMMYFUNCTION("""COMPUTED_VALUE"""),"Buck Island")</f>
        <v>Buck Island</v>
      </c>
      <c r="N9" s="72" t="str">
        <f>IFERROR(__xludf.DUMMYFUNCTION("""COMPUTED_VALUE"""),"Beef Island")</f>
        <v>Beef Island</v>
      </c>
      <c r="O9" s="70" t="b">
        <f>IFERROR(__xludf.DUMMYFUNCTION("""COMPUTED_VALUE"""),FALSE)</f>
        <v>0</v>
      </c>
      <c r="P9" s="73">
        <f>IFERROR(__xludf.DUMMYFUNCTION("""COMPUTED_VALUE"""),0.008333333333333333)</f>
        <v>0.008333333333</v>
      </c>
      <c r="Q9" s="76"/>
      <c r="R9" s="71"/>
      <c r="S9" s="71" t="str">
        <f>IFERROR(__xludf.DUMMYFUNCTION("""COMPUTED_VALUE"""),"Beach, Heated Pool, Wifi (Free), Spa, Gym, Horseback Riding, Watersports Equipment Rentals, Hiking, Snorkelling, Yoga Classes")</f>
        <v>Beach, Heated Pool, Wifi (Free), Spa, Gym, Horseback Riding, Watersports Equipment Rentals, Hiking, Snorkelling, Yoga Classes</v>
      </c>
      <c r="T9" s="71"/>
      <c r="U9" s="71" t="str">
        <f>IFERROR(__xludf.DUMMYFUNCTION("""COMPUTED_VALUE"""),"1 King")</f>
        <v>1 King</v>
      </c>
      <c r="V9" s="74" t="b">
        <f>IFERROR(__xludf.DUMMYFUNCTION("""COMPUTED_VALUE"""),FALSE)</f>
        <v>0</v>
      </c>
      <c r="W9" s="74"/>
      <c r="X9" s="74"/>
      <c r="Y9" s="74"/>
      <c r="Z9" s="75"/>
    </row>
    <row r="10">
      <c r="A10" s="77" t="str">
        <f>IFERROR(__xludf.DUMMYFUNCTION("""COMPUTED_VALUE"""),"The Beachfront By The Fives Hotels")</f>
        <v>The Beachfront By The Fives Hotels</v>
      </c>
      <c r="B10" s="66">
        <f>IFERROR(__xludf.DUMMYFUNCTION("""COMPUTED_VALUE"""),98.0)</f>
        <v>98</v>
      </c>
      <c r="C10" s="78" t="str">
        <f>IFERROR(__xludf.DUMMYFUNCTION("""COMPUTED_VALUE"""),"Adults Only")</f>
        <v>Adults Only</v>
      </c>
      <c r="D10" s="68">
        <f>IFERROR(__xludf.DUMMYFUNCTION("""COMPUTED_VALUE"""),5114.0)</f>
        <v>5114</v>
      </c>
      <c r="E10" s="68">
        <f>IFERROR(__xludf.DUMMYFUNCTION("""COMPUTED_VALUE"""),7062.689188599999)</f>
        <v>7062.689189</v>
      </c>
      <c r="F10" s="69">
        <f>IFERROR(__xludf.DUMMYFUNCTION("""COMPUTED_VALUE"""),3.52)</f>
        <v>3.52</v>
      </c>
      <c r="G10" s="70"/>
      <c r="H10" s="70" t="str">
        <f>IFERROR(__xludf.DUMMYFUNCTION("""COMPUTED_VALUE"""),"NYR")</f>
        <v>NYR</v>
      </c>
      <c r="I10" s="70"/>
      <c r="J10" s="70">
        <f>IFERROR(__xludf.DUMMYFUNCTION("""COMPUTED_VALUE"""),2.0)</f>
        <v>2</v>
      </c>
      <c r="K10" s="71"/>
      <c r="L10" s="72" t="str">
        <f>IFERROR(__xludf.DUMMYFUNCTION("""COMPUTED_VALUE"""),"Mexico")</f>
        <v>Mexico</v>
      </c>
      <c r="M10" s="72" t="str">
        <f>IFERROR(__xludf.DUMMYFUNCTION("""COMPUTED_VALUE"""),"Playa del Carmen")</f>
        <v>Playa del Carmen</v>
      </c>
      <c r="N10" s="72" t="str">
        <f>IFERROR(__xludf.DUMMYFUNCTION("""COMPUTED_VALUE"""),"Cancun")</f>
        <v>Cancun</v>
      </c>
      <c r="O10" s="74" t="b">
        <f>IFERROR(__xludf.DUMMYFUNCTION("""COMPUTED_VALUE"""),TRUE)</f>
        <v>1</v>
      </c>
      <c r="P10" s="73">
        <f>IFERROR(__xludf.DUMMYFUNCTION("""COMPUTED_VALUE"""),0.030555555555555555)</f>
        <v>0.03055555556</v>
      </c>
      <c r="Q10" s="71" t="str">
        <f>IFERROR(__xludf.DUMMYFUNCTION("""COMPUTED_VALUE"""),"The Fives Hotels")</f>
        <v>The Fives Hotels</v>
      </c>
      <c r="R10" s="71" t="str">
        <f>IFERROR(__xludf.DUMMYFUNCTION("""COMPUTED_VALUE"""),"Boutique, Business")</f>
        <v>Boutique, Business</v>
      </c>
      <c r="S10" s="71" t="str">
        <f>IFERROR(__xludf.DUMMYFUNCTION("""COMPUTED_VALUE"""),"Beach, Swim Out/Plunge Pool Rooms, Gym, Spa, Wifi (Free), Snorkelling, Room Service")</f>
        <v>Beach, Swim Out/Plunge Pool Rooms, Gym, Spa, Wifi (Free), Snorkelling, Room Service</v>
      </c>
      <c r="T10" s="71"/>
      <c r="U10" s="71"/>
      <c r="V10" s="74" t="b">
        <f>IFERROR(__xludf.DUMMYFUNCTION("""COMPUTED_VALUE"""),FALSE)</f>
        <v>0</v>
      </c>
      <c r="W10" s="74">
        <f>IFERROR(__xludf.DUMMYFUNCTION("""COMPUTED_VALUE"""),50.0)</f>
        <v>50</v>
      </c>
      <c r="X10" s="74">
        <f>IFERROR(__xludf.DUMMYFUNCTION("""COMPUTED_VALUE"""),2023.0)</f>
        <v>2023</v>
      </c>
      <c r="Y10" s="74"/>
      <c r="Z10" s="75">
        <f>IFERROR(__xludf.DUMMYFUNCTION("""COMPUTED_VALUE"""),3.0)</f>
        <v>3</v>
      </c>
    </row>
    <row r="11">
      <c r="A11" s="77" t="str">
        <f>IFERROR(__xludf.DUMMYFUNCTION("""COMPUTED_VALUE"""),"Guana Island")</f>
        <v>Guana Island</v>
      </c>
      <c r="B11" s="66">
        <f>IFERROR(__xludf.DUMMYFUNCTION("""COMPUTED_VALUE"""),98.0)</f>
        <v>98</v>
      </c>
      <c r="C11" s="78" t="str">
        <f>IFERROR(__xludf.DUMMYFUNCTION("""COMPUTED_VALUE"""),"Family")</f>
        <v>Family</v>
      </c>
      <c r="D11" s="68">
        <f>IFERROR(__xludf.DUMMYFUNCTION("""COMPUTED_VALUE"""),24367.0)</f>
        <v>24367</v>
      </c>
      <c r="E11" s="68">
        <f>IFERROR(__xludf.DUMMYFUNCTION("""COMPUTED_VALUE"""),33652.04291329999)</f>
        <v>33652.04291</v>
      </c>
      <c r="F11" s="69">
        <f>IFERROR(__xludf.DUMMYFUNCTION("""COMPUTED_VALUE"""),0.74)</f>
        <v>0.74</v>
      </c>
      <c r="G11" s="70"/>
      <c r="H11" s="70">
        <f>IFERROR(__xludf.DUMMYFUNCTION("""COMPUTED_VALUE"""),7.0)</f>
        <v>7</v>
      </c>
      <c r="I11" s="70"/>
      <c r="J11" s="70">
        <f>IFERROR(__xludf.DUMMYFUNCTION("""COMPUTED_VALUE"""),4.0)</f>
        <v>4</v>
      </c>
      <c r="K11" s="71" t="str">
        <f>IFERROR(__xludf.DUMMYFUNCTION("""COMPUTED_VALUE"""),"Max 3 per Room")</f>
        <v>Max 3 per Room</v>
      </c>
      <c r="L11" s="72" t="str">
        <f>IFERROR(__xludf.DUMMYFUNCTION("""COMPUTED_VALUE"""),"British Virgin Islands")</f>
        <v>British Virgin Islands</v>
      </c>
      <c r="M11" s="72" t="str">
        <f>IFERROR(__xludf.DUMMYFUNCTION("""COMPUTED_VALUE"""),"Guana Island")</f>
        <v>Guana Island</v>
      </c>
      <c r="N11" s="72" t="str">
        <f>IFERROR(__xludf.DUMMYFUNCTION("""COMPUTED_VALUE"""),"Beef Island")</f>
        <v>Beef Island</v>
      </c>
      <c r="O11" s="74" t="b">
        <f>IFERROR(__xludf.DUMMYFUNCTION("""COMPUTED_VALUE"""),FALSE)</f>
        <v>0</v>
      </c>
      <c r="P11" s="73"/>
      <c r="Q11" s="71"/>
      <c r="R11" s="71" t="str">
        <f>IFERROR(__xludf.DUMMYFUNCTION("""COMPUTED_VALUE"""),"Quiet")</f>
        <v>Quiet</v>
      </c>
      <c r="S11" s="76" t="str">
        <f>IFERROR(__xludf.DUMMYFUNCTION("""COMPUTED_VALUE"""),"Beach, Swim Out/Plunge Pool Rooms, Family Suite, 2 Bedroom Suites, Wifi (Paid), Tennis, Snorkelling, Buffet")</f>
        <v>Beach, Swim Out/Plunge Pool Rooms, Family Suite, 2 Bedroom Suites, Wifi (Paid), Tennis, Snorkelling, Buffet</v>
      </c>
      <c r="T11" s="71" t="str">
        <f>IFERROR(__xludf.DUMMYFUNCTION("""COMPUTED_VALUE"""),"Can't Book Two Rooms")</f>
        <v>Can't Book Two Rooms</v>
      </c>
      <c r="U11" s="72" t="str">
        <f>IFERROR(__xludf.DUMMYFUNCTION("""COMPUTED_VALUE"""),"1 King")</f>
        <v>1 King</v>
      </c>
      <c r="V11" s="74" t="b">
        <f>IFERROR(__xludf.DUMMYFUNCTION("""COMPUTED_VALUE"""),FALSE)</f>
        <v>0</v>
      </c>
      <c r="W11" s="74">
        <f>IFERROR(__xludf.DUMMYFUNCTION("""COMPUTED_VALUE"""),18.0)</f>
        <v>18</v>
      </c>
      <c r="X11" s="74">
        <f>IFERROR(__xludf.DUMMYFUNCTION("""COMPUTED_VALUE"""),1930.0)</f>
        <v>1930</v>
      </c>
      <c r="Y11" s="74">
        <f>IFERROR(__xludf.DUMMYFUNCTION("""COMPUTED_VALUE"""),2011.0)</f>
        <v>2011</v>
      </c>
      <c r="Z11" s="75">
        <f>IFERROR(__xludf.DUMMYFUNCTION("""COMPUTED_VALUE"""),1.0)</f>
        <v>1</v>
      </c>
    </row>
    <row r="12">
      <c r="A12" s="65" t="str">
        <f>IFERROR(__xludf.DUMMYFUNCTION("""COMPUTED_VALUE"""),"Serenity at Coconut Bay")</f>
        <v>Serenity at Coconut Bay</v>
      </c>
      <c r="B12" s="66">
        <f>IFERROR(__xludf.DUMMYFUNCTION("""COMPUTED_VALUE"""),97.8)</f>
        <v>97.8</v>
      </c>
      <c r="C12" s="67" t="str">
        <f>IFERROR(__xludf.DUMMYFUNCTION("""COMPUTED_VALUE"""),"Adults Only")</f>
        <v>Adults Only</v>
      </c>
      <c r="D12" s="68">
        <f>IFERROR(__xludf.DUMMYFUNCTION("""COMPUTED_VALUE"""),22400.0)</f>
        <v>22400</v>
      </c>
      <c r="E12" s="68">
        <f>IFERROR(__xludf.DUMMYFUNCTION("""COMPUTED_VALUE"""),30935.517759999995)</f>
        <v>30935.51776</v>
      </c>
      <c r="F12" s="69">
        <f>IFERROR(__xludf.DUMMYFUNCTION("""COMPUTED_VALUE"""),0.79)</f>
        <v>0.79</v>
      </c>
      <c r="G12" s="74"/>
      <c r="H12" s="74">
        <f>IFERROR(__xludf.DUMMYFUNCTION("""COMPUTED_VALUE"""),9.0)</f>
        <v>9</v>
      </c>
      <c r="I12" s="74"/>
      <c r="J12" s="74">
        <f>IFERROR(__xludf.DUMMYFUNCTION("""COMPUTED_VALUE"""),5.0)</f>
        <v>5</v>
      </c>
      <c r="K12" s="72"/>
      <c r="L12" s="72" t="str">
        <f>IFERROR(__xludf.DUMMYFUNCTION("""COMPUTED_VALUE"""),"Saint Lucia")</f>
        <v>Saint Lucia</v>
      </c>
      <c r="M12" s="72" t="str">
        <f>IFERROR(__xludf.DUMMYFUNCTION("""COMPUTED_VALUE"""),"Vieux Fort")</f>
        <v>Vieux Fort</v>
      </c>
      <c r="N12" s="72" t="str">
        <f>IFERROR(__xludf.DUMMYFUNCTION("""COMPUTED_VALUE"""),"Hewanorra")</f>
        <v>Hewanorra</v>
      </c>
      <c r="O12" s="74" t="b">
        <f>IFERROR(__xludf.DUMMYFUNCTION("""COMPUTED_VALUE"""),FALSE)</f>
        <v>0</v>
      </c>
      <c r="P12" s="73">
        <f>IFERROR(__xludf.DUMMYFUNCTION("""COMPUTED_VALUE"""),0.003472222222222222)</f>
        <v>0.003472222222</v>
      </c>
      <c r="Q12" s="72"/>
      <c r="R12" s="71" t="str">
        <f>IFERROR(__xludf.DUMMYFUNCTION("""COMPUTED_VALUE"""),"Luxury")</f>
        <v>Luxury</v>
      </c>
      <c r="S12" s="71" t="str">
        <f>IFERROR(__xludf.DUMMYFUNCTION("""COMPUTED_VALUE"""),"Beach, Swim Out/Plunge Pool Rooms, Gym, Spa, Wifi (Free), Tennis, Snorkelling, Room Service, Evening Entertainment")</f>
        <v>Beach, Swim Out/Plunge Pool Rooms, Gym, Spa, Wifi (Free), Tennis, Snorkelling, Room Service, Evening Entertainment</v>
      </c>
      <c r="T12" s="71"/>
      <c r="U12" s="72"/>
      <c r="V12" s="74" t="b">
        <f>IFERROR(__xludf.DUMMYFUNCTION("""COMPUTED_VALUE"""),FALSE)</f>
        <v>0</v>
      </c>
      <c r="W12" s="74">
        <f>IFERROR(__xludf.DUMMYFUNCTION("""COMPUTED_VALUE"""),36.0)</f>
        <v>36</v>
      </c>
      <c r="X12" s="74"/>
      <c r="Y12" s="74"/>
      <c r="Z12" s="75"/>
    </row>
    <row r="13">
      <c r="A13" s="65" t="str">
        <f>IFERROR(__xludf.DUMMYFUNCTION("""COMPUTED_VALUE"""),"Fairmont Heritage Place Mayakoba")</f>
        <v>Fairmont Heritage Place Mayakoba</v>
      </c>
      <c r="B13" s="66">
        <f>IFERROR(__xludf.DUMMYFUNCTION("""COMPUTED_VALUE"""),97.7)</f>
        <v>97.7</v>
      </c>
      <c r="C13" s="67" t="str">
        <f>IFERROR(__xludf.DUMMYFUNCTION("""COMPUTED_VALUE"""),"Family")</f>
        <v>Family</v>
      </c>
      <c r="D13" s="68">
        <f>IFERROR(__xludf.DUMMYFUNCTION("""COMPUTED_VALUE"""),28355.67)</f>
        <v>28355.67</v>
      </c>
      <c r="E13" s="79">
        <f>IFERROR(__xludf.DUMMYFUNCTION("""COMPUTED_VALUE"""),39160.59521793299)</f>
        <v>39160.59522</v>
      </c>
      <c r="F13" s="69">
        <f>IFERROR(__xludf.DUMMYFUNCTION("""COMPUTED_VALUE"""),0.62)</f>
        <v>0.62</v>
      </c>
      <c r="G13" s="78">
        <f>IFERROR(__xludf.DUMMYFUNCTION("""COMPUTED_VALUE"""),5.0)</f>
        <v>5</v>
      </c>
      <c r="H13" s="78">
        <f>IFERROR(__xludf.DUMMYFUNCTION("""COMPUTED_VALUE"""),9.0)</f>
        <v>9</v>
      </c>
      <c r="I13" s="78"/>
      <c r="J13" s="78">
        <f>IFERROR(__xludf.DUMMYFUNCTION("""COMPUTED_VALUE"""),5.0)</f>
        <v>5</v>
      </c>
      <c r="K13" s="76"/>
      <c r="L13" s="76" t="str">
        <f>IFERROR(__xludf.DUMMYFUNCTION("""COMPUTED_VALUE"""),"Mexico")</f>
        <v>Mexico</v>
      </c>
      <c r="M13" s="76" t="str">
        <f>IFERROR(__xludf.DUMMYFUNCTION("""COMPUTED_VALUE"""),"Playa del Carmen")</f>
        <v>Playa del Carmen</v>
      </c>
      <c r="N13" s="76" t="str">
        <f>IFERROR(__xludf.DUMMYFUNCTION("""COMPUTED_VALUE"""),"Cancun")</f>
        <v>Cancun</v>
      </c>
      <c r="O13" s="78" t="b">
        <f>IFERROR(__xludf.DUMMYFUNCTION("""COMPUTED_VALUE"""),TRUE)</f>
        <v>1</v>
      </c>
      <c r="P13" s="80">
        <f>IFERROR(__xludf.DUMMYFUNCTION("""COMPUTED_VALUE"""),0.02847222222222222)</f>
        <v>0.02847222222</v>
      </c>
      <c r="Q13" s="76" t="str">
        <f>IFERROR(__xludf.DUMMYFUNCTION("""COMPUTED_VALUE"""),"Fairmont")</f>
        <v>Fairmont</v>
      </c>
      <c r="R13" s="76" t="str">
        <f>IFERROR(__xludf.DUMMYFUNCTION("""COMPUTED_VALUE"""),"Luxury, Business")</f>
        <v>Luxury, Business</v>
      </c>
      <c r="S13" s="71" t="str">
        <f>IFERROR(__xludf.DUMMYFUNCTION("""COMPUTED_VALUE"""),"Beach, Family Suite, 2 Bedroom Suites, Kids Club, Gym, Golf Course, Tennis, Spa, Wifi (Free), Babysitting, Archery, Snorkelling, Windsurfing, Pets Allowed, Bicycles Available, Hiking, Watersports Equipment Rentals, Yoga Classes, Room Service, Evening Ente"&amp;"rtainment")</f>
        <v>Beach, Family Suite, 2 Bedroom Suites, Kids Club, Gym, Golf Course, Tennis, Spa, Wifi (Free), Babysitting, Archery, Snorkelling, Windsurfing, Pets Allowed, Bicycles Available, Hiking, Watersports Equipment Rentals, Yoga Classes, Room Service, Evening Entertainment</v>
      </c>
      <c r="T13" s="71"/>
      <c r="U13" s="71" t="str">
        <f>IFERROR(__xludf.DUMMYFUNCTION("""COMPUTED_VALUE"""),"2 King and 2 Twin w Trundle")</f>
        <v>2 King and 2 Twin w Trundle</v>
      </c>
      <c r="V13" s="78" t="b">
        <f>IFERROR(__xludf.DUMMYFUNCTION("""COMPUTED_VALUE"""),FALSE)</f>
        <v>0</v>
      </c>
      <c r="W13" s="78">
        <f>IFERROR(__xludf.DUMMYFUNCTION("""COMPUTED_VALUE"""),401.0)</f>
        <v>401</v>
      </c>
      <c r="X13" s="78">
        <f>IFERROR(__xludf.DUMMYFUNCTION("""COMPUTED_VALUE"""),2006.0)</f>
        <v>2006</v>
      </c>
      <c r="Y13" s="78">
        <f>IFERROR(__xludf.DUMMYFUNCTION("""COMPUTED_VALUE"""),2022.0)</f>
        <v>2022</v>
      </c>
      <c r="Z13" s="81">
        <f>IFERROR(__xludf.DUMMYFUNCTION("""COMPUTED_VALUE"""),2.0)</f>
        <v>2</v>
      </c>
    </row>
    <row r="14">
      <c r="A14" s="82" t="str">
        <f>IFERROR(__xludf.DUMMYFUNCTION("""COMPUTED_VALUE"""),"Villa on Dunbar Rock")</f>
        <v>Villa on Dunbar Rock</v>
      </c>
      <c r="B14" s="66">
        <f>IFERROR(__xludf.DUMMYFUNCTION("""COMPUTED_VALUE"""),97.5)</f>
        <v>97.5</v>
      </c>
      <c r="C14" s="78" t="str">
        <f>IFERROR(__xludf.DUMMYFUNCTION("""COMPUTED_VALUE"""),"Adults Only")</f>
        <v>Adults Only</v>
      </c>
      <c r="D14" s="68">
        <f>IFERROR(__xludf.DUMMYFUNCTION("""COMPUTED_VALUE"""),4867.14)</f>
        <v>4867.14</v>
      </c>
      <c r="E14" s="79">
        <f>IFERROR(__xludf.DUMMYFUNCTION("""COMPUTED_VALUE"""),6721.763210286)</f>
        <v>6721.76321</v>
      </c>
      <c r="F14" s="69">
        <f>IFERROR(__xludf.DUMMYFUNCTION("""COMPUTED_VALUE"""),3.6)</f>
        <v>3.6</v>
      </c>
      <c r="G14" s="78"/>
      <c r="H14" s="78"/>
      <c r="I14" s="78"/>
      <c r="J14" s="78"/>
      <c r="K14" s="76"/>
      <c r="L14" s="76" t="str">
        <f>IFERROR(__xludf.DUMMYFUNCTION("""COMPUTED_VALUE"""),"Honduras")</f>
        <v>Honduras</v>
      </c>
      <c r="M14" s="71" t="str">
        <f>IFERROR(__xludf.DUMMYFUNCTION("""COMPUTED_VALUE"""),"Guanaja")</f>
        <v>Guanaja</v>
      </c>
      <c r="N14" s="71" t="str">
        <f>IFERROR(__xludf.DUMMYFUNCTION("""COMPUTED_VALUE"""),"Roatan")</f>
        <v>Roatan</v>
      </c>
      <c r="O14" s="70" t="b">
        <f>IFERROR(__xludf.DUMMYFUNCTION("""COMPUTED_VALUE"""),FALSE)</f>
        <v>0</v>
      </c>
      <c r="P14" s="73"/>
      <c r="Q14" s="76"/>
      <c r="R14" s="76" t="str">
        <f>IFERROR(__xludf.DUMMYFUNCTION("""COMPUTED_VALUE"""),"Harbour View, Bay View")</f>
        <v>Harbour View, Bay View</v>
      </c>
      <c r="S14" s="71" t="str">
        <f>IFERROR(__xludf.DUMMYFUNCTION("""COMPUTED_VALUE"""),"Beach, Wifi (Free), Gym, Diving, Snorkelling")</f>
        <v>Beach, Wifi (Free), Gym, Diving, Snorkelling</v>
      </c>
      <c r="T14" s="71"/>
      <c r="U14" s="71"/>
      <c r="V14" s="70" t="b">
        <f>IFERROR(__xludf.DUMMYFUNCTION("""COMPUTED_VALUE"""),FALSE)</f>
        <v>0</v>
      </c>
      <c r="W14" s="70"/>
      <c r="X14" s="70"/>
      <c r="Y14" s="70"/>
      <c r="Z14" s="83"/>
    </row>
    <row r="15">
      <c r="A15" s="82" t="str">
        <f>IFERROR(__xludf.DUMMYFUNCTION("""COMPUTED_VALUE"""),"Hammock Cove Antigua")</f>
        <v>Hammock Cove Antigua</v>
      </c>
      <c r="B15" s="66">
        <f>IFERROR(__xludf.DUMMYFUNCTION("""COMPUTED_VALUE"""),97.3)</f>
        <v>97.3</v>
      </c>
      <c r="C15" s="78" t="str">
        <f>IFERROR(__xludf.DUMMYFUNCTION("""COMPUTED_VALUE"""),"Adults Only")</f>
        <v>Adults Only</v>
      </c>
      <c r="D15" s="68">
        <f>IFERROR(__xludf.DUMMYFUNCTION("""COMPUTED_VALUE"""),10155.6)</f>
        <v>10155.6</v>
      </c>
      <c r="E15" s="68">
        <f>IFERROR(__xludf.DUMMYFUNCTION("""COMPUTED_VALUE"""),14025.390364439998)</f>
        <v>14025.39036</v>
      </c>
      <c r="F15" s="69">
        <f>IFERROR(__xludf.DUMMYFUNCTION("""COMPUTED_VALUE"""),1.7)</f>
        <v>1.7</v>
      </c>
      <c r="G15" s="70"/>
      <c r="H15" s="70">
        <f>IFERROR(__xludf.DUMMYFUNCTION("""COMPUTED_VALUE"""),7.0)</f>
        <v>7</v>
      </c>
      <c r="I15" s="70"/>
      <c r="J15" s="70"/>
      <c r="K15" s="76"/>
      <c r="L15" s="76" t="str">
        <f>IFERROR(__xludf.DUMMYFUNCTION("""COMPUTED_VALUE"""),"Antigua")</f>
        <v>Antigua</v>
      </c>
      <c r="M15" s="76" t="str">
        <f>IFERROR(__xludf.DUMMYFUNCTION("""COMPUTED_VALUE"""),"Antigua")</f>
        <v>Antigua</v>
      </c>
      <c r="N15" s="76" t="str">
        <f>IFERROR(__xludf.DUMMYFUNCTION("""COMPUTED_VALUE"""),"V.C. Bird")</f>
        <v>V.C. Bird</v>
      </c>
      <c r="O15" s="70" t="b">
        <f>IFERROR(__xludf.DUMMYFUNCTION("""COMPUTED_VALUE"""),TRUE)</f>
        <v>1</v>
      </c>
      <c r="P15" s="73">
        <f>IFERROR(__xludf.DUMMYFUNCTION("""COMPUTED_VALUE"""),0.021527777777777778)</f>
        <v>0.02152777778</v>
      </c>
      <c r="Q15" s="76"/>
      <c r="R15" s="76" t="str">
        <f>IFERROR(__xludf.DUMMYFUNCTION("""COMPUTED_VALUE"""),"Romantic")</f>
        <v>Romantic</v>
      </c>
      <c r="S15" s="71" t="str">
        <f>IFERROR(__xludf.DUMMYFUNCTION("""COMPUTED_VALUE"""),"Beach, Gym, Diving, Spa, Wifi (Free), Snorkelling, Fishing, Hiking, Watersports Equipment Rentals, Yoga Classes, Room Service")</f>
        <v>Beach, Gym, Diving, Spa, Wifi (Free), Snorkelling, Fishing, Hiking, Watersports Equipment Rentals, Yoga Classes, Room Service</v>
      </c>
      <c r="T15" s="71"/>
      <c r="U15" s="71"/>
      <c r="V15" s="78" t="b">
        <f>IFERROR(__xludf.DUMMYFUNCTION("""COMPUTED_VALUE"""),FALSE)</f>
        <v>0</v>
      </c>
      <c r="W15" s="78">
        <f>IFERROR(__xludf.DUMMYFUNCTION("""COMPUTED_VALUE"""),42.0)</f>
        <v>42</v>
      </c>
      <c r="X15" s="78">
        <f>IFERROR(__xludf.DUMMYFUNCTION("""COMPUTED_VALUE"""),2019.0)</f>
        <v>2019</v>
      </c>
      <c r="Y15" s="78"/>
      <c r="Z15" s="81">
        <f>IFERROR(__xludf.DUMMYFUNCTION("""COMPUTED_VALUE"""),1.0)</f>
        <v>1</v>
      </c>
    </row>
    <row r="16">
      <c r="A16" s="82" t="str">
        <f>IFERROR(__xludf.DUMMYFUNCTION("""COMPUTED_VALUE"""),"Grand Velas Los Cabos")</f>
        <v>Grand Velas Los Cabos</v>
      </c>
      <c r="B16" s="66">
        <f>IFERROR(__xludf.DUMMYFUNCTION("""COMPUTED_VALUE"""),97.3)</f>
        <v>97.3</v>
      </c>
      <c r="C16" s="78" t="str">
        <f>IFERROR(__xludf.DUMMYFUNCTION("""COMPUTED_VALUE"""),"Family")</f>
        <v>Family</v>
      </c>
      <c r="D16" s="68">
        <f>IFERROR(__xludf.DUMMYFUNCTION("""COMPUTED_VALUE"""),13584.0)</f>
        <v>13584</v>
      </c>
      <c r="E16" s="68">
        <f>IFERROR(__xludf.DUMMYFUNCTION("""COMPUTED_VALUE"""),18760.1818416)</f>
        <v>18760.18184</v>
      </c>
      <c r="F16" s="69">
        <f>IFERROR(__xludf.DUMMYFUNCTION("""COMPUTED_VALUE"""),1.27)</f>
        <v>1.27</v>
      </c>
      <c r="G16" s="70">
        <f>IFERROR(__xludf.DUMMYFUNCTION("""COMPUTED_VALUE"""),5.0)</f>
        <v>5</v>
      </c>
      <c r="H16" s="70">
        <f>IFERROR(__xludf.DUMMYFUNCTION("""COMPUTED_VALUE"""),9.0)</f>
        <v>9</v>
      </c>
      <c r="I16" s="70"/>
      <c r="J16" s="70">
        <f>IFERROR(__xludf.DUMMYFUNCTION("""COMPUTED_VALUE"""),5.0)</f>
        <v>5</v>
      </c>
      <c r="K16" s="76"/>
      <c r="L16" s="76" t="str">
        <f>IFERROR(__xludf.DUMMYFUNCTION("""COMPUTED_VALUE"""),"Mexico")</f>
        <v>Mexico</v>
      </c>
      <c r="M16" s="71" t="str">
        <f>IFERROR(__xludf.DUMMYFUNCTION("""COMPUTED_VALUE"""),"Cabo San Lucas")</f>
        <v>Cabo San Lucas</v>
      </c>
      <c r="N16" s="71" t="str">
        <f>IFERROR(__xludf.DUMMYFUNCTION("""COMPUTED_VALUE"""),"Los Cabos")</f>
        <v>Los Cabos</v>
      </c>
      <c r="O16" s="70" t="b">
        <f>IFERROR(__xludf.DUMMYFUNCTION("""COMPUTED_VALUE"""),TRUE)</f>
        <v>1</v>
      </c>
      <c r="P16" s="73">
        <f>IFERROR(__xludf.DUMMYFUNCTION("""COMPUTED_VALUE"""),0.021527777777777778)</f>
        <v>0.02152777778</v>
      </c>
      <c r="Q16" s="76" t="str">
        <f>IFERROR(__xludf.DUMMYFUNCTION("""COMPUTED_VALUE"""),"Velas Resorts")</f>
        <v>Velas Resorts</v>
      </c>
      <c r="R16" s="76" t="str">
        <f>IFERROR(__xludf.DUMMYFUNCTION("""COMPUTED_VALUE"""),"Family")</f>
        <v>Family</v>
      </c>
      <c r="S16" s="71" t="str">
        <f>IFERROR(__xludf.DUMMYFUNCTION("""COMPUTED_VALUE"""),"Beach, Great Food, Swim Out/Plunge Pool Rooms, Family Suite, 2 Bedroom Suites, Kids Club, Teen Club, Heated Pool, Gym, Spa, Wifi (Free), Babysitting, Adult Pool, Swim Up Bar, Room Service, Evening Entertainment")</f>
        <v>Beach, Great Food, Swim Out/Plunge Pool Rooms, Family Suite, 2 Bedroom Suites, Kids Club, Teen Club, Heated Pool, Gym, Spa, Wifi (Free), Babysitting, Adult Pool, Swim Up Bar, Room Service, Evening Entertainment</v>
      </c>
      <c r="T16" s="71"/>
      <c r="U16" s="71" t="str">
        <f>IFERROR(__xludf.DUMMYFUNCTION("""COMPUTED_VALUE"""),"1 King or 2 Queen")</f>
        <v>1 King or 2 Queen</v>
      </c>
      <c r="V16" s="78" t="b">
        <f>IFERROR(__xludf.DUMMYFUNCTION("""COMPUTED_VALUE"""),TRUE)</f>
        <v>1</v>
      </c>
      <c r="W16" s="78">
        <f>IFERROR(__xludf.DUMMYFUNCTION("""COMPUTED_VALUE"""),304.0)</f>
        <v>304</v>
      </c>
      <c r="X16" s="78">
        <f>IFERROR(__xludf.DUMMYFUNCTION("""COMPUTED_VALUE"""),2016.0)</f>
        <v>2016</v>
      </c>
      <c r="Y16" s="78"/>
      <c r="Z16" s="81"/>
    </row>
    <row r="17">
      <c r="A17" s="82" t="str">
        <f>IFERROR(__xludf.DUMMYFUNCTION("""COMPUTED_VALUE"""),"Calabash Hotel (Jan 15 to Mar 15 12+ Allowed, Mar 16 to Dec 20 6+ Allowed, Dec 21 to Jan 14 No age limit)")</f>
        <v>Calabash Hotel (Jan 15 to Mar 15 12+ Allowed, Mar 16 to Dec 20 6+ Allowed, Dec 21 to Jan 14 No age limit)</v>
      </c>
      <c r="B17" s="66">
        <f>IFERROR(__xludf.DUMMYFUNCTION("""COMPUTED_VALUE"""),97.3)</f>
        <v>97.3</v>
      </c>
      <c r="C17" s="78" t="str">
        <f>IFERROR(__xludf.DUMMYFUNCTION("""COMPUTED_VALUE"""),"Family")</f>
        <v>Family</v>
      </c>
      <c r="D17" s="68">
        <f>IFERROR(__xludf.DUMMYFUNCTION("""COMPUTED_VALUE"""),14420.12)</f>
        <v>14420.12</v>
      </c>
      <c r="E17" s="79">
        <f>IFERROR(__xludf.DUMMYFUNCTION("""COMPUTED_VALUE"""),19914.905283988)</f>
        <v>19914.90528</v>
      </c>
      <c r="F17" s="69">
        <f>IFERROR(__xludf.DUMMYFUNCTION("""COMPUTED_VALUE"""),1.2)</f>
        <v>1.2</v>
      </c>
      <c r="G17" s="78">
        <f>IFERROR(__xludf.DUMMYFUNCTION("""COMPUTED_VALUE"""),4.0)</f>
        <v>4</v>
      </c>
      <c r="H17" s="78">
        <f>IFERROR(__xludf.DUMMYFUNCTION("""COMPUTED_VALUE"""),9.0)</f>
        <v>9</v>
      </c>
      <c r="I17" s="78"/>
      <c r="J17" s="78">
        <f>IFERROR(__xludf.DUMMYFUNCTION("""COMPUTED_VALUE"""),5.0)</f>
        <v>5</v>
      </c>
      <c r="K17" s="76" t="str">
        <f>IFERROR(__xludf.DUMMYFUNCTION("""COMPUTED_VALUE"""),"Can't Book Kids Online")</f>
        <v>Can't Book Kids Online</v>
      </c>
      <c r="L17" s="76" t="str">
        <f>IFERROR(__xludf.DUMMYFUNCTION("""COMPUTED_VALUE"""),"Grenada")</f>
        <v>Grenada</v>
      </c>
      <c r="M17" s="71" t="str">
        <f>IFERROR(__xludf.DUMMYFUNCTION("""COMPUTED_VALUE"""),"Lance aux Epines")</f>
        <v>Lance aux Epines</v>
      </c>
      <c r="N17" s="71" t="str">
        <f>IFERROR(__xludf.DUMMYFUNCTION("""COMPUTED_VALUE"""),"Point Saline")</f>
        <v>Point Saline</v>
      </c>
      <c r="O17" s="70" t="b">
        <f>IFERROR(__xludf.DUMMYFUNCTION("""COMPUTED_VALUE"""),FALSE)</f>
        <v>0</v>
      </c>
      <c r="P17" s="73">
        <f>IFERROR(__xludf.DUMMYFUNCTION("""COMPUTED_VALUE"""),0.005555555555555556)</f>
        <v>0.005555555556</v>
      </c>
      <c r="Q17" s="76"/>
      <c r="R17" s="76" t="str">
        <f>IFERROR(__xludf.DUMMYFUNCTION("""COMPUTED_VALUE"""),"Boutique, Great View")</f>
        <v>Boutique, Great View</v>
      </c>
      <c r="S17" s="71" t="str">
        <f>IFERROR(__xludf.DUMMYFUNCTION("""COMPUTED_VALUE"""),"Beach, Swim Out/Plunge Pool Rooms, Gym, Diving, Wifi (Free), Babysitting, Tennis, Snorkelling, Yoga Classes, Room Service")</f>
        <v>Beach, Swim Out/Plunge Pool Rooms, Gym, Diving, Wifi (Free), Babysitting, Tennis, Snorkelling, Yoga Classes, Room Service</v>
      </c>
      <c r="T17" s="71" t="str">
        <f>IFERROR(__xludf.DUMMYFUNCTION("""COMPUTED_VALUE"""),"Can Request")</f>
        <v>Can Request</v>
      </c>
      <c r="U17" s="71" t="str">
        <f>IFERROR(__xludf.DUMMYFUNCTION("""COMPUTED_VALUE"""),"1 King or 2 Twin")</f>
        <v>1 King or 2 Twin</v>
      </c>
      <c r="V17" s="78" t="b">
        <f>IFERROR(__xludf.DUMMYFUNCTION("""COMPUTED_VALUE"""),FALSE)</f>
        <v>0</v>
      </c>
      <c r="W17" s="78">
        <f>IFERROR(__xludf.DUMMYFUNCTION("""COMPUTED_VALUE"""),30.0)</f>
        <v>30</v>
      </c>
      <c r="X17" s="78">
        <f>IFERROR(__xludf.DUMMYFUNCTION("""COMPUTED_VALUE"""),1960.0)</f>
        <v>1960</v>
      </c>
      <c r="Y17" s="78">
        <f>IFERROR(__xludf.DUMMYFUNCTION("""COMPUTED_VALUE"""),2022.0)</f>
        <v>2022</v>
      </c>
      <c r="Z17" s="81">
        <f>IFERROR(__xludf.DUMMYFUNCTION("""COMPUTED_VALUE"""),2.0)</f>
        <v>2</v>
      </c>
    </row>
    <row r="18">
      <c r="A18" s="82" t="str">
        <f>IFERROR(__xludf.DUMMYFUNCTION("""COMPUTED_VALUE"""),"Ambergris Cay Private Island All Inclusive")</f>
        <v>Ambergris Cay Private Island All Inclusive</v>
      </c>
      <c r="B18" s="66">
        <f>IFERROR(__xludf.DUMMYFUNCTION("""COMPUTED_VALUE"""),97.3)</f>
        <v>97.3</v>
      </c>
      <c r="C18" s="78" t="str">
        <f>IFERROR(__xludf.DUMMYFUNCTION("""COMPUTED_VALUE"""),"Family")</f>
        <v>Family</v>
      </c>
      <c r="D18" s="68">
        <f>IFERROR(__xludf.DUMMYFUNCTION("""COMPUTED_VALUE"""),51097.2)</f>
        <v>51097.2</v>
      </c>
      <c r="E18" s="79">
        <f>IFERROR(__xludf.DUMMYFUNCTION("""COMPUTED_VALUE"""),70567.78295027999)</f>
        <v>70567.78295</v>
      </c>
      <c r="F18" s="69">
        <f>IFERROR(__xludf.DUMMYFUNCTION("""COMPUTED_VALUE"""),0.34)</f>
        <v>0.34</v>
      </c>
      <c r="G18" s="78"/>
      <c r="H18" s="78"/>
      <c r="I18" s="78"/>
      <c r="J18" s="78">
        <f>IFERROR(__xludf.DUMMYFUNCTION("""COMPUTED_VALUE"""),5.0)</f>
        <v>5</v>
      </c>
      <c r="K18" s="76"/>
      <c r="L18" s="76" t="str">
        <f>IFERROR(__xludf.DUMMYFUNCTION("""COMPUTED_VALUE"""),"Turks and Caicos")</f>
        <v>Turks and Caicos</v>
      </c>
      <c r="M18" s="71" t="str">
        <f>IFERROR(__xludf.DUMMYFUNCTION("""COMPUTED_VALUE"""),"Big Ambergris Cay")</f>
        <v>Big Ambergris Cay</v>
      </c>
      <c r="N18" s="76" t="str">
        <f>IFERROR(__xludf.DUMMYFUNCTION("""COMPUTED_VALUE"""),"Providenciales")</f>
        <v>Providenciales</v>
      </c>
      <c r="O18" s="70" t="b">
        <f>IFERROR(__xludf.DUMMYFUNCTION("""COMPUTED_VALUE"""),TRUE)</f>
        <v>1</v>
      </c>
      <c r="P18" s="73"/>
      <c r="Q18" s="76"/>
      <c r="R18" s="76" t="str">
        <f>IFERROR(__xludf.DUMMYFUNCTION("""COMPUTED_VALUE"""),"Business, Romantic")</f>
        <v>Business, Romantic</v>
      </c>
      <c r="S18" s="71" t="str">
        <f>IFERROR(__xludf.DUMMYFUNCTION("""COMPUTED_VALUE"""),"Gym, Bicycles Available, Hiking, Snorkelling, Watersports Equipment Rentals, Evening Entertainment, Wifi (Free), Yoga Classes, Heated Pool, Swim Out/Plunge Pool Rooms, Room Service, Tennis, Windsurfing, Fishing, Babysitting, Spa, 2 Bedroom Suites, Beach, "&amp;"Kids Club")</f>
        <v>Gym, Bicycles Available, Hiking, Snorkelling, Watersports Equipment Rentals, Evening Entertainment, Wifi (Free), Yoga Classes, Heated Pool, Swim Out/Plunge Pool Rooms, Room Service, Tennis, Windsurfing, Fishing, Babysitting, Spa, 2 Bedroom Suites, Beach, Kids Club</v>
      </c>
      <c r="T18" s="71"/>
      <c r="U18" s="71" t="str">
        <f>IFERROR(__xludf.DUMMYFUNCTION("""COMPUTED_VALUE"""),"3 Bedrooms")</f>
        <v>3 Bedrooms</v>
      </c>
      <c r="V18" s="70" t="b">
        <f>IFERROR(__xludf.DUMMYFUNCTION("""COMPUTED_VALUE"""),FALSE)</f>
        <v>0</v>
      </c>
      <c r="W18" s="70"/>
      <c r="X18" s="70"/>
      <c r="Y18" s="70"/>
      <c r="Z18" s="83"/>
    </row>
    <row r="19">
      <c r="A19" s="65" t="str">
        <f>IFERROR(__xludf.DUMMYFUNCTION("""COMPUTED_VALUE"""),"La Casa de La Playa (16+ Allowed)")</f>
        <v>La Casa de La Playa (16+ Allowed)</v>
      </c>
      <c r="B19" s="66">
        <f>IFERROR(__xludf.DUMMYFUNCTION("""COMPUTED_VALUE"""),96.8)</f>
        <v>96.8</v>
      </c>
      <c r="C19" s="67" t="str">
        <f>IFERROR(__xludf.DUMMYFUNCTION("""COMPUTED_VALUE"""),"Adults Only")</f>
        <v>Adults Only</v>
      </c>
      <c r="D19" s="68">
        <f>IFERROR(__xludf.DUMMYFUNCTION("""COMPUTED_VALUE"""),22948.44)</f>
        <v>22948.44</v>
      </c>
      <c r="E19" s="79">
        <f>IFERROR(__xludf.DUMMYFUNCTION("""COMPUTED_VALUE"""),31692.940767155993)</f>
        <v>31692.94077</v>
      </c>
      <c r="F19" s="69">
        <f>IFERROR(__xludf.DUMMYFUNCTION("""COMPUTED_VALUE"""),0.73)</f>
        <v>0.73</v>
      </c>
      <c r="G19" s="78"/>
      <c r="H19" s="78" t="str">
        <f>IFERROR(__xludf.DUMMYFUNCTION("""COMPUTED_VALUE"""),"NYR")</f>
        <v>NYR</v>
      </c>
      <c r="I19" s="78"/>
      <c r="J19" s="78">
        <f>IFERROR(__xludf.DUMMYFUNCTION("""COMPUTED_VALUE"""),5.0)</f>
        <v>5</v>
      </c>
      <c r="K19" s="76" t="str">
        <f>IFERROR(__xludf.DUMMYFUNCTION("""COMPUTED_VALUE"""),"16+ Allowed")</f>
        <v>16+ Allowed</v>
      </c>
      <c r="L19" s="76" t="str">
        <f>IFERROR(__xludf.DUMMYFUNCTION("""COMPUTED_VALUE"""),"Mexico")</f>
        <v>Mexico</v>
      </c>
      <c r="M19" s="71" t="str">
        <f>IFERROR(__xludf.DUMMYFUNCTION("""COMPUTED_VALUE"""),"Playa del Carmen")</f>
        <v>Playa del Carmen</v>
      </c>
      <c r="N19" s="71" t="str">
        <f>IFERROR(__xludf.DUMMYFUNCTION("""COMPUTED_VALUE"""),"Cancun")</f>
        <v>Cancun</v>
      </c>
      <c r="O19" s="70" t="b">
        <f>IFERROR(__xludf.DUMMYFUNCTION("""COMPUTED_VALUE"""),TRUE)</f>
        <v>1</v>
      </c>
      <c r="P19" s="73">
        <f>IFERROR(__xludf.DUMMYFUNCTION("""COMPUTED_VALUE"""),0.04027777777777778)</f>
        <v>0.04027777778</v>
      </c>
      <c r="Q19" s="76" t="str">
        <f>IFERROR(__xludf.DUMMYFUNCTION("""COMPUTED_VALUE"""),"Hoteles Xcaret")</f>
        <v>Hoteles Xcaret</v>
      </c>
      <c r="R19" s="76" t="str">
        <f>IFERROR(__xludf.DUMMYFUNCTION("""COMPUTED_VALUE"""),"Luxury")</f>
        <v>Luxury</v>
      </c>
      <c r="S19" s="71" t="str">
        <f>IFERROR(__xludf.DUMMYFUNCTION("""COMPUTED_VALUE"""),"Beach, Gym, Wifi (Free), Swim Up Bar, Spa, Bicycles Available, Pets Allowed, Snorkelling, Yoga Classes, Room Service")</f>
        <v>Beach, Gym, Wifi (Free), Swim Up Bar, Spa, Bicycles Available, Pets Allowed, Snorkelling, Yoga Classes, Room Service</v>
      </c>
      <c r="T19" s="71"/>
      <c r="U19" s="71"/>
      <c r="V19" s="78" t="b">
        <f>IFERROR(__xludf.DUMMYFUNCTION("""COMPUTED_VALUE"""),FALSE)</f>
        <v>0</v>
      </c>
      <c r="W19" s="78">
        <f>IFERROR(__xludf.DUMMYFUNCTION("""COMPUTED_VALUE"""),63.0)</f>
        <v>63</v>
      </c>
      <c r="X19" s="78">
        <f>IFERROR(__xludf.DUMMYFUNCTION("""COMPUTED_VALUE"""),2021.0)</f>
        <v>2021</v>
      </c>
      <c r="Y19" s="78"/>
      <c r="Z19" s="81"/>
    </row>
    <row r="20">
      <c r="A20" s="77" t="str">
        <f>IFERROR(__xludf.DUMMYFUNCTION("""COMPUTED_VALUE"""),"Beloved Playa Mujeres (Couples only)")</f>
        <v>Beloved Playa Mujeres (Couples only)</v>
      </c>
      <c r="B20" s="66">
        <f>IFERROR(__xludf.DUMMYFUNCTION("""COMPUTED_VALUE"""),96.7)</f>
        <v>96.7</v>
      </c>
      <c r="C20" s="78" t="str">
        <f>IFERROR(__xludf.DUMMYFUNCTION("""COMPUTED_VALUE"""),"Adults Only")</f>
        <v>Adults Only</v>
      </c>
      <c r="D20" s="68">
        <f>IFERROR(__xludf.DUMMYFUNCTION("""COMPUTED_VALUE"""),4052.0)</f>
        <v>4052</v>
      </c>
      <c r="E20" s="68">
        <f>IFERROR(__xludf.DUMMYFUNCTION("""COMPUTED_VALUE"""),5596.014194799999)</f>
        <v>5596.014195</v>
      </c>
      <c r="F20" s="69">
        <f>IFERROR(__xludf.DUMMYFUNCTION("""COMPUTED_VALUE"""),4.12)</f>
        <v>4.12</v>
      </c>
      <c r="G20" s="70"/>
      <c r="H20" s="70">
        <f>IFERROR(__xludf.DUMMYFUNCTION("""COMPUTED_VALUE"""),9.0)</f>
        <v>9</v>
      </c>
      <c r="I20" s="70"/>
      <c r="J20" s="70">
        <f>IFERROR(__xludf.DUMMYFUNCTION("""COMPUTED_VALUE"""),5.0)</f>
        <v>5</v>
      </c>
      <c r="K20" s="71" t="str">
        <f>IFERROR(__xludf.DUMMYFUNCTION("""COMPUTED_VALUE"""),"Couples Only")</f>
        <v>Couples Only</v>
      </c>
      <c r="L20" s="72" t="str">
        <f>IFERROR(__xludf.DUMMYFUNCTION("""COMPUTED_VALUE"""),"Mexico")</f>
        <v>Mexico</v>
      </c>
      <c r="M20" s="72" t="str">
        <f>IFERROR(__xludf.DUMMYFUNCTION("""COMPUTED_VALUE"""),"Playa Mujeres")</f>
        <v>Playa Mujeres</v>
      </c>
      <c r="N20" s="72" t="str">
        <f>IFERROR(__xludf.DUMMYFUNCTION("""COMPUTED_VALUE"""),"Cancun")</f>
        <v>Cancun</v>
      </c>
      <c r="O20" s="70" t="b">
        <f>IFERROR(__xludf.DUMMYFUNCTION("""COMPUTED_VALUE"""),TRUE)</f>
        <v>1</v>
      </c>
      <c r="P20" s="73">
        <f>IFERROR(__xludf.DUMMYFUNCTION("""COMPUTED_VALUE"""),0.025)</f>
        <v>0.025</v>
      </c>
      <c r="Q20" s="71" t="str">
        <f>IFERROR(__xludf.DUMMYFUNCTION("""COMPUTED_VALUE"""),"The Excellence Collection")</f>
        <v>The Excellence Collection</v>
      </c>
      <c r="R20" s="71" t="str">
        <f>IFERROR(__xludf.DUMMYFUNCTION("""COMPUTED_VALUE"""),"Boutique, Modern")</f>
        <v>Boutique, Modern</v>
      </c>
      <c r="S20" s="71" t="str">
        <f>IFERROR(__xludf.DUMMYFUNCTION("""COMPUTED_VALUE"""),"Beach, Swim Out/Plunge Pool Rooms, Heated Pool, Gym, Diving, Spa, Wifi (Free), Swim Up Bar, Snorkelling, Room Service, Buffet")</f>
        <v>Beach, Swim Out/Plunge Pool Rooms, Heated Pool, Gym, Diving, Spa, Wifi (Free), Swim Up Bar, Snorkelling, Room Service, Buffet</v>
      </c>
      <c r="T20" s="71"/>
      <c r="U20" s="71"/>
      <c r="V20" s="74" t="b">
        <f>IFERROR(__xludf.DUMMYFUNCTION("""COMPUTED_VALUE"""),FALSE)</f>
        <v>0</v>
      </c>
      <c r="W20" s="74">
        <f>IFERROR(__xludf.DUMMYFUNCTION("""COMPUTED_VALUE"""),109.0)</f>
        <v>109</v>
      </c>
      <c r="X20" s="74">
        <f>IFERROR(__xludf.DUMMYFUNCTION("""COMPUTED_VALUE"""),2009.0)</f>
        <v>2009</v>
      </c>
      <c r="Y20" s="74"/>
      <c r="Z20" s="75">
        <f>IFERROR(__xludf.DUMMYFUNCTION("""COMPUTED_VALUE"""),4.0)</f>
        <v>4</v>
      </c>
    </row>
    <row r="21">
      <c r="A21" s="65" t="str">
        <f>IFERROR(__xludf.DUMMYFUNCTION("""COMPUTED_VALUE"""),"Small Hope Bay Lodge (No TV)")</f>
        <v>Small Hope Bay Lodge (No TV)</v>
      </c>
      <c r="B21" s="66">
        <f>IFERROR(__xludf.DUMMYFUNCTION("""COMPUTED_VALUE"""),96.7)</f>
        <v>96.7</v>
      </c>
      <c r="C21" s="67" t="str">
        <f>IFERROR(__xludf.DUMMYFUNCTION("""COMPUTED_VALUE"""),"Family")</f>
        <v>Family</v>
      </c>
      <c r="D21" s="68">
        <f>IFERROR(__xludf.DUMMYFUNCTION("""COMPUTED_VALUE"""),8855.0)</f>
        <v>8855</v>
      </c>
      <c r="E21" s="79">
        <f>IFERROR(__xludf.DUMMYFUNCTION("""COMPUTED_VALUE"""),12229.196864499998)</f>
        <v>12229.19686</v>
      </c>
      <c r="F21" s="69">
        <f>IFERROR(__xludf.DUMMYFUNCTION("""COMPUTED_VALUE"""),1.89)</f>
        <v>1.89</v>
      </c>
      <c r="G21" s="78"/>
      <c r="H21" s="78">
        <f>IFERROR(__xludf.DUMMYFUNCTION("""COMPUTED_VALUE"""),3.0)</f>
        <v>3</v>
      </c>
      <c r="I21" s="78"/>
      <c r="J21" s="78">
        <f>IFERROR(__xludf.DUMMYFUNCTION("""COMPUTED_VALUE"""),3.0)</f>
        <v>3</v>
      </c>
      <c r="K21" s="76" t="str">
        <f>IFERROR(__xludf.DUMMYFUNCTION("""COMPUTED_VALUE"""),"No TV")</f>
        <v>No TV</v>
      </c>
      <c r="L21" s="76" t="str">
        <f>IFERROR(__xludf.DUMMYFUNCTION("""COMPUTED_VALUE"""),"Bahamas")</f>
        <v>Bahamas</v>
      </c>
      <c r="M21" s="76" t="str">
        <f>IFERROR(__xludf.DUMMYFUNCTION("""COMPUTED_VALUE"""),"Andros")</f>
        <v>Andros</v>
      </c>
      <c r="N21" s="76" t="str">
        <f>IFERROR(__xludf.DUMMYFUNCTION("""COMPUTED_VALUE"""),"Lynden Pindling")</f>
        <v>Lynden Pindling</v>
      </c>
      <c r="O21" s="78" t="b">
        <f>IFERROR(__xludf.DUMMYFUNCTION("""COMPUTED_VALUE"""),TRUE)</f>
        <v>1</v>
      </c>
      <c r="P21" s="80"/>
      <c r="Q21" s="76"/>
      <c r="R21" s="76" t="str">
        <f>IFERROR(__xludf.DUMMYFUNCTION("""COMPUTED_VALUE"""),"Bay View, Romantic")</f>
        <v>Bay View, Romantic</v>
      </c>
      <c r="S21" s="76" t="str">
        <f>IFERROR(__xludf.DUMMYFUNCTION("""COMPUTED_VALUE"""),"Beach, Family Suite, 2 Bedroom Suites, Babysitting, Diving, Wifi (Free), Fishing, Bicycles Available, Snorkelling, Pets Allowed, Buffet")</f>
        <v>Beach, Family Suite, 2 Bedroom Suites, Babysitting, Diving, Wifi (Free), Fishing, Bicycles Available, Snorkelling, Pets Allowed, Buffet</v>
      </c>
      <c r="T21" s="76"/>
      <c r="U21" s="76" t="str">
        <f>IFERROR(__xludf.DUMMYFUNCTION("""COMPUTED_VALUE"""),"1 King and 3 Twin")</f>
        <v>1 King and 3 Twin</v>
      </c>
      <c r="V21" s="78" t="b">
        <f>IFERROR(__xludf.DUMMYFUNCTION("""COMPUTED_VALUE"""),FALSE)</f>
        <v>0</v>
      </c>
      <c r="W21" s="78">
        <f>IFERROR(__xludf.DUMMYFUNCTION("""COMPUTED_VALUE"""),21.0)</f>
        <v>21</v>
      </c>
      <c r="X21" s="78">
        <f>IFERROR(__xludf.DUMMYFUNCTION("""COMPUTED_VALUE"""),1960.0)</f>
        <v>1960</v>
      </c>
      <c r="Y21" s="78">
        <f>IFERROR(__xludf.DUMMYFUNCTION("""COMPUTED_VALUE"""),2013.0)</f>
        <v>2013</v>
      </c>
      <c r="Z21" s="81">
        <f>IFERROR(__xludf.DUMMYFUNCTION("""COMPUTED_VALUE"""),1.0)</f>
        <v>1</v>
      </c>
    </row>
    <row r="22">
      <c r="A22" s="82" t="str">
        <f>IFERROR(__xludf.DUMMYFUNCTION("""COMPUTED_VALUE"""),"Palmaïa The House of AïA All Inclusive Wellness Resort (Vegan)")</f>
        <v>Palmaïa The House of AïA All Inclusive Wellness Resort (Vegan)</v>
      </c>
      <c r="B22" s="66">
        <f>IFERROR(__xludf.DUMMYFUNCTION("""COMPUTED_VALUE"""),96.7)</f>
        <v>96.7</v>
      </c>
      <c r="C22" s="78" t="str">
        <f>IFERROR(__xludf.DUMMYFUNCTION("""COMPUTED_VALUE"""),"Family")</f>
        <v>Family</v>
      </c>
      <c r="D22" s="68">
        <f>IFERROR(__xludf.DUMMYFUNCTION("""COMPUTED_VALUE"""),13423.9)</f>
        <v>13423.9</v>
      </c>
      <c r="E22" s="79">
        <f>IFERROR(__xludf.DUMMYFUNCTION("""COMPUTED_VALUE"""),18539.07575261)</f>
        <v>18539.07575</v>
      </c>
      <c r="F22" s="69">
        <f>IFERROR(__xludf.DUMMYFUNCTION("""COMPUTED_VALUE"""),1.24)</f>
        <v>1.24</v>
      </c>
      <c r="G22" s="78"/>
      <c r="H22" s="78">
        <f>IFERROR(__xludf.DUMMYFUNCTION("""COMPUTED_VALUE"""),9.0)</f>
        <v>9</v>
      </c>
      <c r="I22" s="78"/>
      <c r="J22" s="78">
        <f>IFERROR(__xludf.DUMMYFUNCTION("""COMPUTED_VALUE"""),5.0)</f>
        <v>5</v>
      </c>
      <c r="K22" s="76" t="str">
        <f>IFERROR(__xludf.DUMMYFUNCTION("""COMPUTED_VALUE"""),"Vegan")</f>
        <v>Vegan</v>
      </c>
      <c r="L22" s="76" t="str">
        <f>IFERROR(__xludf.DUMMYFUNCTION("""COMPUTED_VALUE"""),"Mexico")</f>
        <v>Mexico</v>
      </c>
      <c r="M22" s="71" t="str">
        <f>IFERROR(__xludf.DUMMYFUNCTION("""COMPUTED_VALUE"""),"Playa del Carmen")</f>
        <v>Playa del Carmen</v>
      </c>
      <c r="N22" s="76" t="str">
        <f>IFERROR(__xludf.DUMMYFUNCTION("""COMPUTED_VALUE"""),"Cancun")</f>
        <v>Cancun</v>
      </c>
      <c r="O22" s="78" t="b">
        <f>IFERROR(__xludf.DUMMYFUNCTION("""COMPUTED_VALUE"""),TRUE)</f>
        <v>1</v>
      </c>
      <c r="P22" s="73">
        <f>IFERROR(__xludf.DUMMYFUNCTION("""COMPUTED_VALUE"""),0.041666666666666664)</f>
        <v>0.04166666667</v>
      </c>
      <c r="Q22" s="76"/>
      <c r="R22" s="76" t="str">
        <f>IFERROR(__xludf.DUMMYFUNCTION("""COMPUTED_VALUE"""),"Romantic, Luxury")</f>
        <v>Romantic, Luxury</v>
      </c>
      <c r="S22" s="71" t="str">
        <f>IFERROR(__xludf.DUMMYFUNCTION("""COMPUTED_VALUE"""),"Beach, Family Suite, 2 Bedroom Suites, Kids Club, Gym, Swim Up Bar, Spa, Wifi (Free), Babysitting, Diving, Bicycles Available, Snorkelling, Yoga Classes, Room Service")</f>
        <v>Beach, Family Suite, 2 Bedroom Suites, Kids Club, Gym, Swim Up Bar, Spa, Wifi (Free), Babysitting, Diving, Bicycles Available, Snorkelling, Yoga Classes, Room Service</v>
      </c>
      <c r="T22" s="71"/>
      <c r="U22" s="71" t="str">
        <f>IFERROR(__xludf.DUMMYFUNCTION("""COMPUTED_VALUE"""),"1 King and 1 Bunk Bed")</f>
        <v>1 King and 1 Bunk Bed</v>
      </c>
      <c r="V22" s="78" t="b">
        <f>IFERROR(__xludf.DUMMYFUNCTION("""COMPUTED_VALUE"""),FALSE)</f>
        <v>0</v>
      </c>
      <c r="W22" s="78">
        <f>IFERROR(__xludf.DUMMYFUNCTION("""COMPUTED_VALUE"""),234.0)</f>
        <v>234</v>
      </c>
      <c r="X22" s="78">
        <f>IFERROR(__xludf.DUMMYFUNCTION("""COMPUTED_VALUE"""),2019.0)</f>
        <v>2019</v>
      </c>
      <c r="Y22" s="78"/>
      <c r="Z22" s="81">
        <f>IFERROR(__xludf.DUMMYFUNCTION("""COMPUTED_VALUE"""),4.0)</f>
        <v>4</v>
      </c>
    </row>
    <row r="23">
      <c r="A23" s="65" t="str">
        <f>IFERROR(__xludf.DUMMYFUNCTION("""COMPUTED_VALUE"""),"Palafitos Overwater Bungalows")</f>
        <v>Palafitos Overwater Bungalows</v>
      </c>
      <c r="B23" s="66">
        <f>IFERROR(__xludf.DUMMYFUNCTION("""COMPUTED_VALUE"""),96.7)</f>
        <v>96.7</v>
      </c>
      <c r="C23" s="67" t="str">
        <f>IFERROR(__xludf.DUMMYFUNCTION("""COMPUTED_VALUE"""),"Adults Only")</f>
        <v>Adults Only</v>
      </c>
      <c r="D23" s="68">
        <f>IFERROR(__xludf.DUMMYFUNCTION("""COMPUTED_VALUE"""),16352.0)</f>
        <v>16352</v>
      </c>
      <c r="E23" s="79">
        <f>IFERROR(__xludf.DUMMYFUNCTION("""COMPUTED_VALUE"""),22582.927964799997)</f>
        <v>22582.92796</v>
      </c>
      <c r="F23" s="69">
        <f>IFERROR(__xludf.DUMMYFUNCTION("""COMPUTED_VALUE"""),1.02)</f>
        <v>1.02</v>
      </c>
      <c r="G23" s="78"/>
      <c r="H23" s="78" t="str">
        <f>IFERROR(__xludf.DUMMYFUNCTION("""COMPUTED_VALUE"""),"NYR")</f>
        <v>NYR</v>
      </c>
      <c r="I23" s="78"/>
      <c r="J23" s="78">
        <f>IFERROR(__xludf.DUMMYFUNCTION("""COMPUTED_VALUE"""),5.0)</f>
        <v>5</v>
      </c>
      <c r="K23" s="76"/>
      <c r="L23" s="76" t="str">
        <f>IFERROR(__xludf.DUMMYFUNCTION("""COMPUTED_VALUE"""),"Mexico")</f>
        <v>Mexico</v>
      </c>
      <c r="M23" s="76" t="str">
        <f>IFERROR(__xludf.DUMMYFUNCTION("""COMPUTED_VALUE"""),"Playa del Carmen")</f>
        <v>Playa del Carmen</v>
      </c>
      <c r="N23" s="76" t="str">
        <f>IFERROR(__xludf.DUMMYFUNCTION("""COMPUTED_VALUE"""),"Cancun")</f>
        <v>Cancun</v>
      </c>
      <c r="O23" s="78" t="b">
        <f>IFERROR(__xludf.DUMMYFUNCTION("""COMPUTED_VALUE"""),TRUE)</f>
        <v>1</v>
      </c>
      <c r="P23" s="80">
        <f>IFERROR(__xludf.DUMMYFUNCTION("""COMPUTED_VALUE"""),0.025)</f>
        <v>0.025</v>
      </c>
      <c r="Q23" s="76" t="str">
        <f>IFERROR(__xludf.DUMMYFUNCTION("""COMPUTED_VALUE"""),"Lomas Hospitality")</f>
        <v>Lomas Hospitality</v>
      </c>
      <c r="R23" s="76" t="str">
        <f>IFERROR(__xludf.DUMMYFUNCTION("""COMPUTED_VALUE"""),"Romantic, Luxury")</f>
        <v>Romantic, Luxury</v>
      </c>
      <c r="S23" s="71" t="str">
        <f>IFERROR(__xludf.DUMMYFUNCTION("""COMPUTED_VALUE"""),"Beach, Swim Out/Plunge Pool Rooms, Gym, Spa, Wifi (Free), Nightclub, Room Service")</f>
        <v>Beach, Swim Out/Plunge Pool Rooms, Gym, Spa, Wifi (Free), Nightclub, Room Service</v>
      </c>
      <c r="T23" s="71"/>
      <c r="U23" s="76"/>
      <c r="V23" s="78" t="b">
        <f>IFERROR(__xludf.DUMMYFUNCTION("""COMPUTED_VALUE"""),FALSE)</f>
        <v>0</v>
      </c>
      <c r="W23" s="78"/>
      <c r="X23" s="78"/>
      <c r="Y23" s="78"/>
      <c r="Z23" s="81"/>
    </row>
    <row r="24">
      <c r="A24" s="65" t="str">
        <f>IFERROR(__xludf.DUMMYFUNCTION("""COMPUTED_VALUE"""),"Drake Bay Getaway Resort (Alcohol not included)")</f>
        <v>Drake Bay Getaway Resort (Alcohol not included)</v>
      </c>
      <c r="B24" s="84">
        <f>IFERROR(__xludf.DUMMYFUNCTION("""COMPUTED_VALUE"""),96.5)</f>
        <v>96.5</v>
      </c>
      <c r="C24" s="67" t="str">
        <f>IFERROR(__xludf.DUMMYFUNCTION("""COMPUTED_VALUE"""),"Family")</f>
        <v>Family</v>
      </c>
      <c r="D24" s="68">
        <f>IFERROR(__xludf.DUMMYFUNCTION("""COMPUTED_VALUE"""),6650.0)</f>
        <v>6650</v>
      </c>
      <c r="E24" s="79">
        <f>IFERROR(__xludf.DUMMYFUNCTION("""COMPUTED_VALUE"""),9183.981834999999)</f>
        <v>9183.981835</v>
      </c>
      <c r="F24" s="69">
        <f>IFERROR(__xludf.DUMMYFUNCTION("""COMPUTED_VALUE"""),2.48)</f>
        <v>2.48</v>
      </c>
      <c r="G24" s="78"/>
      <c r="H24" s="78"/>
      <c r="I24" s="78"/>
      <c r="J24" s="78">
        <f>IFERROR(__xludf.DUMMYFUNCTION("""COMPUTED_VALUE"""),3.0)</f>
        <v>3</v>
      </c>
      <c r="K24" s="76" t="str">
        <f>IFERROR(__xludf.DUMMYFUNCTION("""COMPUTED_VALUE"""),"Alcohol not included")</f>
        <v>Alcohol not included</v>
      </c>
      <c r="L24" s="76" t="str">
        <f>IFERROR(__xludf.DUMMYFUNCTION("""COMPUTED_VALUE"""),"Costa Rica")</f>
        <v>Costa Rica</v>
      </c>
      <c r="M24" s="76" t="str">
        <f>IFERROR(__xludf.DUMMYFUNCTION("""COMPUTED_VALUE"""),"Drake Bay")</f>
        <v>Drake Bay</v>
      </c>
      <c r="N24" s="76" t="str">
        <f>IFERROR(__xludf.DUMMYFUNCTION("""COMPUTED_VALUE"""),"San Jose Juan Santamaria")</f>
        <v>San Jose Juan Santamaria</v>
      </c>
      <c r="O24" s="78" t="b">
        <f>IFERROR(__xludf.DUMMYFUNCTION("""COMPUTED_VALUE"""),TRUE)</f>
        <v>1</v>
      </c>
      <c r="P24" s="80">
        <f>IFERROR(__xludf.DUMMYFUNCTION("""COMPUTED_VALUE"""),0.25277777777777777)</f>
        <v>0.2527777778</v>
      </c>
      <c r="Q24" s="76"/>
      <c r="R24" s="76" t="str">
        <f>IFERROR(__xludf.DUMMYFUNCTION("""COMPUTED_VALUE"""),"Modern, Boutique")</f>
        <v>Modern, Boutique</v>
      </c>
      <c r="S24" s="71" t="str">
        <f>IFERROR(__xludf.DUMMYFUNCTION("""COMPUTED_VALUE"""),"Beach, Diving, Horseback Riding, Wifi (Free), Hiking, Snorkelling, Fishing")</f>
        <v>Beach, Diving, Horseback Riding, Wifi (Free), Hiking, Snorkelling, Fishing</v>
      </c>
      <c r="T24" s="71"/>
      <c r="U24" s="76" t="str">
        <f>IFERROR(__xludf.DUMMYFUNCTION("""COMPUTED_VALUE"""),"1 King and 1 Queen")</f>
        <v>1 King and 1 Queen</v>
      </c>
      <c r="V24" s="78" t="b">
        <f>IFERROR(__xludf.DUMMYFUNCTION("""COMPUTED_VALUE"""),FALSE)</f>
        <v>0</v>
      </c>
      <c r="W24" s="78"/>
      <c r="X24" s="78"/>
      <c r="Y24" s="78"/>
      <c r="Z24" s="81"/>
    </row>
    <row r="25">
      <c r="A25" s="65" t="str">
        <f>IFERROR(__xludf.DUMMYFUNCTION("""COMPUTED_VALUE"""),"Jumby Bay Island - An Oetker Collection Hotel")</f>
        <v>Jumby Bay Island - An Oetker Collection Hotel</v>
      </c>
      <c r="B25" s="66">
        <f>IFERROR(__xludf.DUMMYFUNCTION("""COMPUTED_VALUE"""),96.5)</f>
        <v>96.5</v>
      </c>
      <c r="C25" s="67" t="str">
        <f>IFERROR(__xludf.DUMMYFUNCTION("""COMPUTED_VALUE"""),"Family")</f>
        <v>Family</v>
      </c>
      <c r="D25" s="68">
        <f>IFERROR(__xludf.DUMMYFUNCTION("""COMPUTED_VALUE"""),37871.0)</f>
        <v>37871</v>
      </c>
      <c r="E25" s="79">
        <f>IFERROR(__xludf.DUMMYFUNCTION("""COMPUTED_VALUE"""),52301.74076289999)</f>
        <v>52301.74076</v>
      </c>
      <c r="F25" s="69">
        <f>IFERROR(__xludf.DUMMYFUNCTION("""COMPUTED_VALUE"""),0.44)</f>
        <v>0.44</v>
      </c>
      <c r="G25" s="70">
        <f>IFERROR(__xludf.DUMMYFUNCTION("""COMPUTED_VALUE"""),4.0)</f>
        <v>4</v>
      </c>
      <c r="H25" s="70">
        <f>IFERROR(__xludf.DUMMYFUNCTION("""COMPUTED_VALUE"""),9.0)</f>
        <v>9</v>
      </c>
      <c r="I25" s="70"/>
      <c r="J25" s="70"/>
      <c r="K25" s="76"/>
      <c r="L25" s="76" t="str">
        <f>IFERROR(__xludf.DUMMYFUNCTION("""COMPUTED_VALUE"""),"Antigua")</f>
        <v>Antigua</v>
      </c>
      <c r="M25" s="76" t="str">
        <f>IFERROR(__xludf.DUMMYFUNCTION("""COMPUTED_VALUE"""),"Long Island")</f>
        <v>Long Island</v>
      </c>
      <c r="N25" s="76" t="str">
        <f>IFERROR(__xludf.DUMMYFUNCTION("""COMPUTED_VALUE"""),"V.C. Bird")</f>
        <v>V.C. Bird</v>
      </c>
      <c r="O25" s="70" t="b">
        <f>IFERROR(__xludf.DUMMYFUNCTION("""COMPUTED_VALUE"""),TRUE)</f>
        <v>1</v>
      </c>
      <c r="P25" s="73">
        <f>IFERROR(__xludf.DUMMYFUNCTION("""COMPUTED_VALUE"""),0.011805555555555555)</f>
        <v>0.01180555556</v>
      </c>
      <c r="Q25" s="76" t="str">
        <f>IFERROR(__xludf.DUMMYFUNCTION("""COMPUTED_VALUE"""),"Oetker Collection")</f>
        <v>Oetker Collection</v>
      </c>
      <c r="R25" s="76" t="str">
        <f>IFERROR(__xludf.DUMMYFUNCTION("""COMPUTED_VALUE"""),"Quiet")</f>
        <v>Quiet</v>
      </c>
      <c r="S25" s="71" t="str">
        <f>IFERROR(__xludf.DUMMYFUNCTION("""COMPUTED_VALUE"""),"Beach, Swim Out/Plunge Pool Rooms, Family Suite, 2 Bedroom Suites, Kids Club, Wifi (Free), Babysitting, Snorkelling, Spa, Gym, Bicycles Available, Fishing, Tennis, Buffet")</f>
        <v>Beach, Swim Out/Plunge Pool Rooms, Family Suite, 2 Bedroom Suites, Kids Club, Wifi (Free), Babysitting, Snorkelling, Spa, Gym, Bicycles Available, Fishing, Tennis, Buffet</v>
      </c>
      <c r="T25" s="71"/>
      <c r="U25" s="71" t="str">
        <f>IFERROR(__xludf.DUMMYFUNCTION("""COMPUTED_VALUE"""),"1 King and 1 Sofa Bed")</f>
        <v>1 King and 1 Sofa Bed</v>
      </c>
      <c r="V25" s="70" t="b">
        <f>IFERROR(__xludf.DUMMYFUNCTION("""COMPUTED_VALUE"""),FALSE)</f>
        <v>0</v>
      </c>
      <c r="W25" s="70">
        <f>IFERROR(__xludf.DUMMYFUNCTION("""COMPUTED_VALUE"""),42.0)</f>
        <v>42</v>
      </c>
      <c r="X25" s="70">
        <f>IFERROR(__xludf.DUMMYFUNCTION("""COMPUTED_VALUE"""),1984.0)</f>
        <v>1984</v>
      </c>
      <c r="Y25" s="70">
        <f>IFERROR(__xludf.DUMMYFUNCTION("""COMPUTED_VALUE"""),2018.0)</f>
        <v>2018</v>
      </c>
      <c r="Z25" s="83">
        <f>IFERROR(__xludf.DUMMYFUNCTION("""COMPUTED_VALUE"""),1.0)</f>
        <v>1</v>
      </c>
    </row>
    <row r="26">
      <c r="A26" s="77" t="str">
        <f>IFERROR(__xludf.DUMMYFUNCTION("""COMPUTED_VALUE"""),"Grand Velas Boutique Hotel Los Cabos")</f>
        <v>Grand Velas Boutique Hotel Los Cabos</v>
      </c>
      <c r="B26" s="66">
        <f>IFERROR(__xludf.DUMMYFUNCTION("""COMPUTED_VALUE"""),96.3)</f>
        <v>96.3</v>
      </c>
      <c r="C26" s="78" t="str">
        <f>IFERROR(__xludf.DUMMYFUNCTION("""COMPUTED_VALUE"""),"Adults Only")</f>
        <v>Adults Only</v>
      </c>
      <c r="D26" s="68">
        <f>IFERROR(__xludf.DUMMYFUNCTION("""COMPUTED_VALUE"""),9506.0)</f>
        <v>9506</v>
      </c>
      <c r="E26" s="79">
        <f>IFERROR(__xludf.DUMMYFUNCTION("""COMPUTED_VALUE"""),13128.260349399998)</f>
        <v>13128.26035</v>
      </c>
      <c r="F26" s="69">
        <f>IFERROR(__xludf.DUMMYFUNCTION("""COMPUTED_VALUE"""),1.71)</f>
        <v>1.71</v>
      </c>
      <c r="G26" s="70"/>
      <c r="H26" s="70" t="str">
        <f>IFERROR(__xludf.DUMMYFUNCTION("""COMPUTED_VALUE"""),"NYR")</f>
        <v>NYR</v>
      </c>
      <c r="I26" s="70"/>
      <c r="J26" s="70">
        <f>IFERROR(__xludf.DUMMYFUNCTION("""COMPUTED_VALUE"""),5.0)</f>
        <v>5</v>
      </c>
      <c r="K26" s="76"/>
      <c r="L26" s="72" t="str">
        <f>IFERROR(__xludf.DUMMYFUNCTION("""COMPUTED_VALUE"""),"Mexico")</f>
        <v>Mexico</v>
      </c>
      <c r="M26" s="71" t="str">
        <f>IFERROR(__xludf.DUMMYFUNCTION("""COMPUTED_VALUE"""),"Los Cabos")</f>
        <v>Los Cabos</v>
      </c>
      <c r="N26" s="76" t="str">
        <f>IFERROR(__xludf.DUMMYFUNCTION("""COMPUTED_VALUE"""),"Los Cabos")</f>
        <v>Los Cabos</v>
      </c>
      <c r="O26" s="70" t="b">
        <f>IFERROR(__xludf.DUMMYFUNCTION("""COMPUTED_VALUE"""),TRUE)</f>
        <v>1</v>
      </c>
      <c r="P26" s="73">
        <f>IFERROR(__xludf.DUMMYFUNCTION("""COMPUTED_VALUE"""),0.02013888888888889)</f>
        <v>0.02013888889</v>
      </c>
      <c r="Q26" s="72" t="str">
        <f>IFERROR(__xludf.DUMMYFUNCTION("""COMPUTED_VALUE"""),"Velas Resorts")</f>
        <v>Velas Resorts</v>
      </c>
      <c r="R26" s="72"/>
      <c r="S26" s="71" t="str">
        <f>IFERROR(__xludf.DUMMYFUNCTION("""COMPUTED_VALUE"""),"Beach, Great Food, Swim Out/Plunge Pool Rooms, Heated Pool, Snorkelling, Fishing, Nightclub, Spa, Gym, Wifi (Free), Yoga Classes, Swim Up Bar, Room Service, Evening Entertainment, Buffet")</f>
        <v>Beach, Great Food, Swim Out/Plunge Pool Rooms, Heated Pool, Snorkelling, Fishing, Nightclub, Spa, Gym, Wifi (Free), Yoga Classes, Swim Up Bar, Room Service, Evening Entertainment, Buffet</v>
      </c>
      <c r="T26" s="71"/>
      <c r="U26" s="71"/>
      <c r="V26" s="74" t="b">
        <f>IFERROR(__xludf.DUMMYFUNCTION("""COMPUTED_VALUE"""),TRUE)</f>
        <v>1</v>
      </c>
      <c r="W26" s="74">
        <f>IFERROR(__xludf.DUMMYFUNCTION("""COMPUTED_VALUE"""),79.0)</f>
        <v>79</v>
      </c>
      <c r="X26" s="74">
        <f>IFERROR(__xludf.DUMMYFUNCTION("""COMPUTED_VALUE"""),2023.0)</f>
        <v>2023</v>
      </c>
      <c r="Y26" s="74"/>
      <c r="Z26" s="75"/>
    </row>
    <row r="27">
      <c r="A27" s="65" t="str">
        <f>IFERROR(__xludf.DUMMYFUNCTION("""COMPUTED_VALUE"""),"Jade Mountain Resort")</f>
        <v>Jade Mountain Resort</v>
      </c>
      <c r="B27" s="66">
        <f>IFERROR(__xludf.DUMMYFUNCTION("""COMPUTED_VALUE"""),96.3)</f>
        <v>96.3</v>
      </c>
      <c r="C27" s="67" t="str">
        <f>IFERROR(__xludf.DUMMYFUNCTION("""COMPUTED_VALUE"""),"Adults Only")</f>
        <v>Adults Only</v>
      </c>
      <c r="D27" s="68">
        <f>IFERROR(__xludf.DUMMYFUNCTION("""COMPUTED_VALUE"""),20496.0)</f>
        <v>20496</v>
      </c>
      <c r="E27" s="68">
        <f>IFERROR(__xludf.DUMMYFUNCTION("""COMPUTED_VALUE"""),28305.9987504)</f>
        <v>28305.99875</v>
      </c>
      <c r="F27" s="69">
        <f>IFERROR(__xludf.DUMMYFUNCTION("""COMPUTED_VALUE"""),0.8)</f>
        <v>0.8</v>
      </c>
      <c r="G27" s="70">
        <f>IFERROR(__xludf.DUMMYFUNCTION("""COMPUTED_VALUE"""),5.0)</f>
        <v>5</v>
      </c>
      <c r="H27" s="70">
        <f>IFERROR(__xludf.DUMMYFUNCTION("""COMPUTED_VALUE"""),9.0)</f>
        <v>9</v>
      </c>
      <c r="I27" s="70"/>
      <c r="J27" s="70">
        <f>IFERROR(__xludf.DUMMYFUNCTION("""COMPUTED_VALUE"""),5.0)</f>
        <v>5</v>
      </c>
      <c r="K27" s="71"/>
      <c r="L27" s="72" t="str">
        <f>IFERROR(__xludf.DUMMYFUNCTION("""COMPUTED_VALUE"""),"Saint Lucia")</f>
        <v>Saint Lucia</v>
      </c>
      <c r="M27" s="72" t="str">
        <f>IFERROR(__xludf.DUMMYFUNCTION("""COMPUTED_VALUE"""),"Soufriere")</f>
        <v>Soufriere</v>
      </c>
      <c r="N27" s="72" t="str">
        <f>IFERROR(__xludf.DUMMYFUNCTION("""COMPUTED_VALUE"""),"Hewanorra")</f>
        <v>Hewanorra</v>
      </c>
      <c r="O27" s="70" t="b">
        <f>IFERROR(__xludf.DUMMYFUNCTION("""COMPUTED_VALUE"""),FALSE)</f>
        <v>0</v>
      </c>
      <c r="P27" s="73">
        <f>IFERROR(__xludf.DUMMYFUNCTION("""COMPUTED_VALUE"""),0.04236111111111111)</f>
        <v>0.04236111111</v>
      </c>
      <c r="Q27" s="71"/>
      <c r="R27" s="71" t="str">
        <f>IFERROR(__xludf.DUMMYFUNCTION("""COMPUTED_VALUE"""),"Bay View, Green")</f>
        <v>Bay View, Green</v>
      </c>
      <c r="S27" s="71" t="str">
        <f>IFERROR(__xludf.DUMMYFUNCTION("""COMPUTED_VALUE"""),"Beach, Swim Out/Plunge Pool Rooms, Gym, Diving, Tennis, Wifi (Free), Snorkelling, Spa, Room Service")</f>
        <v>Beach, Swim Out/Plunge Pool Rooms, Gym, Diving, Tennis, Wifi (Free), Snorkelling, Spa, Room Service</v>
      </c>
      <c r="T27" s="71"/>
      <c r="U27" s="71"/>
      <c r="V27" s="74" t="b">
        <f>IFERROR(__xludf.DUMMYFUNCTION("""COMPUTED_VALUE"""),FALSE)</f>
        <v>0</v>
      </c>
      <c r="W27" s="74">
        <f>IFERROR(__xludf.DUMMYFUNCTION("""COMPUTED_VALUE"""),20.0)</f>
        <v>20</v>
      </c>
      <c r="X27" s="74"/>
      <c r="Y27" s="74"/>
      <c r="Z27" s="75"/>
    </row>
    <row r="28">
      <c r="A28" s="82" t="str">
        <f>IFERROR(__xludf.DUMMYFUNCTION("""COMPUTED_VALUE"""),"Excellence Playa Mujeres")</f>
        <v>Excellence Playa Mujeres</v>
      </c>
      <c r="B28" s="66">
        <f>IFERROR(__xludf.DUMMYFUNCTION("""COMPUTED_VALUE"""),96.0)</f>
        <v>96</v>
      </c>
      <c r="C28" s="78" t="str">
        <f>IFERROR(__xludf.DUMMYFUNCTION("""COMPUTED_VALUE"""),"Adults Only")</f>
        <v>Adults Only</v>
      </c>
      <c r="D28" s="68">
        <f>IFERROR(__xludf.DUMMYFUNCTION("""COMPUTED_VALUE"""),3666.0)</f>
        <v>3666</v>
      </c>
      <c r="E28" s="79">
        <f>IFERROR(__xludf.DUMMYFUNCTION("""COMPUTED_VALUE"""),5062.9289334)</f>
        <v>5062.928933</v>
      </c>
      <c r="F28" s="69">
        <f>IFERROR(__xludf.DUMMYFUNCTION("""COMPUTED_VALUE"""),4.36)</f>
        <v>4.36</v>
      </c>
      <c r="G28" s="78"/>
      <c r="H28" s="78">
        <f>IFERROR(__xludf.DUMMYFUNCTION("""COMPUTED_VALUE"""),9.0)</f>
        <v>9</v>
      </c>
      <c r="I28" s="78"/>
      <c r="J28" s="78">
        <f>IFERROR(__xludf.DUMMYFUNCTION("""COMPUTED_VALUE"""),5.0)</f>
        <v>5</v>
      </c>
      <c r="K28" s="76"/>
      <c r="L28" s="76" t="str">
        <f>IFERROR(__xludf.DUMMYFUNCTION("""COMPUTED_VALUE"""),"Mexico")</f>
        <v>Mexico</v>
      </c>
      <c r="M28" s="71" t="str">
        <f>IFERROR(__xludf.DUMMYFUNCTION("""COMPUTED_VALUE"""),"Playa Mujeres")</f>
        <v>Playa Mujeres</v>
      </c>
      <c r="N28" s="71" t="str">
        <f>IFERROR(__xludf.DUMMYFUNCTION("""COMPUTED_VALUE"""),"Cancun")</f>
        <v>Cancun</v>
      </c>
      <c r="O28" s="70" t="b">
        <f>IFERROR(__xludf.DUMMYFUNCTION("""COMPUTED_VALUE"""),TRUE)</f>
        <v>1</v>
      </c>
      <c r="P28" s="73">
        <f>IFERROR(__xludf.DUMMYFUNCTION("""COMPUTED_VALUE"""),0.025)</f>
        <v>0.025</v>
      </c>
      <c r="Q28" s="76" t="str">
        <f>IFERROR(__xludf.DUMMYFUNCTION("""COMPUTED_VALUE"""),"The Excellence Collection")</f>
        <v>The Excellence Collection</v>
      </c>
      <c r="R28" s="76" t="str">
        <f>IFERROR(__xludf.DUMMYFUNCTION("""COMPUTED_VALUE"""),"Luxury, Quiet")</f>
        <v>Luxury, Quiet</v>
      </c>
      <c r="S28" s="71" t="str">
        <f>IFERROR(__xludf.DUMMYFUNCTION("""COMPUTED_VALUE"""),"Beach, Swim Out/Plunge Pool Rooms, Heated Pool, Gym, Diving, Lazy River, Snorkelling, Wifi (Free), Swim Up Bar, Tennis, Nightclub, Spa, Room Service, Evening Entertainment, Buffet")</f>
        <v>Beach, Swim Out/Plunge Pool Rooms, Heated Pool, Gym, Diving, Lazy River, Snorkelling, Wifi (Free), Swim Up Bar, Tennis, Nightclub, Spa, Room Service, Evening Entertainment, Buffet</v>
      </c>
      <c r="T28" s="71"/>
      <c r="U28" s="71"/>
      <c r="V28" s="78" t="b">
        <f>IFERROR(__xludf.DUMMYFUNCTION("""COMPUTED_VALUE"""),FALSE)</f>
        <v>0</v>
      </c>
      <c r="W28" s="78">
        <f>IFERROR(__xludf.DUMMYFUNCTION("""COMPUTED_VALUE"""),450.0)</f>
        <v>450</v>
      </c>
      <c r="X28" s="78">
        <f>IFERROR(__xludf.DUMMYFUNCTION("""COMPUTED_VALUE"""),2007.0)</f>
        <v>2007</v>
      </c>
      <c r="Y28" s="78"/>
      <c r="Z28" s="81">
        <f>IFERROR(__xludf.DUMMYFUNCTION("""COMPUTED_VALUE"""),5.0)</f>
        <v>5</v>
      </c>
    </row>
    <row r="29">
      <c r="A29" s="82" t="str">
        <f>IFERROR(__xludf.DUMMYFUNCTION("""COMPUTED_VALUE"""),"Hyatt Zilara Cap Cana")</f>
        <v>Hyatt Zilara Cap Cana</v>
      </c>
      <c r="B29" s="66">
        <f>IFERROR(__xludf.DUMMYFUNCTION("""COMPUTED_VALUE"""),96.0)</f>
        <v>96</v>
      </c>
      <c r="C29" s="78" t="str">
        <f>IFERROR(__xludf.DUMMYFUNCTION("""COMPUTED_VALUE"""),"Adults Only")</f>
        <v>Adults Only</v>
      </c>
      <c r="D29" s="68">
        <f>IFERROR(__xludf.DUMMYFUNCTION("""COMPUTED_VALUE"""),6653.79)</f>
        <v>6653.79</v>
      </c>
      <c r="E29" s="79">
        <f>IFERROR(__xludf.DUMMYFUNCTION("""COMPUTED_VALUE"""),9189.216014120999)</f>
        <v>9189.216014</v>
      </c>
      <c r="F29" s="69">
        <f>IFERROR(__xludf.DUMMYFUNCTION("""COMPUTED_VALUE"""),2.4)</f>
        <v>2.4</v>
      </c>
      <c r="G29" s="78">
        <f>IFERROR(__xludf.DUMMYFUNCTION("""COMPUTED_VALUE"""),4.0)</f>
        <v>4</v>
      </c>
      <c r="H29" s="78">
        <f>IFERROR(__xludf.DUMMYFUNCTION("""COMPUTED_VALUE"""),7.0)</f>
        <v>7</v>
      </c>
      <c r="I29" s="78" t="str">
        <f>IFERROR(__xludf.DUMMYFUNCTION("""COMPUTED_VALUE"""),"F")</f>
        <v>F</v>
      </c>
      <c r="J29" s="78">
        <f>IFERROR(__xludf.DUMMYFUNCTION("""COMPUTED_VALUE"""),5.0)</f>
        <v>5</v>
      </c>
      <c r="K29" s="76"/>
      <c r="L29" s="76" t="str">
        <f>IFERROR(__xludf.DUMMYFUNCTION("""COMPUTED_VALUE"""),"Dominican Republic")</f>
        <v>Dominican Republic</v>
      </c>
      <c r="M29" s="71" t="str">
        <f>IFERROR(__xludf.DUMMYFUNCTION("""COMPUTED_VALUE"""),"Cap Cana")</f>
        <v>Cap Cana</v>
      </c>
      <c r="N29" s="71" t="str">
        <f>IFERROR(__xludf.DUMMYFUNCTION("""COMPUTED_VALUE"""),"Punta Cana")</f>
        <v>Punta Cana</v>
      </c>
      <c r="O29" s="70" t="b">
        <f>IFERROR(__xludf.DUMMYFUNCTION("""COMPUTED_VALUE"""),TRUE)</f>
        <v>1</v>
      </c>
      <c r="P29" s="73">
        <f>IFERROR(__xludf.DUMMYFUNCTION("""COMPUTED_VALUE"""),0.011111111111111112)</f>
        <v>0.01111111111</v>
      </c>
      <c r="Q29" s="76" t="str">
        <f>IFERROR(__xludf.DUMMYFUNCTION("""COMPUTED_VALUE"""),"Hyatt")</f>
        <v>Hyatt</v>
      </c>
      <c r="R29" s="76" t="str">
        <f>IFERROR(__xludf.DUMMYFUNCTION("""COMPUTED_VALUE"""),"Romantic, Ocean View")</f>
        <v>Romantic, Ocean View</v>
      </c>
      <c r="S29" s="71" t="str">
        <f>IFERROR(__xludf.DUMMYFUNCTION("""COMPUTED_VALUE"""),"Beach, Great Food, Swim Out/Plunge Pool Rooms, Heated Pool, Gym, Yoga Classes, Swim Up Bar, Spa, Wifi (Free), Room Service, Nightclub, Evening Entertainment, Buffet")</f>
        <v>Beach, Great Food, Swim Out/Plunge Pool Rooms, Heated Pool, Gym, Yoga Classes, Swim Up Bar, Spa, Wifi (Free), Room Service, Nightclub, Evening Entertainment, Buffet</v>
      </c>
      <c r="T29" s="71"/>
      <c r="U29" s="71"/>
      <c r="V29" s="78" t="b">
        <f>IFERROR(__xludf.DUMMYFUNCTION("""COMPUTED_VALUE"""),TRUE)</f>
        <v>1</v>
      </c>
      <c r="W29" s="78">
        <f>IFERROR(__xludf.DUMMYFUNCTION("""COMPUTED_VALUE"""),375.0)</f>
        <v>375</v>
      </c>
      <c r="X29" s="78">
        <f>IFERROR(__xludf.DUMMYFUNCTION("""COMPUTED_VALUE"""),2019.0)</f>
        <v>2019</v>
      </c>
      <c r="Y29" s="78"/>
      <c r="Z29" s="81">
        <f>IFERROR(__xludf.DUMMYFUNCTION("""COMPUTED_VALUE"""),8.0)</f>
        <v>8</v>
      </c>
    </row>
    <row r="30">
      <c r="A30" s="77" t="str">
        <f>IFERROR(__xludf.DUMMYFUNCTION("""COMPUTED_VALUE"""),"Grand Velas Riviera Nayarit")</f>
        <v>Grand Velas Riviera Nayarit</v>
      </c>
      <c r="B30" s="66">
        <f>IFERROR(__xludf.DUMMYFUNCTION("""COMPUTED_VALUE"""),96.0)</f>
        <v>96</v>
      </c>
      <c r="C30" s="78" t="str">
        <f>IFERROR(__xludf.DUMMYFUNCTION("""COMPUTED_VALUE"""),"Family")</f>
        <v>Family</v>
      </c>
      <c r="D30" s="68">
        <f>IFERROR(__xludf.DUMMYFUNCTION("""COMPUTED_VALUE"""),10003.98)</f>
        <v>10003.98</v>
      </c>
      <c r="E30" s="68">
        <f>IFERROR(__xludf.DUMMYFUNCTION("""COMPUTED_VALUE"""),13815.995578601998)</f>
        <v>13815.99558</v>
      </c>
      <c r="F30" s="69">
        <f>IFERROR(__xludf.DUMMYFUNCTION("""COMPUTED_VALUE"""),1.6)</f>
        <v>1.6</v>
      </c>
      <c r="G30" s="70">
        <f>IFERROR(__xludf.DUMMYFUNCTION("""COMPUTED_VALUE"""),5.0)</f>
        <v>5</v>
      </c>
      <c r="H30" s="70">
        <f>IFERROR(__xludf.DUMMYFUNCTION("""COMPUTED_VALUE"""),9.0)</f>
        <v>9</v>
      </c>
      <c r="I30" s="70"/>
      <c r="J30" s="70">
        <f>IFERROR(__xludf.DUMMYFUNCTION("""COMPUTED_VALUE"""),5.0)</f>
        <v>5</v>
      </c>
      <c r="K30" s="71"/>
      <c r="L30" s="72" t="str">
        <f>IFERROR(__xludf.DUMMYFUNCTION("""COMPUTED_VALUE"""),"Mexico")</f>
        <v>Mexico</v>
      </c>
      <c r="M30" s="72" t="str">
        <f>IFERROR(__xludf.DUMMYFUNCTION("""COMPUTED_VALUE"""),"Nuevo Vallarta")</f>
        <v>Nuevo Vallarta</v>
      </c>
      <c r="N30" s="72" t="str">
        <f>IFERROR(__xludf.DUMMYFUNCTION("""COMPUTED_VALUE"""),"Ordaz")</f>
        <v>Ordaz</v>
      </c>
      <c r="O30" s="74" t="b">
        <f>IFERROR(__xludf.DUMMYFUNCTION("""COMPUTED_VALUE"""),TRUE)</f>
        <v>1</v>
      </c>
      <c r="P30" s="73">
        <f>IFERROR(__xludf.DUMMYFUNCTION("""COMPUTED_VALUE"""),0.0125)</f>
        <v>0.0125</v>
      </c>
      <c r="Q30" s="71" t="str">
        <f>IFERROR(__xludf.DUMMYFUNCTION("""COMPUTED_VALUE"""),"Velas Resorts")</f>
        <v>Velas Resorts</v>
      </c>
      <c r="R30" s="71" t="str">
        <f>IFERROR(__xludf.DUMMYFUNCTION("""COMPUTED_VALUE"""),"Luxury, Family")</f>
        <v>Luxury, Family</v>
      </c>
      <c r="S30" s="71" t="str">
        <f>IFERROR(__xludf.DUMMYFUNCTION("""COMPUTED_VALUE"""),"Beach, Great Food, Swim Out/Plunge Pool Rooms, Family Suite, 2 Bedroom Suites, Kids Club, Teen Club, Heated Pool, Gym, Bicycles Available, Wifi (Paid), Swim Up Bar, Diving, Nightclub, Spa, Babysitting, Room Service, Tennis, Evening Entertainment")</f>
        <v>Beach, Great Food, Swim Out/Plunge Pool Rooms, Family Suite, 2 Bedroom Suites, Kids Club, Teen Club, Heated Pool, Gym, Bicycles Available, Wifi (Paid), Swim Up Bar, Diving, Nightclub, Spa, Babysitting, Room Service, Tennis, Evening Entertainment</v>
      </c>
      <c r="T30" s="71"/>
      <c r="U30" s="71" t="str">
        <f>IFERROR(__xludf.DUMMYFUNCTION("""COMPUTED_VALUE"""),"1 King or 2 Queen")</f>
        <v>1 King or 2 Queen</v>
      </c>
      <c r="V30" s="74" t="b">
        <f>IFERROR(__xludf.DUMMYFUNCTION("""COMPUTED_VALUE"""),TRUE)</f>
        <v>1</v>
      </c>
      <c r="W30" s="74">
        <f>IFERROR(__xludf.DUMMYFUNCTION("""COMPUTED_VALUE"""),267.0)</f>
        <v>267</v>
      </c>
      <c r="X30" s="74">
        <f>IFERROR(__xludf.DUMMYFUNCTION("""COMPUTED_VALUE"""),2002.0)</f>
        <v>2002</v>
      </c>
      <c r="Y30" s="74">
        <f>IFERROR(__xludf.DUMMYFUNCTION("""COMPUTED_VALUE"""),2016.0)</f>
        <v>2016</v>
      </c>
      <c r="Z30" s="75">
        <f>IFERROR(__xludf.DUMMYFUNCTION("""COMPUTED_VALUE"""),9.0)</f>
        <v>9</v>
      </c>
    </row>
    <row r="31">
      <c r="A31" s="77" t="str">
        <f>IFERROR(__xludf.DUMMYFUNCTION("""COMPUTED_VALUE"""),"Grand Velas Riviera Maya")</f>
        <v>Grand Velas Riviera Maya</v>
      </c>
      <c r="B31" s="66">
        <f>IFERROR(__xludf.DUMMYFUNCTION("""COMPUTED_VALUE"""),96.0)</f>
        <v>96</v>
      </c>
      <c r="C31" s="78" t="str">
        <f>IFERROR(__xludf.DUMMYFUNCTION("""COMPUTED_VALUE"""),"Family")</f>
        <v>Family</v>
      </c>
      <c r="D31" s="68">
        <f>IFERROR(__xludf.DUMMYFUNCTION("""COMPUTED_VALUE"""),11396.0)</f>
        <v>11396</v>
      </c>
      <c r="E31" s="68">
        <f>IFERROR(__xludf.DUMMYFUNCTION("""COMPUTED_VALUE"""),15738.444660399999)</f>
        <v>15738.44466</v>
      </c>
      <c r="F31" s="69">
        <f>IFERROR(__xludf.DUMMYFUNCTION("""COMPUTED_VALUE"""),1.4)</f>
        <v>1.4</v>
      </c>
      <c r="G31" s="70">
        <f>IFERROR(__xludf.DUMMYFUNCTION("""COMPUTED_VALUE"""),5.0)</f>
        <v>5</v>
      </c>
      <c r="H31" s="70">
        <f>IFERROR(__xludf.DUMMYFUNCTION("""COMPUTED_VALUE"""),9.0)</f>
        <v>9</v>
      </c>
      <c r="I31" s="70"/>
      <c r="J31" s="70">
        <f>IFERROR(__xludf.DUMMYFUNCTION("""COMPUTED_VALUE"""),5.0)</f>
        <v>5</v>
      </c>
      <c r="K31" s="71"/>
      <c r="L31" s="72" t="str">
        <f>IFERROR(__xludf.DUMMYFUNCTION("""COMPUTED_VALUE"""),"Mexico")</f>
        <v>Mexico</v>
      </c>
      <c r="M31" s="71" t="str">
        <f>IFERROR(__xludf.DUMMYFUNCTION("""COMPUTED_VALUE"""),"Playa del Carmen")</f>
        <v>Playa del Carmen</v>
      </c>
      <c r="N31" s="72" t="str">
        <f>IFERROR(__xludf.DUMMYFUNCTION("""COMPUTED_VALUE"""),"Cancun")</f>
        <v>Cancun</v>
      </c>
      <c r="O31" s="70" t="b">
        <f>IFERROR(__xludf.DUMMYFUNCTION("""COMPUTED_VALUE"""),TRUE)</f>
        <v>1</v>
      </c>
      <c r="P31" s="73">
        <f>IFERROR(__xludf.DUMMYFUNCTION("""COMPUTED_VALUE"""),0.027083333333333334)</f>
        <v>0.02708333333</v>
      </c>
      <c r="Q31" s="71" t="str">
        <f>IFERROR(__xludf.DUMMYFUNCTION("""COMPUTED_VALUE"""),"Velas Resorts")</f>
        <v>Velas Resorts</v>
      </c>
      <c r="R31" s="71" t="str">
        <f>IFERROR(__xludf.DUMMYFUNCTION("""COMPUTED_VALUE"""),"Great View, Family")</f>
        <v>Great View, Family</v>
      </c>
      <c r="S31" s="71" t="str">
        <f>IFERROR(__xludf.DUMMYFUNCTION("""COMPUTED_VALUE"""),"Beach, Great Food, Swim Out/Plunge Pool Rooms, Family Suite, 2 Bedroom Suites, Kids Club, Teen Club, Heated Pool, Gym, Diving, Spa, Wifi (Free), Babysitting, Swim Up Bar, Fishing, Room Service, Evening Entertainment")</f>
        <v>Beach, Great Food, Swim Out/Plunge Pool Rooms, Family Suite, 2 Bedroom Suites, Kids Club, Teen Club, Heated Pool, Gym, Diving, Spa, Wifi (Free), Babysitting, Swim Up Bar, Fishing, Room Service, Evening Entertainment</v>
      </c>
      <c r="T31" s="71"/>
      <c r="U31" s="71" t="str">
        <f>IFERROR(__xludf.DUMMYFUNCTION("""COMPUTED_VALUE"""),"1 King or 2 Queen")</f>
        <v>1 King or 2 Queen</v>
      </c>
      <c r="V31" s="74" t="b">
        <f>IFERROR(__xludf.DUMMYFUNCTION("""COMPUTED_VALUE"""),FALSE)</f>
        <v>0</v>
      </c>
      <c r="W31" s="74">
        <f>IFERROR(__xludf.DUMMYFUNCTION("""COMPUTED_VALUE"""),539.0)</f>
        <v>539</v>
      </c>
      <c r="X31" s="74">
        <f>IFERROR(__xludf.DUMMYFUNCTION("""COMPUTED_VALUE"""),2008.0)</f>
        <v>2008</v>
      </c>
      <c r="Y31" s="74">
        <f>IFERROR(__xludf.DUMMYFUNCTION("""COMPUTED_VALUE"""),2021.0)</f>
        <v>2021</v>
      </c>
      <c r="Z31" s="75">
        <f>IFERROR(__xludf.DUMMYFUNCTION("""COMPUTED_VALUE"""),4.0)</f>
        <v>4</v>
      </c>
    </row>
    <row r="32">
      <c r="A32" s="65" t="str">
        <f>IFERROR(__xludf.DUMMYFUNCTION("""COMPUTED_VALUE"""),"Spice Island Beach Resort")</f>
        <v>Spice Island Beach Resort</v>
      </c>
      <c r="B32" s="66">
        <f>IFERROR(__xludf.DUMMYFUNCTION("""COMPUTED_VALUE"""),96.0)</f>
        <v>96</v>
      </c>
      <c r="C32" s="67" t="str">
        <f>IFERROR(__xludf.DUMMYFUNCTION("""COMPUTED_VALUE"""),"Family")</f>
        <v>Family</v>
      </c>
      <c r="D32" s="79">
        <f>IFERROR(__xludf.DUMMYFUNCTION("""COMPUTED_VALUE"""),18340.0)</f>
        <v>18340</v>
      </c>
      <c r="E32" s="79">
        <f>IFERROR(__xludf.DUMMYFUNCTION("""COMPUTED_VALUE"""),25328.455165999996)</f>
        <v>25328.45517</v>
      </c>
      <c r="F32" s="69">
        <f>IFERROR(__xludf.DUMMYFUNCTION("""COMPUTED_VALUE"""),0.87)</f>
        <v>0.87</v>
      </c>
      <c r="G32" s="70">
        <f>IFERROR(__xludf.DUMMYFUNCTION("""COMPUTED_VALUE"""),5.0)</f>
        <v>5</v>
      </c>
      <c r="H32" s="70">
        <f>IFERROR(__xludf.DUMMYFUNCTION("""COMPUTED_VALUE"""),9.0)</f>
        <v>9</v>
      </c>
      <c r="I32" s="70"/>
      <c r="J32" s="78">
        <f>IFERROR(__xludf.DUMMYFUNCTION("""COMPUTED_VALUE"""),5.0)</f>
        <v>5</v>
      </c>
      <c r="K32" s="76"/>
      <c r="L32" s="76" t="str">
        <f>IFERROR(__xludf.DUMMYFUNCTION("""COMPUTED_VALUE"""),"Grenada")</f>
        <v>Grenada</v>
      </c>
      <c r="M32" s="76" t="str">
        <f>IFERROR(__xludf.DUMMYFUNCTION("""COMPUTED_VALUE"""),"Grand Anse")</f>
        <v>Grand Anse</v>
      </c>
      <c r="N32" s="76" t="str">
        <f>IFERROR(__xludf.DUMMYFUNCTION("""COMPUTED_VALUE"""),"Point Saline")</f>
        <v>Point Saline</v>
      </c>
      <c r="O32" s="78" t="b">
        <f>IFERROR(__xludf.DUMMYFUNCTION("""COMPUTED_VALUE"""),FALSE)</f>
        <v>0</v>
      </c>
      <c r="P32" s="80">
        <f>IFERROR(__xludf.DUMMYFUNCTION("""COMPUTED_VALUE"""),0.006944444444444444)</f>
        <v>0.006944444444</v>
      </c>
      <c r="Q32" s="76"/>
      <c r="R32" s="71" t="str">
        <f>IFERROR(__xludf.DUMMYFUNCTION("""COMPUTED_VALUE"""),"Family, Green")</f>
        <v>Family, Green</v>
      </c>
      <c r="S32" s="76" t="str">
        <f>IFERROR(__xludf.DUMMYFUNCTION("""COMPUTED_VALUE"""),"Beach, Swim Out/Plunge Pool Rooms, Kids Club, Gym, Bicycles Available, Room Service, Tennis, Spa, Wifi (Free), Babysitting, Diving, Pets Allowed, Buffet")</f>
        <v>Beach, Swim Out/Plunge Pool Rooms, Kids Club, Gym, Bicycles Available, Room Service, Tennis, Spa, Wifi (Free), Babysitting, Diving, Pets Allowed, Buffet</v>
      </c>
      <c r="T32" s="76"/>
      <c r="U32" s="76" t="str">
        <f>IFERROR(__xludf.DUMMYFUNCTION("""COMPUTED_VALUE"""),"1 King or 2 Queen")</f>
        <v>1 King or 2 Queen</v>
      </c>
      <c r="V32" s="70" t="b">
        <f>IFERROR(__xludf.DUMMYFUNCTION("""COMPUTED_VALUE"""),FALSE)</f>
        <v>0</v>
      </c>
      <c r="W32" s="70">
        <f>IFERROR(__xludf.DUMMYFUNCTION("""COMPUTED_VALUE"""),64.0)</f>
        <v>64</v>
      </c>
      <c r="X32" s="70">
        <f>IFERROR(__xludf.DUMMYFUNCTION("""COMPUTED_VALUE"""),1961.0)</f>
        <v>1961</v>
      </c>
      <c r="Y32" s="70">
        <f>IFERROR(__xludf.DUMMYFUNCTION("""COMPUTED_VALUE"""),2023.0)</f>
        <v>2023</v>
      </c>
      <c r="Z32" s="83">
        <f>IFERROR(__xludf.DUMMYFUNCTION("""COMPUTED_VALUE"""),2.0)</f>
        <v>2</v>
      </c>
    </row>
    <row r="33">
      <c r="A33" s="65" t="str">
        <f>IFERROR(__xludf.DUMMYFUNCTION("""COMPUTED_VALUE"""),"Excellence Riviera Cancun")</f>
        <v>Excellence Riviera Cancun</v>
      </c>
      <c r="B33" s="66">
        <f>IFERROR(__xludf.DUMMYFUNCTION("""COMPUTED_VALUE"""),95.7)</f>
        <v>95.7</v>
      </c>
      <c r="C33" s="67" t="str">
        <f>IFERROR(__xludf.DUMMYFUNCTION("""COMPUTED_VALUE"""),"Adults Only")</f>
        <v>Adults Only</v>
      </c>
      <c r="D33" s="68">
        <f>IFERROR(__xludf.DUMMYFUNCTION("""COMPUTED_VALUE"""),3528.0)</f>
        <v>3528</v>
      </c>
      <c r="E33" s="68">
        <f>IFERROR(__xludf.DUMMYFUNCTION("""COMPUTED_VALUE"""),4872.344047199999)</f>
        <v>4872.344047</v>
      </c>
      <c r="F33" s="69">
        <f>IFERROR(__xludf.DUMMYFUNCTION("""COMPUTED_VALUE"""),4.45)</f>
        <v>4.45</v>
      </c>
      <c r="G33" s="70"/>
      <c r="H33" s="70">
        <f>IFERROR(__xludf.DUMMYFUNCTION("""COMPUTED_VALUE"""),9.0)</f>
        <v>9</v>
      </c>
      <c r="I33" s="70"/>
      <c r="J33" s="70">
        <f>IFERROR(__xludf.DUMMYFUNCTION("""COMPUTED_VALUE"""),5.0)</f>
        <v>5</v>
      </c>
      <c r="K33" s="76"/>
      <c r="L33" s="76" t="str">
        <f>IFERROR(__xludf.DUMMYFUNCTION("""COMPUTED_VALUE"""),"Mexico")</f>
        <v>Mexico</v>
      </c>
      <c r="M33" s="76" t="str">
        <f>IFERROR(__xludf.DUMMYFUNCTION("""COMPUTED_VALUE"""),"Puerto Morelos")</f>
        <v>Puerto Morelos</v>
      </c>
      <c r="N33" s="76" t="str">
        <f>IFERROR(__xludf.DUMMYFUNCTION("""COMPUTED_VALUE"""),"Cancun")</f>
        <v>Cancun</v>
      </c>
      <c r="O33" s="70" t="b">
        <f>IFERROR(__xludf.DUMMYFUNCTION("""COMPUTED_VALUE"""),TRUE)</f>
        <v>1</v>
      </c>
      <c r="P33" s="73">
        <f>IFERROR(__xludf.DUMMYFUNCTION("""COMPUTED_VALUE"""),0.01597222222222222)</f>
        <v>0.01597222222</v>
      </c>
      <c r="Q33" s="76" t="str">
        <f>IFERROR(__xludf.DUMMYFUNCTION("""COMPUTED_VALUE"""),"The Excellence Collection")</f>
        <v>The Excellence Collection</v>
      </c>
      <c r="R33" s="76" t="str">
        <f>IFERROR(__xludf.DUMMYFUNCTION("""COMPUTED_VALUE"""),"Green, Quiet")</f>
        <v>Green, Quiet</v>
      </c>
      <c r="S33" s="71" t="str">
        <f>IFERROR(__xludf.DUMMYFUNCTION("""COMPUTED_VALUE"""),"Beach, Swim Out/Plunge Pool Rooms, Heated Pool, Gym, Diving, Room Service, Tennis, Nightclub, Wifi (Free), Lazy River, Swim Up Bar, Snorkelling, Fishing, Evening Entertainment, Buffet")</f>
        <v>Beach, Swim Out/Plunge Pool Rooms, Heated Pool, Gym, Diving, Room Service, Tennis, Nightclub, Wifi (Free), Lazy River, Swim Up Bar, Snorkelling, Fishing, Evening Entertainment, Buffet</v>
      </c>
      <c r="T33" s="71"/>
      <c r="U33" s="71"/>
      <c r="V33" s="70" t="b">
        <f>IFERROR(__xludf.DUMMYFUNCTION("""COMPUTED_VALUE"""),FALSE)</f>
        <v>0</v>
      </c>
      <c r="W33" s="70">
        <f>IFERROR(__xludf.DUMMYFUNCTION("""COMPUTED_VALUE"""),440.0)</f>
        <v>440</v>
      </c>
      <c r="X33" s="70">
        <f>IFERROR(__xludf.DUMMYFUNCTION("""COMPUTED_VALUE"""),2004.0)</f>
        <v>2004</v>
      </c>
      <c r="Y33" s="70">
        <f>IFERROR(__xludf.DUMMYFUNCTION("""COMPUTED_VALUE"""),2015.0)</f>
        <v>2015</v>
      </c>
      <c r="Z33" s="83">
        <f>IFERROR(__xludf.DUMMYFUNCTION("""COMPUTED_VALUE"""),4.0)</f>
        <v>4</v>
      </c>
    </row>
    <row r="34">
      <c r="A34" s="65" t="str">
        <f>IFERROR(__xludf.DUMMYFUNCTION("""COMPUTED_VALUE"""),"JOIA Paraiso by Iberostar")</f>
        <v>JOIA Paraiso by Iberostar</v>
      </c>
      <c r="B34" s="66">
        <f>IFERROR(__xludf.DUMMYFUNCTION("""COMPUTED_VALUE"""),95.7)</f>
        <v>95.7</v>
      </c>
      <c r="C34" s="67" t="str">
        <f>IFERROR(__xludf.DUMMYFUNCTION("""COMPUTED_VALUE"""),"Adults Only")</f>
        <v>Adults Only</v>
      </c>
      <c r="D34" s="79">
        <f>IFERROR(__xludf.DUMMYFUNCTION("""COMPUTED_VALUE"""),6096.82)</f>
        <v>6096.82</v>
      </c>
      <c r="E34" s="79">
        <f>IFERROR(__xludf.DUMMYFUNCTION("""COMPUTED_VALUE"""),8420.012651317998)</f>
        <v>8420.012651</v>
      </c>
      <c r="F34" s="69">
        <f>IFERROR(__xludf.DUMMYFUNCTION("""COMPUTED_VALUE"""),2.58)</f>
        <v>2.58</v>
      </c>
      <c r="G34" s="70"/>
      <c r="H34" s="78">
        <f>IFERROR(__xludf.DUMMYFUNCTION("""COMPUTED_VALUE"""),9.0)</f>
        <v>9</v>
      </c>
      <c r="I34" s="70"/>
      <c r="J34" s="78">
        <f>IFERROR(__xludf.DUMMYFUNCTION("""COMPUTED_VALUE"""),5.0)</f>
        <v>5</v>
      </c>
      <c r="K34" s="76"/>
      <c r="L34" s="76" t="str">
        <f>IFERROR(__xludf.DUMMYFUNCTION("""COMPUTED_VALUE"""),"Mexico")</f>
        <v>Mexico</v>
      </c>
      <c r="M34" s="76" t="str">
        <f>IFERROR(__xludf.DUMMYFUNCTION("""COMPUTED_VALUE"""),"Playa Paraiso")</f>
        <v>Playa Paraiso</v>
      </c>
      <c r="N34" s="76" t="str">
        <f>IFERROR(__xludf.DUMMYFUNCTION("""COMPUTED_VALUE"""),"Cancun")</f>
        <v>Cancun</v>
      </c>
      <c r="O34" s="78" t="b">
        <f>IFERROR(__xludf.DUMMYFUNCTION("""COMPUTED_VALUE"""),TRUE)</f>
        <v>1</v>
      </c>
      <c r="P34" s="80">
        <f>IFERROR(__xludf.DUMMYFUNCTION("""COMPUTED_VALUE"""),0.022222222222222223)</f>
        <v>0.02222222222</v>
      </c>
      <c r="Q34" s="76" t="str">
        <f>IFERROR(__xludf.DUMMYFUNCTION("""COMPUTED_VALUE"""),"IHG")</f>
        <v>IHG</v>
      </c>
      <c r="R34" s="76" t="str">
        <f>IFERROR(__xludf.DUMMYFUNCTION("""COMPUTED_VALUE"""),"Great View, Quiet")</f>
        <v>Great View, Quiet</v>
      </c>
      <c r="S34" s="76" t="str">
        <f>IFERROR(__xludf.DUMMYFUNCTION("""COMPUTED_VALUE"""),"Beach, Great Food, Swim Out/Plunge Pool Rooms, Gym, Diving, Swim Up Bar, Golf Course, Spa, Wifi (Free), Tennis, Evening Entertainment, Buffet")</f>
        <v>Beach, Great Food, Swim Out/Plunge Pool Rooms, Gym, Diving, Swim Up Bar, Golf Course, Spa, Wifi (Free), Tennis, Evening Entertainment, Buffet</v>
      </c>
      <c r="T34" s="76"/>
      <c r="U34" s="76"/>
      <c r="V34" s="78" t="b">
        <f>IFERROR(__xludf.DUMMYFUNCTION("""COMPUTED_VALUE"""),FALSE)</f>
        <v>0</v>
      </c>
      <c r="W34" s="78">
        <f>IFERROR(__xludf.DUMMYFUNCTION("""COMPUTED_VALUE"""),310.0)</f>
        <v>310</v>
      </c>
      <c r="X34" s="78">
        <f>IFERROR(__xludf.DUMMYFUNCTION("""COMPUTED_VALUE"""),2007.0)</f>
        <v>2007</v>
      </c>
      <c r="Y34" s="78"/>
      <c r="Z34" s="81">
        <f>IFERROR(__xludf.DUMMYFUNCTION("""COMPUTED_VALUE"""),3.0)</f>
        <v>3</v>
      </c>
    </row>
    <row r="35">
      <c r="A35" s="77" t="str">
        <f>IFERROR(__xludf.DUMMYFUNCTION("""COMPUTED_VALUE"""),"The Caves")</f>
        <v>The Caves</v>
      </c>
      <c r="B35" s="66">
        <f>IFERROR(__xludf.DUMMYFUNCTION("""COMPUTED_VALUE"""),95.7)</f>
        <v>95.7</v>
      </c>
      <c r="C35" s="78" t="str">
        <f>IFERROR(__xludf.DUMMYFUNCTION("""COMPUTED_VALUE"""),"Adults Only")</f>
        <v>Adults Only</v>
      </c>
      <c r="D35" s="68">
        <f>IFERROR(__xludf.DUMMYFUNCTION("""COMPUTED_VALUE"""),6601.0)</f>
        <v>6601</v>
      </c>
      <c r="E35" s="68">
        <f>IFERROR(__xludf.DUMMYFUNCTION("""COMPUTED_VALUE"""),9116.310389899998)</f>
        <v>9116.31039</v>
      </c>
      <c r="F35" s="69">
        <f>IFERROR(__xludf.DUMMYFUNCTION("""COMPUTED_VALUE"""),2.38)</f>
        <v>2.38</v>
      </c>
      <c r="G35" s="78"/>
      <c r="H35" s="78">
        <f>IFERROR(__xludf.DUMMYFUNCTION("""COMPUTED_VALUE"""),9.0)</f>
        <v>9</v>
      </c>
      <c r="I35" s="70"/>
      <c r="J35" s="70">
        <f>IFERROR(__xludf.DUMMYFUNCTION("""COMPUTED_VALUE"""),4.0)</f>
        <v>4</v>
      </c>
      <c r="K35" s="71"/>
      <c r="L35" s="72" t="str">
        <f>IFERROR(__xludf.DUMMYFUNCTION("""COMPUTED_VALUE"""),"Jamaica")</f>
        <v>Jamaica</v>
      </c>
      <c r="M35" s="76" t="str">
        <f>IFERROR(__xludf.DUMMYFUNCTION("""COMPUTED_VALUE"""),"Negril")</f>
        <v>Negril</v>
      </c>
      <c r="N35" s="72" t="str">
        <f>IFERROR(__xludf.DUMMYFUNCTION("""COMPUTED_VALUE"""),"Sangster")</f>
        <v>Sangster</v>
      </c>
      <c r="O35" s="70" t="b">
        <f>IFERROR(__xludf.DUMMYFUNCTION("""COMPUTED_VALUE"""),TRUE)</f>
        <v>1</v>
      </c>
      <c r="P35" s="73">
        <f>IFERROR(__xludf.DUMMYFUNCTION("""COMPUTED_VALUE"""),0.06736111111111111)</f>
        <v>0.06736111111</v>
      </c>
      <c r="Q35" s="76"/>
      <c r="R35" s="71" t="str">
        <f>IFERROR(__xludf.DUMMYFUNCTION("""COMPUTED_VALUE"""),"Hidden Gem, Boutique")</f>
        <v>Hidden Gem, Boutique</v>
      </c>
      <c r="S35" s="71" t="str">
        <f>IFERROR(__xludf.DUMMYFUNCTION("""COMPUTED_VALUE"""),"Yoga Classes, Snorkelling, Watersports Equipment Rentals, Fishing, Wifi (Free), Diving, Spa, Evening Entertainment")</f>
        <v>Yoga Classes, Snorkelling, Watersports Equipment Rentals, Fishing, Wifi (Free), Diving, Spa, Evening Entertainment</v>
      </c>
      <c r="T35" s="71"/>
      <c r="U35" s="71"/>
      <c r="V35" s="74" t="b">
        <f>IFERROR(__xludf.DUMMYFUNCTION("""COMPUTED_VALUE"""),FALSE)</f>
        <v>0</v>
      </c>
      <c r="W35" s="74">
        <f>IFERROR(__xludf.DUMMYFUNCTION("""COMPUTED_VALUE"""),12.0)</f>
        <v>12</v>
      </c>
      <c r="X35" s="74">
        <f>IFERROR(__xludf.DUMMYFUNCTION("""COMPUTED_VALUE"""),1996.0)</f>
        <v>1996</v>
      </c>
      <c r="Y35" s="74">
        <f>IFERROR(__xludf.DUMMYFUNCTION("""COMPUTED_VALUE"""),2008.0)</f>
        <v>2008</v>
      </c>
      <c r="Z35" s="75">
        <f>IFERROR(__xludf.DUMMYFUNCTION("""COMPUTED_VALUE"""),2.0)</f>
        <v>2</v>
      </c>
    </row>
    <row r="36">
      <c r="A36" s="65" t="str">
        <f>IFERROR(__xludf.DUMMYFUNCTION("""COMPUTED_VALUE"""),"JOIA Bávaro By Iberostar")</f>
        <v>JOIA Bávaro By Iberostar</v>
      </c>
      <c r="B36" s="66">
        <f>IFERROR(__xludf.DUMMYFUNCTION("""COMPUTED_VALUE"""),95.7)</f>
        <v>95.7</v>
      </c>
      <c r="C36" s="67" t="str">
        <f>IFERROR(__xludf.DUMMYFUNCTION("""COMPUTED_VALUE"""),"Adults Only")</f>
        <v>Adults Only</v>
      </c>
      <c r="D36" s="79">
        <f>IFERROR(__xludf.DUMMYFUNCTION("""COMPUTED_VALUE"""),7696.92)</f>
        <v>7696.92</v>
      </c>
      <c r="E36" s="79">
        <f>IFERROR(__xludf.DUMMYFUNCTION("""COMPUTED_VALUE"""),10629.830596307998)</f>
        <v>10629.8306</v>
      </c>
      <c r="F36" s="69">
        <f>IFERROR(__xludf.DUMMYFUNCTION("""COMPUTED_VALUE"""),2.04)</f>
        <v>2.04</v>
      </c>
      <c r="G36" s="78">
        <f>IFERROR(__xludf.DUMMYFUNCTION("""COMPUTED_VALUE"""),4.0)</f>
        <v>4</v>
      </c>
      <c r="H36" s="78">
        <f>IFERROR(__xludf.DUMMYFUNCTION("""COMPUTED_VALUE"""),9.0)</f>
        <v>9</v>
      </c>
      <c r="I36" s="78"/>
      <c r="J36" s="78">
        <f>IFERROR(__xludf.DUMMYFUNCTION("""COMPUTED_VALUE"""),5.0)</f>
        <v>5</v>
      </c>
      <c r="K36" s="76"/>
      <c r="L36" s="76" t="str">
        <f>IFERROR(__xludf.DUMMYFUNCTION("""COMPUTED_VALUE"""),"Dominican Republic")</f>
        <v>Dominican Republic</v>
      </c>
      <c r="M36" s="76" t="str">
        <f>IFERROR(__xludf.DUMMYFUNCTION("""COMPUTED_VALUE"""),"Bavaro")</f>
        <v>Bavaro</v>
      </c>
      <c r="N36" s="76" t="str">
        <f>IFERROR(__xludf.DUMMYFUNCTION("""COMPUTED_VALUE"""),"Punta Cana")</f>
        <v>Punta Cana</v>
      </c>
      <c r="O36" s="78" t="b">
        <f>IFERROR(__xludf.DUMMYFUNCTION("""COMPUTED_VALUE"""),TRUE)</f>
        <v>1</v>
      </c>
      <c r="P36" s="80">
        <f>IFERROR(__xludf.DUMMYFUNCTION("""COMPUTED_VALUE"""),0.017361111111111112)</f>
        <v>0.01736111111</v>
      </c>
      <c r="Q36" s="76" t="str">
        <f>IFERROR(__xludf.DUMMYFUNCTION("""COMPUTED_VALUE"""),"IHG")</f>
        <v>IHG</v>
      </c>
      <c r="R36" s="76" t="str">
        <f>IFERROR(__xludf.DUMMYFUNCTION("""COMPUTED_VALUE"""),"Romantic, Ocean View")</f>
        <v>Romantic, Ocean View</v>
      </c>
      <c r="S36" s="76" t="str">
        <f>IFERROR(__xludf.DUMMYFUNCTION("""COMPUTED_VALUE"""),"Beach, Great Food, Swim Out/Plunge Pool Rooms, Gym, Diving, Tennis, Fishing, Nightclub, Spa, Room Service, Swim Up Bar, Golf Course, Evening Entertainment, Buffet")</f>
        <v>Beach, Great Food, Swim Out/Plunge Pool Rooms, Gym, Diving, Tennis, Fishing, Nightclub, Spa, Room Service, Swim Up Bar, Golf Course, Evening Entertainment, Buffet</v>
      </c>
      <c r="T36" s="76"/>
      <c r="U36" s="76"/>
      <c r="V36" s="78" t="b">
        <f>IFERROR(__xludf.DUMMYFUNCTION("""COMPUTED_VALUE"""),FALSE)</f>
        <v>0</v>
      </c>
      <c r="W36" s="78">
        <f>IFERROR(__xludf.DUMMYFUNCTION("""COMPUTED_VALUE"""),274.0)</f>
        <v>274</v>
      </c>
      <c r="X36" s="78">
        <f>IFERROR(__xludf.DUMMYFUNCTION("""COMPUTED_VALUE"""),2009.0)</f>
        <v>2009</v>
      </c>
      <c r="Y36" s="78"/>
      <c r="Z36" s="81"/>
    </row>
    <row r="37">
      <c r="A37" s="65" t="str">
        <f>IFERROR(__xludf.DUMMYFUNCTION("""COMPUTED_VALUE"""),"Cayo Levantado Resort")</f>
        <v>Cayo Levantado Resort</v>
      </c>
      <c r="B37" s="66">
        <f>IFERROR(__xludf.DUMMYFUNCTION("""COMPUTED_VALUE"""),95.7)</f>
        <v>95.7</v>
      </c>
      <c r="C37" s="67" t="str">
        <f>IFERROR(__xludf.DUMMYFUNCTION("""COMPUTED_VALUE"""),"Family")</f>
        <v>Family</v>
      </c>
      <c r="D37" s="79">
        <f>IFERROR(__xludf.DUMMYFUNCTION("""COMPUTED_VALUE"""),14707.42)</f>
        <v>14707.42</v>
      </c>
      <c r="E37" s="79">
        <f>IFERROR(__xludf.DUMMYFUNCTION("""COMPUTED_VALUE"""),20311.680920257997)</f>
        <v>20311.68092</v>
      </c>
      <c r="F37" s="69">
        <f>IFERROR(__xludf.DUMMYFUNCTION("""COMPUTED_VALUE"""),1.07)</f>
        <v>1.07</v>
      </c>
      <c r="G37" s="78"/>
      <c r="H37" s="78" t="str">
        <f>IFERROR(__xludf.DUMMYFUNCTION("""COMPUTED_VALUE"""),"NYR")</f>
        <v>NYR</v>
      </c>
      <c r="I37" s="78"/>
      <c r="J37" s="78">
        <f>IFERROR(__xludf.DUMMYFUNCTION("""COMPUTED_VALUE"""),5.0)</f>
        <v>5</v>
      </c>
      <c r="K37" s="71"/>
      <c r="L37" s="76" t="str">
        <f>IFERROR(__xludf.DUMMYFUNCTION("""COMPUTED_VALUE"""),"Dominican Republic")</f>
        <v>Dominican Republic</v>
      </c>
      <c r="M37" s="76" t="str">
        <f>IFERROR(__xludf.DUMMYFUNCTION("""COMPUTED_VALUE"""),"Cayo Levantado")</f>
        <v>Cayo Levantado</v>
      </c>
      <c r="N37" s="76" t="str">
        <f>IFERROR(__xludf.DUMMYFUNCTION("""COMPUTED_VALUE"""),"Samaná El Catey")</f>
        <v>Samaná El Catey</v>
      </c>
      <c r="O37" s="78" t="b">
        <f>IFERROR(__xludf.DUMMYFUNCTION("""COMPUTED_VALUE"""),TRUE)</f>
        <v>1</v>
      </c>
      <c r="P37" s="80">
        <f>IFERROR(__xludf.DUMMYFUNCTION("""COMPUTED_VALUE"""),0.04652777777777778)</f>
        <v>0.04652777778</v>
      </c>
      <c r="Q37" s="76"/>
      <c r="R37" s="76"/>
      <c r="S37" s="76" t="str">
        <f>IFERROR(__xludf.DUMMYFUNCTION("""COMPUTED_VALUE"""),"Beach, Swim Out/Plunge Pool Rooms, Gym, Tennis, Wifi (Free), Room Service, Spa, Evening Entertainment, Buffet")</f>
        <v>Beach, Swim Out/Plunge Pool Rooms, Gym, Tennis, Wifi (Free), Room Service, Spa, Evening Entertainment, Buffet</v>
      </c>
      <c r="T37" s="76"/>
      <c r="U37" s="76" t="str">
        <f>IFERROR(__xludf.DUMMYFUNCTION("""COMPUTED_VALUE"""),"1 King or 2 Full")</f>
        <v>1 King or 2 Full</v>
      </c>
      <c r="V37" s="78" t="b">
        <f>IFERROR(__xludf.DUMMYFUNCTION("""COMPUTED_VALUE"""),FALSE)</f>
        <v>0</v>
      </c>
      <c r="W37" s="78">
        <f>IFERROR(__xludf.DUMMYFUNCTION("""COMPUTED_VALUE"""),219.0)</f>
        <v>219</v>
      </c>
      <c r="X37" s="78">
        <f>IFERROR(__xludf.DUMMYFUNCTION("""COMPUTED_VALUE"""),2006.0)</f>
        <v>2006</v>
      </c>
      <c r="Y37" s="74">
        <f>IFERROR(__xludf.DUMMYFUNCTION("""COMPUTED_VALUE"""),2022.0)</f>
        <v>2022</v>
      </c>
      <c r="Z37" s="75">
        <f>IFERROR(__xludf.DUMMYFUNCTION("""COMPUTED_VALUE"""),4.0)</f>
        <v>4</v>
      </c>
    </row>
    <row r="38">
      <c r="A38" s="65" t="str">
        <f>IFERROR(__xludf.DUMMYFUNCTION("""COMPUTED_VALUE"""),"Curtain Bluff")</f>
        <v>Curtain Bluff</v>
      </c>
      <c r="B38" s="66">
        <f>IFERROR(__xludf.DUMMYFUNCTION("""COMPUTED_VALUE"""),95.7)</f>
        <v>95.7</v>
      </c>
      <c r="C38" s="67" t="str">
        <f>IFERROR(__xludf.DUMMYFUNCTION("""COMPUTED_VALUE"""),"Family")</f>
        <v>Family</v>
      </c>
      <c r="D38" s="79">
        <f>IFERROR(__xludf.DUMMYFUNCTION("""COMPUTED_VALUE"""),21869.4)</f>
        <v>21869.4</v>
      </c>
      <c r="E38" s="79">
        <f>IFERROR(__xludf.DUMMYFUNCTION("""COMPUTED_VALUE"""),30202.73268306)</f>
        <v>30202.73268</v>
      </c>
      <c r="F38" s="69">
        <f>IFERROR(__xludf.DUMMYFUNCTION("""COMPUTED_VALUE"""),0.72)</f>
        <v>0.72</v>
      </c>
      <c r="G38" s="78"/>
      <c r="H38" s="78">
        <f>IFERROR(__xludf.DUMMYFUNCTION("""COMPUTED_VALUE"""),9.0)</f>
        <v>9</v>
      </c>
      <c r="I38" s="78"/>
      <c r="J38" s="78">
        <f>IFERROR(__xludf.DUMMYFUNCTION("""COMPUTED_VALUE"""),4.0)</f>
        <v>4</v>
      </c>
      <c r="K38" s="76"/>
      <c r="L38" s="76" t="str">
        <f>IFERROR(__xludf.DUMMYFUNCTION("""COMPUTED_VALUE"""),"Antigua")</f>
        <v>Antigua</v>
      </c>
      <c r="M38" s="76" t="str">
        <f>IFERROR(__xludf.DUMMYFUNCTION("""COMPUTED_VALUE"""),"Saint Mary's")</f>
        <v>Saint Mary's</v>
      </c>
      <c r="N38" s="76" t="str">
        <f>IFERROR(__xludf.DUMMYFUNCTION("""COMPUTED_VALUE"""),"V.C. Bird")</f>
        <v>V.C. Bird</v>
      </c>
      <c r="O38" s="78" t="b">
        <f>IFERROR(__xludf.DUMMYFUNCTION("""COMPUTED_VALUE"""),TRUE)</f>
        <v>1</v>
      </c>
      <c r="P38" s="80">
        <f>IFERROR(__xludf.DUMMYFUNCTION("""COMPUTED_VALUE"""),0.02638888888888889)</f>
        <v>0.02638888889</v>
      </c>
      <c r="Q38" s="76"/>
      <c r="R38" s="76" t="str">
        <f>IFERROR(__xludf.DUMMYFUNCTION("""COMPUTED_VALUE"""),"Romantic, Great View")</f>
        <v>Romantic, Great View</v>
      </c>
      <c r="S38" s="76" t="str">
        <f>IFERROR(__xludf.DUMMYFUNCTION("""COMPUTED_VALUE"""),"Beach, Swim Out/Plunge Pool Rooms, Family Suite, 2 Bedroom Suites, Kids Club, Gym, Diving, Tennis, Wifi (Free), Babysitting, Snorkelling, Evening Entertainment")</f>
        <v>Beach, Swim Out/Plunge Pool Rooms, Family Suite, 2 Bedroom Suites, Kids Club, Gym, Diving, Tennis, Wifi (Free), Babysitting, Snorkelling, Evening Entertainment</v>
      </c>
      <c r="T38" s="76"/>
      <c r="U38" s="76" t="str">
        <f>IFERROR(__xludf.DUMMYFUNCTION("""COMPUTED_VALUE"""),"1 King")</f>
        <v>1 King</v>
      </c>
      <c r="V38" s="78" t="b">
        <f>IFERROR(__xludf.DUMMYFUNCTION("""COMPUTED_VALUE"""),FALSE)</f>
        <v>0</v>
      </c>
      <c r="W38" s="78">
        <f>IFERROR(__xludf.DUMMYFUNCTION("""COMPUTED_VALUE"""),72.0)</f>
        <v>72</v>
      </c>
      <c r="X38" s="78">
        <f>IFERROR(__xludf.DUMMYFUNCTION("""COMPUTED_VALUE"""),1962.0)</f>
        <v>1962</v>
      </c>
      <c r="Y38" s="78">
        <f>IFERROR(__xludf.DUMMYFUNCTION("""COMPUTED_VALUE"""),2023.0)</f>
        <v>2023</v>
      </c>
      <c r="Z38" s="81">
        <f>IFERROR(__xludf.DUMMYFUNCTION("""COMPUTED_VALUE"""),3.0)</f>
        <v>3</v>
      </c>
    </row>
    <row r="39">
      <c r="A39" s="65" t="str">
        <f>IFERROR(__xludf.DUMMYFUNCTION("""COMPUTED_VALUE"""),"Casa Velas")</f>
        <v>Casa Velas</v>
      </c>
      <c r="B39" s="66">
        <f>IFERROR(__xludf.DUMMYFUNCTION("""COMPUTED_VALUE"""),95.5)</f>
        <v>95.5</v>
      </c>
      <c r="C39" s="67" t="str">
        <f>IFERROR(__xludf.DUMMYFUNCTION("""COMPUTED_VALUE"""),"Adults Only")</f>
        <v>Adults Only</v>
      </c>
      <c r="D39" s="79">
        <f>IFERROR(__xludf.DUMMYFUNCTION("""COMPUTED_VALUE"""),5145.0)</f>
        <v>5145</v>
      </c>
      <c r="E39" s="79">
        <f>IFERROR(__xludf.DUMMYFUNCTION("""COMPUTED_VALUE"""),7105.501735499999)</f>
        <v>7105.501736</v>
      </c>
      <c r="F39" s="69">
        <f>IFERROR(__xludf.DUMMYFUNCTION("""COMPUTED_VALUE"""),3.01)</f>
        <v>3.01</v>
      </c>
      <c r="G39" s="78">
        <f>IFERROR(__xludf.DUMMYFUNCTION("""COMPUTED_VALUE"""),4.0)</f>
        <v>4</v>
      </c>
      <c r="H39" s="78">
        <f>IFERROR(__xludf.DUMMYFUNCTION("""COMPUTED_VALUE"""),8.0)</f>
        <v>8</v>
      </c>
      <c r="I39" s="78"/>
      <c r="J39" s="78">
        <f>IFERROR(__xludf.DUMMYFUNCTION("""COMPUTED_VALUE"""),4.0)</f>
        <v>4</v>
      </c>
      <c r="K39" s="76"/>
      <c r="L39" s="76" t="str">
        <f>IFERROR(__xludf.DUMMYFUNCTION("""COMPUTED_VALUE"""),"Mexico")</f>
        <v>Mexico</v>
      </c>
      <c r="M39" s="76" t="str">
        <f>IFERROR(__xludf.DUMMYFUNCTION("""COMPUTED_VALUE"""),"Puerto Vallarta")</f>
        <v>Puerto Vallarta</v>
      </c>
      <c r="N39" s="76" t="str">
        <f>IFERROR(__xludf.DUMMYFUNCTION("""COMPUTED_VALUE"""),"Ordaz")</f>
        <v>Ordaz</v>
      </c>
      <c r="O39" s="78" t="b">
        <f>IFERROR(__xludf.DUMMYFUNCTION("""COMPUTED_VALUE"""),TRUE)</f>
        <v>1</v>
      </c>
      <c r="P39" s="80">
        <f>IFERROR(__xludf.DUMMYFUNCTION("""COMPUTED_VALUE"""),0.004166666666666667)</f>
        <v>0.004166666667</v>
      </c>
      <c r="Q39" s="76" t="str">
        <f>IFERROR(__xludf.DUMMYFUNCTION("""COMPUTED_VALUE"""),"Velas Resorts")</f>
        <v>Velas Resorts</v>
      </c>
      <c r="R39" s="76" t="str">
        <f>IFERROR(__xludf.DUMMYFUNCTION("""COMPUTED_VALUE"""),"Charming, Romantic")</f>
        <v>Charming, Romantic</v>
      </c>
      <c r="S39" s="76" t="str">
        <f>IFERROR(__xludf.DUMMYFUNCTION("""COMPUTED_VALUE"""),"Beach, Swim Out/Plunge Pool Rooms, Heated Pool, Gym, Room Service, Swim Up Bar, Wifi (Free), Golf Course, Spa, Evening Entertainment")</f>
        <v>Beach, Swim Out/Plunge Pool Rooms, Heated Pool, Gym, Room Service, Swim Up Bar, Wifi (Free), Golf Course, Spa, Evening Entertainment</v>
      </c>
      <c r="T39" s="76"/>
      <c r="U39" s="76"/>
      <c r="V39" s="78" t="b">
        <f>IFERROR(__xludf.DUMMYFUNCTION("""COMPUTED_VALUE"""),FALSE)</f>
        <v>0</v>
      </c>
      <c r="W39" s="78">
        <f>IFERROR(__xludf.DUMMYFUNCTION("""COMPUTED_VALUE"""),80.0)</f>
        <v>80</v>
      </c>
      <c r="X39" s="78"/>
      <c r="Y39" s="74">
        <f>IFERROR(__xludf.DUMMYFUNCTION("""COMPUTED_VALUE"""),2015.0)</f>
        <v>2015</v>
      </c>
      <c r="Z39" s="81">
        <f>IFERROR(__xludf.DUMMYFUNCTION("""COMPUTED_VALUE"""),4.0)</f>
        <v>4</v>
      </c>
    </row>
    <row r="40">
      <c r="A40" s="65" t="str">
        <f>IFERROR(__xludf.DUMMYFUNCTION("""COMPUTED_VALUE"""),"Hermitage Bay")</f>
        <v>Hermitage Bay</v>
      </c>
      <c r="B40" s="66">
        <f>IFERROR(__xludf.DUMMYFUNCTION("""COMPUTED_VALUE"""),95.5)</f>
        <v>95.5</v>
      </c>
      <c r="C40" s="67" t="str">
        <f>IFERROR(__xludf.DUMMYFUNCTION("""COMPUTED_VALUE"""),"Adults Only")</f>
        <v>Adults Only</v>
      </c>
      <c r="D40" s="79">
        <f>IFERROR(__xludf.DUMMYFUNCTION("""COMPUTED_VALUE"""),22472.8)</f>
        <v>22472.8</v>
      </c>
      <c r="E40" s="79">
        <f>IFERROR(__xludf.DUMMYFUNCTION("""COMPUTED_VALUE"""),31036.058192719996)</f>
        <v>31036.05819</v>
      </c>
      <c r="F40" s="69">
        <f>IFERROR(__xludf.DUMMYFUNCTION("""COMPUTED_VALUE"""),0.69)</f>
        <v>0.69</v>
      </c>
      <c r="G40" s="78"/>
      <c r="H40" s="78">
        <f>IFERROR(__xludf.DUMMYFUNCTION("""COMPUTED_VALUE"""),9.0)</f>
        <v>9</v>
      </c>
      <c r="I40" s="78"/>
      <c r="J40" s="78">
        <f>IFERROR(__xludf.DUMMYFUNCTION("""COMPUTED_VALUE"""),5.0)</f>
        <v>5</v>
      </c>
      <c r="K40" s="76"/>
      <c r="L40" s="76" t="str">
        <f>IFERROR(__xludf.DUMMYFUNCTION("""COMPUTED_VALUE"""),"Antigua")</f>
        <v>Antigua</v>
      </c>
      <c r="M40" s="76" t="str">
        <f>IFERROR(__xludf.DUMMYFUNCTION("""COMPUTED_VALUE"""),"Saint Mary's")</f>
        <v>Saint Mary's</v>
      </c>
      <c r="N40" s="76" t="str">
        <f>IFERROR(__xludf.DUMMYFUNCTION("""COMPUTED_VALUE"""),"V.C. Bird")</f>
        <v>V.C. Bird</v>
      </c>
      <c r="O40" s="78" t="b">
        <f>IFERROR(__xludf.DUMMYFUNCTION("""COMPUTED_VALUE"""),TRUE)</f>
        <v>1</v>
      </c>
      <c r="P40" s="80">
        <f>IFERROR(__xludf.DUMMYFUNCTION("""COMPUTED_VALUE"""),0.020833333333333332)</f>
        <v>0.02083333333</v>
      </c>
      <c r="Q40" s="76"/>
      <c r="R40" s="76" t="str">
        <f>IFERROR(__xludf.DUMMYFUNCTION("""COMPUTED_VALUE"""),"Romantic, Ocean View")</f>
        <v>Romantic, Ocean View</v>
      </c>
      <c r="S40" s="76" t="str">
        <f>IFERROR(__xludf.DUMMYFUNCTION("""COMPUTED_VALUE"""),"Beach, Swim Out/Plunge Pool Rooms, Gym, Yoga Classes, Room Service, Diving, Horseback Riding, Windsurfing, Fishing, Wifi (Free), Hiking, Snorkelling, Spa, Evening Entertainment")</f>
        <v>Beach, Swim Out/Plunge Pool Rooms, Gym, Yoga Classes, Room Service, Diving, Horseback Riding, Windsurfing, Fishing, Wifi (Free), Hiking, Snorkelling, Spa, Evening Entertainment</v>
      </c>
      <c r="T40" s="76"/>
      <c r="U40" s="76"/>
      <c r="V40" s="78" t="b">
        <f>IFERROR(__xludf.DUMMYFUNCTION("""COMPUTED_VALUE"""),FALSE)</f>
        <v>0</v>
      </c>
      <c r="W40" s="78">
        <f>IFERROR(__xludf.DUMMYFUNCTION("""COMPUTED_VALUE"""),30.0)</f>
        <v>30</v>
      </c>
      <c r="X40" s="78">
        <f>IFERROR(__xludf.DUMMYFUNCTION("""COMPUTED_VALUE"""),2006.0)</f>
        <v>2006</v>
      </c>
      <c r="Y40" s="78">
        <f>IFERROR(__xludf.DUMMYFUNCTION("""COMPUTED_VALUE"""),2013.0)</f>
        <v>2013</v>
      </c>
      <c r="Z40" s="81"/>
    </row>
    <row r="41">
      <c r="A41" s="65" t="str">
        <f>IFERROR(__xludf.DUMMYFUNCTION("""COMPUTED_VALUE"""),"Keyonna Beach Resort")</f>
        <v>Keyonna Beach Resort</v>
      </c>
      <c r="B41" s="66">
        <f>IFERROR(__xludf.DUMMYFUNCTION("""COMPUTED_VALUE"""),95.3)</f>
        <v>95.3</v>
      </c>
      <c r="C41" s="67" t="str">
        <f>IFERROR(__xludf.DUMMYFUNCTION("""COMPUTED_VALUE"""),"Adults Only")</f>
        <v>Adults Only</v>
      </c>
      <c r="D41" s="79">
        <f>IFERROR(__xludf.DUMMYFUNCTION("""COMPUTED_VALUE"""),4606.0)</f>
        <v>4606</v>
      </c>
      <c r="E41" s="79">
        <f>IFERROR(__xludf.DUMMYFUNCTION("""COMPUTED_VALUE"""),6361.1158393999995)</f>
        <v>6361.115839</v>
      </c>
      <c r="F41" s="69">
        <f>IFERROR(__xludf.DUMMYFUNCTION("""COMPUTED_VALUE"""),3.32)</f>
        <v>3.32</v>
      </c>
      <c r="G41" s="78"/>
      <c r="H41" s="78">
        <f>IFERROR(__xludf.DUMMYFUNCTION("""COMPUTED_VALUE"""),4.0)</f>
        <v>4</v>
      </c>
      <c r="I41" s="78"/>
      <c r="J41" s="78">
        <f>IFERROR(__xludf.DUMMYFUNCTION("""COMPUTED_VALUE"""),3.0)</f>
        <v>3</v>
      </c>
      <c r="K41" s="76"/>
      <c r="L41" s="76" t="str">
        <f>IFERROR(__xludf.DUMMYFUNCTION("""COMPUTED_VALUE"""),"Antigua")</f>
        <v>Antigua</v>
      </c>
      <c r="M41" s="76" t="str">
        <f>IFERROR(__xludf.DUMMYFUNCTION("""COMPUTED_VALUE"""),"Turners Beach")</f>
        <v>Turners Beach</v>
      </c>
      <c r="N41" s="76" t="str">
        <f>IFERROR(__xludf.DUMMYFUNCTION("""COMPUTED_VALUE"""),"V.C. Bird")</f>
        <v>V.C. Bird</v>
      </c>
      <c r="O41" s="78" t="b">
        <f>IFERROR(__xludf.DUMMYFUNCTION("""COMPUTED_VALUE"""),TRUE)</f>
        <v>1</v>
      </c>
      <c r="P41" s="80">
        <f>IFERROR(__xludf.DUMMYFUNCTION("""COMPUTED_VALUE"""),0.021527777777777778)</f>
        <v>0.02152777778</v>
      </c>
      <c r="Q41" s="76"/>
      <c r="R41" s="76" t="str">
        <f>IFERROR(__xludf.DUMMYFUNCTION("""COMPUTED_VALUE"""),"Quaint")</f>
        <v>Quaint</v>
      </c>
      <c r="S41" s="76" t="str">
        <f>IFERROR(__xludf.DUMMYFUNCTION("""COMPUTED_VALUE"""),"Beach, Swim Out/Plunge Pool Rooms, Yoga Classes, Snorkelling, Wifi (Free), Room Service, Evening Entertainment")</f>
        <v>Beach, Swim Out/Plunge Pool Rooms, Yoga Classes, Snorkelling, Wifi (Free), Room Service, Evening Entertainment</v>
      </c>
      <c r="T41" s="76"/>
      <c r="U41" s="76"/>
      <c r="V41" s="78" t="b">
        <f>IFERROR(__xludf.DUMMYFUNCTION("""COMPUTED_VALUE"""),FALSE)</f>
        <v>0</v>
      </c>
      <c r="W41" s="78">
        <f>IFERROR(__xludf.DUMMYFUNCTION("""COMPUTED_VALUE"""),24.0)</f>
        <v>24</v>
      </c>
      <c r="X41" s="78">
        <f>IFERROR(__xludf.DUMMYFUNCTION("""COMPUTED_VALUE"""),2013.0)</f>
        <v>2013</v>
      </c>
      <c r="Y41" s="78"/>
      <c r="Z41" s="81">
        <f>IFERROR(__xludf.DUMMYFUNCTION("""COMPUTED_VALUE"""),2.0)</f>
        <v>2</v>
      </c>
    </row>
    <row r="42">
      <c r="A42" s="65" t="str">
        <f>IFERROR(__xludf.DUMMYFUNCTION("""COMPUTED_VALUE"""),"Secrets Maroma Beach Riviera Cancun")</f>
        <v>Secrets Maroma Beach Riviera Cancun</v>
      </c>
      <c r="B42" s="66">
        <f>IFERROR(__xludf.DUMMYFUNCTION("""COMPUTED_VALUE"""),95.3)</f>
        <v>95.3</v>
      </c>
      <c r="C42" s="67" t="str">
        <f>IFERROR(__xludf.DUMMYFUNCTION("""COMPUTED_VALUE"""),"Adults Only")</f>
        <v>Adults Only</v>
      </c>
      <c r="D42" s="79">
        <f>IFERROR(__xludf.DUMMYFUNCTION("""COMPUTED_VALUE"""),7280.0)</f>
        <v>7280</v>
      </c>
      <c r="E42" s="79">
        <f>IFERROR(__xludf.DUMMYFUNCTION("""COMPUTED_VALUE"""),10054.043271999999)</f>
        <v>10054.04327</v>
      </c>
      <c r="F42" s="69">
        <f>IFERROR(__xludf.DUMMYFUNCTION("""COMPUTED_VALUE"""),2.1)</f>
        <v>2.1</v>
      </c>
      <c r="G42" s="78">
        <f>IFERROR(__xludf.DUMMYFUNCTION("""COMPUTED_VALUE"""),5.0)</f>
        <v>5</v>
      </c>
      <c r="H42" s="78">
        <f>IFERROR(__xludf.DUMMYFUNCTION("""COMPUTED_VALUE"""),9.0)</f>
        <v>9</v>
      </c>
      <c r="I42" s="78" t="str">
        <f>IFERROR(__xludf.DUMMYFUNCTION("""COMPUTED_VALUE"""),"D")</f>
        <v>D</v>
      </c>
      <c r="J42" s="78">
        <f>IFERROR(__xludf.DUMMYFUNCTION("""COMPUTED_VALUE"""),5.0)</f>
        <v>5</v>
      </c>
      <c r="K42" s="71"/>
      <c r="L42" s="76" t="str">
        <f>IFERROR(__xludf.DUMMYFUNCTION("""COMPUTED_VALUE"""),"Mexico")</f>
        <v>Mexico</v>
      </c>
      <c r="M42" s="76" t="str">
        <f>IFERROR(__xludf.DUMMYFUNCTION("""COMPUTED_VALUE"""),"Playa Maroma")</f>
        <v>Playa Maroma</v>
      </c>
      <c r="N42" s="76" t="str">
        <f>IFERROR(__xludf.DUMMYFUNCTION("""COMPUTED_VALUE"""),"Cancun")</f>
        <v>Cancun</v>
      </c>
      <c r="O42" s="78" t="b">
        <f>IFERROR(__xludf.DUMMYFUNCTION("""COMPUTED_VALUE"""),TRUE)</f>
        <v>1</v>
      </c>
      <c r="P42" s="80">
        <f>IFERROR(__xludf.DUMMYFUNCTION("""COMPUTED_VALUE"""),0.025)</f>
        <v>0.025</v>
      </c>
      <c r="Q42" s="76" t="str">
        <f>IFERROR(__xludf.DUMMYFUNCTION("""COMPUTED_VALUE"""),"Hyatt")</f>
        <v>Hyatt</v>
      </c>
      <c r="R42" s="76" t="str">
        <f>IFERROR(__xludf.DUMMYFUNCTION("""COMPUTED_VALUE"""),"Green, Romantic")</f>
        <v>Green, Romantic</v>
      </c>
      <c r="S42" s="76" t="str">
        <f>IFERROR(__xludf.DUMMYFUNCTION("""COMPUTED_VALUE"""),"Beach, Great Food, Swim Out/Plunge Pool Rooms, Gym, Diving, Swim Up Bar, Snorkelling, Spa, Wifi (Free), Room Service, Tennis, Nightclub, Evening Entertainment, Buffet")</f>
        <v>Beach, Great Food, Swim Out/Plunge Pool Rooms, Gym, Diving, Swim Up Bar, Snorkelling, Spa, Wifi (Free), Room Service, Tennis, Nightclub, Evening Entertainment, Buffet</v>
      </c>
      <c r="T42" s="76"/>
      <c r="U42" s="76"/>
      <c r="V42" s="78" t="b">
        <f>IFERROR(__xludf.DUMMYFUNCTION("""COMPUTED_VALUE"""),FALSE)</f>
        <v>0</v>
      </c>
      <c r="W42" s="78">
        <f>IFERROR(__xludf.DUMMYFUNCTION("""COMPUTED_VALUE"""),412.0)</f>
        <v>412</v>
      </c>
      <c r="X42" s="78">
        <f>IFERROR(__xludf.DUMMYFUNCTION("""COMPUTED_VALUE"""),2008.0)</f>
        <v>2008</v>
      </c>
      <c r="Y42" s="78">
        <f>IFERROR(__xludf.DUMMYFUNCTION("""COMPUTED_VALUE"""),2018.0)</f>
        <v>2018</v>
      </c>
      <c r="Z42" s="81">
        <f>IFERROR(__xludf.DUMMYFUNCTION("""COMPUTED_VALUE"""),4.0)</f>
        <v>4</v>
      </c>
    </row>
    <row r="43">
      <c r="A43" s="65" t="str">
        <f>IFERROR(__xludf.DUMMYFUNCTION("""COMPUTED_VALUE"""),"Hyatt Ziva Cap Cana")</f>
        <v>Hyatt Ziva Cap Cana</v>
      </c>
      <c r="B43" s="66">
        <f>IFERROR(__xludf.DUMMYFUNCTION("""COMPUTED_VALUE"""),95.3)</f>
        <v>95.3</v>
      </c>
      <c r="C43" s="67" t="str">
        <f>IFERROR(__xludf.DUMMYFUNCTION("""COMPUTED_VALUE"""),"Family")</f>
        <v>Family</v>
      </c>
      <c r="D43" s="79">
        <f>IFERROR(__xludf.DUMMYFUNCTION("""COMPUTED_VALUE"""),8188.11)</f>
        <v>8188.11</v>
      </c>
      <c r="E43" s="79">
        <f>IFERROR(__xludf.DUMMYFUNCTION("""COMPUTED_VALUE"""),11308.188496688997)</f>
        <v>11308.1885</v>
      </c>
      <c r="F43" s="69">
        <f>IFERROR(__xludf.DUMMYFUNCTION("""COMPUTED_VALUE"""),1.87)</f>
        <v>1.87</v>
      </c>
      <c r="G43" s="78">
        <f>IFERROR(__xludf.DUMMYFUNCTION("""COMPUTED_VALUE"""),4.0)</f>
        <v>4</v>
      </c>
      <c r="H43" s="78">
        <f>IFERROR(__xludf.DUMMYFUNCTION("""COMPUTED_VALUE"""),8.0)</f>
        <v>8</v>
      </c>
      <c r="I43" s="78" t="str">
        <f>IFERROR(__xludf.DUMMYFUNCTION("""COMPUTED_VALUE"""),"F")</f>
        <v>F</v>
      </c>
      <c r="J43" s="78">
        <f>IFERROR(__xludf.DUMMYFUNCTION("""COMPUTED_VALUE"""),5.0)</f>
        <v>5</v>
      </c>
      <c r="K43" s="76"/>
      <c r="L43" s="76" t="str">
        <f>IFERROR(__xludf.DUMMYFUNCTION("""COMPUTED_VALUE"""),"Dominican Republic")</f>
        <v>Dominican Republic</v>
      </c>
      <c r="M43" s="76" t="str">
        <f>IFERROR(__xludf.DUMMYFUNCTION("""COMPUTED_VALUE"""),"Cap Cana")</f>
        <v>Cap Cana</v>
      </c>
      <c r="N43" s="76" t="str">
        <f>IFERROR(__xludf.DUMMYFUNCTION("""COMPUTED_VALUE"""),"Punta Cana")</f>
        <v>Punta Cana</v>
      </c>
      <c r="O43" s="78" t="b">
        <f>IFERROR(__xludf.DUMMYFUNCTION("""COMPUTED_VALUE"""),TRUE)</f>
        <v>1</v>
      </c>
      <c r="P43" s="80">
        <f>IFERROR(__xludf.DUMMYFUNCTION("""COMPUTED_VALUE"""),0.011111111111111112)</f>
        <v>0.01111111111</v>
      </c>
      <c r="Q43" s="76" t="str">
        <f>IFERROR(__xludf.DUMMYFUNCTION("""COMPUTED_VALUE"""),"Hyatt")</f>
        <v>Hyatt</v>
      </c>
      <c r="R43" s="76" t="str">
        <f>IFERROR(__xludf.DUMMYFUNCTION("""COMPUTED_VALUE"""),"Business, Romantic")</f>
        <v>Business, Romantic</v>
      </c>
      <c r="S43" s="76" t="str">
        <f>IFERROR(__xludf.DUMMYFUNCTION("""COMPUTED_VALUE"""),"Beach, Swim Out/Plunge Pool Rooms, Kids Club, Teen Club, Lazy River, Kids Waterpark, Big Waterslides, Heated Pool, Gym, Yoga Classes, Adult Pool, Swim Up Bar, Horseback Riding, Nightclub, Wifi (Free), Babysitting, Room Service, Snorkelling, Watersports Eq"&amp;"uipment Rentals, Spa, Evening Entertainment, Buffet")</f>
        <v>Beach, Swim Out/Plunge Pool Rooms, Kids Club, Teen Club, Lazy River, Kids Waterpark, Big Waterslides, Heated Pool, Gym, Yoga Classes, Adult Pool, Swim Up Bar, Horseback Riding, Nightclub, Wifi (Free), Babysitting, Room Service, Snorkelling, Watersports Equipment Rentals, Spa, Evening Entertainment, Buffet</v>
      </c>
      <c r="T43" s="76" t="str">
        <f>IFERROR(__xludf.DUMMYFUNCTION("""COMPUTED_VALUE"""),"Can Request")</f>
        <v>Can Request</v>
      </c>
      <c r="U43" s="76" t="str">
        <f>IFERROR(__xludf.DUMMYFUNCTION("""COMPUTED_VALUE"""),"2 Queen and 1 Queen Sofa Bed")</f>
        <v>2 Queen and 1 Queen Sofa Bed</v>
      </c>
      <c r="V43" s="78" t="b">
        <f>IFERROR(__xludf.DUMMYFUNCTION("""COMPUTED_VALUE"""),FALSE)</f>
        <v>0</v>
      </c>
      <c r="W43" s="78">
        <f>IFERROR(__xludf.DUMMYFUNCTION("""COMPUTED_VALUE"""),375.0)</f>
        <v>375</v>
      </c>
      <c r="X43" s="78">
        <f>IFERROR(__xludf.DUMMYFUNCTION("""COMPUTED_VALUE"""),2019.0)</f>
        <v>2019</v>
      </c>
      <c r="Y43" s="78"/>
      <c r="Z43" s="81">
        <f>IFERROR(__xludf.DUMMYFUNCTION("""COMPUTED_VALUE"""),8.0)</f>
        <v>8</v>
      </c>
    </row>
    <row r="44">
      <c r="A44" s="65" t="str">
        <f>IFERROR(__xludf.DUMMYFUNCTION("""COMPUTED_VALUE"""),"Le Blanc Spa Resort Cancun")</f>
        <v>Le Blanc Spa Resort Cancun</v>
      </c>
      <c r="B44" s="66">
        <f>IFERROR(__xludf.DUMMYFUNCTION("""COMPUTED_VALUE"""),95.0)</f>
        <v>95</v>
      </c>
      <c r="C44" s="67" t="str">
        <f>IFERROR(__xludf.DUMMYFUNCTION("""COMPUTED_VALUE"""),"Adults Only")</f>
        <v>Adults Only</v>
      </c>
      <c r="D44" s="68">
        <f>IFERROR(__xludf.DUMMYFUNCTION("""COMPUTED_VALUE"""),7882.0)</f>
        <v>7882</v>
      </c>
      <c r="E44" s="79">
        <f>IFERROR(__xludf.DUMMYFUNCTION("""COMPUTED_VALUE"""),10885.435311799998)</f>
        <v>10885.43531</v>
      </c>
      <c r="F44" s="69">
        <f>IFERROR(__xludf.DUMMYFUNCTION("""COMPUTED_VALUE"""),1.9)</f>
        <v>1.9</v>
      </c>
      <c r="G44" s="78">
        <f>IFERROR(__xludf.DUMMYFUNCTION("""COMPUTED_VALUE"""),5.0)</f>
        <v>5</v>
      </c>
      <c r="H44" s="78">
        <f>IFERROR(__xludf.DUMMYFUNCTION("""COMPUTED_VALUE"""),9.0)</f>
        <v>9</v>
      </c>
      <c r="I44" s="78"/>
      <c r="J44" s="78">
        <f>IFERROR(__xludf.DUMMYFUNCTION("""COMPUTED_VALUE"""),5.0)</f>
        <v>5</v>
      </c>
      <c r="K44" s="76"/>
      <c r="L44" s="76" t="str">
        <f>IFERROR(__xludf.DUMMYFUNCTION("""COMPUTED_VALUE"""),"Mexico")</f>
        <v>Mexico</v>
      </c>
      <c r="M44" s="76" t="str">
        <f>IFERROR(__xludf.DUMMYFUNCTION("""COMPUTED_VALUE"""),"Cancun")</f>
        <v>Cancun</v>
      </c>
      <c r="N44" s="76" t="str">
        <f>IFERROR(__xludf.DUMMYFUNCTION("""COMPUTED_VALUE"""),"Cancun")</f>
        <v>Cancun</v>
      </c>
      <c r="O44" s="78" t="b">
        <f>IFERROR(__xludf.DUMMYFUNCTION("""COMPUTED_VALUE"""),TRUE)</f>
        <v>1</v>
      </c>
      <c r="P44" s="80">
        <f>IFERROR(__xludf.DUMMYFUNCTION("""COMPUTED_VALUE"""),0.017361111111111112)</f>
        <v>0.01736111111</v>
      </c>
      <c r="Q44" s="76" t="str">
        <f>IFERROR(__xludf.DUMMYFUNCTION("""COMPUTED_VALUE"""),"Palace Resorts")</f>
        <v>Palace Resorts</v>
      </c>
      <c r="R44" s="76" t="str">
        <f>IFERROR(__xludf.DUMMYFUNCTION("""COMPUTED_VALUE"""),"Luxury, Quiet")</f>
        <v>Luxury, Quiet</v>
      </c>
      <c r="S44" s="71" t="str">
        <f>IFERROR(__xludf.DUMMYFUNCTION("""COMPUTED_VALUE"""),"Beach, Great Food, Heated Pool, Gym, Diving, Room Service, Swim Up Bar, Nightclub, Spa, Wifi (Free), Fishing, Evening Entertainment, Buffet")</f>
        <v>Beach, Great Food, Heated Pool, Gym, Diving, Room Service, Swim Up Bar, Nightclub, Spa, Wifi (Free), Fishing, Evening Entertainment, Buffet</v>
      </c>
      <c r="T44" s="71"/>
      <c r="U44" s="71"/>
      <c r="V44" s="78" t="b">
        <f>IFERROR(__xludf.DUMMYFUNCTION("""COMPUTED_VALUE"""),TRUE)</f>
        <v>1</v>
      </c>
      <c r="W44" s="78">
        <f>IFERROR(__xludf.DUMMYFUNCTION("""COMPUTED_VALUE"""),260.0)</f>
        <v>260</v>
      </c>
      <c r="X44" s="78">
        <f>IFERROR(__xludf.DUMMYFUNCTION("""COMPUTED_VALUE"""),1987.0)</f>
        <v>1987</v>
      </c>
      <c r="Y44" s="78">
        <f>IFERROR(__xludf.DUMMYFUNCTION("""COMPUTED_VALUE"""),2019.0)</f>
        <v>2019</v>
      </c>
      <c r="Z44" s="81">
        <f>IFERROR(__xludf.DUMMYFUNCTION("""COMPUTED_VALUE"""),9.0)</f>
        <v>9</v>
      </c>
    </row>
    <row r="45">
      <c r="A45" s="65" t="str">
        <f>IFERROR(__xludf.DUMMYFUNCTION("""COMPUTED_VALUE"""),"BodyHoliday Saint Lucia")</f>
        <v>BodyHoliday Saint Lucia</v>
      </c>
      <c r="B45" s="66">
        <f>IFERROR(__xludf.DUMMYFUNCTION("""COMPUTED_VALUE"""),95.0)</f>
        <v>95</v>
      </c>
      <c r="C45" s="67" t="str">
        <f>IFERROR(__xludf.DUMMYFUNCTION("""COMPUTED_VALUE"""),"Adults Only")</f>
        <v>Adults Only</v>
      </c>
      <c r="D45" s="79">
        <f>IFERROR(__xludf.DUMMYFUNCTION("""COMPUTED_VALUE"""),11725.0)</f>
        <v>11725</v>
      </c>
      <c r="E45" s="79">
        <f>IFERROR(__xludf.DUMMYFUNCTION("""COMPUTED_VALUE"""),16192.810077499998)</f>
        <v>16192.81008</v>
      </c>
      <c r="F45" s="69">
        <f>IFERROR(__xludf.DUMMYFUNCTION("""COMPUTED_VALUE"""),1.28)</f>
        <v>1.28</v>
      </c>
      <c r="G45" s="78"/>
      <c r="H45" s="74">
        <f>IFERROR(__xludf.DUMMYFUNCTION("""COMPUTED_VALUE"""),9.0)</f>
        <v>9</v>
      </c>
      <c r="I45" s="78"/>
      <c r="J45" s="78">
        <f>IFERROR(__xludf.DUMMYFUNCTION("""COMPUTED_VALUE"""),4.0)</f>
        <v>4</v>
      </c>
      <c r="K45" s="71"/>
      <c r="L45" s="76" t="str">
        <f>IFERROR(__xludf.DUMMYFUNCTION("""COMPUTED_VALUE"""),"Saint Lucia")</f>
        <v>Saint Lucia</v>
      </c>
      <c r="M45" s="76" t="str">
        <f>IFERROR(__xludf.DUMMYFUNCTION("""COMPUTED_VALUE"""),"Cap Estate")</f>
        <v>Cap Estate</v>
      </c>
      <c r="N45" s="76" t="str">
        <f>IFERROR(__xludf.DUMMYFUNCTION("""COMPUTED_VALUE"""),"Hewanorra")</f>
        <v>Hewanorra</v>
      </c>
      <c r="O45" s="78" t="b">
        <f>IFERROR(__xludf.DUMMYFUNCTION("""COMPUTED_VALUE"""),FALSE)</f>
        <v>0</v>
      </c>
      <c r="P45" s="80">
        <f>IFERROR(__xludf.DUMMYFUNCTION("""COMPUTED_VALUE"""),0.059722222222222225)</f>
        <v>0.05972222222</v>
      </c>
      <c r="Q45" s="71"/>
      <c r="R45" s="71" t="str">
        <f>IFERROR(__xludf.DUMMYFUNCTION("""COMPUTED_VALUE"""),"Romantic")</f>
        <v>Romantic</v>
      </c>
      <c r="S45" s="76" t="str">
        <f>IFERROR(__xludf.DUMMYFUNCTION("""COMPUTED_VALUE"""),"Beach, Gym, Archery, Yoga Classes, Hiking, Tennis, Nightclub, Bicycles Available, Diving, Golf Course, Snorkelling, Windsurfing, Spa, Evening Entertainment, Buffet")</f>
        <v>Beach, Gym, Archery, Yoga Classes, Hiking, Tennis, Nightclub, Bicycles Available, Diving, Golf Course, Snorkelling, Windsurfing, Spa, Evening Entertainment, Buffet</v>
      </c>
      <c r="T45" s="76"/>
      <c r="U45" s="76"/>
      <c r="V45" s="74" t="b">
        <f>IFERROR(__xludf.DUMMYFUNCTION("""COMPUTED_VALUE"""),FALSE)</f>
        <v>0</v>
      </c>
      <c r="W45" s="74">
        <f>IFERROR(__xludf.DUMMYFUNCTION("""COMPUTED_VALUE"""),155.0)</f>
        <v>155</v>
      </c>
      <c r="X45" s="74">
        <f>IFERROR(__xludf.DUMMYFUNCTION("""COMPUTED_VALUE"""),1973.0)</f>
        <v>1973</v>
      </c>
      <c r="Y45" s="74">
        <f>IFERROR(__xludf.DUMMYFUNCTION("""COMPUTED_VALUE"""),2019.0)</f>
        <v>2019</v>
      </c>
      <c r="Z45" s="75">
        <f>IFERROR(__xludf.DUMMYFUNCTION("""COMPUTED_VALUE"""),4.0)</f>
        <v>4</v>
      </c>
    </row>
    <row r="46">
      <c r="A46" s="65" t="str">
        <f>IFERROR(__xludf.DUMMYFUNCTION("""COMPUTED_VALUE"""),"ATELIER Playa Mujeres (16+)")</f>
        <v>ATELIER Playa Mujeres (16+)</v>
      </c>
      <c r="B46" s="66">
        <f>IFERROR(__xludf.DUMMYFUNCTION("""COMPUTED_VALUE"""),94.8)</f>
        <v>94.8</v>
      </c>
      <c r="C46" s="67" t="str">
        <f>IFERROR(__xludf.DUMMYFUNCTION("""COMPUTED_VALUE"""),"Adults Only")</f>
        <v>Adults Only</v>
      </c>
      <c r="D46" s="79">
        <f>IFERROR(__xludf.DUMMYFUNCTION("""COMPUTED_VALUE"""),7196.0)</f>
        <v>7196</v>
      </c>
      <c r="E46" s="79">
        <f>IFERROR(__xludf.DUMMYFUNCTION("""COMPUTED_VALUE"""),9938.035080399999)</f>
        <v>9938.03508</v>
      </c>
      <c r="F46" s="69">
        <f>IFERROR(__xludf.DUMMYFUNCTION("""COMPUTED_VALUE"""),2.06)</f>
        <v>2.06</v>
      </c>
      <c r="G46" s="78"/>
      <c r="H46" s="78">
        <f>IFERROR(__xludf.DUMMYFUNCTION("""COMPUTED_VALUE"""),8.0)</f>
        <v>8</v>
      </c>
      <c r="I46" s="78"/>
      <c r="J46" s="78">
        <f>IFERROR(__xludf.DUMMYFUNCTION("""COMPUTED_VALUE"""),5.0)</f>
        <v>5</v>
      </c>
      <c r="K46" s="71" t="str">
        <f>IFERROR(__xludf.DUMMYFUNCTION("""COMPUTED_VALUE"""),"16+ Allowed")</f>
        <v>16+ Allowed</v>
      </c>
      <c r="L46" s="76" t="str">
        <f>IFERROR(__xludf.DUMMYFUNCTION("""COMPUTED_VALUE"""),"Mexico")</f>
        <v>Mexico</v>
      </c>
      <c r="M46" s="76" t="str">
        <f>IFERROR(__xludf.DUMMYFUNCTION("""COMPUTED_VALUE"""),"Playa Mujeres")</f>
        <v>Playa Mujeres</v>
      </c>
      <c r="N46" s="76" t="str">
        <f>IFERROR(__xludf.DUMMYFUNCTION("""COMPUTED_VALUE"""),"Cancun")</f>
        <v>Cancun</v>
      </c>
      <c r="O46" s="78" t="b">
        <f>IFERROR(__xludf.DUMMYFUNCTION("""COMPUTED_VALUE"""),TRUE)</f>
        <v>1</v>
      </c>
      <c r="P46" s="80">
        <f>IFERROR(__xludf.DUMMYFUNCTION("""COMPUTED_VALUE"""),0.014583333333333334)</f>
        <v>0.01458333333</v>
      </c>
      <c r="Q46" s="71" t="str">
        <f>IFERROR(__xludf.DUMMYFUNCTION("""COMPUTED_VALUE"""),"Atelier Des Hoteles")</f>
        <v>Atelier Des Hoteles</v>
      </c>
      <c r="R46" s="76" t="str">
        <f>IFERROR(__xludf.DUMMYFUNCTION("""COMPUTED_VALUE"""),"Business, Romantic")</f>
        <v>Business, Romantic</v>
      </c>
      <c r="S46" s="76" t="str">
        <f>IFERROR(__xludf.DUMMYFUNCTION("""COMPUTED_VALUE"""),"Beach, Great Food, Swim Out/Plunge Pool Rooms, Heated Pool, Gym, Bicycles Available, Room Service, Snorkelling, Spa, Wifi (Free), Pets Allowed, Swim Up Bar, Golf Course, Watersports Equipment Rentals, Nightclub, Evening Entertainment, Buffet")</f>
        <v>Beach, Great Food, Swim Out/Plunge Pool Rooms, Heated Pool, Gym, Bicycles Available, Room Service, Snorkelling, Spa, Wifi (Free), Pets Allowed, Swim Up Bar, Golf Course, Watersports Equipment Rentals, Nightclub, Evening Entertainment, Buffet</v>
      </c>
      <c r="T46" s="76"/>
      <c r="U46" s="76"/>
      <c r="V46" s="78" t="b">
        <f>IFERROR(__xludf.DUMMYFUNCTION("""COMPUTED_VALUE"""),FALSE)</f>
        <v>0</v>
      </c>
      <c r="W46" s="78">
        <f>IFERROR(__xludf.DUMMYFUNCTION("""COMPUTED_VALUE"""),593.0)</f>
        <v>593</v>
      </c>
      <c r="X46" s="78">
        <f>IFERROR(__xludf.DUMMYFUNCTION("""COMPUTED_VALUE"""),2018.0)</f>
        <v>2018</v>
      </c>
      <c r="Y46" s="78">
        <f>IFERROR(__xludf.DUMMYFUNCTION("""COMPUTED_VALUE"""),2022.0)</f>
        <v>2022</v>
      </c>
      <c r="Z46" s="81">
        <f>IFERROR(__xludf.DUMMYFUNCTION("""COMPUTED_VALUE"""),5.0)</f>
        <v>5</v>
      </c>
    </row>
    <row r="47">
      <c r="A47" s="65" t="str">
        <f>IFERROR(__xludf.DUMMYFUNCTION("""COMPUTED_VALUE"""),"Hotel Serendipity Tortuguero (No alcohol)")</f>
        <v>Hotel Serendipity Tortuguero (No alcohol)</v>
      </c>
      <c r="B47" s="66">
        <f>IFERROR(__xludf.DUMMYFUNCTION("""COMPUTED_VALUE"""),94.7)</f>
        <v>94.7</v>
      </c>
      <c r="C47" s="67" t="str">
        <f>IFERROR(__xludf.DUMMYFUNCTION("""COMPUTED_VALUE"""),"Adults Only")</f>
        <v>Adults Only</v>
      </c>
      <c r="D47" s="79">
        <f>IFERROR(__xludf.DUMMYFUNCTION("""COMPUTED_VALUE"""),1650.59)</f>
        <v>1650.59</v>
      </c>
      <c r="E47" s="79">
        <f>IFERROR(__xludf.DUMMYFUNCTION("""COMPUTED_VALUE"""),2279.5471544409997)</f>
        <v>2279.547154</v>
      </c>
      <c r="F47" s="69">
        <f>IFERROR(__xludf.DUMMYFUNCTION("""COMPUTED_VALUE"""),8.91)</f>
        <v>8.91</v>
      </c>
      <c r="G47" s="78"/>
      <c r="H47" s="74"/>
      <c r="I47" s="78"/>
      <c r="J47" s="78"/>
      <c r="K47" s="76" t="str">
        <f>IFERROR(__xludf.DUMMYFUNCTION("""COMPUTED_VALUE"""),"No Alcohol")</f>
        <v>No Alcohol</v>
      </c>
      <c r="L47" s="76" t="str">
        <f>IFERROR(__xludf.DUMMYFUNCTION("""COMPUTED_VALUE"""),"Costa Rica")</f>
        <v>Costa Rica</v>
      </c>
      <c r="M47" s="76" t="str">
        <f>IFERROR(__xludf.DUMMYFUNCTION("""COMPUTED_VALUE"""),"Tortuguero")</f>
        <v>Tortuguero</v>
      </c>
      <c r="N47" s="76" t="str">
        <f>IFERROR(__xludf.DUMMYFUNCTION("""COMPUTED_VALUE"""),"Tortuquero")</f>
        <v>Tortuquero</v>
      </c>
      <c r="O47" s="78" t="b">
        <f>IFERROR(__xludf.DUMMYFUNCTION("""COMPUTED_VALUE"""),FALSE)</f>
        <v>0</v>
      </c>
      <c r="P47" s="80">
        <f>IFERROR(__xludf.DUMMYFUNCTION("""COMPUTED_VALUE"""),6.944444444444445E-4)</f>
        <v>0.0006944444444</v>
      </c>
      <c r="Q47" s="76"/>
      <c r="R47" s="76" t="str">
        <f>IFERROR(__xludf.DUMMYFUNCTION("""COMPUTED_VALUE"""),"City View")</f>
        <v>City View</v>
      </c>
      <c r="S47" s="76" t="str">
        <f>IFERROR(__xludf.DUMMYFUNCTION("""COMPUTED_VALUE"""),"Beach, Hiking, Room Service, Fishing, Wifi (Free)")</f>
        <v>Beach, Hiking, Room Service, Fishing, Wifi (Free)</v>
      </c>
      <c r="T47" s="76"/>
      <c r="U47" s="76"/>
      <c r="V47" s="74" t="b">
        <f>IFERROR(__xludf.DUMMYFUNCTION("""COMPUTED_VALUE"""),FALSE)</f>
        <v>0</v>
      </c>
      <c r="W47" s="74"/>
      <c r="X47" s="74"/>
      <c r="Y47" s="74"/>
      <c r="Z47" s="75"/>
    </row>
    <row r="48">
      <c r="A48" s="77" t="str">
        <f>IFERROR(__xludf.DUMMYFUNCTION("""COMPUTED_VALUE"""),"Manchebo Beach Resort &amp; Spa")</f>
        <v>Manchebo Beach Resort &amp; Spa</v>
      </c>
      <c r="B48" s="66">
        <f>IFERROR(__xludf.DUMMYFUNCTION("""COMPUTED_VALUE"""),94.7)</f>
        <v>94.7</v>
      </c>
      <c r="C48" s="78" t="str">
        <f>IFERROR(__xludf.DUMMYFUNCTION("""COMPUTED_VALUE"""),"Adults Only")</f>
        <v>Adults Only</v>
      </c>
      <c r="D48" s="68">
        <f>IFERROR(__xludf.DUMMYFUNCTION("""COMPUTED_VALUE"""),7672.0)</f>
        <v>7672</v>
      </c>
      <c r="E48" s="68">
        <f>IFERROR(__xludf.DUMMYFUNCTION("""COMPUTED_VALUE"""),10595.4148328)</f>
        <v>10595.41483</v>
      </c>
      <c r="F48" s="69">
        <f>IFERROR(__xludf.DUMMYFUNCTION("""COMPUTED_VALUE"""),1.92)</f>
        <v>1.92</v>
      </c>
      <c r="G48" s="70"/>
      <c r="H48" s="70">
        <f>IFERROR(__xludf.DUMMYFUNCTION("""COMPUTED_VALUE"""),6.0)</f>
        <v>6</v>
      </c>
      <c r="I48" s="70"/>
      <c r="J48" s="70">
        <f>IFERROR(__xludf.DUMMYFUNCTION("""COMPUTED_VALUE"""),4.0)</f>
        <v>4</v>
      </c>
      <c r="K48" s="71"/>
      <c r="L48" s="72" t="str">
        <f>IFERROR(__xludf.DUMMYFUNCTION("""COMPUTED_VALUE"""),"Aruba")</f>
        <v>Aruba</v>
      </c>
      <c r="M48" s="72" t="str">
        <f>IFERROR(__xludf.DUMMYFUNCTION("""COMPUTED_VALUE"""),"Palm - Eagle Beach")</f>
        <v>Palm - Eagle Beach</v>
      </c>
      <c r="N48" s="72" t="str">
        <f>IFERROR(__xludf.DUMMYFUNCTION("""COMPUTED_VALUE"""),"Reina Beatrix")</f>
        <v>Reina Beatrix</v>
      </c>
      <c r="O48" s="70" t="b">
        <f>IFERROR(__xludf.DUMMYFUNCTION("""COMPUTED_VALUE"""),TRUE)</f>
        <v>1</v>
      </c>
      <c r="P48" s="73">
        <f>IFERROR(__xludf.DUMMYFUNCTION("""COMPUTED_VALUE"""),0.011805555555555555)</f>
        <v>0.01180555556</v>
      </c>
      <c r="Q48" s="71"/>
      <c r="R48" s="71" t="str">
        <f>IFERROR(__xludf.DUMMYFUNCTION("""COMPUTED_VALUE"""),"Great View, Bay View")</f>
        <v>Great View, Bay View</v>
      </c>
      <c r="S48" s="76" t="str">
        <f>IFERROR(__xludf.DUMMYFUNCTION("""COMPUTED_VALUE"""),"Beach, Gym, Diving, Wifi (Free), Yoga Classes, Room Service, Snorkelling, Spa, Evening Entertainment")</f>
        <v>Beach, Gym, Diving, Wifi (Free), Yoga Classes, Room Service, Snorkelling, Spa, Evening Entertainment</v>
      </c>
      <c r="T48" s="71"/>
      <c r="U48" s="71"/>
      <c r="V48" s="74" t="b">
        <f>IFERROR(__xludf.DUMMYFUNCTION("""COMPUTED_VALUE"""),FALSE)</f>
        <v>0</v>
      </c>
      <c r="W48" s="74">
        <f>IFERROR(__xludf.DUMMYFUNCTION("""COMPUTED_VALUE"""),72.0)</f>
        <v>72</v>
      </c>
      <c r="X48" s="74">
        <f>IFERROR(__xludf.DUMMYFUNCTION("""COMPUTED_VALUE"""),1966.0)</f>
        <v>1966</v>
      </c>
      <c r="Y48" s="74">
        <f>IFERROR(__xludf.DUMMYFUNCTION("""COMPUTED_VALUE"""),2006.0)</f>
        <v>2006</v>
      </c>
      <c r="Z48" s="75">
        <f>IFERROR(__xludf.DUMMYFUNCTION("""COMPUTED_VALUE"""),2.0)</f>
        <v>2</v>
      </c>
    </row>
    <row r="49">
      <c r="A49" s="65" t="str">
        <f>IFERROR(__xludf.DUMMYFUNCTION("""COMPUTED_VALUE"""),"Iberostar Coral Ensenachos")</f>
        <v>Iberostar Coral Ensenachos</v>
      </c>
      <c r="B49" s="66">
        <f>IFERROR(__xludf.DUMMYFUNCTION("""COMPUTED_VALUE"""),94.5)</f>
        <v>94.5</v>
      </c>
      <c r="C49" s="67" t="str">
        <f>IFERROR(__xludf.DUMMYFUNCTION("""COMPUTED_VALUE"""),"Adults Only")</f>
        <v>Adults Only</v>
      </c>
      <c r="D49" s="79">
        <f>IFERROR(__xludf.DUMMYFUNCTION("""COMPUTED_VALUE"""),1783.12)</f>
        <v>1783.12</v>
      </c>
      <c r="E49" s="79">
        <f>IFERROR(__xludf.DUMMYFUNCTION("""COMPUTED_VALUE"""),2462.5776976879997)</f>
        <v>2462.577698</v>
      </c>
      <c r="F49" s="69">
        <f>IFERROR(__xludf.DUMMYFUNCTION("""COMPUTED_VALUE"""),8.13)</f>
        <v>8.13</v>
      </c>
      <c r="G49" s="78"/>
      <c r="H49" s="78"/>
      <c r="I49" s="78"/>
      <c r="J49" s="78">
        <f>IFERROR(__xludf.DUMMYFUNCTION("""COMPUTED_VALUE"""),5.0)</f>
        <v>5</v>
      </c>
      <c r="K49" s="76"/>
      <c r="L49" s="76" t="str">
        <f>IFERROR(__xludf.DUMMYFUNCTION("""COMPUTED_VALUE"""),"Cuba")</f>
        <v>Cuba</v>
      </c>
      <c r="M49" s="76" t="str">
        <f>IFERROR(__xludf.DUMMYFUNCTION("""COMPUTED_VALUE"""),"Cayo Ensenachos")</f>
        <v>Cayo Ensenachos</v>
      </c>
      <c r="N49" s="76" t="str">
        <f>IFERROR(__xludf.DUMMYFUNCTION("""COMPUTED_VALUE"""),"Santa Clara")</f>
        <v>Santa Clara</v>
      </c>
      <c r="O49" s="78" t="b">
        <f>IFERROR(__xludf.DUMMYFUNCTION("""COMPUTED_VALUE"""),TRUE)</f>
        <v>1</v>
      </c>
      <c r="P49" s="80">
        <f>IFERROR(__xludf.DUMMYFUNCTION("""COMPUTED_VALUE"""),0.06458333333333334)</f>
        <v>0.06458333333</v>
      </c>
      <c r="Q49" s="76" t="str">
        <f>IFERROR(__xludf.DUMMYFUNCTION("""COMPUTED_VALUE"""),"IHG")</f>
        <v>IHG</v>
      </c>
      <c r="R49" s="76"/>
      <c r="S49" s="76" t="str">
        <f>IFERROR(__xludf.DUMMYFUNCTION("""COMPUTED_VALUE"""),"Beach, Gym, Archery, Yoga Classes, Room Service, Diving, Tennis, Wifi (Paid), Swim Up Bar, Snorkelling, Watersports Equipment Rentals, Spa, Evening Entertainment, Buffet")</f>
        <v>Beach, Gym, Archery, Yoga Classes, Room Service, Diving, Tennis, Wifi (Paid), Swim Up Bar, Snorkelling, Watersports Equipment Rentals, Spa, Evening Entertainment, Buffet</v>
      </c>
      <c r="T49" s="76"/>
      <c r="U49" s="76"/>
      <c r="V49" s="78" t="b">
        <f>IFERROR(__xludf.DUMMYFUNCTION("""COMPUTED_VALUE"""),FALSE)</f>
        <v>0</v>
      </c>
      <c r="W49" s="78"/>
      <c r="X49" s="78"/>
      <c r="Y49" s="74"/>
      <c r="Z49" s="81"/>
    </row>
    <row r="50">
      <c r="A50" s="77" t="str">
        <f>IFERROR(__xludf.DUMMYFUNCTION("""COMPUTED_VALUE"""),"Galley Bay Resort &amp; Spa")</f>
        <v>Galley Bay Resort &amp; Spa</v>
      </c>
      <c r="B50" s="66">
        <f>IFERROR(__xludf.DUMMYFUNCTION("""COMPUTED_VALUE"""),94.5)</f>
        <v>94.5</v>
      </c>
      <c r="C50" s="78" t="str">
        <f>IFERROR(__xludf.DUMMYFUNCTION("""COMPUTED_VALUE"""),"Adults Only")</f>
        <v>Adults Only</v>
      </c>
      <c r="D50" s="68">
        <f>IFERROR(__xludf.DUMMYFUNCTION("""COMPUTED_VALUE"""),9336.6)</f>
        <v>9336.6</v>
      </c>
      <c r="E50" s="68">
        <f>IFERROR(__xludf.DUMMYFUNCTION("""COMPUTED_VALUE"""),12894.310496339998)</f>
        <v>12894.3105</v>
      </c>
      <c r="F50" s="69">
        <f>IFERROR(__xludf.DUMMYFUNCTION("""COMPUTED_VALUE"""),1.55)</f>
        <v>1.55</v>
      </c>
      <c r="G50" s="70">
        <f>IFERROR(__xludf.DUMMYFUNCTION("""COMPUTED_VALUE"""),3.0)</f>
        <v>3</v>
      </c>
      <c r="H50" s="70">
        <f>IFERROR(__xludf.DUMMYFUNCTION("""COMPUTED_VALUE"""),7.0)</f>
        <v>7</v>
      </c>
      <c r="I50" s="70"/>
      <c r="J50" s="70">
        <f>IFERROR(__xludf.DUMMYFUNCTION("""COMPUTED_VALUE"""),5.0)</f>
        <v>5</v>
      </c>
      <c r="K50" s="71"/>
      <c r="L50" s="72" t="str">
        <f>IFERROR(__xludf.DUMMYFUNCTION("""COMPUTED_VALUE"""),"Antigua")</f>
        <v>Antigua</v>
      </c>
      <c r="M50" s="72" t="str">
        <f>IFERROR(__xludf.DUMMYFUNCTION("""COMPUTED_VALUE"""),"Five Islands Village")</f>
        <v>Five Islands Village</v>
      </c>
      <c r="N50" s="71" t="str">
        <f>IFERROR(__xludf.DUMMYFUNCTION("""COMPUTED_VALUE"""),"V.C. Bird")</f>
        <v>V.C. Bird</v>
      </c>
      <c r="O50" s="74" t="b">
        <f>IFERROR(__xludf.DUMMYFUNCTION("""COMPUTED_VALUE"""),TRUE)</f>
        <v>1</v>
      </c>
      <c r="P50" s="73">
        <f>IFERROR(__xludf.DUMMYFUNCTION("""COMPUTED_VALUE"""),0.016666666666666666)</f>
        <v>0.01666666667</v>
      </c>
      <c r="Q50" s="76"/>
      <c r="R50" s="76" t="str">
        <f>IFERROR(__xludf.DUMMYFUNCTION("""COMPUTED_VALUE"""),"Great View, Bay View")</f>
        <v>Great View, Bay View</v>
      </c>
      <c r="S50" s="76" t="str">
        <f>IFERROR(__xludf.DUMMYFUNCTION("""COMPUTED_VALUE"""),"Beach, Gym, Bicycles Available, Yoga Classes, Tennis, Wifi (Paid), Snorkelling, Fishing, Spa, Buffet")</f>
        <v>Beach, Gym, Bicycles Available, Yoga Classes, Tennis, Wifi (Paid), Snorkelling, Fishing, Spa, Buffet</v>
      </c>
      <c r="T50" s="71"/>
      <c r="U50" s="72"/>
      <c r="V50" s="74" t="b">
        <f>IFERROR(__xludf.DUMMYFUNCTION("""COMPUTED_VALUE"""),FALSE)</f>
        <v>0</v>
      </c>
      <c r="W50" s="74">
        <f>IFERROR(__xludf.DUMMYFUNCTION("""COMPUTED_VALUE"""),298.0)</f>
        <v>298</v>
      </c>
      <c r="X50" s="74">
        <f>IFERROR(__xludf.DUMMYFUNCTION("""COMPUTED_VALUE"""),1962.0)</f>
        <v>1962</v>
      </c>
      <c r="Y50" s="74">
        <f>IFERROR(__xludf.DUMMYFUNCTION("""COMPUTED_VALUE"""),2023.0)</f>
        <v>2023</v>
      </c>
      <c r="Z50" s="75">
        <f>IFERROR(__xludf.DUMMYFUNCTION("""COMPUTED_VALUE"""),2.0)</f>
        <v>2</v>
      </c>
    </row>
    <row r="51">
      <c r="A51" s="65" t="str">
        <f>IFERROR(__xludf.DUMMYFUNCTION("""COMPUTED_VALUE"""),"Sugar Beach, A Viceroy Resort")</f>
        <v>Sugar Beach, A Viceroy Resort</v>
      </c>
      <c r="B51" s="66">
        <f>IFERROR(__xludf.DUMMYFUNCTION("""COMPUTED_VALUE"""),94.5)</f>
        <v>94.5</v>
      </c>
      <c r="C51" s="67" t="str">
        <f>IFERROR(__xludf.DUMMYFUNCTION("""COMPUTED_VALUE"""),"Family")</f>
        <v>Family</v>
      </c>
      <c r="D51" s="79">
        <f>IFERROR(__xludf.DUMMYFUNCTION("""COMPUTED_VALUE"""),27685.0)</f>
        <v>27685</v>
      </c>
      <c r="E51" s="79">
        <f>IFERROR(__xludf.DUMMYFUNCTION("""COMPUTED_VALUE"""),38234.366481499994)</f>
        <v>38234.36648</v>
      </c>
      <c r="F51" s="69">
        <f>IFERROR(__xludf.DUMMYFUNCTION("""COMPUTED_VALUE"""),0.52)</f>
        <v>0.52</v>
      </c>
      <c r="G51" s="78">
        <f>IFERROR(__xludf.DUMMYFUNCTION("""COMPUTED_VALUE"""),4.0)</f>
        <v>4</v>
      </c>
      <c r="H51" s="78">
        <f>IFERROR(__xludf.DUMMYFUNCTION("""COMPUTED_VALUE"""),9.0)</f>
        <v>9</v>
      </c>
      <c r="I51" s="78"/>
      <c r="J51" s="78">
        <f>IFERROR(__xludf.DUMMYFUNCTION("""COMPUTED_VALUE"""),5.0)</f>
        <v>5</v>
      </c>
      <c r="K51" s="76"/>
      <c r="L51" s="76" t="str">
        <f>IFERROR(__xludf.DUMMYFUNCTION("""COMPUTED_VALUE"""),"Saint Lucia")</f>
        <v>Saint Lucia</v>
      </c>
      <c r="M51" s="76" t="str">
        <f>IFERROR(__xludf.DUMMYFUNCTION("""COMPUTED_VALUE"""),"Soufriere")</f>
        <v>Soufriere</v>
      </c>
      <c r="N51" s="76" t="str">
        <f>IFERROR(__xludf.DUMMYFUNCTION("""COMPUTED_VALUE"""),"Hewanorra")</f>
        <v>Hewanorra</v>
      </c>
      <c r="O51" s="78" t="b">
        <f>IFERROR(__xludf.DUMMYFUNCTION("""COMPUTED_VALUE"""),FALSE)</f>
        <v>0</v>
      </c>
      <c r="P51" s="80">
        <f>IFERROR(__xludf.DUMMYFUNCTION("""COMPUTED_VALUE"""),0.03819444444444445)</f>
        <v>0.03819444444</v>
      </c>
      <c r="Q51" s="76" t="str">
        <f>IFERROR(__xludf.DUMMYFUNCTION("""COMPUTED_VALUE"""),"Viceroy Hotels &amp; Resorts")</f>
        <v>Viceroy Hotels &amp; Resorts</v>
      </c>
      <c r="R51" s="76" t="str">
        <f>IFERROR(__xludf.DUMMYFUNCTION("""COMPUTED_VALUE"""),"Family, Ocean View")</f>
        <v>Family, Ocean View</v>
      </c>
      <c r="S51" s="76" t="str">
        <f>IFERROR(__xludf.DUMMYFUNCTION("""COMPUTED_VALUE"""),"Beach, Swim Out/Plunge Pool Rooms, Family Suite, 2 Bedroom Suites, Kids Club, Heated Pool, Gym, Yoga Classes, Diving, Snorkelling, Wifi (Free), Babysitting, Hiking, Tennis, Fishing, Spa, Evening Entertainment, Buffet")</f>
        <v>Beach, Swim Out/Plunge Pool Rooms, Family Suite, 2 Bedroom Suites, Kids Club, Heated Pool, Gym, Yoga Classes, Diving, Snorkelling, Wifi (Free), Babysitting, Hiking, Tennis, Fishing, Spa, Evening Entertainment, Buffet</v>
      </c>
      <c r="T51" s="76"/>
      <c r="U51" s="76" t="str">
        <f>IFERROR(__xludf.DUMMYFUNCTION("""COMPUTED_VALUE"""),"1 King and 1 Sofa Bed")</f>
        <v>1 King and 1 Sofa Bed</v>
      </c>
      <c r="V51" s="78" t="b">
        <f>IFERROR(__xludf.DUMMYFUNCTION("""COMPUTED_VALUE"""),FALSE)</f>
        <v>0</v>
      </c>
      <c r="W51" s="78">
        <f>IFERROR(__xludf.DUMMYFUNCTION("""COMPUTED_VALUE"""),130.0)</f>
        <v>130</v>
      </c>
      <c r="X51" s="78">
        <f>IFERROR(__xludf.DUMMYFUNCTION("""COMPUTED_VALUE"""),1989.0)</f>
        <v>1989</v>
      </c>
      <c r="Y51" s="78">
        <f>IFERROR(__xludf.DUMMYFUNCTION("""COMPUTED_VALUE"""),2021.0)</f>
        <v>2021</v>
      </c>
      <c r="Z51" s="81">
        <f>IFERROR(__xludf.DUMMYFUNCTION("""COMPUTED_VALUE"""),1.0)</f>
        <v>1</v>
      </c>
    </row>
    <row r="52">
      <c r="A52" s="65" t="str">
        <f>IFERROR(__xludf.DUMMYFUNCTION("""COMPUTED_VALUE"""),"Valentin Imperial Riviera Maya")</f>
        <v>Valentin Imperial Riviera Maya</v>
      </c>
      <c r="B52" s="66">
        <f>IFERROR(__xludf.DUMMYFUNCTION("""COMPUTED_VALUE"""),94.3)</f>
        <v>94.3</v>
      </c>
      <c r="C52" s="67" t="str">
        <f>IFERROR(__xludf.DUMMYFUNCTION("""COMPUTED_VALUE"""),"Adults Only")</f>
        <v>Adults Only</v>
      </c>
      <c r="D52" s="79">
        <f>IFERROR(__xludf.DUMMYFUNCTION("""COMPUTED_VALUE"""),4013.39)</f>
        <v>4013.39</v>
      </c>
      <c r="E52" s="79">
        <f>IFERROR(__xludf.DUMMYFUNCTION("""COMPUTED_VALUE"""),5542.691858160999)</f>
        <v>5542.691858</v>
      </c>
      <c r="F52" s="69">
        <f>IFERROR(__xludf.DUMMYFUNCTION("""COMPUTED_VALUE"""),3.56)</f>
        <v>3.56</v>
      </c>
      <c r="G52" s="78"/>
      <c r="H52" s="74">
        <f>IFERROR(__xludf.DUMMYFUNCTION("""COMPUTED_VALUE"""),8.0)</f>
        <v>8</v>
      </c>
      <c r="I52" s="78"/>
      <c r="J52" s="78">
        <f>IFERROR(__xludf.DUMMYFUNCTION("""COMPUTED_VALUE"""),5.0)</f>
        <v>5</v>
      </c>
      <c r="K52" s="76"/>
      <c r="L52" s="76" t="str">
        <f>IFERROR(__xludf.DUMMYFUNCTION("""COMPUTED_VALUE"""),"Mexico")</f>
        <v>Mexico</v>
      </c>
      <c r="M52" s="76" t="str">
        <f>IFERROR(__xludf.DUMMYFUNCTION("""COMPUTED_VALUE"""),"Playa del Secreto")</f>
        <v>Playa del Secreto</v>
      </c>
      <c r="N52" s="76" t="str">
        <f>IFERROR(__xludf.DUMMYFUNCTION("""COMPUTED_VALUE"""),"Cancun")</f>
        <v>Cancun</v>
      </c>
      <c r="O52" s="78" t="b">
        <f>IFERROR(__xludf.DUMMYFUNCTION("""COMPUTED_VALUE"""),TRUE)</f>
        <v>1</v>
      </c>
      <c r="P52" s="80">
        <f>IFERROR(__xludf.DUMMYFUNCTION("""COMPUTED_VALUE"""),0.022916666666666665)</f>
        <v>0.02291666667</v>
      </c>
      <c r="Q52" s="76"/>
      <c r="R52" s="76"/>
      <c r="S52" s="76" t="str">
        <f>IFERROR(__xludf.DUMMYFUNCTION("""COMPUTED_VALUE"""),"Beach, Great Food, Swim Out/Plunge Pool Rooms, Gym, Archery, Yoga Classes, Diving, Tennis, Room Service, Swim Up Bar, Bicycles Available, Nightclub, Spa, Evening Entertainment, Buffet")</f>
        <v>Beach, Great Food, Swim Out/Plunge Pool Rooms, Gym, Archery, Yoga Classes, Diving, Tennis, Room Service, Swim Up Bar, Bicycles Available, Nightclub, Spa, Evening Entertainment, Buffet</v>
      </c>
      <c r="T52" s="76"/>
      <c r="U52" s="76"/>
      <c r="V52" s="74" t="b">
        <f>IFERROR(__xludf.DUMMYFUNCTION("""COMPUTED_VALUE"""),FALSE)</f>
        <v>0</v>
      </c>
      <c r="W52" s="74">
        <f>IFERROR(__xludf.DUMMYFUNCTION("""COMPUTED_VALUE"""),540.0)</f>
        <v>540</v>
      </c>
      <c r="X52" s="74">
        <f>IFERROR(__xludf.DUMMYFUNCTION("""COMPUTED_VALUE"""),2007.0)</f>
        <v>2007</v>
      </c>
      <c r="Y52" s="74"/>
      <c r="Z52" s="75">
        <f>IFERROR(__xludf.DUMMYFUNCTION("""COMPUTED_VALUE"""),3.0)</f>
        <v>3</v>
      </c>
    </row>
    <row r="53">
      <c r="A53" s="65" t="str">
        <f>IFERROR(__xludf.DUMMYFUNCTION("""COMPUTED_VALUE"""),"JOIA Rose Hall by Iberostar")</f>
        <v>JOIA Rose Hall by Iberostar</v>
      </c>
      <c r="B53" s="66">
        <f>IFERROR(__xludf.DUMMYFUNCTION("""COMPUTED_VALUE"""),94.3)</f>
        <v>94.3</v>
      </c>
      <c r="C53" s="67" t="str">
        <f>IFERROR(__xludf.DUMMYFUNCTION("""COMPUTED_VALUE"""),"Adults Only")</f>
        <v>Adults Only</v>
      </c>
      <c r="D53" s="79">
        <f>IFERROR(__xludf.DUMMYFUNCTION("""COMPUTED_VALUE"""),4527.6)</f>
        <v>4527.6</v>
      </c>
      <c r="E53" s="79">
        <f>IFERROR(__xludf.DUMMYFUNCTION("""COMPUTED_VALUE"""),6252.84152724)</f>
        <v>6252.841527</v>
      </c>
      <c r="F53" s="69">
        <f>IFERROR(__xludf.DUMMYFUNCTION("""COMPUTED_VALUE"""),3.16)</f>
        <v>3.16</v>
      </c>
      <c r="G53" s="78"/>
      <c r="H53" s="78">
        <f>IFERROR(__xludf.DUMMYFUNCTION("""COMPUTED_VALUE"""),9.0)</f>
        <v>9</v>
      </c>
      <c r="I53" s="78"/>
      <c r="J53" s="78">
        <f>IFERROR(__xludf.DUMMYFUNCTION("""COMPUTED_VALUE"""),5.0)</f>
        <v>5</v>
      </c>
      <c r="K53" s="71"/>
      <c r="L53" s="76" t="str">
        <f>IFERROR(__xludf.DUMMYFUNCTION("""COMPUTED_VALUE"""),"Jamaica")</f>
        <v>Jamaica</v>
      </c>
      <c r="M53" s="76" t="str">
        <f>IFERROR(__xludf.DUMMYFUNCTION("""COMPUTED_VALUE"""),"Rose Hall")</f>
        <v>Rose Hall</v>
      </c>
      <c r="N53" s="76" t="str">
        <f>IFERROR(__xludf.DUMMYFUNCTION("""COMPUTED_VALUE"""),"Sangster")</f>
        <v>Sangster</v>
      </c>
      <c r="O53" s="78" t="b">
        <f>IFERROR(__xludf.DUMMYFUNCTION("""COMPUTED_VALUE"""),TRUE)</f>
        <v>1</v>
      </c>
      <c r="P53" s="80">
        <f>IFERROR(__xludf.DUMMYFUNCTION("""COMPUTED_VALUE"""),0.013888888888888888)</f>
        <v>0.01388888889</v>
      </c>
      <c r="Q53" s="71" t="str">
        <f>IFERROR(__xludf.DUMMYFUNCTION("""COMPUTED_VALUE"""),"IHG")</f>
        <v>IHG</v>
      </c>
      <c r="R53" s="76" t="str">
        <f>IFERROR(__xludf.DUMMYFUNCTION("""COMPUTED_VALUE"""),"Charming, Modern")</f>
        <v>Charming, Modern</v>
      </c>
      <c r="S53" s="76" t="str">
        <f>IFERROR(__xludf.DUMMYFUNCTION("""COMPUTED_VALUE"""),"Beach, Swim Out/Plunge Pool Rooms, Gym, Casino, Swim Up Bar, Diving, Room Service, Tennis, Fishing, Nightclub, Spa, Evening Entertainment, Buffet")</f>
        <v>Beach, Swim Out/Plunge Pool Rooms, Gym, Casino, Swim Up Bar, Diving, Room Service, Tennis, Fishing, Nightclub, Spa, Evening Entertainment, Buffet</v>
      </c>
      <c r="T53" s="76"/>
      <c r="U53" s="76"/>
      <c r="V53" s="78" t="b">
        <f>IFERROR(__xludf.DUMMYFUNCTION("""COMPUTED_VALUE"""),FALSE)</f>
        <v>0</v>
      </c>
      <c r="W53" s="78">
        <f>IFERROR(__xludf.DUMMYFUNCTION("""COMPUTED_VALUE"""),295.0)</f>
        <v>295</v>
      </c>
      <c r="X53" s="78">
        <f>IFERROR(__xludf.DUMMYFUNCTION("""COMPUTED_VALUE"""),2009.0)</f>
        <v>2009</v>
      </c>
      <c r="Y53" s="74"/>
      <c r="Z53" s="81"/>
    </row>
    <row r="54">
      <c r="A54" s="65" t="str">
        <f>IFERROR(__xludf.DUMMYFUNCTION("""COMPUTED_VALUE"""),"Grand Residences Riviera Cancun")</f>
        <v>Grand Residences Riviera Cancun</v>
      </c>
      <c r="B54" s="66">
        <f>IFERROR(__xludf.DUMMYFUNCTION("""COMPUTED_VALUE"""),94.3)</f>
        <v>94.3</v>
      </c>
      <c r="C54" s="67" t="str">
        <f>IFERROR(__xludf.DUMMYFUNCTION("""COMPUTED_VALUE"""),"Family")</f>
        <v>Family</v>
      </c>
      <c r="D54" s="79">
        <f>IFERROR(__xludf.DUMMYFUNCTION("""COMPUTED_VALUE"""),4748.83)</f>
        <v>4748.83</v>
      </c>
      <c r="E54" s="79">
        <f>IFERROR(__xludf.DUMMYFUNCTION("""COMPUTED_VALUE"""),6558.371196616999)</f>
        <v>6558.371197</v>
      </c>
      <c r="F54" s="69">
        <f>IFERROR(__xludf.DUMMYFUNCTION("""COMPUTED_VALUE"""),3.01)</f>
        <v>3.01</v>
      </c>
      <c r="G54" s="78"/>
      <c r="H54" s="78">
        <f>IFERROR(__xludf.DUMMYFUNCTION("""COMPUTED_VALUE"""),9.0)</f>
        <v>9</v>
      </c>
      <c r="I54" s="78"/>
      <c r="J54" s="78">
        <f>IFERROR(__xludf.DUMMYFUNCTION("""COMPUTED_VALUE"""),5.0)</f>
        <v>5</v>
      </c>
      <c r="K54" s="71"/>
      <c r="L54" s="76" t="str">
        <f>IFERROR(__xludf.DUMMYFUNCTION("""COMPUTED_VALUE"""),"Mexico")</f>
        <v>Mexico</v>
      </c>
      <c r="M54" s="76" t="str">
        <f>IFERROR(__xludf.DUMMYFUNCTION("""COMPUTED_VALUE"""),"Puerto Morelos")</f>
        <v>Puerto Morelos</v>
      </c>
      <c r="N54" s="76" t="str">
        <f>IFERROR(__xludf.DUMMYFUNCTION("""COMPUTED_VALUE"""),"Cancun")</f>
        <v>Cancun</v>
      </c>
      <c r="O54" s="78" t="b">
        <f>IFERROR(__xludf.DUMMYFUNCTION("""COMPUTED_VALUE"""),TRUE)</f>
        <v>1</v>
      </c>
      <c r="P54" s="80">
        <f>IFERROR(__xludf.DUMMYFUNCTION("""COMPUTED_VALUE"""),0.019444444444444445)</f>
        <v>0.01944444444</v>
      </c>
      <c r="Q54" s="76"/>
      <c r="R54" s="71" t="str">
        <f>IFERROR(__xludf.DUMMYFUNCTION("""COMPUTED_VALUE"""),"Hidden Gem, Great View")</f>
        <v>Hidden Gem, Great View</v>
      </c>
      <c r="S54" s="76" t="str">
        <f>IFERROR(__xludf.DUMMYFUNCTION("""COMPUTED_VALUE"""),"Beach, Swim Out/Plunge Pool Rooms, Family Suite, 2 Bedroom Suites, Kids Club, Heated Pool, Gym, Bicycles Available, Room Service, Swim Up Bar, Diving, Snorkelling, Wifi (Free), Adult Pool, Tennis, Babysitting, Buffet")</f>
        <v>Beach, Swim Out/Plunge Pool Rooms, Family Suite, 2 Bedroom Suites, Kids Club, Heated Pool, Gym, Bicycles Available, Room Service, Swim Up Bar, Diving, Snorkelling, Wifi (Free), Adult Pool, Tennis, Babysitting, Buffet</v>
      </c>
      <c r="T54" s="76" t="str">
        <f>IFERROR(__xludf.DUMMYFUNCTION("""COMPUTED_VALUE"""),"Can't Book Two Rooms")</f>
        <v>Can't Book Two Rooms</v>
      </c>
      <c r="U54" s="76" t="str">
        <f>IFERROR(__xludf.DUMMYFUNCTION("""COMPUTED_VALUE"""),"2 Double")</f>
        <v>2 Double</v>
      </c>
      <c r="V54" s="78" t="b">
        <f>IFERROR(__xludf.DUMMYFUNCTION("""COMPUTED_VALUE"""),FALSE)</f>
        <v>0</v>
      </c>
      <c r="W54" s="78">
        <f>IFERROR(__xludf.DUMMYFUNCTION("""COMPUTED_VALUE"""),144.0)</f>
        <v>144</v>
      </c>
      <c r="X54" s="78">
        <f>IFERROR(__xludf.DUMMYFUNCTION("""COMPUTED_VALUE"""),2013.0)</f>
        <v>2013</v>
      </c>
      <c r="Y54" s="78"/>
      <c r="Z54" s="81">
        <f>IFERROR(__xludf.DUMMYFUNCTION("""COMPUTED_VALUE"""),5.0)</f>
        <v>5</v>
      </c>
    </row>
    <row r="55">
      <c r="A55" s="65" t="str">
        <f>IFERROR(__xludf.DUMMYFUNCTION("""COMPUTED_VALUE"""),"COCOS Hotel Antigua (No TV)")</f>
        <v>COCOS Hotel Antigua (No TV)</v>
      </c>
      <c r="B55" s="66">
        <f>IFERROR(__xludf.DUMMYFUNCTION("""COMPUTED_VALUE"""),94.3)</f>
        <v>94.3</v>
      </c>
      <c r="C55" s="67" t="str">
        <f>IFERROR(__xludf.DUMMYFUNCTION("""COMPUTED_VALUE"""),"Adults Only")</f>
        <v>Adults Only</v>
      </c>
      <c r="D55" s="79">
        <f>IFERROR(__xludf.DUMMYFUNCTION("""COMPUTED_VALUE"""),5431.72)</f>
        <v>5431.72</v>
      </c>
      <c r="E55" s="79">
        <f>IFERROR(__xludf.DUMMYFUNCTION("""COMPUTED_VALUE"""),7501.476362828)</f>
        <v>7501.476363</v>
      </c>
      <c r="F55" s="69">
        <f>IFERROR(__xludf.DUMMYFUNCTION("""COMPUTED_VALUE"""),2.63)</f>
        <v>2.63</v>
      </c>
      <c r="G55" s="78"/>
      <c r="H55" s="78">
        <f>IFERROR(__xludf.DUMMYFUNCTION("""COMPUTED_VALUE"""),4.0)</f>
        <v>4</v>
      </c>
      <c r="I55" s="78"/>
      <c r="J55" s="78"/>
      <c r="K55" s="76" t="str">
        <f>IFERROR(__xludf.DUMMYFUNCTION("""COMPUTED_VALUE"""),"No TV")</f>
        <v>No TV</v>
      </c>
      <c r="L55" s="76" t="str">
        <f>IFERROR(__xludf.DUMMYFUNCTION("""COMPUTED_VALUE"""),"Antigua")</f>
        <v>Antigua</v>
      </c>
      <c r="M55" s="76" t="str">
        <f>IFERROR(__xludf.DUMMYFUNCTION("""COMPUTED_VALUE"""),"Jolly Harbour")</f>
        <v>Jolly Harbour</v>
      </c>
      <c r="N55" s="76" t="str">
        <f>IFERROR(__xludf.DUMMYFUNCTION("""COMPUTED_VALUE"""),"V.C. Bird")</f>
        <v>V.C. Bird</v>
      </c>
      <c r="O55" s="78" t="b">
        <f>IFERROR(__xludf.DUMMYFUNCTION("""COMPUTED_VALUE"""),TRUE)</f>
        <v>1</v>
      </c>
      <c r="P55" s="80">
        <f>IFERROR(__xludf.DUMMYFUNCTION("""COMPUTED_VALUE"""),0.019444444444444445)</f>
        <v>0.01944444444</v>
      </c>
      <c r="Q55" s="76"/>
      <c r="R55" s="76" t="str">
        <f>IFERROR(__xludf.DUMMYFUNCTION("""COMPUTED_VALUE"""),"Ocean View, Bay View")</f>
        <v>Ocean View, Bay View</v>
      </c>
      <c r="S55" s="76" t="str">
        <f>IFERROR(__xludf.DUMMYFUNCTION("""COMPUTED_VALUE"""),"Beach, Swim Out/Plunge Pool Rooms, Yoga Classes, Room Service, Snorkelling, Wifi (Free), Diving, Fishing, Evening Entertainment")</f>
        <v>Beach, Swim Out/Plunge Pool Rooms, Yoga Classes, Room Service, Snorkelling, Wifi (Free), Diving, Fishing, Evening Entertainment</v>
      </c>
      <c r="T55" s="76"/>
      <c r="U55" s="76"/>
      <c r="V55" s="78" t="b">
        <f>IFERROR(__xludf.DUMMYFUNCTION("""COMPUTED_VALUE"""),FALSE)</f>
        <v>0</v>
      </c>
      <c r="W55" s="78">
        <f>IFERROR(__xludf.DUMMYFUNCTION("""COMPUTED_VALUE"""),34.0)</f>
        <v>34</v>
      </c>
      <c r="X55" s="78"/>
      <c r="Y55" s="74"/>
      <c r="Z55" s="81"/>
    </row>
    <row r="56">
      <c r="A56" s="65" t="str">
        <f>IFERROR(__xludf.DUMMYFUNCTION("""COMPUTED_VALUE"""),"El Dorado Maroma")</f>
        <v>El Dorado Maroma</v>
      </c>
      <c r="B56" s="66">
        <f>IFERROR(__xludf.DUMMYFUNCTION("""COMPUTED_VALUE"""),94.3)</f>
        <v>94.3</v>
      </c>
      <c r="C56" s="67" t="str">
        <f>IFERROR(__xludf.DUMMYFUNCTION("""COMPUTED_VALUE"""),"Adults Only")</f>
        <v>Adults Only</v>
      </c>
      <c r="D56" s="79">
        <f>IFERROR(__xludf.DUMMYFUNCTION("""COMPUTED_VALUE"""),5502.0)</f>
        <v>5502</v>
      </c>
      <c r="E56" s="79">
        <f>IFERROR(__xludf.DUMMYFUNCTION("""COMPUTED_VALUE"""),7598.536549799999)</f>
        <v>7598.53655</v>
      </c>
      <c r="F56" s="69">
        <f>IFERROR(__xludf.DUMMYFUNCTION("""COMPUTED_VALUE"""),2.6)</f>
        <v>2.6</v>
      </c>
      <c r="G56" s="78"/>
      <c r="H56" s="78">
        <f>IFERROR(__xludf.DUMMYFUNCTION("""COMPUTED_VALUE"""),9.0)</f>
        <v>9</v>
      </c>
      <c r="I56" s="78"/>
      <c r="J56" s="78">
        <f>IFERROR(__xludf.DUMMYFUNCTION("""COMPUTED_VALUE"""),5.0)</f>
        <v>5</v>
      </c>
      <c r="K56" s="76"/>
      <c r="L56" s="76" t="str">
        <f>IFERROR(__xludf.DUMMYFUNCTION("""COMPUTED_VALUE"""),"Mexico")</f>
        <v>Mexico</v>
      </c>
      <c r="M56" s="76" t="str">
        <f>IFERROR(__xludf.DUMMYFUNCTION("""COMPUTED_VALUE"""),"Playa Maroma")</f>
        <v>Playa Maroma</v>
      </c>
      <c r="N56" s="76" t="str">
        <f>IFERROR(__xludf.DUMMYFUNCTION("""COMPUTED_VALUE"""),"Cancun")</f>
        <v>Cancun</v>
      </c>
      <c r="O56" s="78" t="b">
        <f>IFERROR(__xludf.DUMMYFUNCTION("""COMPUTED_VALUE"""),TRUE)</f>
        <v>1</v>
      </c>
      <c r="P56" s="80">
        <f>IFERROR(__xludf.DUMMYFUNCTION("""COMPUTED_VALUE"""),0.019444444444444445)</f>
        <v>0.01944444444</v>
      </c>
      <c r="Q56" s="76"/>
      <c r="R56" s="76" t="str">
        <f>IFERROR(__xludf.DUMMYFUNCTION("""COMPUTED_VALUE"""),"Hidden Gem, Romantic")</f>
        <v>Hidden Gem, Romantic</v>
      </c>
      <c r="S56" s="76" t="str">
        <f>IFERROR(__xludf.DUMMYFUNCTION("""COMPUTED_VALUE"""),"Beach, Gym, Wifi (Paid), Room Service, Snorkelling, Fishing, Nightclub, Spa, Swim Up Bar, Diving, Evening Entertainment")</f>
        <v>Beach, Gym, Wifi (Paid), Room Service, Snorkelling, Fishing, Nightclub, Spa, Swim Up Bar, Diving, Evening Entertainment</v>
      </c>
      <c r="T56" s="76"/>
      <c r="U56" s="76"/>
      <c r="V56" s="78" t="b">
        <f>IFERROR(__xludf.DUMMYFUNCTION("""COMPUTED_VALUE"""),FALSE)</f>
        <v>0</v>
      </c>
      <c r="W56" s="78">
        <f>IFERROR(__xludf.DUMMYFUNCTION("""COMPUTED_VALUE"""),157.0)</f>
        <v>157</v>
      </c>
      <c r="X56" s="78">
        <f>IFERROR(__xludf.DUMMYFUNCTION("""COMPUTED_VALUE"""),2007.0)</f>
        <v>2007</v>
      </c>
      <c r="Y56" s="78"/>
      <c r="Z56" s="81"/>
    </row>
    <row r="57">
      <c r="A57" s="77" t="str">
        <f>IFERROR(__xludf.DUMMYFUNCTION("""COMPUTED_VALUE"""),"Desire Riviera Maya Pearl Resort (Clothing optional, Couples Only)")</f>
        <v>Desire Riviera Maya Pearl Resort (Clothing optional, Couples Only)</v>
      </c>
      <c r="B57" s="66">
        <f>IFERROR(__xludf.DUMMYFUNCTION("""COMPUTED_VALUE"""),94.3)</f>
        <v>94.3</v>
      </c>
      <c r="C57" s="78" t="str">
        <f>IFERROR(__xludf.DUMMYFUNCTION("""COMPUTED_VALUE"""),"Adults Only")</f>
        <v>Adults Only</v>
      </c>
      <c r="D57" s="79">
        <f>IFERROR(__xludf.DUMMYFUNCTION("""COMPUTED_VALUE"""),6164.2)</f>
        <v>6164.2</v>
      </c>
      <c r="E57" s="79">
        <f>IFERROR(__xludf.DUMMYFUNCTION("""COMPUTED_VALUE"""),8513.06779358)</f>
        <v>8513.067794</v>
      </c>
      <c r="F57" s="69">
        <f>IFERROR(__xludf.DUMMYFUNCTION("""COMPUTED_VALUE"""),2.32)</f>
        <v>2.32</v>
      </c>
      <c r="G57" s="74"/>
      <c r="H57" s="78">
        <f>IFERROR(__xludf.DUMMYFUNCTION("""COMPUTED_VALUE"""),8.0)</f>
        <v>8</v>
      </c>
      <c r="I57" s="78"/>
      <c r="J57" s="78">
        <f>IFERROR(__xludf.DUMMYFUNCTION("""COMPUTED_VALUE"""),4.0)</f>
        <v>4</v>
      </c>
      <c r="K57" s="71" t="str">
        <f>IFERROR(__xludf.DUMMYFUNCTION("""COMPUTED_VALUE"""),"Clothing Optional, Couples Only")</f>
        <v>Clothing Optional, Couples Only</v>
      </c>
      <c r="L57" s="72" t="str">
        <f>IFERROR(__xludf.DUMMYFUNCTION("""COMPUTED_VALUE"""),"Mexico")</f>
        <v>Mexico</v>
      </c>
      <c r="M57" s="76" t="str">
        <f>IFERROR(__xludf.DUMMYFUNCTION("""COMPUTED_VALUE"""),"Puerto Morelos")</f>
        <v>Puerto Morelos</v>
      </c>
      <c r="N57" s="76" t="str">
        <f>IFERROR(__xludf.DUMMYFUNCTION("""COMPUTED_VALUE"""),"Cancun")</f>
        <v>Cancun</v>
      </c>
      <c r="O57" s="78" t="b">
        <f>IFERROR(__xludf.DUMMYFUNCTION("""COMPUTED_VALUE"""),TRUE)</f>
        <v>1</v>
      </c>
      <c r="P57" s="80">
        <f>IFERROR(__xludf.DUMMYFUNCTION("""COMPUTED_VALUE"""),0.02013888888888889)</f>
        <v>0.02013888889</v>
      </c>
      <c r="Q57" s="76" t="str">
        <f>IFERROR(__xludf.DUMMYFUNCTION("""COMPUTED_VALUE"""),"Desire")</f>
        <v>Desire</v>
      </c>
      <c r="R57" s="76" t="str">
        <f>IFERROR(__xludf.DUMMYFUNCTION("""COMPUTED_VALUE"""),"Romantic, Charming")</f>
        <v>Romantic, Charming</v>
      </c>
      <c r="S57" s="76" t="str">
        <f>IFERROR(__xludf.DUMMYFUNCTION("""COMPUTED_VALUE"""),"Beach, Swim Out/Plunge Pool Rooms, Gym, Wifi (Free), Yoga Classes, Swim Up Bar, Spa, Evening Entertainment, Buffet")</f>
        <v>Beach, Swim Out/Plunge Pool Rooms, Gym, Wifi (Free), Yoga Classes, Swim Up Bar, Spa, Evening Entertainment, Buffet</v>
      </c>
      <c r="T57" s="76"/>
      <c r="U57" s="76"/>
      <c r="V57" s="78" t="b">
        <f>IFERROR(__xludf.DUMMYFUNCTION("""COMPUTED_VALUE"""),FALSE)</f>
        <v>0</v>
      </c>
      <c r="W57" s="78">
        <f>IFERROR(__xludf.DUMMYFUNCTION("""COMPUTED_VALUE"""),88.0)</f>
        <v>88</v>
      </c>
      <c r="X57" s="78">
        <f>IFERROR(__xludf.DUMMYFUNCTION("""COMPUTED_VALUE"""),2001.0)</f>
        <v>2001</v>
      </c>
      <c r="Y57" s="78"/>
      <c r="Z57" s="81">
        <f>IFERROR(__xludf.DUMMYFUNCTION("""COMPUTED_VALUE"""),3.0)</f>
        <v>3</v>
      </c>
    </row>
    <row r="58">
      <c r="A58" s="65" t="str">
        <f>IFERROR(__xludf.DUMMYFUNCTION("""COMPUTED_VALUE"""),"Secrets Cap Cana Resort &amp; Spa")</f>
        <v>Secrets Cap Cana Resort &amp; Spa</v>
      </c>
      <c r="B58" s="66">
        <f>IFERROR(__xludf.DUMMYFUNCTION("""COMPUTED_VALUE"""),94.3)</f>
        <v>94.3</v>
      </c>
      <c r="C58" s="67" t="str">
        <f>IFERROR(__xludf.DUMMYFUNCTION("""COMPUTED_VALUE"""),"Adults Only")</f>
        <v>Adults Only</v>
      </c>
      <c r="D58" s="68">
        <f>IFERROR(__xludf.DUMMYFUNCTION("""COMPUTED_VALUE"""),6272.0)</f>
        <v>6272</v>
      </c>
      <c r="E58" s="79">
        <f>IFERROR(__xludf.DUMMYFUNCTION("""COMPUTED_VALUE"""),8661.944972799998)</f>
        <v>8661.944973</v>
      </c>
      <c r="F58" s="69">
        <f>IFERROR(__xludf.DUMMYFUNCTION("""COMPUTED_VALUE"""),2.28)</f>
        <v>2.28</v>
      </c>
      <c r="G58" s="78">
        <f>IFERROR(__xludf.DUMMYFUNCTION("""COMPUTED_VALUE"""),5.0)</f>
        <v>5</v>
      </c>
      <c r="H58" s="78">
        <f>IFERROR(__xludf.DUMMYFUNCTION("""COMPUTED_VALUE"""),7.0)</f>
        <v>7</v>
      </c>
      <c r="I58" s="78" t="str">
        <f>IFERROR(__xludf.DUMMYFUNCTION("""COMPUTED_VALUE"""),"D")</f>
        <v>D</v>
      </c>
      <c r="J58" s="78">
        <f>IFERROR(__xludf.DUMMYFUNCTION("""COMPUTED_VALUE"""),4.0)</f>
        <v>4</v>
      </c>
      <c r="K58" s="76"/>
      <c r="L58" s="76" t="str">
        <f>IFERROR(__xludf.DUMMYFUNCTION("""COMPUTED_VALUE"""),"Dominican Republic")</f>
        <v>Dominican Republic</v>
      </c>
      <c r="M58" s="76" t="str">
        <f>IFERROR(__xludf.DUMMYFUNCTION("""COMPUTED_VALUE"""),"Cap Cana")</f>
        <v>Cap Cana</v>
      </c>
      <c r="N58" s="76" t="str">
        <f>IFERROR(__xludf.DUMMYFUNCTION("""COMPUTED_VALUE"""),"Punta Cana")</f>
        <v>Punta Cana</v>
      </c>
      <c r="O58" s="78" t="b">
        <f>IFERROR(__xludf.DUMMYFUNCTION("""COMPUTED_VALUE"""),TRUE)</f>
        <v>1</v>
      </c>
      <c r="P58" s="80">
        <f>IFERROR(__xludf.DUMMYFUNCTION("""COMPUTED_VALUE"""),0.011805555555555555)</f>
        <v>0.01180555556</v>
      </c>
      <c r="Q58" s="76" t="str">
        <f>IFERROR(__xludf.DUMMYFUNCTION("""COMPUTED_VALUE"""),"Hyatt")</f>
        <v>Hyatt</v>
      </c>
      <c r="R58" s="76" t="str">
        <f>IFERROR(__xludf.DUMMYFUNCTION("""COMPUTED_VALUE"""),"Ocean View, Romantic")</f>
        <v>Ocean View, Romantic</v>
      </c>
      <c r="S58" s="71" t="str">
        <f>IFERROR(__xludf.DUMMYFUNCTION("""COMPUTED_VALUE"""),"Beach, Great Food, Swim Out/Plunge Pool Rooms, Gym, Windsurfing, Swim Up Bar, Nightclub, Wifi (Free), Room Service, Spa, Evening Entertainment, Buffet")</f>
        <v>Beach, Great Food, Swim Out/Plunge Pool Rooms, Gym, Windsurfing, Swim Up Bar, Nightclub, Wifi (Free), Room Service, Spa, Evening Entertainment, Buffet</v>
      </c>
      <c r="T58" s="71"/>
      <c r="U58" s="71"/>
      <c r="V58" s="78" t="b">
        <f>IFERROR(__xludf.DUMMYFUNCTION("""COMPUTED_VALUE"""),FALSE)</f>
        <v>0</v>
      </c>
      <c r="W58" s="78">
        <f>IFERROR(__xludf.DUMMYFUNCTION("""COMPUTED_VALUE"""),457.0)</f>
        <v>457</v>
      </c>
      <c r="X58" s="78">
        <f>IFERROR(__xludf.DUMMYFUNCTION("""COMPUTED_VALUE"""),2016.0)</f>
        <v>2016</v>
      </c>
      <c r="Y58" s="78">
        <f>IFERROR(__xludf.DUMMYFUNCTION("""COMPUTED_VALUE"""),2019.0)</f>
        <v>2019</v>
      </c>
      <c r="Z58" s="81">
        <f>IFERROR(__xludf.DUMMYFUNCTION("""COMPUTED_VALUE"""),6.0)</f>
        <v>6</v>
      </c>
    </row>
    <row r="59">
      <c r="A59" s="65" t="str">
        <f>IFERROR(__xludf.DUMMYFUNCTION("""COMPUTED_VALUE"""),"Zoëtry Casa del Mar Los Cabos")</f>
        <v>Zoëtry Casa del Mar Los Cabos</v>
      </c>
      <c r="B59" s="66">
        <f>IFERROR(__xludf.DUMMYFUNCTION("""COMPUTED_VALUE"""),94.3)</f>
        <v>94.3</v>
      </c>
      <c r="C59" s="67" t="str">
        <f>IFERROR(__xludf.DUMMYFUNCTION("""COMPUTED_VALUE"""),"Family")</f>
        <v>Family</v>
      </c>
      <c r="D59" s="79">
        <f>IFERROR(__xludf.DUMMYFUNCTION("""COMPUTED_VALUE"""),7753.0)</f>
        <v>7753</v>
      </c>
      <c r="E59" s="79">
        <f>IFERROR(__xludf.DUMMYFUNCTION("""COMPUTED_VALUE"""),10707.279874699998)</f>
        <v>10707.27987</v>
      </c>
      <c r="F59" s="69">
        <f>IFERROR(__xludf.DUMMYFUNCTION("""COMPUTED_VALUE"""),1.84)</f>
        <v>1.84</v>
      </c>
      <c r="G59" s="70"/>
      <c r="H59" s="78">
        <f>IFERROR(__xludf.DUMMYFUNCTION("""COMPUTED_VALUE"""),8.0)</f>
        <v>8</v>
      </c>
      <c r="I59" s="70" t="str">
        <f>IFERROR(__xludf.DUMMYFUNCTION("""COMPUTED_VALUE"""),"E")</f>
        <v>E</v>
      </c>
      <c r="J59" s="78">
        <f>IFERROR(__xludf.DUMMYFUNCTION("""COMPUTED_VALUE"""),5.0)</f>
        <v>5</v>
      </c>
      <c r="K59" s="71"/>
      <c r="L59" s="76" t="str">
        <f>IFERROR(__xludf.DUMMYFUNCTION("""COMPUTED_VALUE"""),"Mexico")</f>
        <v>Mexico</v>
      </c>
      <c r="M59" s="76" t="str">
        <f>IFERROR(__xludf.DUMMYFUNCTION("""COMPUTED_VALUE"""),"San Jose del Cabo")</f>
        <v>San Jose del Cabo</v>
      </c>
      <c r="N59" s="76" t="str">
        <f>IFERROR(__xludf.DUMMYFUNCTION("""COMPUTED_VALUE"""),"Los Cabos")</f>
        <v>Los Cabos</v>
      </c>
      <c r="O59" s="78" t="b">
        <f>IFERROR(__xludf.DUMMYFUNCTION("""COMPUTED_VALUE"""),TRUE)</f>
        <v>1</v>
      </c>
      <c r="P59" s="80">
        <f>IFERROR(__xludf.DUMMYFUNCTION("""COMPUTED_VALUE"""),0.022916666666666665)</f>
        <v>0.02291666667</v>
      </c>
      <c r="Q59" s="76" t="str">
        <f>IFERROR(__xludf.DUMMYFUNCTION("""COMPUTED_VALUE"""),"Hyatt")</f>
        <v>Hyatt</v>
      </c>
      <c r="R59" s="76" t="str">
        <f>IFERROR(__xludf.DUMMYFUNCTION("""COMPUTED_VALUE"""),"Quiet, Bay View")</f>
        <v>Quiet, Bay View</v>
      </c>
      <c r="S59" s="76" t="str">
        <f>IFERROR(__xludf.DUMMYFUNCTION("""COMPUTED_VALUE"""),"Beach, Family Suite, 2 Bedroom Suites, Heated Pool, Gym, Golf Course, Yoga Classes, Swim Up Bar, Tennis, Spa, Wifi (Free), Room Service, Evening Entertainment")</f>
        <v>Beach, Family Suite, 2 Bedroom Suites, Heated Pool, Gym, Golf Course, Yoga Classes, Swim Up Bar, Tennis, Spa, Wifi (Free), Room Service, Evening Entertainment</v>
      </c>
      <c r="T59" s="76" t="str">
        <f>IFERROR(__xludf.DUMMYFUNCTION("""COMPUTED_VALUE"""),"Can't Book Two Rooms")</f>
        <v>Can't Book Two Rooms</v>
      </c>
      <c r="U59" s="76" t="str">
        <f>IFERROR(__xludf.DUMMYFUNCTION("""COMPUTED_VALUE"""),"2 Queen")</f>
        <v>2 Queen</v>
      </c>
      <c r="V59" s="78" t="b">
        <f>IFERROR(__xludf.DUMMYFUNCTION("""COMPUTED_VALUE"""),FALSE)</f>
        <v>0</v>
      </c>
      <c r="W59" s="78">
        <f>IFERROR(__xludf.DUMMYFUNCTION("""COMPUTED_VALUE"""),57.0)</f>
        <v>57</v>
      </c>
      <c r="X59" s="78">
        <f>IFERROR(__xludf.DUMMYFUNCTION("""COMPUTED_VALUE"""),1995.0)</f>
        <v>1995</v>
      </c>
      <c r="Y59" s="78">
        <f>IFERROR(__xludf.DUMMYFUNCTION("""COMPUTED_VALUE"""),2015.0)</f>
        <v>2015</v>
      </c>
      <c r="Z59" s="83">
        <f>IFERROR(__xludf.DUMMYFUNCTION("""COMPUTED_VALUE"""),4.0)</f>
        <v>4</v>
      </c>
    </row>
    <row r="60">
      <c r="A60" s="65" t="str">
        <f>IFERROR(__xludf.DUMMYFUNCTION("""COMPUTED_VALUE"""),"Fairmont Mayakoba")</f>
        <v>Fairmont Mayakoba</v>
      </c>
      <c r="B60" s="66">
        <f>IFERROR(__xludf.DUMMYFUNCTION("""COMPUTED_VALUE"""),94.3)</f>
        <v>94.3</v>
      </c>
      <c r="C60" s="67" t="str">
        <f>IFERROR(__xludf.DUMMYFUNCTION("""COMPUTED_VALUE"""),"Family")</f>
        <v>Family</v>
      </c>
      <c r="D60" s="79">
        <f>IFERROR(__xludf.DUMMYFUNCTION("""COMPUTED_VALUE"""),11531.1)</f>
        <v>11531.1</v>
      </c>
      <c r="E60" s="79">
        <f>IFERROR(__xludf.DUMMYFUNCTION("""COMPUTED_VALUE"""),15925.024501889999)</f>
        <v>15925.0245</v>
      </c>
      <c r="F60" s="69">
        <f>IFERROR(__xludf.DUMMYFUNCTION("""COMPUTED_VALUE"""),1.24)</f>
        <v>1.24</v>
      </c>
      <c r="G60" s="78">
        <f>IFERROR(__xludf.DUMMYFUNCTION("""COMPUTED_VALUE"""),5.0)</f>
        <v>5</v>
      </c>
      <c r="H60" s="78">
        <f>IFERROR(__xludf.DUMMYFUNCTION("""COMPUTED_VALUE"""),9.0)</f>
        <v>9</v>
      </c>
      <c r="I60" s="78"/>
      <c r="J60" s="78">
        <f>IFERROR(__xludf.DUMMYFUNCTION("""COMPUTED_VALUE"""),5.0)</f>
        <v>5</v>
      </c>
      <c r="K60" s="76"/>
      <c r="L60" s="76" t="str">
        <f>IFERROR(__xludf.DUMMYFUNCTION("""COMPUTED_VALUE"""),"Mexico")</f>
        <v>Mexico</v>
      </c>
      <c r="M60" s="76" t="str">
        <f>IFERROR(__xludf.DUMMYFUNCTION("""COMPUTED_VALUE"""),"Playa del Carmen")</f>
        <v>Playa del Carmen</v>
      </c>
      <c r="N60" s="76" t="str">
        <f>IFERROR(__xludf.DUMMYFUNCTION("""COMPUTED_VALUE"""),"Cancun")</f>
        <v>Cancun</v>
      </c>
      <c r="O60" s="78" t="b">
        <f>IFERROR(__xludf.DUMMYFUNCTION("""COMPUTED_VALUE"""),TRUE)</f>
        <v>1</v>
      </c>
      <c r="P60" s="80">
        <f>IFERROR(__xludf.DUMMYFUNCTION("""COMPUTED_VALUE"""),0.027083333333333334)</f>
        <v>0.02708333333</v>
      </c>
      <c r="Q60" s="76" t="str">
        <f>IFERROR(__xludf.DUMMYFUNCTION("""COMPUTED_VALUE"""),"Fairmont")</f>
        <v>Fairmont</v>
      </c>
      <c r="R60" s="76" t="str">
        <f>IFERROR(__xludf.DUMMYFUNCTION("""COMPUTED_VALUE"""),"Family, Lagoon View")</f>
        <v>Family, Lagoon View</v>
      </c>
      <c r="S60" s="76" t="str">
        <f>IFERROR(__xludf.DUMMYFUNCTION("""COMPUTED_VALUE"""),"Beach, Swim Out/Plunge Pool Rooms, Family Suite, 2 Bedroom Suites, Kids Club, Pool Slide, Water Feature, Heated Pool, Gym, Archery, Bicycles Available, Diving, Snorkelling, Watersports Equipment Rentals, Spa, Wifi (Free), Yoga Classes, Adult Pool, Room Se"&amp;"rvice, Swim Up Bar, Golf Course, Tennis, Windsurfing, Buffet")</f>
        <v>Beach, Swim Out/Plunge Pool Rooms, Family Suite, 2 Bedroom Suites, Kids Club, Pool Slide, Water Feature, Heated Pool, Gym, Archery, Bicycles Available, Diving, Snorkelling, Watersports Equipment Rentals, Spa, Wifi (Free), Yoga Classes, Adult Pool, Room Service, Swim Up Bar, Golf Course, Tennis, Windsurfing, Buffet</v>
      </c>
      <c r="T60" s="76"/>
      <c r="U60" s="76" t="str">
        <f>IFERROR(__xludf.DUMMYFUNCTION("""COMPUTED_VALUE"""),"2 Queen")</f>
        <v>2 Queen</v>
      </c>
      <c r="V60" s="78" t="b">
        <f>IFERROR(__xludf.DUMMYFUNCTION("""COMPUTED_VALUE"""),FALSE)</f>
        <v>0</v>
      </c>
      <c r="W60" s="78">
        <f>IFERROR(__xludf.DUMMYFUNCTION("""COMPUTED_VALUE"""),401.0)</f>
        <v>401</v>
      </c>
      <c r="X60" s="78">
        <f>IFERROR(__xludf.DUMMYFUNCTION("""COMPUTED_VALUE"""),2006.0)</f>
        <v>2006</v>
      </c>
      <c r="Y60" s="78">
        <f>IFERROR(__xludf.DUMMYFUNCTION("""COMPUTED_VALUE"""),2022.0)</f>
        <v>2022</v>
      </c>
      <c r="Z60" s="75">
        <f>IFERROR(__xludf.DUMMYFUNCTION("""COMPUTED_VALUE"""),2.0)</f>
        <v>2</v>
      </c>
    </row>
    <row r="61">
      <c r="A61" s="77" t="str">
        <f>IFERROR(__xludf.DUMMYFUNCTION("""COMPUTED_VALUE"""),"Round Hill Hotel and Villas")</f>
        <v>Round Hill Hotel and Villas</v>
      </c>
      <c r="B61" s="66">
        <f>IFERROR(__xludf.DUMMYFUNCTION("""COMPUTED_VALUE"""),94.3)</f>
        <v>94.3</v>
      </c>
      <c r="C61" s="78" t="str">
        <f>IFERROR(__xludf.DUMMYFUNCTION("""COMPUTED_VALUE"""),"Family")</f>
        <v>Family</v>
      </c>
      <c r="D61" s="79">
        <f>IFERROR(__xludf.DUMMYFUNCTION("""COMPUTED_VALUE"""),19458.81)</f>
        <v>19458.81</v>
      </c>
      <c r="E61" s="79">
        <f>IFERROR(__xludf.DUMMYFUNCTION("""COMPUTED_VALUE"""),26873.587604619)</f>
        <v>26873.5876</v>
      </c>
      <c r="F61" s="69">
        <f>IFERROR(__xludf.DUMMYFUNCTION("""COMPUTED_VALUE"""),0.73)</f>
        <v>0.73</v>
      </c>
      <c r="G61" s="78"/>
      <c r="H61" s="78">
        <f>IFERROR(__xludf.DUMMYFUNCTION("""COMPUTED_VALUE"""),9.0)</f>
        <v>9</v>
      </c>
      <c r="I61" s="74"/>
      <c r="J61" s="78">
        <f>IFERROR(__xludf.DUMMYFUNCTION("""COMPUTED_VALUE"""),5.0)</f>
        <v>5</v>
      </c>
      <c r="K61" s="72" t="str">
        <f>IFERROR(__xludf.DUMMYFUNCTION("""COMPUTED_VALUE"""),"Max 3 per Room")</f>
        <v>Max 3 per Room</v>
      </c>
      <c r="L61" s="72" t="str">
        <f>IFERROR(__xludf.DUMMYFUNCTION("""COMPUTED_VALUE"""),"Jamaica")</f>
        <v>Jamaica</v>
      </c>
      <c r="M61" s="72" t="str">
        <f>IFERROR(__xludf.DUMMYFUNCTION("""COMPUTED_VALUE"""),"Hopewell")</f>
        <v>Hopewell</v>
      </c>
      <c r="N61" s="72" t="str">
        <f>IFERROR(__xludf.DUMMYFUNCTION("""COMPUTED_VALUE"""),"Sangster")</f>
        <v>Sangster</v>
      </c>
      <c r="O61" s="78" t="b">
        <f>IFERROR(__xludf.DUMMYFUNCTION("""COMPUTED_VALUE"""),TRUE)</f>
        <v>1</v>
      </c>
      <c r="P61" s="80">
        <f>IFERROR(__xludf.DUMMYFUNCTION("""COMPUTED_VALUE"""),0.02013888888888889)</f>
        <v>0.02013888889</v>
      </c>
      <c r="Q61" s="72"/>
      <c r="R61" s="72" t="str">
        <f>IFERROR(__xludf.DUMMYFUNCTION("""COMPUTED_VALUE"""),"Quiet, Family")</f>
        <v>Quiet, Family</v>
      </c>
      <c r="S61" s="76" t="str">
        <f>IFERROR(__xludf.DUMMYFUNCTION("""COMPUTED_VALUE"""),"Beach, Kids Club, Gym, Diving, Snorkelling, Watersports Equipment Rentals, Fishing, Wifi (Free), Babysitting, Yoga Classes, Hiking, Tennis, Windsurfing, Spa, Evening Entertainment, Buffet")</f>
        <v>Beach, Kids Club, Gym, Diving, Snorkelling, Watersports Equipment Rentals, Fishing, Wifi (Free), Babysitting, Yoga Classes, Hiking, Tennis, Windsurfing, Spa, Evening Entertainment, Buffet</v>
      </c>
      <c r="T61" s="76"/>
      <c r="U61" s="76" t="str">
        <f>IFERROR(__xludf.DUMMYFUNCTION("""COMPUTED_VALUE"""),"1 King")</f>
        <v>1 King</v>
      </c>
      <c r="V61" s="78" t="b">
        <f>IFERROR(__xludf.DUMMYFUNCTION("""COMPUTED_VALUE"""),FALSE)</f>
        <v>0</v>
      </c>
      <c r="W61" s="78">
        <f>IFERROR(__xludf.DUMMYFUNCTION("""COMPUTED_VALUE"""),129.0)</f>
        <v>129</v>
      </c>
      <c r="X61" s="78">
        <f>IFERROR(__xludf.DUMMYFUNCTION("""COMPUTED_VALUE"""),1953.0)</f>
        <v>1953</v>
      </c>
      <c r="Y61" s="78">
        <f>IFERROR(__xludf.DUMMYFUNCTION("""COMPUTED_VALUE"""),2023.0)</f>
        <v>2023</v>
      </c>
      <c r="Z61" s="81">
        <f>IFERROR(__xludf.DUMMYFUNCTION("""COMPUTED_VALUE"""),2.0)</f>
        <v>2</v>
      </c>
    </row>
    <row r="62">
      <c r="A62" s="65" t="str">
        <f>IFERROR(__xludf.DUMMYFUNCTION("""COMPUTED_VALUE"""),"Melia Cayo Coco")</f>
        <v>Melia Cayo Coco</v>
      </c>
      <c r="B62" s="66">
        <f>IFERROR(__xludf.DUMMYFUNCTION("""COMPUTED_VALUE"""),94.0)</f>
        <v>94</v>
      </c>
      <c r="C62" s="67" t="str">
        <f>IFERROR(__xludf.DUMMYFUNCTION("""COMPUTED_VALUE"""),"Adults Only")</f>
        <v>Adults Only</v>
      </c>
      <c r="D62" s="79">
        <f>IFERROR(__xludf.DUMMYFUNCTION("""COMPUTED_VALUE"""),1841.0)</f>
        <v>1841</v>
      </c>
      <c r="E62" s="79">
        <f>IFERROR(__xludf.DUMMYFUNCTION("""COMPUTED_VALUE"""),2542.5128658999997)</f>
        <v>2542.512866</v>
      </c>
      <c r="F62" s="69">
        <f>IFERROR(__xludf.DUMMYFUNCTION("""COMPUTED_VALUE"""),7.6)</f>
        <v>7.6</v>
      </c>
      <c r="G62" s="78"/>
      <c r="H62" s="74">
        <f>IFERROR(__xludf.DUMMYFUNCTION("""COMPUTED_VALUE"""),7.0)</f>
        <v>7</v>
      </c>
      <c r="I62" s="78"/>
      <c r="J62" s="78">
        <f>IFERROR(__xludf.DUMMYFUNCTION("""COMPUTED_VALUE"""),5.0)</f>
        <v>5</v>
      </c>
      <c r="K62" s="76"/>
      <c r="L62" s="76" t="str">
        <f>IFERROR(__xludf.DUMMYFUNCTION("""COMPUTED_VALUE"""),"Cuba")</f>
        <v>Cuba</v>
      </c>
      <c r="M62" s="76" t="str">
        <f>IFERROR(__xludf.DUMMYFUNCTION("""COMPUTED_VALUE"""),"Cayo Coco")</f>
        <v>Cayo Coco</v>
      </c>
      <c r="N62" s="76" t="str">
        <f>IFERROR(__xludf.DUMMYFUNCTION("""COMPUTED_VALUE"""),"Cayo Coco")</f>
        <v>Cayo Coco</v>
      </c>
      <c r="O62" s="78" t="b">
        <f>IFERROR(__xludf.DUMMYFUNCTION("""COMPUTED_VALUE"""),TRUE)</f>
        <v>1</v>
      </c>
      <c r="P62" s="80">
        <f>IFERROR(__xludf.DUMMYFUNCTION("""COMPUTED_VALUE"""),0.009027777777777777)</f>
        <v>0.009027777778</v>
      </c>
      <c r="Q62" s="76" t="str">
        <f>IFERROR(__xludf.DUMMYFUNCTION("""COMPUTED_VALUE"""),"Melia")</f>
        <v>Melia</v>
      </c>
      <c r="R62" s="76" t="str">
        <f>IFERROR(__xludf.DUMMYFUNCTION("""COMPUTED_VALUE"""),"Lagoon View, Charming")</f>
        <v>Lagoon View, Charming</v>
      </c>
      <c r="S62" s="76" t="str">
        <f>IFERROR(__xludf.DUMMYFUNCTION("""COMPUTED_VALUE"""),"Beach, Gym, Archery, Bicycles Available, Diving, Tennis, Fishing, Yoga Classes, Snorkelling, Evening Entertainment, Spa, Buffet")</f>
        <v>Beach, Gym, Archery, Bicycles Available, Diving, Tennis, Fishing, Yoga Classes, Snorkelling, Evening Entertainment, Spa, Buffet</v>
      </c>
      <c r="T62" s="76"/>
      <c r="U62" s="76"/>
      <c r="V62" s="74" t="b">
        <f>IFERROR(__xludf.DUMMYFUNCTION("""COMPUTED_VALUE"""),FALSE)</f>
        <v>0</v>
      </c>
      <c r="W62" s="74">
        <f>IFERROR(__xludf.DUMMYFUNCTION("""COMPUTED_VALUE"""),250.0)</f>
        <v>250</v>
      </c>
      <c r="X62" s="74">
        <f>IFERROR(__xludf.DUMMYFUNCTION("""COMPUTED_VALUE"""),1999.0)</f>
        <v>1999</v>
      </c>
      <c r="Y62" s="74"/>
      <c r="Z62" s="75">
        <f>IFERROR(__xludf.DUMMYFUNCTION("""COMPUTED_VALUE"""),2.0)</f>
        <v>2</v>
      </c>
    </row>
    <row r="63">
      <c r="A63" s="65" t="str">
        <f>IFERROR(__xludf.DUMMYFUNCTION("""COMPUTED_VALUE"""),"Sugar Mill Hotel")</f>
        <v>Sugar Mill Hotel</v>
      </c>
      <c r="B63" s="66">
        <f>IFERROR(__xludf.DUMMYFUNCTION("""COMPUTED_VALUE"""),94.0)</f>
        <v>94</v>
      </c>
      <c r="C63" s="67" t="str">
        <f>IFERROR(__xludf.DUMMYFUNCTION("""COMPUTED_VALUE"""),"Adults Only")</f>
        <v>Adults Only</v>
      </c>
      <c r="D63" s="79">
        <f>IFERROR(__xludf.DUMMYFUNCTION("""COMPUTED_VALUE"""),5995.0)</f>
        <v>5995</v>
      </c>
      <c r="E63" s="79">
        <f>IFERROR(__xludf.DUMMYFUNCTION("""COMPUTED_VALUE"""),8279.394150499998)</f>
        <v>8279.394151</v>
      </c>
      <c r="F63" s="69">
        <f>IFERROR(__xludf.DUMMYFUNCTION("""COMPUTED_VALUE"""),2.34)</f>
        <v>2.34</v>
      </c>
      <c r="G63" s="78"/>
      <c r="H63" s="78">
        <f>IFERROR(__xludf.DUMMYFUNCTION("""COMPUTED_VALUE"""),7.0)</f>
        <v>7</v>
      </c>
      <c r="I63" s="78"/>
      <c r="J63" s="78"/>
      <c r="K63" s="71"/>
      <c r="L63" s="76" t="str">
        <f>IFERROR(__xludf.DUMMYFUNCTION("""COMPUTED_VALUE"""),"British Virgin Islands")</f>
        <v>British Virgin Islands</v>
      </c>
      <c r="M63" s="76" t="str">
        <f>IFERROR(__xludf.DUMMYFUNCTION("""COMPUTED_VALUE"""),"Tortola")</f>
        <v>Tortola</v>
      </c>
      <c r="N63" s="76" t="str">
        <f>IFERROR(__xludf.DUMMYFUNCTION("""COMPUTED_VALUE"""),"Beef Island")</f>
        <v>Beef Island</v>
      </c>
      <c r="O63" s="78" t="b">
        <f>IFERROR(__xludf.DUMMYFUNCTION("""COMPUTED_VALUE"""),FALSE)</f>
        <v>0</v>
      </c>
      <c r="P63" s="80">
        <f>IFERROR(__xludf.DUMMYFUNCTION("""COMPUTED_VALUE"""),0.02847222222222222)</f>
        <v>0.02847222222</v>
      </c>
      <c r="Q63" s="76"/>
      <c r="R63" s="76" t="str">
        <f>IFERROR(__xludf.DUMMYFUNCTION("""COMPUTED_VALUE"""),"Historic Hotel, Bay View")</f>
        <v>Historic Hotel, Bay View</v>
      </c>
      <c r="S63" s="76" t="str">
        <f>IFERROR(__xludf.DUMMYFUNCTION("""COMPUTED_VALUE"""),"Beach, Fishing, Diving, Spa, Snorkelling")</f>
        <v>Beach, Fishing, Diving, Spa, Snorkelling</v>
      </c>
      <c r="T63" s="76"/>
      <c r="U63" s="76"/>
      <c r="V63" s="78" t="b">
        <f>IFERROR(__xludf.DUMMYFUNCTION("""COMPUTED_VALUE"""),FALSE)</f>
        <v>0</v>
      </c>
      <c r="W63" s="78">
        <f>IFERROR(__xludf.DUMMYFUNCTION("""COMPUTED_VALUE"""),24.0)</f>
        <v>24</v>
      </c>
      <c r="X63" s="78">
        <f>IFERROR(__xludf.DUMMYFUNCTION("""COMPUTED_VALUE"""),1640.0)</f>
        <v>1640</v>
      </c>
      <c r="Y63" s="74">
        <f>IFERROR(__xludf.DUMMYFUNCTION("""COMPUTED_VALUE"""),2018.0)</f>
        <v>2018</v>
      </c>
      <c r="Z63" s="81">
        <f>IFERROR(__xludf.DUMMYFUNCTION("""COMPUTED_VALUE"""),2.0)</f>
        <v>2</v>
      </c>
    </row>
    <row r="64">
      <c r="A64" s="77" t="str">
        <f>IFERROR(__xludf.DUMMYFUNCTION("""COMPUTED_VALUE"""),"Secrets Akumal Riviera Maya")</f>
        <v>Secrets Akumal Riviera Maya</v>
      </c>
      <c r="B64" s="66">
        <f>IFERROR(__xludf.DUMMYFUNCTION("""COMPUTED_VALUE"""),94.0)</f>
        <v>94</v>
      </c>
      <c r="C64" s="78" t="str">
        <f>IFERROR(__xludf.DUMMYFUNCTION("""COMPUTED_VALUE"""),"Adults Only")</f>
        <v>Adults Only</v>
      </c>
      <c r="D64" s="68">
        <f>IFERROR(__xludf.DUMMYFUNCTION("""COMPUTED_VALUE"""),7289.0)</f>
        <v>7289</v>
      </c>
      <c r="E64" s="68">
        <f>IFERROR(__xludf.DUMMYFUNCTION("""COMPUTED_VALUE"""),10066.472721099999)</f>
        <v>10066.47272</v>
      </c>
      <c r="F64" s="69">
        <f>IFERROR(__xludf.DUMMYFUNCTION("""COMPUTED_VALUE"""),1.92)</f>
        <v>1.92</v>
      </c>
      <c r="G64" s="70">
        <f>IFERROR(__xludf.DUMMYFUNCTION("""COMPUTED_VALUE"""),5.0)</f>
        <v>5</v>
      </c>
      <c r="H64" s="70">
        <f>IFERROR(__xludf.DUMMYFUNCTION("""COMPUTED_VALUE"""),8.0)</f>
        <v>8</v>
      </c>
      <c r="I64" s="70" t="str">
        <f>IFERROR(__xludf.DUMMYFUNCTION("""COMPUTED_VALUE"""),"D")</f>
        <v>D</v>
      </c>
      <c r="J64" s="70">
        <f>IFERROR(__xludf.DUMMYFUNCTION("""COMPUTED_VALUE"""),5.0)</f>
        <v>5</v>
      </c>
      <c r="K64" s="71"/>
      <c r="L64" s="72" t="str">
        <f>IFERROR(__xludf.DUMMYFUNCTION("""COMPUTED_VALUE"""),"Mexico")</f>
        <v>Mexico</v>
      </c>
      <c r="M64" s="71" t="str">
        <f>IFERROR(__xludf.DUMMYFUNCTION("""COMPUTED_VALUE"""),"Akumal")</f>
        <v>Akumal</v>
      </c>
      <c r="N64" s="72" t="str">
        <f>IFERROR(__xludf.DUMMYFUNCTION("""COMPUTED_VALUE"""),"Tulum")</f>
        <v>Tulum</v>
      </c>
      <c r="O64" s="70" t="b">
        <f>IFERROR(__xludf.DUMMYFUNCTION("""COMPUTED_VALUE"""),TRUE)</f>
        <v>1</v>
      </c>
      <c r="P64" s="73">
        <f>IFERROR(__xludf.DUMMYFUNCTION("""COMPUTED_VALUE"""),0.04375)</f>
        <v>0.04375</v>
      </c>
      <c r="Q64" s="71" t="str">
        <f>IFERROR(__xludf.DUMMYFUNCTION("""COMPUTED_VALUE"""),"Hyatt")</f>
        <v>Hyatt</v>
      </c>
      <c r="R64" s="71" t="str">
        <f>IFERROR(__xludf.DUMMYFUNCTION("""COMPUTED_VALUE"""),"Modern, Great View")</f>
        <v>Modern, Great View</v>
      </c>
      <c r="S64" s="71" t="str">
        <f>IFERROR(__xludf.DUMMYFUNCTION("""COMPUTED_VALUE"""),"Beach, Great Food, Heated Pool, Gym, Diving, Tennis, Evening Entertainment, Spa, Wifi (Free), Swim Up Bar, Snorkelling, Nightclub, Buffet")</f>
        <v>Beach, Great Food, Heated Pool, Gym, Diving, Tennis, Evening Entertainment, Spa, Wifi (Free), Swim Up Bar, Snorkelling, Nightclub, Buffet</v>
      </c>
      <c r="T64" s="71"/>
      <c r="U64" s="71"/>
      <c r="V64" s="74" t="b">
        <f>IFERROR(__xludf.DUMMYFUNCTION("""COMPUTED_VALUE"""),FALSE)</f>
        <v>0</v>
      </c>
      <c r="W64" s="74">
        <f>IFERROR(__xludf.DUMMYFUNCTION("""COMPUTED_VALUE"""),434.0)</f>
        <v>434</v>
      </c>
      <c r="X64" s="74">
        <f>IFERROR(__xludf.DUMMYFUNCTION("""COMPUTED_VALUE"""),2015.0)</f>
        <v>2015</v>
      </c>
      <c r="Y64" s="74"/>
      <c r="Z64" s="75">
        <f>IFERROR(__xludf.DUMMYFUNCTION("""COMPUTED_VALUE"""),5.0)</f>
        <v>5</v>
      </c>
    </row>
    <row r="65">
      <c r="A65" s="65" t="str">
        <f>IFERROR(__xludf.DUMMYFUNCTION("""COMPUTED_VALUE"""),"Baoase Luxury Resort")</f>
        <v>Baoase Luxury Resort</v>
      </c>
      <c r="B65" s="66">
        <f>IFERROR(__xludf.DUMMYFUNCTION("""COMPUTED_VALUE"""),94.0)</f>
        <v>94</v>
      </c>
      <c r="C65" s="67" t="str">
        <f>IFERROR(__xludf.DUMMYFUNCTION("""COMPUTED_VALUE"""),"Family")</f>
        <v>Family</v>
      </c>
      <c r="D65" s="79">
        <f>IFERROR(__xludf.DUMMYFUNCTION("""COMPUTED_VALUE"""),14735.0)</f>
        <v>14735</v>
      </c>
      <c r="E65" s="79">
        <f>IFERROR(__xludf.DUMMYFUNCTION("""COMPUTED_VALUE"""),20349.770276499996)</f>
        <v>20349.77028</v>
      </c>
      <c r="F65" s="69">
        <f>IFERROR(__xludf.DUMMYFUNCTION("""COMPUTED_VALUE"""),0.95)</f>
        <v>0.95</v>
      </c>
      <c r="G65" s="78">
        <f>IFERROR(__xludf.DUMMYFUNCTION("""COMPUTED_VALUE"""),4.0)</f>
        <v>4</v>
      </c>
      <c r="H65" s="78">
        <f>IFERROR(__xludf.DUMMYFUNCTION("""COMPUTED_VALUE"""),7.0)</f>
        <v>7</v>
      </c>
      <c r="I65" s="78"/>
      <c r="J65" s="78">
        <f>IFERROR(__xludf.DUMMYFUNCTION("""COMPUTED_VALUE"""),5.0)</f>
        <v>5</v>
      </c>
      <c r="K65" s="76"/>
      <c r="L65" s="76" t="str">
        <f>IFERROR(__xludf.DUMMYFUNCTION("""COMPUTED_VALUE"""),"Curaçao")</f>
        <v>Curaçao</v>
      </c>
      <c r="M65" s="76" t="str">
        <f>IFERROR(__xludf.DUMMYFUNCTION("""COMPUTED_VALUE"""),"Willemstad")</f>
        <v>Willemstad</v>
      </c>
      <c r="N65" s="76" t="str">
        <f>IFERROR(__xludf.DUMMYFUNCTION("""COMPUTED_VALUE"""),"Aeropuerto Hato")</f>
        <v>Aeropuerto Hato</v>
      </c>
      <c r="O65" s="78" t="b">
        <f>IFERROR(__xludf.DUMMYFUNCTION("""COMPUTED_VALUE"""),TRUE)</f>
        <v>1</v>
      </c>
      <c r="P65" s="80">
        <f>IFERROR(__xludf.DUMMYFUNCTION("""COMPUTED_VALUE"""),0.01597222222222222)</f>
        <v>0.01597222222</v>
      </c>
      <c r="Q65" s="76"/>
      <c r="R65" s="76" t="str">
        <f>IFERROR(__xludf.DUMMYFUNCTION("""COMPUTED_VALUE"""),"Quiet, Quaint")</f>
        <v>Quiet, Quaint</v>
      </c>
      <c r="S65" s="76" t="str">
        <f>IFERROR(__xludf.DUMMYFUNCTION("""COMPUTED_VALUE"""),"Beach, Swim Out/Plunge Pool Rooms, Family Suite, 2 Bedroom Suites, Gym, Room Service, Diving, Wifi (Free), Snorkelling, Spa")</f>
        <v>Beach, Swim Out/Plunge Pool Rooms, Family Suite, 2 Bedroom Suites, Gym, Room Service, Diving, Wifi (Free), Snorkelling, Spa</v>
      </c>
      <c r="T65" s="76"/>
      <c r="U65" s="76" t="str">
        <f>IFERROR(__xludf.DUMMYFUNCTION("""COMPUTED_VALUE"""),"2 King")</f>
        <v>2 King</v>
      </c>
      <c r="V65" s="78" t="b">
        <f>IFERROR(__xludf.DUMMYFUNCTION("""COMPUTED_VALUE"""),FALSE)</f>
        <v>0</v>
      </c>
      <c r="W65" s="78">
        <f>IFERROR(__xludf.DUMMYFUNCTION("""COMPUTED_VALUE"""),23.0)</f>
        <v>23</v>
      </c>
      <c r="X65" s="78">
        <f>IFERROR(__xludf.DUMMYFUNCTION("""COMPUTED_VALUE"""),2010.0)</f>
        <v>2010</v>
      </c>
      <c r="Y65" s="74"/>
      <c r="Z65" s="81">
        <f>IFERROR(__xludf.DUMMYFUNCTION("""COMPUTED_VALUE"""),2.0)</f>
        <v>2</v>
      </c>
    </row>
    <row r="66">
      <c r="A66" s="65" t="str">
        <f>IFERROR(__xludf.DUMMYFUNCTION("""COMPUTED_VALUE"""),"Little Palm Island Resort &amp; Spa")</f>
        <v>Little Palm Island Resort &amp; Spa</v>
      </c>
      <c r="B66" s="66">
        <f>IFERROR(__xludf.DUMMYFUNCTION("""COMPUTED_VALUE"""),94.0)</f>
        <v>94</v>
      </c>
      <c r="C66" s="67" t="str">
        <f>IFERROR(__xludf.DUMMYFUNCTION("""COMPUTED_VALUE"""),"Adults Only")</f>
        <v>Adults Only</v>
      </c>
      <c r="D66" s="85">
        <f>IFERROR(__xludf.DUMMYFUNCTION("""COMPUTED_VALUE"""),28322.89)</f>
        <v>28322.89</v>
      </c>
      <c r="E66" s="79">
        <f>IFERROR(__xludf.DUMMYFUNCTION("""COMPUTED_VALUE"""),39115.324402210994)</f>
        <v>39115.3244</v>
      </c>
      <c r="F66" s="69">
        <f>IFERROR(__xludf.DUMMYFUNCTION("""COMPUTED_VALUE"""),0.49)</f>
        <v>0.49</v>
      </c>
      <c r="G66" s="78"/>
      <c r="H66" s="78">
        <f>IFERROR(__xludf.DUMMYFUNCTION("""COMPUTED_VALUE"""),9.0)</f>
        <v>9</v>
      </c>
      <c r="I66" s="78"/>
      <c r="J66" s="78">
        <f>IFERROR(__xludf.DUMMYFUNCTION("""COMPUTED_VALUE"""),4.0)</f>
        <v>4</v>
      </c>
      <c r="K66" s="76"/>
      <c r="L66" s="76" t="str">
        <f>IFERROR(__xludf.DUMMYFUNCTION("""COMPUTED_VALUE"""),"United States")</f>
        <v>United States</v>
      </c>
      <c r="M66" s="76" t="str">
        <f>IFERROR(__xludf.DUMMYFUNCTION("""COMPUTED_VALUE"""),"Little Torch Key")</f>
        <v>Little Torch Key</v>
      </c>
      <c r="N66" s="76" t="str">
        <f>IFERROR(__xludf.DUMMYFUNCTION("""COMPUTED_VALUE"""),"Key West")</f>
        <v>Key West</v>
      </c>
      <c r="O66" s="78" t="b">
        <f>IFERROR(__xludf.DUMMYFUNCTION("""COMPUTED_VALUE"""),FALSE)</f>
        <v>0</v>
      </c>
      <c r="P66" s="80">
        <f>IFERROR(__xludf.DUMMYFUNCTION("""COMPUTED_VALUE"""),0.027083333333333334)</f>
        <v>0.02708333333</v>
      </c>
      <c r="Q66" s="76"/>
      <c r="R66" s="76" t="str">
        <f>IFERROR(__xludf.DUMMYFUNCTION("""COMPUTED_VALUE"""),"Marina View")</f>
        <v>Marina View</v>
      </c>
      <c r="S66" s="76" t="str">
        <f>IFERROR(__xludf.DUMMYFUNCTION("""COMPUTED_VALUE"""),"Beach, Heated Pool, Gym, Snorkelling, Evening Entertainment, Wifi (Free), Yoga Classes, Room Service, Diving, Watersports Equipment Rentals, Fishing, Spa")</f>
        <v>Beach, Heated Pool, Gym, Snorkelling, Evening Entertainment, Wifi (Free), Yoga Classes, Room Service, Diving, Watersports Equipment Rentals, Fishing, Spa</v>
      </c>
      <c r="T66" s="76"/>
      <c r="U66" s="76"/>
      <c r="V66" s="78" t="b">
        <f>IFERROR(__xludf.DUMMYFUNCTION("""COMPUTED_VALUE"""),FALSE)</f>
        <v>0</v>
      </c>
      <c r="W66" s="78">
        <f>IFERROR(__xludf.DUMMYFUNCTION("""COMPUTED_VALUE"""),30.0)</f>
        <v>30</v>
      </c>
      <c r="X66" s="78">
        <f>IFERROR(__xludf.DUMMYFUNCTION("""COMPUTED_VALUE"""),1989.0)</f>
        <v>1989</v>
      </c>
      <c r="Y66" s="78">
        <f>IFERROR(__xludf.DUMMYFUNCTION("""COMPUTED_VALUE"""),2019.0)</f>
        <v>2019</v>
      </c>
      <c r="Z66" s="81">
        <f>IFERROR(__xludf.DUMMYFUNCTION("""COMPUTED_VALUE"""),1.0)</f>
        <v>1</v>
      </c>
    </row>
    <row r="67">
      <c r="A67" s="77" t="str">
        <f>IFERROR(__xludf.DUMMYFUNCTION("""COMPUTED_VALUE"""),"Excellence Punta Cana")</f>
        <v>Excellence Punta Cana</v>
      </c>
      <c r="B67" s="66">
        <f>IFERROR(__xludf.DUMMYFUNCTION("""COMPUTED_VALUE"""),93.7)</f>
        <v>93.7</v>
      </c>
      <c r="C67" s="78" t="str">
        <f>IFERROR(__xludf.DUMMYFUNCTION("""COMPUTED_VALUE"""),"Adults Only")</f>
        <v>Adults Only</v>
      </c>
      <c r="D67" s="79">
        <f>IFERROR(__xludf.DUMMYFUNCTION("""COMPUTED_VALUE"""),3093.0)</f>
        <v>3093</v>
      </c>
      <c r="E67" s="68">
        <f>IFERROR(__xludf.DUMMYFUNCTION("""COMPUTED_VALUE"""),4271.5873407)</f>
        <v>4271.587341</v>
      </c>
      <c r="F67" s="69">
        <f>IFERROR(__xludf.DUMMYFUNCTION("""COMPUTED_VALUE"""),4.43)</f>
        <v>4.43</v>
      </c>
      <c r="G67" s="70">
        <f>IFERROR(__xludf.DUMMYFUNCTION("""COMPUTED_VALUE"""),4.0)</f>
        <v>4</v>
      </c>
      <c r="H67" s="70">
        <f>IFERROR(__xludf.DUMMYFUNCTION("""COMPUTED_VALUE"""),9.0)</f>
        <v>9</v>
      </c>
      <c r="I67" s="70"/>
      <c r="J67" s="70">
        <f>IFERROR(__xludf.DUMMYFUNCTION("""COMPUTED_VALUE"""),5.0)</f>
        <v>5</v>
      </c>
      <c r="K67" s="71"/>
      <c r="L67" s="72" t="str">
        <f>IFERROR(__xludf.DUMMYFUNCTION("""COMPUTED_VALUE"""),"Dominican Republic")</f>
        <v>Dominican Republic</v>
      </c>
      <c r="M67" s="72" t="str">
        <f>IFERROR(__xludf.DUMMYFUNCTION("""COMPUTED_VALUE"""),"Punta Cana")</f>
        <v>Punta Cana</v>
      </c>
      <c r="N67" s="72" t="str">
        <f>IFERROR(__xludf.DUMMYFUNCTION("""COMPUTED_VALUE"""),"Punta Cana")</f>
        <v>Punta Cana</v>
      </c>
      <c r="O67" s="74" t="b">
        <f>IFERROR(__xludf.DUMMYFUNCTION("""COMPUTED_VALUE"""),TRUE)</f>
        <v>1</v>
      </c>
      <c r="P67" s="73">
        <f>IFERROR(__xludf.DUMMYFUNCTION("""COMPUTED_VALUE"""),0.029166666666666667)</f>
        <v>0.02916666667</v>
      </c>
      <c r="Q67" s="71" t="str">
        <f>IFERROR(__xludf.DUMMYFUNCTION("""COMPUTED_VALUE"""),"The Excellence Collection")</f>
        <v>The Excellence Collection</v>
      </c>
      <c r="R67" s="76" t="str">
        <f>IFERROR(__xludf.DUMMYFUNCTION("""COMPUTED_VALUE"""),"Great View, Romantic")</f>
        <v>Great View, Romantic</v>
      </c>
      <c r="S67" s="76" t="str">
        <f>IFERROR(__xludf.DUMMYFUNCTION("""COMPUTED_VALUE"""),"Beach, Great Beach, Great Food, Swim Out/Plunge Pool Rooms, Gym, Horseback Riding, Swim Up Bar, Snorkelling, Tennis, Evening Entertainment, Nightclub, Spa, Buffet")</f>
        <v>Beach, Great Beach, Great Food, Swim Out/Plunge Pool Rooms, Gym, Horseback Riding, Swim Up Bar, Snorkelling, Tennis, Evening Entertainment, Nightclub, Spa, Buffet</v>
      </c>
      <c r="T67" s="71"/>
      <c r="U67" s="71"/>
      <c r="V67" s="74" t="b">
        <f>IFERROR(__xludf.DUMMYFUNCTION("""COMPUTED_VALUE"""),FALSE)</f>
        <v>0</v>
      </c>
      <c r="W67" s="74">
        <f>IFERROR(__xludf.DUMMYFUNCTION("""COMPUTED_VALUE"""),461.0)</f>
        <v>461</v>
      </c>
      <c r="X67" s="74">
        <f>IFERROR(__xludf.DUMMYFUNCTION("""COMPUTED_VALUE"""),2000.0)</f>
        <v>2000</v>
      </c>
      <c r="Y67" s="74">
        <f>IFERROR(__xludf.DUMMYFUNCTION("""COMPUTED_VALUE"""),2017.0)</f>
        <v>2017</v>
      </c>
      <c r="Z67" s="75">
        <f>IFERROR(__xludf.DUMMYFUNCTION("""COMPUTED_VALUE"""),3.0)</f>
        <v>3</v>
      </c>
    </row>
    <row r="68">
      <c r="A68" s="65" t="str">
        <f>IFERROR(__xludf.DUMMYFUNCTION("""COMPUTED_VALUE"""),"Excellence El Carmen")</f>
        <v>Excellence El Carmen</v>
      </c>
      <c r="B68" s="66">
        <f>IFERROR(__xludf.DUMMYFUNCTION("""COMPUTED_VALUE"""),93.7)</f>
        <v>93.7</v>
      </c>
      <c r="C68" s="67" t="str">
        <f>IFERROR(__xludf.DUMMYFUNCTION("""COMPUTED_VALUE"""),"Adults Only")</f>
        <v>Adults Only</v>
      </c>
      <c r="D68" s="79">
        <f>IFERROR(__xludf.DUMMYFUNCTION("""COMPUTED_VALUE"""),3570.0)</f>
        <v>3570</v>
      </c>
      <c r="E68" s="79">
        <f>IFERROR(__xludf.DUMMYFUNCTION("""COMPUTED_VALUE"""),4930.348142999999)</f>
        <v>4930.348143</v>
      </c>
      <c r="F68" s="69">
        <f>IFERROR(__xludf.DUMMYFUNCTION("""COMPUTED_VALUE"""),3.84)</f>
        <v>3.84</v>
      </c>
      <c r="G68" s="78">
        <f>IFERROR(__xludf.DUMMYFUNCTION("""COMPUTED_VALUE"""),4.0)</f>
        <v>4</v>
      </c>
      <c r="H68" s="74">
        <f>IFERROR(__xludf.DUMMYFUNCTION("""COMPUTED_VALUE"""),8.0)</f>
        <v>8</v>
      </c>
      <c r="I68" s="78"/>
      <c r="J68" s="78">
        <f>IFERROR(__xludf.DUMMYFUNCTION("""COMPUTED_VALUE"""),5.0)</f>
        <v>5</v>
      </c>
      <c r="K68" s="72"/>
      <c r="L68" s="76" t="str">
        <f>IFERROR(__xludf.DUMMYFUNCTION("""COMPUTED_VALUE"""),"Dominican Republic")</f>
        <v>Dominican Republic</v>
      </c>
      <c r="M68" s="76" t="str">
        <f>IFERROR(__xludf.DUMMYFUNCTION("""COMPUTED_VALUE"""),"Uvero Alto")</f>
        <v>Uvero Alto</v>
      </c>
      <c r="N68" s="72" t="str">
        <f>IFERROR(__xludf.DUMMYFUNCTION("""COMPUTED_VALUE"""),"Punta Cana")</f>
        <v>Punta Cana</v>
      </c>
      <c r="O68" s="74" t="b">
        <f>IFERROR(__xludf.DUMMYFUNCTION("""COMPUTED_VALUE"""),TRUE)</f>
        <v>1</v>
      </c>
      <c r="P68" s="73">
        <f>IFERROR(__xludf.DUMMYFUNCTION("""COMPUTED_VALUE"""),0.02847222222222222)</f>
        <v>0.02847222222</v>
      </c>
      <c r="Q68" s="72" t="str">
        <f>IFERROR(__xludf.DUMMYFUNCTION("""COMPUTED_VALUE"""),"The Excellence Collection")</f>
        <v>The Excellence Collection</v>
      </c>
      <c r="R68" s="72" t="str">
        <f>IFERROR(__xludf.DUMMYFUNCTION("""COMPUTED_VALUE"""),"Modern, Quiet")</f>
        <v>Modern, Quiet</v>
      </c>
      <c r="S68" s="76" t="str">
        <f>IFERROR(__xludf.DUMMYFUNCTION("""COMPUTED_VALUE"""),"Beach, Swim Out/Plunge Pool Rooms, Heated Pool, Gym, Diving, Tennis, Evening Entertainment, Nightclub, Wifi (Free), Swim Up Bar, Snorkelling, Spa, Buffet")</f>
        <v>Beach, Swim Out/Plunge Pool Rooms, Heated Pool, Gym, Diving, Tennis, Evening Entertainment, Nightclub, Wifi (Free), Swim Up Bar, Snorkelling, Spa, Buffet</v>
      </c>
      <c r="T68" s="76"/>
      <c r="U68" s="76"/>
      <c r="V68" s="78" t="b">
        <f>IFERROR(__xludf.DUMMYFUNCTION("""COMPUTED_VALUE"""),FALSE)</f>
        <v>0</v>
      </c>
      <c r="W68" s="78">
        <f>IFERROR(__xludf.DUMMYFUNCTION("""COMPUTED_VALUE"""),492.0)</f>
        <v>492</v>
      </c>
      <c r="X68" s="78">
        <f>IFERROR(__xludf.DUMMYFUNCTION("""COMPUTED_VALUE"""),2016.0)</f>
        <v>2016</v>
      </c>
      <c r="Y68" s="78"/>
      <c r="Z68" s="81">
        <f>IFERROR(__xludf.DUMMYFUNCTION("""COMPUTED_VALUE"""),2.0)</f>
        <v>2</v>
      </c>
    </row>
    <row r="69">
      <c r="A69" s="65" t="str">
        <f>IFERROR(__xludf.DUMMYFUNCTION("""COMPUTED_VALUE"""),"Barcelo Maya Riviera")</f>
        <v>Barcelo Maya Riviera</v>
      </c>
      <c r="B69" s="66">
        <f>IFERROR(__xludf.DUMMYFUNCTION("""COMPUTED_VALUE"""),93.7)</f>
        <v>93.7</v>
      </c>
      <c r="C69" s="67" t="str">
        <f>IFERROR(__xludf.DUMMYFUNCTION("""COMPUTED_VALUE"""),"Adults Only")</f>
        <v>Adults Only</v>
      </c>
      <c r="D69" s="79">
        <f>IFERROR(__xludf.DUMMYFUNCTION("""COMPUTED_VALUE"""),4191.08)</f>
        <v>4191.08</v>
      </c>
      <c r="E69" s="79">
        <f>IFERROR(__xludf.DUMMYFUNCTION("""COMPUTED_VALUE"""),5788.090614891999)</f>
        <v>5788.090615</v>
      </c>
      <c r="F69" s="69">
        <f>IFERROR(__xludf.DUMMYFUNCTION("""COMPUTED_VALUE"""),3.27)</f>
        <v>3.27</v>
      </c>
      <c r="G69" s="78"/>
      <c r="H69" s="78" t="str">
        <f>IFERROR(__xludf.DUMMYFUNCTION("""COMPUTED_VALUE"""),"NYR")</f>
        <v>NYR</v>
      </c>
      <c r="I69" s="78"/>
      <c r="J69" s="78">
        <f>IFERROR(__xludf.DUMMYFUNCTION("""COMPUTED_VALUE"""),5.0)</f>
        <v>5</v>
      </c>
      <c r="K69" s="71"/>
      <c r="L69" s="76" t="str">
        <f>IFERROR(__xludf.DUMMYFUNCTION("""COMPUTED_VALUE"""),"Mexico")</f>
        <v>Mexico</v>
      </c>
      <c r="M69" s="76" t="str">
        <f>IFERROR(__xludf.DUMMYFUNCTION("""COMPUTED_VALUE"""),"Barcelo Maya")</f>
        <v>Barcelo Maya</v>
      </c>
      <c r="N69" s="76" t="str">
        <f>IFERROR(__xludf.DUMMYFUNCTION("""COMPUTED_VALUE"""),"Cancun")</f>
        <v>Cancun</v>
      </c>
      <c r="O69" s="78" t="b">
        <f>IFERROR(__xludf.DUMMYFUNCTION("""COMPUTED_VALUE"""),TRUE)</f>
        <v>1</v>
      </c>
      <c r="P69" s="80">
        <f>IFERROR(__xludf.DUMMYFUNCTION("""COMPUTED_VALUE"""),0.043055555555555555)</f>
        <v>0.04305555556</v>
      </c>
      <c r="Q69" s="76" t="str">
        <f>IFERROR(__xludf.DUMMYFUNCTION("""COMPUTED_VALUE"""),"Barcelo")</f>
        <v>Barcelo</v>
      </c>
      <c r="R69" s="76" t="str">
        <f>IFERROR(__xludf.DUMMYFUNCTION("""COMPUTED_VALUE"""),"Business, Romantic")</f>
        <v>Business, Romantic</v>
      </c>
      <c r="S69" s="76" t="str">
        <f>IFERROR(__xludf.DUMMYFUNCTION("""COMPUTED_VALUE"""),"Beach, Swim Out/Plunge Pool Rooms, Gym, Snorkelling, Evening Entertainment, Spa, Wifi (Free), Swim Up Bar, Tennis, Nightclub, Buffet")</f>
        <v>Beach, Swim Out/Plunge Pool Rooms, Gym, Snorkelling, Evening Entertainment, Spa, Wifi (Free), Swim Up Bar, Tennis, Nightclub, Buffet</v>
      </c>
      <c r="T69" s="76"/>
      <c r="U69" s="76"/>
      <c r="V69" s="78" t="b">
        <f>IFERROR(__xludf.DUMMYFUNCTION("""COMPUTED_VALUE"""),FALSE)</f>
        <v>0</v>
      </c>
      <c r="W69" s="78">
        <f>IFERROR(__xludf.DUMMYFUNCTION("""COMPUTED_VALUE"""),850.0)</f>
        <v>850</v>
      </c>
      <c r="X69" s="78">
        <f>IFERROR(__xludf.DUMMYFUNCTION("""COMPUTED_VALUE"""),2019.0)</f>
        <v>2019</v>
      </c>
      <c r="Y69" s="78"/>
      <c r="Z69" s="81">
        <f>IFERROR(__xludf.DUMMYFUNCTION("""COMPUTED_VALUE"""),5.0)</f>
        <v>5</v>
      </c>
    </row>
    <row r="70">
      <c r="A70" s="65" t="str">
        <f>IFERROR(__xludf.DUMMYFUNCTION("""COMPUTED_VALUE"""),"Finest Punta Cana By The Excellence Collection All Inclusive")</f>
        <v>Finest Punta Cana By The Excellence Collection All Inclusive</v>
      </c>
      <c r="B70" s="66">
        <f>IFERROR(__xludf.DUMMYFUNCTION("""COMPUTED_VALUE"""),93.7)</f>
        <v>93.7</v>
      </c>
      <c r="C70" s="67" t="str">
        <f>IFERROR(__xludf.DUMMYFUNCTION("""COMPUTED_VALUE"""),"Family")</f>
        <v>Family</v>
      </c>
      <c r="D70" s="79">
        <f>IFERROR(__xludf.DUMMYFUNCTION("""COMPUTED_VALUE"""),5265.0)</f>
        <v>5265</v>
      </c>
      <c r="E70" s="79">
        <f>IFERROR(__xludf.DUMMYFUNCTION("""COMPUTED_VALUE"""),7271.227723499999)</f>
        <v>7271.227724</v>
      </c>
      <c r="F70" s="69">
        <f>IFERROR(__xludf.DUMMYFUNCTION("""COMPUTED_VALUE"""),2.6)</f>
        <v>2.6</v>
      </c>
      <c r="G70" s="78">
        <f>IFERROR(__xludf.DUMMYFUNCTION("""COMPUTED_VALUE"""),4.0)</f>
        <v>4</v>
      </c>
      <c r="H70" s="78"/>
      <c r="I70" s="78"/>
      <c r="J70" s="78">
        <f>IFERROR(__xludf.DUMMYFUNCTION("""COMPUTED_VALUE"""),5.0)</f>
        <v>5</v>
      </c>
      <c r="K70" s="76"/>
      <c r="L70" s="76" t="str">
        <f>IFERROR(__xludf.DUMMYFUNCTION("""COMPUTED_VALUE"""),"Dominican Republic")</f>
        <v>Dominican Republic</v>
      </c>
      <c r="M70" s="76" t="str">
        <f>IFERROR(__xludf.DUMMYFUNCTION("""COMPUTED_VALUE"""),"Punta Cana")</f>
        <v>Punta Cana</v>
      </c>
      <c r="N70" s="76" t="str">
        <f>IFERROR(__xludf.DUMMYFUNCTION("""COMPUTED_VALUE"""),"Punta Cana")</f>
        <v>Punta Cana</v>
      </c>
      <c r="O70" s="78" t="b">
        <f>IFERROR(__xludf.DUMMYFUNCTION("""COMPUTED_VALUE"""),TRUE)</f>
        <v>1</v>
      </c>
      <c r="P70" s="80">
        <f>IFERROR(__xludf.DUMMYFUNCTION("""COMPUTED_VALUE"""),0.02847222222222222)</f>
        <v>0.02847222222</v>
      </c>
      <c r="Q70" s="76" t="str">
        <f>IFERROR(__xludf.DUMMYFUNCTION("""COMPUTED_VALUE"""),"The Excellence Collection")</f>
        <v>The Excellence Collection</v>
      </c>
      <c r="R70" s="76" t="str">
        <f>IFERROR(__xludf.DUMMYFUNCTION("""COMPUTED_VALUE"""),"Business")</f>
        <v>Business</v>
      </c>
      <c r="S70" s="76" t="str">
        <f>IFERROR(__xludf.DUMMYFUNCTION("""COMPUTED_VALUE"""),"Beach, Swim Out/Plunge Pool Rooms, Adults Only Rooms, Family Suite, 2 Bedroom Suites, Kids Club, Kids Waterpark, Pool Slide, Water Feature, Kids Club for Under 4, Gym, Diving, Swim Up Bar, Snorkelling, Watersports Equipment Rentals, Spa, Wifi (Free), Baby"&amp;"sitting, Yoga Classes, Adult Pool, Room Service, Tennis, Evening Entertainment, Buffet")</f>
        <v>Beach, Swim Out/Plunge Pool Rooms, Adults Only Rooms, Family Suite, 2 Bedroom Suites, Kids Club, Kids Waterpark, Pool Slide, Water Feature, Kids Club for Under 4, Gym, Diving, Swim Up Bar, Snorkelling, Watersports Equipment Rentals, Spa, Wifi (Free), Babysitting, Yoga Classes, Adult Pool, Room Service, Tennis, Evening Entertainment, Buffet</v>
      </c>
      <c r="T70" s="76"/>
      <c r="U70" s="76" t="str">
        <f>IFERROR(__xludf.DUMMYFUNCTION("""COMPUTED_VALUE"""),"1 King and 2 Twin")</f>
        <v>1 King and 2 Twin</v>
      </c>
      <c r="V70" s="78" t="b">
        <f>IFERROR(__xludf.DUMMYFUNCTION("""COMPUTED_VALUE"""),FALSE)</f>
        <v>0</v>
      </c>
      <c r="W70" s="78">
        <f>IFERROR(__xludf.DUMMYFUNCTION("""COMPUTED_VALUE"""),455.0)</f>
        <v>455</v>
      </c>
      <c r="X70" s="78">
        <f>IFERROR(__xludf.DUMMYFUNCTION("""COMPUTED_VALUE"""),2019.0)</f>
        <v>2019</v>
      </c>
      <c r="Y70" s="78"/>
      <c r="Z70" s="81"/>
    </row>
    <row r="71">
      <c r="A71" s="65" t="str">
        <f>IFERROR(__xludf.DUMMYFUNCTION("""COMPUTED_VALUE"""),"The Explorean Kohunlich")</f>
        <v>The Explorean Kohunlich</v>
      </c>
      <c r="B71" s="66">
        <f>IFERROR(__xludf.DUMMYFUNCTION("""COMPUTED_VALUE"""),93.7)</f>
        <v>93.7</v>
      </c>
      <c r="C71" s="67" t="str">
        <f>IFERROR(__xludf.DUMMYFUNCTION("""COMPUTED_VALUE"""),"Family")</f>
        <v>Family</v>
      </c>
      <c r="D71" s="79">
        <f>IFERROR(__xludf.DUMMYFUNCTION("""COMPUTED_VALUE"""),5544.37)</f>
        <v>5544.37</v>
      </c>
      <c r="E71" s="79">
        <f>IFERROR(__xludf.DUMMYFUNCTION("""COMPUTED_VALUE"""),7657.051634062999)</f>
        <v>7657.051634</v>
      </c>
      <c r="F71" s="69">
        <f>IFERROR(__xludf.DUMMYFUNCTION("""COMPUTED_VALUE"""),2.47)</f>
        <v>2.47</v>
      </c>
      <c r="G71" s="78"/>
      <c r="H71" s="78">
        <f>IFERROR(__xludf.DUMMYFUNCTION("""COMPUTED_VALUE"""),7.0)</f>
        <v>7</v>
      </c>
      <c r="I71" s="78"/>
      <c r="J71" s="78">
        <f>IFERROR(__xludf.DUMMYFUNCTION("""COMPUTED_VALUE"""),4.5)</f>
        <v>4.5</v>
      </c>
      <c r="K71" s="71"/>
      <c r="L71" s="76" t="str">
        <f>IFERROR(__xludf.DUMMYFUNCTION("""COMPUTED_VALUE"""),"Mexico")</f>
        <v>Mexico</v>
      </c>
      <c r="M71" s="76" t="str">
        <f>IFERROR(__xludf.DUMMYFUNCTION("""COMPUTED_VALUE"""),"Escarcega")</f>
        <v>Escarcega</v>
      </c>
      <c r="N71" s="76" t="str">
        <f>IFERROR(__xludf.DUMMYFUNCTION("""COMPUTED_VALUE"""),"Chetumal")</f>
        <v>Chetumal</v>
      </c>
      <c r="O71" s="78" t="b">
        <f>IFERROR(__xludf.DUMMYFUNCTION("""COMPUTED_VALUE"""),FALSE)</f>
        <v>0</v>
      </c>
      <c r="P71" s="80">
        <f>IFERROR(__xludf.DUMMYFUNCTION("""COMPUTED_VALUE"""),0.05486111111111111)</f>
        <v>0.05486111111</v>
      </c>
      <c r="Q71" s="76" t="str">
        <f>IFERROR(__xludf.DUMMYFUNCTION("""COMPUTED_VALUE"""),"Fiesta Americana Travelty")</f>
        <v>Fiesta Americana Travelty</v>
      </c>
      <c r="R71" s="76"/>
      <c r="S71" s="76" t="str">
        <f>IFERROR(__xludf.DUMMYFUNCTION("""COMPUTED_VALUE"""),"Swim Out/Plunge Pool Rooms, Bicycles Available, Hiking, Spa")</f>
        <v>Swim Out/Plunge Pool Rooms, Bicycles Available, Hiking, Spa</v>
      </c>
      <c r="T71" s="76"/>
      <c r="U71" s="76" t="str">
        <f>IFERROR(__xludf.DUMMYFUNCTION("""COMPUTED_VALUE"""),"1 King or 2 Double")</f>
        <v>1 King or 2 Double</v>
      </c>
      <c r="V71" s="78" t="b">
        <f>IFERROR(__xludf.DUMMYFUNCTION("""COMPUTED_VALUE"""),FALSE)</f>
        <v>0</v>
      </c>
      <c r="W71" s="78">
        <f>IFERROR(__xludf.DUMMYFUNCTION("""COMPUTED_VALUE"""),40.0)</f>
        <v>40</v>
      </c>
      <c r="X71" s="78">
        <f>IFERROR(__xludf.DUMMYFUNCTION("""COMPUTED_VALUE"""),1996.0)</f>
        <v>1996</v>
      </c>
      <c r="Y71" s="78">
        <f>IFERROR(__xludf.DUMMYFUNCTION("""COMPUTED_VALUE"""),2008.0)</f>
        <v>2008</v>
      </c>
      <c r="Z71" s="81">
        <f>IFERROR(__xludf.DUMMYFUNCTION("""COMPUTED_VALUE"""),1.0)</f>
        <v>1</v>
      </c>
    </row>
    <row r="72">
      <c r="A72" s="65" t="str">
        <f>IFERROR(__xludf.DUMMYFUNCTION("""COMPUTED_VALUE"""),"Finest Playa Mujeres")</f>
        <v>Finest Playa Mujeres</v>
      </c>
      <c r="B72" s="66">
        <f>IFERROR(__xludf.DUMMYFUNCTION("""COMPUTED_VALUE"""),93.7)</f>
        <v>93.7</v>
      </c>
      <c r="C72" s="67" t="str">
        <f>IFERROR(__xludf.DUMMYFUNCTION("""COMPUTED_VALUE"""),"Family")</f>
        <v>Family</v>
      </c>
      <c r="D72" s="79">
        <f>IFERROR(__xludf.DUMMYFUNCTION("""COMPUTED_VALUE"""),5784.0)</f>
        <v>5784</v>
      </c>
      <c r="E72" s="79">
        <f>IFERROR(__xludf.DUMMYFUNCTION("""COMPUTED_VALUE"""),7987.992621599999)</f>
        <v>7987.992622</v>
      </c>
      <c r="F72" s="69">
        <f>IFERROR(__xludf.DUMMYFUNCTION("""COMPUTED_VALUE"""),2.37)</f>
        <v>2.37</v>
      </c>
      <c r="G72" s="78"/>
      <c r="H72" s="78">
        <f>IFERROR(__xludf.DUMMYFUNCTION("""COMPUTED_VALUE"""),8.0)</f>
        <v>8</v>
      </c>
      <c r="I72" s="78"/>
      <c r="J72" s="78"/>
      <c r="K72" s="76"/>
      <c r="L72" s="76" t="str">
        <f>IFERROR(__xludf.DUMMYFUNCTION("""COMPUTED_VALUE"""),"Mexico")</f>
        <v>Mexico</v>
      </c>
      <c r="M72" s="76" t="str">
        <f>IFERROR(__xludf.DUMMYFUNCTION("""COMPUTED_VALUE"""),"Playa Mujeres")</f>
        <v>Playa Mujeres</v>
      </c>
      <c r="N72" s="76" t="str">
        <f>IFERROR(__xludf.DUMMYFUNCTION("""COMPUTED_VALUE"""),"Cancun")</f>
        <v>Cancun</v>
      </c>
      <c r="O72" s="78" t="b">
        <f>IFERROR(__xludf.DUMMYFUNCTION("""COMPUTED_VALUE"""),TRUE)</f>
        <v>1</v>
      </c>
      <c r="P72" s="80">
        <f>IFERROR(__xludf.DUMMYFUNCTION("""COMPUTED_VALUE"""),0.0375)</f>
        <v>0.0375</v>
      </c>
      <c r="Q72" s="76" t="str">
        <f>IFERROR(__xludf.DUMMYFUNCTION("""COMPUTED_VALUE"""),"The Excellence Collection")</f>
        <v>The Excellence Collection</v>
      </c>
      <c r="R72" s="76" t="str">
        <f>IFERROR(__xludf.DUMMYFUNCTION("""COMPUTED_VALUE"""),"Ocean View, Green")</f>
        <v>Ocean View, Green</v>
      </c>
      <c r="S72" s="76" t="str">
        <f>IFERROR(__xludf.DUMMYFUNCTION("""COMPUTED_VALUE"""),"Beach, Swim Out/Plunge Pool Rooms, Adults Only Rooms, Family Suite, 2 Bedroom Suites, Kids Club, Kids Waterpark, Pool Slide, Water Feature, Heated Pool, Kids Club for Under 4, Gym, Tennis, Adult Pool, Room Service, Nightclub, Wifi (Free), Babysitting, Swi"&amp;"m Up Bar, Evening Entertainment, Spa, Buffet")</f>
        <v>Beach, Swim Out/Plunge Pool Rooms, Adults Only Rooms, Family Suite, 2 Bedroom Suites, Kids Club, Kids Waterpark, Pool Slide, Water Feature, Heated Pool, Kids Club for Under 4, Gym, Tennis, Adult Pool, Room Service, Nightclub, Wifi (Free), Babysitting, Swim Up Bar, Evening Entertainment, Spa, Buffet</v>
      </c>
      <c r="T72" s="76"/>
      <c r="U72" s="76" t="str">
        <f>IFERROR(__xludf.DUMMYFUNCTION("""COMPUTED_VALUE"""),"1 King or 2 Double")</f>
        <v>1 King or 2 Double</v>
      </c>
      <c r="V72" s="78" t="b">
        <f>IFERROR(__xludf.DUMMYFUNCTION("""COMPUTED_VALUE"""),FALSE)</f>
        <v>0</v>
      </c>
      <c r="W72" s="78">
        <f>IFERROR(__xludf.DUMMYFUNCTION("""COMPUTED_VALUE"""),450.0)</f>
        <v>450</v>
      </c>
      <c r="X72" s="78">
        <f>IFERROR(__xludf.DUMMYFUNCTION("""COMPUTED_VALUE"""),2015.0)</f>
        <v>2015</v>
      </c>
      <c r="Y72" s="78"/>
      <c r="Z72" s="81">
        <f>IFERROR(__xludf.DUMMYFUNCTION("""COMPUTED_VALUE"""),4.0)</f>
        <v>4</v>
      </c>
    </row>
    <row r="73">
      <c r="A73" s="65" t="str">
        <f>IFERROR(__xludf.DUMMYFUNCTION("""COMPUTED_VALUE"""),"Petite Anse Hotel")</f>
        <v>Petite Anse Hotel</v>
      </c>
      <c r="B73" s="66">
        <f>IFERROR(__xludf.DUMMYFUNCTION("""COMPUTED_VALUE"""),93.7)</f>
        <v>93.7</v>
      </c>
      <c r="C73" s="67" t="str">
        <f>IFERROR(__xludf.DUMMYFUNCTION("""COMPUTED_VALUE"""),"Family")</f>
        <v>Family</v>
      </c>
      <c r="D73" s="85">
        <f>IFERROR(__xludf.DUMMYFUNCTION("""COMPUTED_VALUE"""),5884.2)</f>
        <v>5884.2</v>
      </c>
      <c r="E73" s="79">
        <f>IFERROR(__xludf.DUMMYFUNCTION("""COMPUTED_VALUE"""),8126.373821579999)</f>
        <v>8126.373822</v>
      </c>
      <c r="F73" s="69">
        <f>IFERROR(__xludf.DUMMYFUNCTION("""COMPUTED_VALUE"""),2.33)</f>
        <v>2.33</v>
      </c>
      <c r="G73" s="78"/>
      <c r="H73" s="78"/>
      <c r="I73" s="78"/>
      <c r="J73" s="78">
        <f>IFERROR(__xludf.DUMMYFUNCTION("""COMPUTED_VALUE"""),3.5)</f>
        <v>3.5</v>
      </c>
      <c r="K73" s="76" t="str">
        <f>IFERROR(__xludf.DUMMYFUNCTION("""COMPUTED_VALUE"""),"Max 2 per Room")</f>
        <v>Max 2 per Room</v>
      </c>
      <c r="L73" s="76" t="str">
        <f>IFERROR(__xludf.DUMMYFUNCTION("""COMPUTED_VALUE"""),"Grenada")</f>
        <v>Grenada</v>
      </c>
      <c r="M73" s="76" t="str">
        <f>IFERROR(__xludf.DUMMYFUNCTION("""COMPUTED_VALUE"""),"Saint Patrick Parish")</f>
        <v>Saint Patrick Parish</v>
      </c>
      <c r="N73" s="76" t="str">
        <f>IFERROR(__xludf.DUMMYFUNCTION("""COMPUTED_VALUE"""),"Point Saline")</f>
        <v>Point Saline</v>
      </c>
      <c r="O73" s="78" t="b">
        <f>IFERROR(__xludf.DUMMYFUNCTION("""COMPUTED_VALUE"""),FALSE)</f>
        <v>0</v>
      </c>
      <c r="P73" s="80">
        <f>IFERROR(__xludf.DUMMYFUNCTION("""COMPUTED_VALUE"""),0.05625)</f>
        <v>0.05625</v>
      </c>
      <c r="Q73" s="76"/>
      <c r="R73" s="76"/>
      <c r="S73" s="76" t="str">
        <f>IFERROR(__xludf.DUMMYFUNCTION("""COMPUTED_VALUE"""),"Beach, Wifi (Free), Buffet")</f>
        <v>Beach, Wifi (Free), Buffet</v>
      </c>
      <c r="T73" s="76"/>
      <c r="U73" s="76" t="str">
        <f>IFERROR(__xludf.DUMMYFUNCTION("""COMPUTED_VALUE"""),"1 King")</f>
        <v>1 King</v>
      </c>
      <c r="V73" s="78" t="b">
        <f>IFERROR(__xludf.DUMMYFUNCTION("""COMPUTED_VALUE"""),FALSE)</f>
        <v>0</v>
      </c>
      <c r="W73" s="78"/>
      <c r="X73" s="78"/>
      <c r="Y73" s="74"/>
      <c r="Z73" s="81"/>
    </row>
    <row r="74">
      <c r="A74" s="65" t="str">
        <f>IFERROR(__xludf.DUMMYFUNCTION("""COMPUTED_VALUE"""),"Desire Riviera Maya Resort (Clothing optional, Couples Only)")</f>
        <v>Desire Riviera Maya Resort (Clothing optional, Couples Only)</v>
      </c>
      <c r="B74" s="66">
        <f>IFERROR(__xludf.DUMMYFUNCTION("""COMPUTED_VALUE"""),93.7)</f>
        <v>93.7</v>
      </c>
      <c r="C74" s="67" t="str">
        <f>IFERROR(__xludf.DUMMYFUNCTION("""COMPUTED_VALUE"""),"Adults Only")</f>
        <v>Adults Only</v>
      </c>
      <c r="D74" s="79">
        <f>IFERROR(__xludf.DUMMYFUNCTION("""COMPUTED_VALUE"""),6182.05)</f>
        <v>6182.05</v>
      </c>
      <c r="E74" s="79">
        <f>IFERROR(__xludf.DUMMYFUNCTION("""COMPUTED_VALUE"""),8537.719534295)</f>
        <v>8537.719534</v>
      </c>
      <c r="F74" s="86">
        <f>IFERROR(__xludf.DUMMYFUNCTION("""COMPUTED_VALUE"""),2.22)</f>
        <v>2.22</v>
      </c>
      <c r="G74" s="78"/>
      <c r="H74" s="78" t="str">
        <f>IFERROR(__xludf.DUMMYFUNCTION("""COMPUTED_VALUE"""),"NYR")</f>
        <v>NYR</v>
      </c>
      <c r="I74" s="78"/>
      <c r="J74" s="78">
        <f>IFERROR(__xludf.DUMMYFUNCTION("""COMPUTED_VALUE"""),4.0)</f>
        <v>4</v>
      </c>
      <c r="K74" s="76" t="str">
        <f>IFERROR(__xludf.DUMMYFUNCTION("""COMPUTED_VALUE"""),"Clothing Optional, Couples Only")</f>
        <v>Clothing Optional, Couples Only</v>
      </c>
      <c r="L74" s="76" t="str">
        <f>IFERROR(__xludf.DUMMYFUNCTION("""COMPUTED_VALUE"""),"Mexico")</f>
        <v>Mexico</v>
      </c>
      <c r="M74" s="76" t="str">
        <f>IFERROR(__xludf.DUMMYFUNCTION("""COMPUTED_VALUE"""),"Puerto Morelos")</f>
        <v>Puerto Morelos</v>
      </c>
      <c r="N74" s="76" t="str">
        <f>IFERROR(__xludf.DUMMYFUNCTION("""COMPUTED_VALUE"""),"Cancun")</f>
        <v>Cancun</v>
      </c>
      <c r="O74" s="78" t="b">
        <f>IFERROR(__xludf.DUMMYFUNCTION("""COMPUTED_VALUE"""),TRUE)</f>
        <v>1</v>
      </c>
      <c r="P74" s="80">
        <f>IFERROR(__xludf.DUMMYFUNCTION("""COMPUTED_VALUE"""),0.014583333333333334)</f>
        <v>0.01458333333</v>
      </c>
      <c r="Q74" s="76" t="str">
        <f>IFERROR(__xludf.DUMMYFUNCTION("""COMPUTED_VALUE"""),"Desire")</f>
        <v>Desire</v>
      </c>
      <c r="R74" s="76" t="str">
        <f>IFERROR(__xludf.DUMMYFUNCTION("""COMPUTED_VALUE"""),"Romantic, Green")</f>
        <v>Romantic, Green</v>
      </c>
      <c r="S74" s="71" t="str">
        <f>IFERROR(__xludf.DUMMYFUNCTION("""COMPUTED_VALUE"""),"Beach, Swim Out/Plunge Pool Rooms, Gym, Swim Up Bar, Evening Entertainment, Spa, Wifi (Free), Room Service, Nightclub, Buffet")</f>
        <v>Beach, Swim Out/Plunge Pool Rooms, Gym, Swim Up Bar, Evening Entertainment, Spa, Wifi (Free), Room Service, Nightclub, Buffet</v>
      </c>
      <c r="T74" s="71"/>
      <c r="U74" s="76"/>
      <c r="V74" s="78" t="b">
        <f>IFERROR(__xludf.DUMMYFUNCTION("""COMPUTED_VALUE"""),FALSE)</f>
        <v>0</v>
      </c>
      <c r="W74" s="78">
        <f>IFERROR(__xludf.DUMMYFUNCTION("""COMPUTED_VALUE"""),114.0)</f>
        <v>114</v>
      </c>
      <c r="X74" s="78"/>
      <c r="Y74" s="78"/>
      <c r="Z74" s="81">
        <f>IFERROR(__xludf.DUMMYFUNCTION("""COMPUTED_VALUE"""),2.0)</f>
        <v>2</v>
      </c>
    </row>
    <row r="75">
      <c r="A75" s="65" t="str">
        <f>IFERROR(__xludf.DUMMYFUNCTION("""COMPUTED_VALUE"""),"Sandals Royal Plantation (Couples only)")</f>
        <v>Sandals Royal Plantation (Couples only)</v>
      </c>
      <c r="B75" s="66">
        <f>IFERROR(__xludf.DUMMYFUNCTION("""COMPUTED_VALUE"""),93.7)</f>
        <v>93.7</v>
      </c>
      <c r="C75" s="67" t="str">
        <f>IFERROR(__xludf.DUMMYFUNCTION("""COMPUTED_VALUE"""),"Adults Only")</f>
        <v>Adults Only</v>
      </c>
      <c r="D75" s="79">
        <f>IFERROR(__xludf.DUMMYFUNCTION("""COMPUTED_VALUE"""),7210.0)</f>
        <v>7210</v>
      </c>
      <c r="E75" s="79">
        <f>IFERROR(__xludf.DUMMYFUNCTION("""COMPUTED_VALUE"""),9957.369778999999)</f>
        <v>9957.369779</v>
      </c>
      <c r="F75" s="69">
        <f>IFERROR(__xludf.DUMMYFUNCTION("""COMPUTED_VALUE"""),1.9)</f>
        <v>1.9</v>
      </c>
      <c r="G75" s="78">
        <f>IFERROR(__xludf.DUMMYFUNCTION("""COMPUTED_VALUE"""),4.0)</f>
        <v>4</v>
      </c>
      <c r="H75" s="78" t="str">
        <f>IFERROR(__xludf.DUMMYFUNCTION("""COMPUTED_VALUE"""),"NYR")</f>
        <v>NYR</v>
      </c>
      <c r="I75" s="78"/>
      <c r="J75" s="78">
        <f>IFERROR(__xludf.DUMMYFUNCTION("""COMPUTED_VALUE"""),5.0)</f>
        <v>5</v>
      </c>
      <c r="K75" s="76" t="str">
        <f>IFERROR(__xludf.DUMMYFUNCTION("""COMPUTED_VALUE"""),"Couples Only")</f>
        <v>Couples Only</v>
      </c>
      <c r="L75" s="76" t="str">
        <f>IFERROR(__xludf.DUMMYFUNCTION("""COMPUTED_VALUE"""),"Jamaica")</f>
        <v>Jamaica</v>
      </c>
      <c r="M75" s="76" t="str">
        <f>IFERROR(__xludf.DUMMYFUNCTION("""COMPUTED_VALUE"""),"Ochos Rios")</f>
        <v>Ochos Rios</v>
      </c>
      <c r="N75" s="76" t="str">
        <f>IFERROR(__xludf.DUMMYFUNCTION("""COMPUTED_VALUE"""),"Sangster")</f>
        <v>Sangster</v>
      </c>
      <c r="O75" s="78" t="b">
        <f>IFERROR(__xludf.DUMMYFUNCTION("""COMPUTED_VALUE"""),TRUE)</f>
        <v>1</v>
      </c>
      <c r="P75" s="80">
        <f>IFERROR(__xludf.DUMMYFUNCTION("""COMPUTED_VALUE"""),0.06388888888888888)</f>
        <v>0.06388888889</v>
      </c>
      <c r="Q75" s="76" t="str">
        <f>IFERROR(__xludf.DUMMYFUNCTION("""COMPUTED_VALUE"""),"Sandals")</f>
        <v>Sandals</v>
      </c>
      <c r="R75" s="76" t="str">
        <f>IFERROR(__xludf.DUMMYFUNCTION("""COMPUTED_VALUE"""),"Great View, Romantic")</f>
        <v>Great View, Romantic</v>
      </c>
      <c r="S75" s="76" t="str">
        <f>IFERROR(__xludf.DUMMYFUNCTION("""COMPUTED_VALUE"""),"Beach, Great Beach, Gym, Diving, Tennis, Evening Entertainment, Wifi (Free), Room Service, Golf Course, Fishing, Spa, Buffet")</f>
        <v>Beach, Great Beach, Gym, Diving, Tennis, Evening Entertainment, Wifi (Free), Room Service, Golf Course, Fishing, Spa, Buffet</v>
      </c>
      <c r="T75" s="76"/>
      <c r="U75" s="76"/>
      <c r="V75" s="78" t="b">
        <f>IFERROR(__xludf.DUMMYFUNCTION("""COMPUTED_VALUE"""),FALSE)</f>
        <v>0</v>
      </c>
      <c r="W75" s="78">
        <f>IFERROR(__xludf.DUMMYFUNCTION("""COMPUTED_VALUE"""),74.0)</f>
        <v>74</v>
      </c>
      <c r="X75" s="78">
        <f>IFERROR(__xludf.DUMMYFUNCTION("""COMPUTED_VALUE"""),1957.0)</f>
        <v>1957</v>
      </c>
      <c r="Y75" s="74">
        <f>IFERROR(__xludf.DUMMYFUNCTION("""COMPUTED_VALUE"""),2005.0)</f>
        <v>2005</v>
      </c>
      <c r="Z75" s="81"/>
    </row>
    <row r="76">
      <c r="A76" s="65" t="str">
        <f>IFERROR(__xludf.DUMMYFUNCTION("""COMPUTED_VALUE"""),"Sailrock South Caicos")</f>
        <v>Sailrock South Caicos</v>
      </c>
      <c r="B76" s="66">
        <f>IFERROR(__xludf.DUMMYFUNCTION("""COMPUTED_VALUE"""),93.7)</f>
        <v>93.7</v>
      </c>
      <c r="C76" s="67" t="str">
        <f>IFERROR(__xludf.DUMMYFUNCTION("""COMPUTED_VALUE"""),"Family")</f>
        <v>Family</v>
      </c>
      <c r="D76" s="79">
        <f>IFERROR(__xludf.DUMMYFUNCTION("""COMPUTED_VALUE"""),17251.0)</f>
        <v>17251</v>
      </c>
      <c r="E76" s="79">
        <f>IFERROR(__xludf.DUMMYFUNCTION("""COMPUTED_VALUE"""),23824.491824899997)</f>
        <v>23824.49182</v>
      </c>
      <c r="F76" s="69">
        <f>IFERROR(__xludf.DUMMYFUNCTION("""COMPUTED_VALUE"""),0.79)</f>
        <v>0.79</v>
      </c>
      <c r="G76" s="78"/>
      <c r="H76" s="74">
        <f>IFERROR(__xludf.DUMMYFUNCTION("""COMPUTED_VALUE"""),9.0)</f>
        <v>9</v>
      </c>
      <c r="I76" s="78"/>
      <c r="J76" s="78">
        <f>IFERROR(__xludf.DUMMYFUNCTION("""COMPUTED_VALUE"""),4.0)</f>
        <v>4</v>
      </c>
      <c r="K76" s="76"/>
      <c r="L76" s="76" t="str">
        <f>IFERROR(__xludf.DUMMYFUNCTION("""COMPUTED_VALUE"""),"Turks and Caicos")</f>
        <v>Turks and Caicos</v>
      </c>
      <c r="M76" s="76" t="str">
        <f>IFERROR(__xludf.DUMMYFUNCTION("""COMPUTED_VALUE"""),"South Caicos")</f>
        <v>South Caicos</v>
      </c>
      <c r="N76" s="76" t="str">
        <f>IFERROR(__xludf.DUMMYFUNCTION("""COMPUTED_VALUE"""),"Providenciales")</f>
        <v>Providenciales</v>
      </c>
      <c r="O76" s="78" t="b">
        <f>IFERROR(__xludf.DUMMYFUNCTION("""COMPUTED_VALUE"""),TRUE)</f>
        <v>1</v>
      </c>
      <c r="P76" s="80"/>
      <c r="Q76" s="76"/>
      <c r="R76" s="76" t="str">
        <f>IFERROR(__xludf.DUMMYFUNCTION("""COMPUTED_VALUE"""),"Family, Romantic")</f>
        <v>Family, Romantic</v>
      </c>
      <c r="S76" s="76" t="str">
        <f>IFERROR(__xludf.DUMMYFUNCTION("""COMPUTED_VALUE"""),"Gym, Bicycles Available, Snorkelling, Windsurfing, Fishing, Wifi (Free), Yoga Classes, Room Service, Diving, Watersports Equipment Rentals, Spa, 2 Bedroom Suites, Beach, Swim Out/Plunge Pool Rooms, Buffet")</f>
        <v>Gym, Bicycles Available, Snorkelling, Windsurfing, Fishing, Wifi (Free), Yoga Classes, Room Service, Diving, Watersports Equipment Rentals, Spa, 2 Bedroom Suites, Beach, Swim Out/Plunge Pool Rooms, Buffet</v>
      </c>
      <c r="T76" s="76"/>
      <c r="U76" s="76" t="str">
        <f>IFERROR(__xludf.DUMMYFUNCTION("""COMPUTED_VALUE"""),"1 King")</f>
        <v>1 King</v>
      </c>
      <c r="V76" s="74" t="b">
        <f>IFERROR(__xludf.DUMMYFUNCTION("""COMPUTED_VALUE"""),FALSE)</f>
        <v>0</v>
      </c>
      <c r="W76" s="74">
        <f>IFERROR(__xludf.DUMMYFUNCTION("""COMPUTED_VALUE"""),35.0)</f>
        <v>35</v>
      </c>
      <c r="X76" s="74">
        <f>IFERROR(__xludf.DUMMYFUNCTION("""COMPUTED_VALUE"""),2016.0)</f>
        <v>2016</v>
      </c>
      <c r="Y76" s="74"/>
      <c r="Z76" s="75"/>
    </row>
    <row r="77">
      <c r="A77" s="77" t="str">
        <f>IFERROR(__xludf.DUMMYFUNCTION("""COMPUTED_VALUE"""),"Iberostar Selection Varadero")</f>
        <v>Iberostar Selection Varadero</v>
      </c>
      <c r="B77" s="66">
        <f>IFERROR(__xludf.DUMMYFUNCTION("""COMPUTED_VALUE"""),93.5)</f>
        <v>93.5</v>
      </c>
      <c r="C77" s="78" t="str">
        <f>IFERROR(__xludf.DUMMYFUNCTION("""COMPUTED_VALUE"""),"Family")</f>
        <v>Family</v>
      </c>
      <c r="D77" s="68">
        <f>IFERROR(__xludf.DUMMYFUNCTION("""COMPUTED_VALUE"""),4122.59)</f>
        <v>4122.59</v>
      </c>
      <c r="E77" s="68">
        <f>IFERROR(__xludf.DUMMYFUNCTION("""COMPUTED_VALUE"""),5693.502507241)</f>
        <v>5693.502507</v>
      </c>
      <c r="F77" s="69">
        <f>IFERROR(__xludf.DUMMYFUNCTION("""COMPUTED_VALUE"""),3.27)</f>
        <v>3.27</v>
      </c>
      <c r="G77" s="74"/>
      <c r="H77" s="74">
        <f>IFERROR(__xludf.DUMMYFUNCTION("""COMPUTED_VALUE"""),7.0)</f>
        <v>7</v>
      </c>
      <c r="I77" s="74"/>
      <c r="J77" s="74">
        <f>IFERROR(__xludf.DUMMYFUNCTION("""COMPUTED_VALUE"""),5.0)</f>
        <v>5</v>
      </c>
      <c r="K77" s="71"/>
      <c r="L77" s="72" t="str">
        <f>IFERROR(__xludf.DUMMYFUNCTION("""COMPUTED_VALUE"""),"Cuba")</f>
        <v>Cuba</v>
      </c>
      <c r="M77" s="72" t="str">
        <f>IFERROR(__xludf.DUMMYFUNCTION("""COMPUTED_VALUE"""),"Varadero")</f>
        <v>Varadero</v>
      </c>
      <c r="N77" s="76" t="str">
        <f>IFERROR(__xludf.DUMMYFUNCTION("""COMPUTED_VALUE"""),"Varadero")</f>
        <v>Varadero</v>
      </c>
      <c r="O77" s="74" t="b">
        <f>IFERROR(__xludf.DUMMYFUNCTION("""COMPUTED_VALUE"""),TRUE)</f>
        <v>1</v>
      </c>
      <c r="P77" s="73">
        <f>IFERROR(__xludf.DUMMYFUNCTION("""COMPUTED_VALUE"""),0.02361111111111111)</f>
        <v>0.02361111111</v>
      </c>
      <c r="Q77" s="76" t="str">
        <f>IFERROR(__xludf.DUMMYFUNCTION("""COMPUTED_VALUE"""),"IHG")</f>
        <v>IHG</v>
      </c>
      <c r="R77" s="71" t="str">
        <f>IFERROR(__xludf.DUMMYFUNCTION("""COMPUTED_VALUE"""),"Family, Quiet")</f>
        <v>Family, Quiet</v>
      </c>
      <c r="S77" s="76" t="str">
        <f>IFERROR(__xludf.DUMMYFUNCTION("""COMPUTED_VALUE"""),"Beach, Great Beach, Family Suite, 2 Bedroom Suites, Kids Club, Teen Club, Kids Waterpark, Babysitting, Swim Up Bar, Snorkelling, Evening Entertainment, Spa, Gym, Archery, Yoga Classes, Diving, Tennis, Buffet")</f>
        <v>Beach, Great Beach, Family Suite, 2 Bedroom Suites, Kids Club, Teen Club, Kids Waterpark, Babysitting, Swim Up Bar, Snorkelling, Evening Entertainment, Spa, Gym, Archery, Yoga Classes, Diving, Tennis, Buffet</v>
      </c>
      <c r="T77" s="72" t="str">
        <f>IFERROR(__xludf.DUMMYFUNCTION("""COMPUTED_VALUE"""),"Yes")</f>
        <v>Yes</v>
      </c>
      <c r="U77" s="72" t="str">
        <f>IFERROR(__xludf.DUMMYFUNCTION("""COMPUTED_VALUE"""),"1 King or 2 Double")</f>
        <v>1 King or 2 Double</v>
      </c>
      <c r="V77" s="74" t="b">
        <f>IFERROR(__xludf.DUMMYFUNCTION("""COMPUTED_VALUE"""),FALSE)</f>
        <v>0</v>
      </c>
      <c r="W77" s="74">
        <f>IFERROR(__xludf.DUMMYFUNCTION("""COMPUTED_VALUE"""),386.0)</f>
        <v>386</v>
      </c>
      <c r="X77" s="74">
        <f>IFERROR(__xludf.DUMMYFUNCTION("""COMPUTED_VALUE"""),2004.0)</f>
        <v>2004</v>
      </c>
      <c r="Y77" s="74">
        <f>IFERROR(__xludf.DUMMYFUNCTION("""COMPUTED_VALUE"""),2017.0)</f>
        <v>2017</v>
      </c>
      <c r="Z77" s="75"/>
    </row>
    <row r="78">
      <c r="A78" s="65" t="str">
        <f>IFERROR(__xludf.DUMMYFUNCTION("""COMPUTED_VALUE"""),"Le Blanc Spa Resort Los Cabos")</f>
        <v>Le Blanc Spa Resort Los Cabos</v>
      </c>
      <c r="B78" s="66">
        <f>IFERROR(__xludf.DUMMYFUNCTION("""COMPUTED_VALUE"""),93.5)</f>
        <v>93.5</v>
      </c>
      <c r="C78" s="67" t="str">
        <f>IFERROR(__xludf.DUMMYFUNCTION("""COMPUTED_VALUE"""),"Adults Only")</f>
        <v>Adults Only</v>
      </c>
      <c r="D78" s="79">
        <f>IFERROR(__xludf.DUMMYFUNCTION("""COMPUTED_VALUE"""),8638.0)</f>
        <v>8638</v>
      </c>
      <c r="E78" s="79">
        <f>IFERROR(__xludf.DUMMYFUNCTION("""COMPUTED_VALUE"""),11929.5090362)</f>
        <v>11929.50904</v>
      </c>
      <c r="F78" s="69">
        <f>IFERROR(__xludf.DUMMYFUNCTION("""COMPUTED_VALUE"""),1.56)</f>
        <v>1.56</v>
      </c>
      <c r="G78" s="78">
        <f>IFERROR(__xludf.DUMMYFUNCTION("""COMPUTED_VALUE"""),5.0)</f>
        <v>5</v>
      </c>
      <c r="H78" s="78">
        <f>IFERROR(__xludf.DUMMYFUNCTION("""COMPUTED_VALUE"""),9.0)</f>
        <v>9</v>
      </c>
      <c r="I78" s="78"/>
      <c r="J78" s="78">
        <f>IFERROR(__xludf.DUMMYFUNCTION("""COMPUTED_VALUE"""),5.0)</f>
        <v>5</v>
      </c>
      <c r="K78" s="71"/>
      <c r="L78" s="76" t="str">
        <f>IFERROR(__xludf.DUMMYFUNCTION("""COMPUTED_VALUE"""),"Mexico")</f>
        <v>Mexico</v>
      </c>
      <c r="M78" s="76" t="str">
        <f>IFERROR(__xludf.DUMMYFUNCTION("""COMPUTED_VALUE"""),"San Jose del Cabo")</f>
        <v>San Jose del Cabo</v>
      </c>
      <c r="N78" s="76" t="str">
        <f>IFERROR(__xludf.DUMMYFUNCTION("""COMPUTED_VALUE"""),"Los Cabos")</f>
        <v>Los Cabos</v>
      </c>
      <c r="O78" s="78" t="b">
        <f>IFERROR(__xludf.DUMMYFUNCTION("""COMPUTED_VALUE"""),TRUE)</f>
        <v>1</v>
      </c>
      <c r="P78" s="80">
        <f>IFERROR(__xludf.DUMMYFUNCTION("""COMPUTED_VALUE"""),0.01875)</f>
        <v>0.01875</v>
      </c>
      <c r="Q78" s="76" t="str">
        <f>IFERROR(__xludf.DUMMYFUNCTION("""COMPUTED_VALUE"""),"Palace Resorts")</f>
        <v>Palace Resorts</v>
      </c>
      <c r="R78" s="76" t="str">
        <f>IFERROR(__xludf.DUMMYFUNCTION("""COMPUTED_VALUE"""),"Business, Romantic")</f>
        <v>Business, Romantic</v>
      </c>
      <c r="S78" s="76" t="str">
        <f>IFERROR(__xludf.DUMMYFUNCTION("""COMPUTED_VALUE"""),"Beach, Heated Pool, Gym, Room Service, Swim Up Bar, Wifi (Free), Evening Entertainment, Spa, Buffet")</f>
        <v>Beach, Heated Pool, Gym, Room Service, Swim Up Bar, Wifi (Free), Evening Entertainment, Spa, Buffet</v>
      </c>
      <c r="T78" s="76"/>
      <c r="U78" s="76"/>
      <c r="V78" s="78" t="b">
        <f>IFERROR(__xludf.DUMMYFUNCTION("""COMPUTED_VALUE"""),TRUE)</f>
        <v>1</v>
      </c>
      <c r="W78" s="78">
        <f>IFERROR(__xludf.DUMMYFUNCTION("""COMPUTED_VALUE"""),373.0)</f>
        <v>373</v>
      </c>
      <c r="X78" s="78">
        <f>IFERROR(__xludf.DUMMYFUNCTION("""COMPUTED_VALUE"""),2017.0)</f>
        <v>2017</v>
      </c>
      <c r="Y78" s="78"/>
      <c r="Z78" s="81">
        <f>IFERROR(__xludf.DUMMYFUNCTION("""COMPUTED_VALUE"""),12.0)</f>
        <v>12</v>
      </c>
    </row>
    <row r="79">
      <c r="A79" s="65" t="str">
        <f>IFERROR(__xludf.DUMMYFUNCTION("""COMPUTED_VALUE"""),"Impression Moxche by Secrets")</f>
        <v>Impression Moxche by Secrets</v>
      </c>
      <c r="B79" s="66">
        <f>IFERROR(__xludf.DUMMYFUNCTION("""COMPUTED_VALUE"""),93.5)</f>
        <v>93.5</v>
      </c>
      <c r="C79" s="67" t="str">
        <f>IFERROR(__xludf.DUMMYFUNCTION("""COMPUTED_VALUE"""),"Adults Only")</f>
        <v>Adults Only</v>
      </c>
      <c r="D79" s="79">
        <f>IFERROR(__xludf.DUMMYFUNCTION("""COMPUTED_VALUE"""),9156.0)</f>
        <v>9156</v>
      </c>
      <c r="E79" s="79">
        <f>IFERROR(__xludf.DUMMYFUNCTION("""COMPUTED_VALUE"""),12644.892884399998)</f>
        <v>12644.89288</v>
      </c>
      <c r="F79" s="69">
        <f>IFERROR(__xludf.DUMMYFUNCTION("""COMPUTED_VALUE"""),1.47)</f>
        <v>1.47</v>
      </c>
      <c r="G79" s="78"/>
      <c r="H79" s="78">
        <f>IFERROR(__xludf.DUMMYFUNCTION("""COMPUTED_VALUE"""),9.0)</f>
        <v>9</v>
      </c>
      <c r="I79" s="78" t="str">
        <f>IFERROR(__xludf.DUMMYFUNCTION("""COMPUTED_VALUE"""),"F")</f>
        <v>F</v>
      </c>
      <c r="J79" s="78">
        <f>IFERROR(__xludf.DUMMYFUNCTION("""COMPUTED_VALUE"""),5.0)</f>
        <v>5</v>
      </c>
      <c r="K79" s="76"/>
      <c r="L79" s="76" t="str">
        <f>IFERROR(__xludf.DUMMYFUNCTION("""COMPUTED_VALUE"""),"Mexico")</f>
        <v>Mexico</v>
      </c>
      <c r="M79" s="76" t="str">
        <f>IFERROR(__xludf.DUMMYFUNCTION("""COMPUTED_VALUE"""),"Playa del Carmen")</f>
        <v>Playa del Carmen</v>
      </c>
      <c r="N79" s="76" t="str">
        <f>IFERROR(__xludf.DUMMYFUNCTION("""COMPUTED_VALUE"""),"Cancun")</f>
        <v>Cancun</v>
      </c>
      <c r="O79" s="78" t="b">
        <f>IFERROR(__xludf.DUMMYFUNCTION("""COMPUTED_VALUE"""),TRUE)</f>
        <v>1</v>
      </c>
      <c r="P79" s="80">
        <f>IFERROR(__xludf.DUMMYFUNCTION("""COMPUTED_VALUE"""),0.03125)</f>
        <v>0.03125</v>
      </c>
      <c r="Q79" s="76" t="str">
        <f>IFERROR(__xludf.DUMMYFUNCTION("""COMPUTED_VALUE"""),"Hyatt")</f>
        <v>Hyatt</v>
      </c>
      <c r="R79" s="76" t="str">
        <f>IFERROR(__xludf.DUMMYFUNCTION("""COMPUTED_VALUE"""),"Luxury")</f>
        <v>Luxury</v>
      </c>
      <c r="S79" s="76" t="str">
        <f>IFERROR(__xludf.DUMMYFUNCTION("""COMPUTED_VALUE"""),"Beach, Great Food, Swim Out/Plunge Pool Rooms, Heated Pool, Gym, Room Service, Nightclub, Spa, Wifi (Free), Evening Entertainment, Buffet")</f>
        <v>Beach, Great Food, Swim Out/Plunge Pool Rooms, Heated Pool, Gym, Room Service, Nightclub, Spa, Wifi (Free), Evening Entertainment, Buffet</v>
      </c>
      <c r="T79" s="76"/>
      <c r="U79" s="76"/>
      <c r="V79" s="78" t="b">
        <f>IFERROR(__xludf.DUMMYFUNCTION("""COMPUTED_VALUE"""),FALSE)</f>
        <v>0</v>
      </c>
      <c r="W79" s="78">
        <f>IFERROR(__xludf.DUMMYFUNCTION("""COMPUTED_VALUE"""),198.0)</f>
        <v>198</v>
      </c>
      <c r="X79" s="74">
        <f>IFERROR(__xludf.DUMMYFUNCTION("""COMPUTED_VALUE"""),2021.0)</f>
        <v>2021</v>
      </c>
      <c r="Y79" s="74"/>
      <c r="Z79" s="75">
        <f>IFERROR(__xludf.DUMMYFUNCTION("""COMPUTED_VALUE"""),8.0)</f>
        <v>8</v>
      </c>
    </row>
    <row r="80">
      <c r="A80" s="65" t="str">
        <f>IFERROR(__xludf.DUMMYFUNCTION("""COMPUTED_VALUE"""),"Iberostar Selection Coral Cancún")</f>
        <v>Iberostar Selection Coral Cancún</v>
      </c>
      <c r="B80" s="66">
        <f>IFERROR(__xludf.DUMMYFUNCTION("""COMPUTED_VALUE"""),93.3)</f>
        <v>93.3</v>
      </c>
      <c r="C80" s="67" t="str">
        <f>IFERROR(__xludf.DUMMYFUNCTION("""COMPUTED_VALUE"""),"Adults Only")</f>
        <v>Adults Only</v>
      </c>
      <c r="D80" s="79">
        <f>IFERROR(__xludf.DUMMYFUNCTION("""COMPUTED_VALUE"""),4280.64)</f>
        <v>4280.64</v>
      </c>
      <c r="E80" s="79">
        <f>IFERROR(__xludf.DUMMYFUNCTION("""COMPUTED_VALUE"""),5911.777443936)</f>
        <v>5911.777444</v>
      </c>
      <c r="F80" s="69">
        <f>IFERROR(__xludf.DUMMYFUNCTION("""COMPUTED_VALUE"""),3.11)</f>
        <v>3.11</v>
      </c>
      <c r="G80" s="78"/>
      <c r="H80" s="78">
        <f>IFERROR(__xludf.DUMMYFUNCTION("""COMPUTED_VALUE"""),9.0)</f>
        <v>9</v>
      </c>
      <c r="I80" s="78"/>
      <c r="J80" s="78">
        <f>IFERROR(__xludf.DUMMYFUNCTION("""COMPUTED_VALUE"""),5.0)</f>
        <v>5</v>
      </c>
      <c r="K80" s="71"/>
      <c r="L80" s="76" t="str">
        <f>IFERROR(__xludf.DUMMYFUNCTION("""COMPUTED_VALUE"""),"Mexico")</f>
        <v>Mexico</v>
      </c>
      <c r="M80" s="76" t="str">
        <f>IFERROR(__xludf.DUMMYFUNCTION("""COMPUTED_VALUE"""),"Cancun")</f>
        <v>Cancun</v>
      </c>
      <c r="N80" s="76" t="str">
        <f>IFERROR(__xludf.DUMMYFUNCTION("""COMPUTED_VALUE"""),"Cancun")</f>
        <v>Cancun</v>
      </c>
      <c r="O80" s="78" t="b">
        <f>IFERROR(__xludf.DUMMYFUNCTION("""COMPUTED_VALUE"""),TRUE)</f>
        <v>1</v>
      </c>
      <c r="P80" s="80">
        <f>IFERROR(__xludf.DUMMYFUNCTION("""COMPUTED_VALUE"""),0.0125)</f>
        <v>0.0125</v>
      </c>
      <c r="Q80" s="76" t="str">
        <f>IFERROR(__xludf.DUMMYFUNCTION("""COMPUTED_VALUE"""),"IHG")</f>
        <v>IHG</v>
      </c>
      <c r="R80" s="76" t="str">
        <f>IFERROR(__xludf.DUMMYFUNCTION("""COMPUTED_VALUE"""),"Romantic, Modern")</f>
        <v>Romantic, Modern</v>
      </c>
      <c r="S80" s="76" t="str">
        <f>IFERROR(__xludf.DUMMYFUNCTION("""COMPUTED_VALUE"""),"Beach, Gym, Diving, Swim Up Bar, Evening Entertainment, Wifi (Free), Tennis, Spa, Buffet")</f>
        <v>Beach, Gym, Diving, Swim Up Bar, Evening Entertainment, Wifi (Free), Tennis, Spa, Buffet</v>
      </c>
      <c r="T80" s="76"/>
      <c r="U80" s="76"/>
      <c r="V80" s="78" t="b">
        <f>IFERROR(__xludf.DUMMYFUNCTION("""COMPUTED_VALUE"""),TRUE)</f>
        <v>1</v>
      </c>
      <c r="W80" s="78">
        <f>IFERROR(__xludf.DUMMYFUNCTION("""COMPUTED_VALUE"""),156.0)</f>
        <v>156</v>
      </c>
      <c r="X80" s="78">
        <f>IFERROR(__xludf.DUMMYFUNCTION("""COMPUTED_VALUE"""),2018.0)</f>
        <v>2018</v>
      </c>
      <c r="Y80" s="78"/>
      <c r="Z80" s="81">
        <f>IFERROR(__xludf.DUMMYFUNCTION("""COMPUTED_VALUE"""),15.0)</f>
        <v>15</v>
      </c>
    </row>
    <row r="81">
      <c r="A81" s="65" t="str">
        <f>IFERROR(__xludf.DUMMYFUNCTION("""COMPUTED_VALUE"""),"Hyatt Zilara Cancun")</f>
        <v>Hyatt Zilara Cancun</v>
      </c>
      <c r="B81" s="66">
        <f>IFERROR(__xludf.DUMMYFUNCTION("""COMPUTED_VALUE"""),93.3)</f>
        <v>93.3</v>
      </c>
      <c r="C81" s="67" t="str">
        <f>IFERROR(__xludf.DUMMYFUNCTION("""COMPUTED_VALUE"""),"Adults Only")</f>
        <v>Adults Only</v>
      </c>
      <c r="D81" s="79">
        <f>IFERROR(__xludf.DUMMYFUNCTION("""COMPUTED_VALUE"""),4429.13)</f>
        <v>4429.13</v>
      </c>
      <c r="E81" s="79">
        <f>IFERROR(__xludf.DUMMYFUNCTION("""COMPUTED_VALUE"""),6116.849543586999)</f>
        <v>6116.849544</v>
      </c>
      <c r="F81" s="69">
        <f>IFERROR(__xludf.DUMMYFUNCTION("""COMPUTED_VALUE"""),3.0)</f>
        <v>3</v>
      </c>
      <c r="G81" s="78">
        <f>IFERROR(__xludf.DUMMYFUNCTION("""COMPUTED_VALUE"""),4.0)</f>
        <v>4</v>
      </c>
      <c r="H81" s="78">
        <f>IFERROR(__xludf.DUMMYFUNCTION("""COMPUTED_VALUE"""),9.0)</f>
        <v>9</v>
      </c>
      <c r="I81" s="78" t="str">
        <f>IFERROR(__xludf.DUMMYFUNCTION("""COMPUTED_VALUE"""),"E")</f>
        <v>E</v>
      </c>
      <c r="J81" s="78">
        <f>IFERROR(__xludf.DUMMYFUNCTION("""COMPUTED_VALUE"""),5.0)</f>
        <v>5</v>
      </c>
      <c r="K81" s="71"/>
      <c r="L81" s="76" t="str">
        <f>IFERROR(__xludf.DUMMYFUNCTION("""COMPUTED_VALUE"""),"Mexico")</f>
        <v>Mexico</v>
      </c>
      <c r="M81" s="76" t="str">
        <f>IFERROR(__xludf.DUMMYFUNCTION("""COMPUTED_VALUE"""),"Cancun")</f>
        <v>Cancun</v>
      </c>
      <c r="N81" s="76" t="str">
        <f>IFERROR(__xludf.DUMMYFUNCTION("""COMPUTED_VALUE"""),"Cancun")</f>
        <v>Cancun</v>
      </c>
      <c r="O81" s="78" t="b">
        <f>IFERROR(__xludf.DUMMYFUNCTION("""COMPUTED_VALUE"""),TRUE)</f>
        <v>1</v>
      </c>
      <c r="P81" s="80">
        <f>IFERROR(__xludf.DUMMYFUNCTION("""COMPUTED_VALUE"""),0.017361111111111112)</f>
        <v>0.01736111111</v>
      </c>
      <c r="Q81" s="76" t="str">
        <f>IFERROR(__xludf.DUMMYFUNCTION("""COMPUTED_VALUE"""),"Hyatt")</f>
        <v>Hyatt</v>
      </c>
      <c r="R81" s="76" t="str">
        <f>IFERROR(__xludf.DUMMYFUNCTION("""COMPUTED_VALUE"""),"Green, Romantic")</f>
        <v>Green, Romantic</v>
      </c>
      <c r="S81" s="76" t="str">
        <f>IFERROR(__xludf.DUMMYFUNCTION("""COMPUTED_VALUE"""),"Beach, Swim Out/Plunge Pool Rooms, Heated Pool, Gym, Diving, Spa, Wifi (Free), Swim Up Bar, Evening Entertainment, Buffet")</f>
        <v>Beach, Swim Out/Plunge Pool Rooms, Heated Pool, Gym, Diving, Spa, Wifi (Free), Swim Up Bar, Evening Entertainment, Buffet</v>
      </c>
      <c r="T81" s="76"/>
      <c r="U81" s="76"/>
      <c r="V81" s="78" t="b">
        <f>IFERROR(__xludf.DUMMYFUNCTION("""COMPUTED_VALUE"""),TRUE)</f>
        <v>1</v>
      </c>
      <c r="W81" s="78">
        <f>IFERROR(__xludf.DUMMYFUNCTION("""COMPUTED_VALUE"""),310.0)</f>
        <v>310</v>
      </c>
      <c r="X81" s="78">
        <f>IFERROR(__xludf.DUMMYFUNCTION("""COMPUTED_VALUE"""),2007.0)</f>
        <v>2007</v>
      </c>
      <c r="Y81" s="74"/>
      <c r="Z81" s="81">
        <f>IFERROR(__xludf.DUMMYFUNCTION("""COMPUTED_VALUE"""),8.0)</f>
        <v>8</v>
      </c>
    </row>
    <row r="82">
      <c r="A82" s="65" t="str">
        <f>IFERROR(__xludf.DUMMYFUNCTION("""COMPUTED_VALUE"""),"Hotel Mousai Puerto Vallarta")</f>
        <v>Hotel Mousai Puerto Vallarta</v>
      </c>
      <c r="B82" s="66">
        <f>IFERROR(__xludf.DUMMYFUNCTION("""COMPUTED_VALUE"""),93.3)</f>
        <v>93.3</v>
      </c>
      <c r="C82" s="67" t="str">
        <f>IFERROR(__xludf.DUMMYFUNCTION("""COMPUTED_VALUE"""),"Adults Only")</f>
        <v>Adults Only</v>
      </c>
      <c r="D82" s="79">
        <f>IFERROR(__xludf.DUMMYFUNCTION("""COMPUTED_VALUE"""),6921.0)</f>
        <v>6921</v>
      </c>
      <c r="E82" s="79">
        <f>IFERROR(__xludf.DUMMYFUNCTION("""COMPUTED_VALUE"""),9558.2463579)</f>
        <v>9558.246358</v>
      </c>
      <c r="F82" s="69">
        <f>IFERROR(__xludf.DUMMYFUNCTION("""COMPUTED_VALUE"""),1.92)</f>
        <v>1.92</v>
      </c>
      <c r="G82" s="78">
        <f>IFERROR(__xludf.DUMMYFUNCTION("""COMPUTED_VALUE"""),5.0)</f>
        <v>5</v>
      </c>
      <c r="H82" s="74">
        <f>IFERROR(__xludf.DUMMYFUNCTION("""COMPUTED_VALUE"""),9.0)</f>
        <v>9</v>
      </c>
      <c r="I82" s="78"/>
      <c r="J82" s="78">
        <f>IFERROR(__xludf.DUMMYFUNCTION("""COMPUTED_VALUE"""),5.0)</f>
        <v>5</v>
      </c>
      <c r="K82" s="76"/>
      <c r="L82" s="76" t="str">
        <f>IFERROR(__xludf.DUMMYFUNCTION("""COMPUTED_VALUE"""),"Mexico")</f>
        <v>Mexico</v>
      </c>
      <c r="M82" s="76" t="str">
        <f>IFERROR(__xludf.DUMMYFUNCTION("""COMPUTED_VALUE"""),"Puerto Vallarta")</f>
        <v>Puerto Vallarta</v>
      </c>
      <c r="N82" s="76" t="str">
        <f>IFERROR(__xludf.DUMMYFUNCTION("""COMPUTED_VALUE"""),"Ordaz")</f>
        <v>Ordaz</v>
      </c>
      <c r="O82" s="78" t="b">
        <f>IFERROR(__xludf.DUMMYFUNCTION("""COMPUTED_VALUE"""),TRUE)</f>
        <v>1</v>
      </c>
      <c r="P82" s="80">
        <f>IFERROR(__xludf.DUMMYFUNCTION("""COMPUTED_VALUE"""),0.02638888888888889)</f>
        <v>0.02638888889</v>
      </c>
      <c r="Q82" s="76" t="str">
        <f>IFERROR(__xludf.DUMMYFUNCTION("""COMPUTED_VALUE"""),"Tafer Hotels &amp; Resorts")</f>
        <v>Tafer Hotels &amp; Resorts</v>
      </c>
      <c r="R82" s="76" t="str">
        <f>IFERROR(__xludf.DUMMYFUNCTION("""COMPUTED_VALUE"""),"Romantic, Mountain View")</f>
        <v>Romantic, Mountain View</v>
      </c>
      <c r="S82" s="76" t="str">
        <f>IFERROR(__xludf.DUMMYFUNCTION("""COMPUTED_VALUE"""),"Beach, Heated Pool, Gym, Tennis, Room Service, Spa, Buffet")</f>
        <v>Beach, Heated Pool, Gym, Tennis, Room Service, Spa, Buffet</v>
      </c>
      <c r="T82" s="76"/>
      <c r="U82" s="76"/>
      <c r="V82" s="78" t="b">
        <f>IFERROR(__xludf.DUMMYFUNCTION("""COMPUTED_VALUE"""),TRUE)</f>
        <v>1</v>
      </c>
      <c r="W82" s="78">
        <f>IFERROR(__xludf.DUMMYFUNCTION("""COMPUTED_VALUE"""),145.0)</f>
        <v>145</v>
      </c>
      <c r="X82" s="78">
        <f>IFERROR(__xludf.DUMMYFUNCTION("""COMPUTED_VALUE"""),2014.0)</f>
        <v>2014</v>
      </c>
      <c r="Y82" s="78">
        <f>IFERROR(__xludf.DUMMYFUNCTION("""COMPUTED_VALUE"""),2021.0)</f>
        <v>2021</v>
      </c>
      <c r="Z82" s="81"/>
    </row>
    <row r="83">
      <c r="A83" s="65" t="str">
        <f>IFERROR(__xludf.DUMMYFUNCTION("""COMPUTED_VALUE"""),"TRS Yucatan Hotel")</f>
        <v>TRS Yucatan Hotel</v>
      </c>
      <c r="B83" s="66">
        <f>IFERROR(__xludf.DUMMYFUNCTION("""COMPUTED_VALUE"""),93.3)</f>
        <v>93.3</v>
      </c>
      <c r="C83" s="67" t="str">
        <f>IFERROR(__xludf.DUMMYFUNCTION("""COMPUTED_VALUE"""),"Adults Only")</f>
        <v>Adults Only</v>
      </c>
      <c r="D83" s="79">
        <f>IFERROR(__xludf.DUMMYFUNCTION("""COMPUTED_VALUE"""),7188.44)</f>
        <v>7188.44</v>
      </c>
      <c r="E83" s="79">
        <f>IFERROR(__xludf.DUMMYFUNCTION("""COMPUTED_VALUE"""),9927.594343155999)</f>
        <v>9927.594343</v>
      </c>
      <c r="F83" s="69">
        <f>IFERROR(__xludf.DUMMYFUNCTION("""COMPUTED_VALUE"""),1.85)</f>
        <v>1.85</v>
      </c>
      <c r="G83" s="78"/>
      <c r="H83" s="78">
        <f>IFERROR(__xludf.DUMMYFUNCTION("""COMPUTED_VALUE"""),7.0)</f>
        <v>7</v>
      </c>
      <c r="I83" s="78"/>
      <c r="J83" s="78">
        <f>IFERROR(__xludf.DUMMYFUNCTION("""COMPUTED_VALUE"""),5.0)</f>
        <v>5</v>
      </c>
      <c r="K83" s="76"/>
      <c r="L83" s="76" t="str">
        <f>IFERROR(__xludf.DUMMYFUNCTION("""COMPUTED_VALUE"""),"Mexico")</f>
        <v>Mexico</v>
      </c>
      <c r="M83" s="76" t="str">
        <f>IFERROR(__xludf.DUMMYFUNCTION("""COMPUTED_VALUE"""),"Solidaridad")</f>
        <v>Solidaridad</v>
      </c>
      <c r="N83" s="76" t="str">
        <f>IFERROR(__xludf.DUMMYFUNCTION("""COMPUTED_VALUE"""),"Cancun")</f>
        <v>Cancun</v>
      </c>
      <c r="O83" s="78" t="b">
        <f>IFERROR(__xludf.DUMMYFUNCTION("""COMPUTED_VALUE"""),TRUE)</f>
        <v>1</v>
      </c>
      <c r="P83" s="80">
        <f>IFERROR(__xludf.DUMMYFUNCTION("""COMPUTED_VALUE"""),0.04791666666666667)</f>
        <v>0.04791666667</v>
      </c>
      <c r="Q83" s="76" t="str">
        <f>IFERROR(__xludf.DUMMYFUNCTION("""COMPUTED_VALUE"""),"Wyndham Hotels")</f>
        <v>Wyndham Hotels</v>
      </c>
      <c r="R83" s="76"/>
      <c r="S83" s="76" t="str">
        <f>IFERROR(__xludf.DUMMYFUNCTION("""COMPUTED_VALUE"""),"Beach, Great Food, Swim Out/Plunge Pool Rooms, Gym, Diving, Evening Entertainment, Spa, Wifi (Free), Room Service, Swim Up Bar, Tennis, Nightclub, Buffet")</f>
        <v>Beach, Great Food, Swim Out/Plunge Pool Rooms, Gym, Diving, Evening Entertainment, Spa, Wifi (Free), Room Service, Swim Up Bar, Tennis, Nightclub, Buffet</v>
      </c>
      <c r="T83" s="76"/>
      <c r="U83" s="76"/>
      <c r="V83" s="78" t="b">
        <f>IFERROR(__xludf.DUMMYFUNCTION("""COMPUTED_VALUE"""),FALSE)</f>
        <v>0</v>
      </c>
      <c r="W83" s="78">
        <f>IFERROR(__xludf.DUMMYFUNCTION("""COMPUTED_VALUE"""),454.0)</f>
        <v>454</v>
      </c>
      <c r="X83" s="78">
        <f>IFERROR(__xludf.DUMMYFUNCTION("""COMPUTED_VALUE"""),2002.0)</f>
        <v>2002</v>
      </c>
      <c r="Y83" s="78">
        <f>IFERROR(__xludf.DUMMYFUNCTION("""COMPUTED_VALUE"""),2017.0)</f>
        <v>2017</v>
      </c>
      <c r="Z83" s="81">
        <f>IFERROR(__xludf.DUMMYFUNCTION("""COMPUTED_VALUE"""),3.0)</f>
        <v>3</v>
      </c>
    </row>
    <row r="84">
      <c r="A84" s="65" t="str">
        <f>IFERROR(__xludf.DUMMYFUNCTION("""COMPUTED_VALUE"""),"Casa de Campo Resort &amp; Villas")</f>
        <v>Casa de Campo Resort &amp; Villas</v>
      </c>
      <c r="B84" s="66">
        <f>IFERROR(__xludf.DUMMYFUNCTION("""COMPUTED_VALUE"""),93.3)</f>
        <v>93.3</v>
      </c>
      <c r="C84" s="67" t="str">
        <f>IFERROR(__xludf.DUMMYFUNCTION("""COMPUTED_VALUE"""),"Family")</f>
        <v>Family</v>
      </c>
      <c r="D84" s="79">
        <f>IFERROR(__xludf.DUMMYFUNCTION("""COMPUTED_VALUE"""),9065.35)</f>
        <v>9065.35</v>
      </c>
      <c r="E84" s="79">
        <f>IFERROR(__xludf.DUMMYFUNCTION("""COMPUTED_VALUE"""),12519.700710964999)</f>
        <v>12519.70071</v>
      </c>
      <c r="F84" s="69">
        <f>IFERROR(__xludf.DUMMYFUNCTION("""COMPUTED_VALUE"""),1.47)</f>
        <v>1.47</v>
      </c>
      <c r="G84" s="78">
        <f>IFERROR(__xludf.DUMMYFUNCTION("""COMPUTED_VALUE"""),4.0)</f>
        <v>4</v>
      </c>
      <c r="H84" s="74">
        <f>IFERROR(__xludf.DUMMYFUNCTION("""COMPUTED_VALUE"""),9.0)</f>
        <v>9</v>
      </c>
      <c r="I84" s="78"/>
      <c r="J84" s="78">
        <f>IFERROR(__xludf.DUMMYFUNCTION("""COMPUTED_VALUE"""),4.5)</f>
        <v>4.5</v>
      </c>
      <c r="K84" s="76"/>
      <c r="L84" s="76" t="str">
        <f>IFERROR(__xludf.DUMMYFUNCTION("""COMPUTED_VALUE"""),"Dominican Republic")</f>
        <v>Dominican Republic</v>
      </c>
      <c r="M84" s="76" t="str">
        <f>IFERROR(__xludf.DUMMYFUNCTION("""COMPUTED_VALUE"""),"La Romana")</f>
        <v>La Romana</v>
      </c>
      <c r="N84" s="76" t="str">
        <f>IFERROR(__xludf.DUMMYFUNCTION("""COMPUTED_VALUE"""),"Punta Cana")</f>
        <v>Punta Cana</v>
      </c>
      <c r="O84" s="78" t="b">
        <f>IFERROR(__xludf.DUMMYFUNCTION("""COMPUTED_VALUE"""),TRUE)</f>
        <v>1</v>
      </c>
      <c r="P84" s="80">
        <f>IFERROR(__xludf.DUMMYFUNCTION("""COMPUTED_VALUE"""),0.03263888888888889)</f>
        <v>0.03263888889</v>
      </c>
      <c r="Q84" s="76"/>
      <c r="R84" s="76"/>
      <c r="S84" s="76" t="str">
        <f>IFERROR(__xludf.DUMMYFUNCTION("""COMPUTED_VALUE"""),"Beach, Family Suite, 2 Bedroom Suites, Gym, Adult Pool, Horseback Riding, Tennis, Fishing, Spa, Babysitting, Yoga Classes, Room Service, Swim Up Bar, Golf Course, Snorkelling, Evening Entertainment, Nightclub, Buffet")</f>
        <v>Beach, Family Suite, 2 Bedroom Suites, Gym, Adult Pool, Horseback Riding, Tennis, Fishing, Spa, Babysitting, Yoga Classes, Room Service, Swim Up Bar, Golf Course, Snorkelling, Evening Entertainment, Nightclub, Buffet</v>
      </c>
      <c r="T84" s="76" t="str">
        <f>IFERROR(__xludf.DUMMYFUNCTION("""COMPUTED_VALUE"""),"Can Request")</f>
        <v>Can Request</v>
      </c>
      <c r="U84" s="76" t="str">
        <f>IFERROR(__xludf.DUMMYFUNCTION("""COMPUTED_VALUE"""),"1 King or 2 Double")</f>
        <v>1 King or 2 Double</v>
      </c>
      <c r="V84" s="74" t="b">
        <f>IFERROR(__xludf.DUMMYFUNCTION("""COMPUTED_VALUE"""),FALSE)</f>
        <v>0</v>
      </c>
      <c r="W84" s="74">
        <f>IFERROR(__xludf.DUMMYFUNCTION("""COMPUTED_VALUE"""),185.0)</f>
        <v>185</v>
      </c>
      <c r="X84" s="74">
        <f>IFERROR(__xludf.DUMMYFUNCTION("""COMPUTED_VALUE"""),1973.0)</f>
        <v>1973</v>
      </c>
      <c r="Y84" s="74">
        <f>IFERROR(__xludf.DUMMYFUNCTION("""COMPUTED_VALUE"""),2019.0)</f>
        <v>2019</v>
      </c>
      <c r="Z84" s="75">
        <f>IFERROR(__xludf.DUMMYFUNCTION("""COMPUTED_VALUE"""),2.0)</f>
        <v>2</v>
      </c>
    </row>
    <row r="85">
      <c r="A85" s="65" t="str">
        <f>IFERROR(__xludf.DUMMYFUNCTION("""COMPUTED_VALUE"""),"Hotel Xcaret Arte (16+)")</f>
        <v>Hotel Xcaret Arte (16+)</v>
      </c>
      <c r="B85" s="66">
        <f>IFERROR(__xludf.DUMMYFUNCTION("""COMPUTED_VALUE"""),93.3)</f>
        <v>93.3</v>
      </c>
      <c r="C85" s="67" t="str">
        <f>IFERROR(__xludf.DUMMYFUNCTION("""COMPUTED_VALUE"""),"Adults Only")</f>
        <v>Adults Only</v>
      </c>
      <c r="D85" s="79">
        <f>IFERROR(__xludf.DUMMYFUNCTION("""COMPUTED_VALUE"""),9543.83)</f>
        <v>9543.83</v>
      </c>
      <c r="E85" s="79">
        <f>IFERROR(__xludf.DUMMYFUNCTION("""COMPUTED_VALUE"""),13180.505467116998)</f>
        <v>13180.50547</v>
      </c>
      <c r="F85" s="69">
        <f>IFERROR(__xludf.DUMMYFUNCTION("""COMPUTED_VALUE"""),1.39)</f>
        <v>1.39</v>
      </c>
      <c r="G85" s="78">
        <f>IFERROR(__xludf.DUMMYFUNCTION("""COMPUTED_VALUE"""),5.0)</f>
        <v>5</v>
      </c>
      <c r="H85" s="74" t="str">
        <f>IFERROR(__xludf.DUMMYFUNCTION("""COMPUTED_VALUE"""),"NYR")</f>
        <v>NYR</v>
      </c>
      <c r="I85" s="78"/>
      <c r="J85" s="78">
        <f>IFERROR(__xludf.DUMMYFUNCTION("""COMPUTED_VALUE"""),5.0)</f>
        <v>5</v>
      </c>
      <c r="K85" s="71" t="str">
        <f>IFERROR(__xludf.DUMMYFUNCTION("""COMPUTED_VALUE"""),"16+ Allowed")</f>
        <v>16+ Allowed</v>
      </c>
      <c r="L85" s="76" t="str">
        <f>IFERROR(__xludf.DUMMYFUNCTION("""COMPUTED_VALUE"""),"Mexico")</f>
        <v>Mexico</v>
      </c>
      <c r="M85" s="76" t="str">
        <f>IFERROR(__xludf.DUMMYFUNCTION("""COMPUTED_VALUE"""),"Playa del Carmen")</f>
        <v>Playa del Carmen</v>
      </c>
      <c r="N85" s="76" t="str">
        <f>IFERROR(__xludf.DUMMYFUNCTION("""COMPUTED_VALUE"""),"Cancun")</f>
        <v>Cancun</v>
      </c>
      <c r="O85" s="78" t="b">
        <f>IFERROR(__xludf.DUMMYFUNCTION("""COMPUTED_VALUE"""),TRUE)</f>
        <v>1</v>
      </c>
      <c r="P85" s="80">
        <f>IFERROR(__xludf.DUMMYFUNCTION("""COMPUTED_VALUE"""),0.03819444444444445)</f>
        <v>0.03819444444</v>
      </c>
      <c r="Q85" s="76" t="str">
        <f>IFERROR(__xludf.DUMMYFUNCTION("""COMPUTED_VALUE"""),"Hoteles Xcaret")</f>
        <v>Hoteles Xcaret</v>
      </c>
      <c r="R85" s="76" t="str">
        <f>IFERROR(__xludf.DUMMYFUNCTION("""COMPUTED_VALUE"""),"Luxury, Ocean View")</f>
        <v>Luxury, Ocean View</v>
      </c>
      <c r="S85" s="76" t="str">
        <f>IFERROR(__xludf.DUMMYFUNCTION("""COMPUTED_VALUE"""),"Beach, Great Food, Swim Out/Plunge Pool Rooms, Heated Pool, Gym, Yoga Classes, Room Service, Swim Up Bar, Evening Entertainment, Nightclub, Wifi (Free), Pets Allowed, Hiking, Watersports Equipment Rentals, Spa, Buffet")</f>
        <v>Beach, Great Food, Swim Out/Plunge Pool Rooms, Heated Pool, Gym, Yoga Classes, Room Service, Swim Up Bar, Evening Entertainment, Nightclub, Wifi (Free), Pets Allowed, Hiking, Watersports Equipment Rentals, Spa, Buffet</v>
      </c>
      <c r="T85" s="76"/>
      <c r="U85" s="76"/>
      <c r="V85" s="78" t="b">
        <f>IFERROR(__xludf.DUMMYFUNCTION("""COMPUTED_VALUE"""),FALSE)</f>
        <v>0</v>
      </c>
      <c r="W85" s="78">
        <f>IFERROR(__xludf.DUMMYFUNCTION("""COMPUTED_VALUE"""),900.0)</f>
        <v>900</v>
      </c>
      <c r="X85" s="78">
        <f>IFERROR(__xludf.DUMMYFUNCTION("""COMPUTED_VALUE"""),2021.0)</f>
        <v>2021</v>
      </c>
      <c r="Y85" s="74"/>
      <c r="Z85" s="81"/>
    </row>
    <row r="86">
      <c r="A86" s="77" t="str">
        <f>IFERROR(__xludf.DUMMYFUNCTION("""COMPUTED_VALUE"""),"Gran Mutha Rainbow Hotel (LGBTQ+)")</f>
        <v>Gran Mutha Rainbow Hotel (LGBTQ+)</v>
      </c>
      <c r="B86" s="66">
        <f>IFERROR(__xludf.DUMMYFUNCTION("""COMPUTED_VALUE"""),93.0)</f>
        <v>93</v>
      </c>
      <c r="C86" s="78" t="str">
        <f>IFERROR(__xludf.DUMMYFUNCTION("""COMPUTED_VALUE"""),"Adults Only")</f>
        <v>Adults Only</v>
      </c>
      <c r="D86" s="68">
        <f>IFERROR(__xludf.DUMMYFUNCTION("""COMPUTED_VALUE"""),2254.56)</f>
        <v>2254.56</v>
      </c>
      <c r="E86" s="68">
        <f>IFERROR(__xludf.DUMMYFUNCTION("""COMPUTED_VALUE"""),3113.6598625439997)</f>
        <v>3113.659863</v>
      </c>
      <c r="F86" s="69">
        <f>IFERROR(__xludf.DUMMYFUNCTION("""COMPUTED_VALUE"""),5.77)</f>
        <v>5.77</v>
      </c>
      <c r="G86" s="74"/>
      <c r="H86" s="74"/>
      <c r="I86" s="74"/>
      <c r="J86" s="74">
        <f>IFERROR(__xludf.DUMMYFUNCTION("""COMPUTED_VALUE"""),5.0)</f>
        <v>5</v>
      </c>
      <c r="K86" s="76"/>
      <c r="L86" s="76" t="str">
        <f>IFERROR(__xludf.DUMMYFUNCTION("""COMPUTED_VALUE"""),"Cuba")</f>
        <v>Cuba</v>
      </c>
      <c r="M86" s="76" t="str">
        <f>IFERROR(__xludf.DUMMYFUNCTION("""COMPUTED_VALUE"""),"Cayo Guillermo")</f>
        <v>Cayo Guillermo</v>
      </c>
      <c r="N86" s="76" t="str">
        <f>IFERROR(__xludf.DUMMYFUNCTION("""COMPUTED_VALUE"""),"Cayo Coco")</f>
        <v>Cayo Coco</v>
      </c>
      <c r="O86" s="78" t="b">
        <f>IFERROR(__xludf.DUMMYFUNCTION("""COMPUTED_VALUE"""),TRUE)</f>
        <v>1</v>
      </c>
      <c r="P86" s="80">
        <f>IFERROR(__xludf.DUMMYFUNCTION("""COMPUTED_VALUE"""),0.025694444444444443)</f>
        <v>0.02569444444</v>
      </c>
      <c r="Q86" s="76"/>
      <c r="R86" s="76" t="str">
        <f>IFERROR(__xludf.DUMMYFUNCTION("""COMPUTED_VALUE"""),"Romantic")</f>
        <v>Romantic</v>
      </c>
      <c r="S86" s="76" t="str">
        <f>IFERROR(__xludf.DUMMYFUNCTION("""COMPUTED_VALUE"""),"Beach, Swim Out/Plunge Pool Rooms, Gym, Wifi (Paid), Windsurfing, Nightclub, Yoga Classes, Tennis, Evening Entertainment, Spa, Buffet")</f>
        <v>Beach, Swim Out/Plunge Pool Rooms, Gym, Wifi (Paid), Windsurfing, Nightclub, Yoga Classes, Tennis, Evening Entertainment, Spa, Buffet</v>
      </c>
      <c r="T86" s="76"/>
      <c r="U86" s="76"/>
      <c r="V86" s="74" t="b">
        <f>IFERROR(__xludf.DUMMYFUNCTION("""COMPUTED_VALUE"""),FALSE)</f>
        <v>0</v>
      </c>
      <c r="W86" s="74"/>
      <c r="X86" s="74"/>
      <c r="Y86" s="74"/>
      <c r="Z86" s="75"/>
    </row>
    <row r="87">
      <c r="A87" s="65" t="str">
        <f>IFERROR(__xludf.DUMMYFUNCTION("""COMPUTED_VALUE"""),"Hotel Mousai Cancun")</f>
        <v>Hotel Mousai Cancun</v>
      </c>
      <c r="B87" s="66">
        <f>IFERROR(__xludf.DUMMYFUNCTION("""COMPUTED_VALUE"""),93.0)</f>
        <v>93</v>
      </c>
      <c r="C87" s="67" t="str">
        <f>IFERROR(__xludf.DUMMYFUNCTION("""COMPUTED_VALUE"""),"Adults Only")</f>
        <v>Adults Only</v>
      </c>
      <c r="D87" s="79">
        <f>IFERROR(__xludf.DUMMYFUNCTION("""COMPUTED_VALUE"""),7359.0)</f>
        <v>7359</v>
      </c>
      <c r="E87" s="79">
        <f>IFERROR(__xludf.DUMMYFUNCTION("""COMPUTED_VALUE"""),10163.1462141)</f>
        <v>10163.14621</v>
      </c>
      <c r="F87" s="69">
        <f>IFERROR(__xludf.DUMMYFUNCTION("""COMPUTED_VALUE"""),1.77)</f>
        <v>1.77</v>
      </c>
      <c r="G87" s="78"/>
      <c r="H87" s="78">
        <f>IFERROR(__xludf.DUMMYFUNCTION("""COMPUTED_VALUE"""),9.0)</f>
        <v>9</v>
      </c>
      <c r="I87" s="78"/>
      <c r="J87" s="78">
        <f>IFERROR(__xludf.DUMMYFUNCTION("""COMPUTED_VALUE"""),5.0)</f>
        <v>5</v>
      </c>
      <c r="K87" s="71"/>
      <c r="L87" s="76" t="str">
        <f>IFERROR(__xludf.DUMMYFUNCTION("""COMPUTED_VALUE"""),"Mexico")</f>
        <v>Mexico</v>
      </c>
      <c r="M87" s="76" t="str">
        <f>IFERROR(__xludf.DUMMYFUNCTION("""COMPUTED_VALUE"""),"Costa Mujeres")</f>
        <v>Costa Mujeres</v>
      </c>
      <c r="N87" s="76" t="str">
        <f>IFERROR(__xludf.DUMMYFUNCTION("""COMPUTED_VALUE"""),"Cancun")</f>
        <v>Cancun</v>
      </c>
      <c r="O87" s="78" t="b">
        <f>IFERROR(__xludf.DUMMYFUNCTION("""COMPUTED_VALUE"""),TRUE)</f>
        <v>1</v>
      </c>
      <c r="P87" s="80">
        <f>IFERROR(__xludf.DUMMYFUNCTION("""COMPUTED_VALUE"""),0.024305555555555556)</f>
        <v>0.02430555556</v>
      </c>
      <c r="Q87" s="76"/>
      <c r="R87" s="76" t="str">
        <f>IFERROR(__xludf.DUMMYFUNCTION("""COMPUTED_VALUE"""),"Romantic, Luxury")</f>
        <v>Romantic, Luxury</v>
      </c>
      <c r="S87" s="76" t="str">
        <f>IFERROR(__xludf.DUMMYFUNCTION("""COMPUTED_VALUE"""),"Heated Pool, Gym, Snorkelling, Spa, Wifi (Free), Room Service")</f>
        <v>Heated Pool, Gym, Snorkelling, Spa, Wifi (Free), Room Service</v>
      </c>
      <c r="T87" s="76"/>
      <c r="U87" s="76"/>
      <c r="V87" s="78" t="b">
        <f>IFERROR(__xludf.DUMMYFUNCTION("""COMPUTED_VALUE"""),TRUE)</f>
        <v>1</v>
      </c>
      <c r="W87" s="78">
        <f>IFERROR(__xludf.DUMMYFUNCTION("""COMPUTED_VALUE"""),88.0)</f>
        <v>88</v>
      </c>
      <c r="X87" s="78">
        <f>IFERROR(__xludf.DUMMYFUNCTION("""COMPUTED_VALUE"""),2023.0)</f>
        <v>2023</v>
      </c>
      <c r="Y87" s="74"/>
      <c r="Z87" s="81">
        <f>IFERROR(__xludf.DUMMYFUNCTION("""COMPUTED_VALUE"""),9.0)</f>
        <v>9</v>
      </c>
    </row>
    <row r="88">
      <c r="A88" s="65" t="str">
        <f>IFERROR(__xludf.DUMMYFUNCTION("""COMPUTED_VALUE"""),"Grand Solmar Land's End Resort &amp; Spa")</f>
        <v>Grand Solmar Land's End Resort &amp; Spa</v>
      </c>
      <c r="B88" s="66">
        <f>IFERROR(__xludf.DUMMYFUNCTION("""COMPUTED_VALUE"""),93.0)</f>
        <v>93</v>
      </c>
      <c r="C88" s="67" t="str">
        <f>IFERROR(__xludf.DUMMYFUNCTION("""COMPUTED_VALUE"""),"Family")</f>
        <v>Family</v>
      </c>
      <c r="D88" s="79">
        <f>IFERROR(__xludf.DUMMYFUNCTION("""COMPUTED_VALUE"""),8196.47)</f>
        <v>8196.47</v>
      </c>
      <c r="E88" s="79">
        <f>IFERROR(__xludf.DUMMYFUNCTION("""COMPUTED_VALUE"""),11319.734073852998)</f>
        <v>11319.73407</v>
      </c>
      <c r="F88" s="69">
        <f>IFERROR(__xludf.DUMMYFUNCTION("""COMPUTED_VALUE"""),1.59)</f>
        <v>1.59</v>
      </c>
      <c r="G88" s="78"/>
      <c r="H88" s="78">
        <f>IFERROR(__xludf.DUMMYFUNCTION("""COMPUTED_VALUE"""),9.0)</f>
        <v>9</v>
      </c>
      <c r="I88" s="78"/>
      <c r="J88" s="78">
        <f>IFERROR(__xludf.DUMMYFUNCTION("""COMPUTED_VALUE"""),4.5)</f>
        <v>4.5</v>
      </c>
      <c r="K88" s="71"/>
      <c r="L88" s="76" t="str">
        <f>IFERROR(__xludf.DUMMYFUNCTION("""COMPUTED_VALUE"""),"Mexico")</f>
        <v>Mexico</v>
      </c>
      <c r="M88" s="76" t="str">
        <f>IFERROR(__xludf.DUMMYFUNCTION("""COMPUTED_VALUE"""),"Cabo San Lucas")</f>
        <v>Cabo San Lucas</v>
      </c>
      <c r="N88" s="76" t="str">
        <f>IFERROR(__xludf.DUMMYFUNCTION("""COMPUTED_VALUE"""),"Los Cabos")</f>
        <v>Los Cabos</v>
      </c>
      <c r="O88" s="78" t="b">
        <f>IFERROR(__xludf.DUMMYFUNCTION("""COMPUTED_VALUE"""),TRUE)</f>
        <v>1</v>
      </c>
      <c r="P88" s="80">
        <f>IFERROR(__xludf.DUMMYFUNCTION("""COMPUTED_VALUE"""),0.03125)</f>
        <v>0.03125</v>
      </c>
      <c r="Q88" s="76" t="str">
        <f>IFERROR(__xludf.DUMMYFUNCTION("""COMPUTED_VALUE"""),"Solmar")</f>
        <v>Solmar</v>
      </c>
      <c r="R88" s="76" t="str">
        <f>IFERROR(__xludf.DUMMYFUNCTION("""COMPUTED_VALUE"""),"Quiet, Value")</f>
        <v>Quiet, Value</v>
      </c>
      <c r="S88" s="76" t="str">
        <f>IFERROR(__xludf.DUMMYFUNCTION("""COMPUTED_VALUE"""),"Beach, Kids Club, Heated Pool, Gym, Swim Up Bar, Evening Entertainment, Spa, Wifi (Free), Babysitting, Adult Pool, Buffet")</f>
        <v>Beach, Kids Club, Heated Pool, Gym, Swim Up Bar, Evening Entertainment, Spa, Wifi (Free), Babysitting, Adult Pool, Buffet</v>
      </c>
      <c r="T88" s="76" t="str">
        <f>IFERROR(__xludf.DUMMYFUNCTION("""COMPUTED_VALUE"""),"Can't Book Two Rooms")</f>
        <v>Can't Book Two Rooms</v>
      </c>
      <c r="U88" s="76" t="str">
        <f>IFERROR(__xludf.DUMMYFUNCTION("""COMPUTED_VALUE"""),"1 King and 1 Queen Murphy Bed")</f>
        <v>1 King and 1 Queen Murphy Bed</v>
      </c>
      <c r="V88" s="70" t="b">
        <f>IFERROR(__xludf.DUMMYFUNCTION("""COMPUTED_VALUE"""),TRUE)</f>
        <v>1</v>
      </c>
      <c r="W88" s="70">
        <f>IFERROR(__xludf.DUMMYFUNCTION("""COMPUTED_VALUE"""),246.0)</f>
        <v>246</v>
      </c>
      <c r="X88" s="70">
        <f>IFERROR(__xludf.DUMMYFUNCTION("""COMPUTED_VALUE"""),2010.0)</f>
        <v>2010</v>
      </c>
      <c r="Y88" s="70">
        <f>IFERROR(__xludf.DUMMYFUNCTION("""COMPUTED_VALUE"""),2015.0)</f>
        <v>2015</v>
      </c>
      <c r="Z88" s="83">
        <f>IFERROR(__xludf.DUMMYFUNCTION("""COMPUTED_VALUE"""),10.0)</f>
        <v>10</v>
      </c>
    </row>
    <row r="89">
      <c r="A89" s="65" t="str">
        <f>IFERROR(__xludf.DUMMYFUNCTION("""COMPUTED_VALUE"""),"Anse Chastanet (No air conditioning or pool)")</f>
        <v>Anse Chastanet (No air conditioning or pool)</v>
      </c>
      <c r="B89" s="66">
        <f>IFERROR(__xludf.DUMMYFUNCTION("""COMPUTED_VALUE"""),93.0)</f>
        <v>93</v>
      </c>
      <c r="C89" s="67" t="str">
        <f>IFERROR(__xludf.DUMMYFUNCTION("""COMPUTED_VALUE"""),"Family")</f>
        <v>Family</v>
      </c>
      <c r="D89" s="85">
        <f>IFERROR(__xludf.DUMMYFUNCTION("""COMPUTED_VALUE"""),9450.0)</f>
        <v>9450</v>
      </c>
      <c r="E89" s="79">
        <f>IFERROR(__xludf.DUMMYFUNCTION("""COMPUTED_VALUE"""),13050.921554999999)</f>
        <v>13050.92156</v>
      </c>
      <c r="F89" s="69">
        <f>IFERROR(__xludf.DUMMYFUNCTION("""COMPUTED_VALUE"""),1.38)</f>
        <v>1.38</v>
      </c>
      <c r="G89" s="78">
        <f>IFERROR(__xludf.DUMMYFUNCTION("""COMPUTED_VALUE"""),4.0)</f>
        <v>4</v>
      </c>
      <c r="H89" s="78">
        <f>IFERROR(__xludf.DUMMYFUNCTION("""COMPUTED_VALUE"""),7.0)</f>
        <v>7</v>
      </c>
      <c r="I89" s="78"/>
      <c r="J89" s="78">
        <f>IFERROR(__xludf.DUMMYFUNCTION("""COMPUTED_VALUE"""),4.0)</f>
        <v>4</v>
      </c>
      <c r="K89" s="76" t="str">
        <f>IFERROR(__xludf.DUMMYFUNCTION("""COMPUTED_VALUE"""),"No AC or Pool")</f>
        <v>No AC or Pool</v>
      </c>
      <c r="L89" s="76" t="str">
        <f>IFERROR(__xludf.DUMMYFUNCTION("""COMPUTED_VALUE"""),"Saint Lucia")</f>
        <v>Saint Lucia</v>
      </c>
      <c r="M89" s="76" t="str">
        <f>IFERROR(__xludf.DUMMYFUNCTION("""COMPUTED_VALUE"""),"Soufriere")</f>
        <v>Soufriere</v>
      </c>
      <c r="N89" s="87" t="str">
        <f>IFERROR(__xludf.DUMMYFUNCTION("""COMPUTED_VALUE"""),"Hewanorra")</f>
        <v>Hewanorra</v>
      </c>
      <c r="O89" s="78" t="b">
        <f>IFERROR(__xludf.DUMMYFUNCTION("""COMPUTED_VALUE"""),FALSE)</f>
        <v>0</v>
      </c>
      <c r="P89" s="80">
        <f>IFERROR(__xludf.DUMMYFUNCTION("""COMPUTED_VALUE"""),0.04236111111111111)</f>
        <v>0.04236111111</v>
      </c>
      <c r="Q89" s="76"/>
      <c r="R89" s="76" t="str">
        <f>IFERROR(__xludf.DUMMYFUNCTION("""COMPUTED_VALUE"""),"Ocean View, Quiet")</f>
        <v>Ocean View, Quiet</v>
      </c>
      <c r="S89" s="76" t="str">
        <f>IFERROR(__xludf.DUMMYFUNCTION("""COMPUTED_VALUE"""),"Beach, Swim Out/Plunge Pool Rooms, Family Suite, 2 Bedroom Suites, Snorkelling, Fishing, Diving, Spa, Tennis, Buffet")</f>
        <v>Beach, Swim Out/Plunge Pool Rooms, Family Suite, 2 Bedroom Suites, Snorkelling, Fishing, Diving, Spa, Tennis, Buffet</v>
      </c>
      <c r="T89" s="76" t="str">
        <f>IFERROR(__xludf.DUMMYFUNCTION("""COMPUTED_VALUE"""),"Can Request")</f>
        <v>Can Request</v>
      </c>
      <c r="U89" s="76" t="str">
        <f>IFERROR(__xludf.DUMMYFUNCTION("""COMPUTED_VALUE"""),"1 King and 1 Twin")</f>
        <v>1 King and 1 Twin</v>
      </c>
      <c r="V89" s="78" t="b">
        <f>IFERROR(__xludf.DUMMYFUNCTION("""COMPUTED_VALUE"""),FALSE)</f>
        <v>0</v>
      </c>
      <c r="W89" s="78">
        <f>IFERROR(__xludf.DUMMYFUNCTION("""COMPUTED_VALUE"""),49.0)</f>
        <v>49</v>
      </c>
      <c r="X89" s="78">
        <f>IFERROR(__xludf.DUMMYFUNCTION("""COMPUTED_VALUE"""),1968.0)</f>
        <v>1968</v>
      </c>
      <c r="Y89" s="78">
        <f>IFERROR(__xludf.DUMMYFUNCTION("""COMPUTED_VALUE"""),2001.0)</f>
        <v>2001</v>
      </c>
      <c r="Z89" s="81"/>
    </row>
    <row r="90">
      <c r="A90" s="65" t="str">
        <f>IFERROR(__xludf.DUMMYFUNCTION("""COMPUTED_VALUE"""),"Live Aqua Cancun")</f>
        <v>Live Aqua Cancun</v>
      </c>
      <c r="B90" s="66">
        <f>IFERROR(__xludf.DUMMYFUNCTION("""COMPUTED_VALUE"""),93.0)</f>
        <v>93</v>
      </c>
      <c r="C90" s="67" t="str">
        <f>IFERROR(__xludf.DUMMYFUNCTION("""COMPUTED_VALUE"""),"Adults Only")</f>
        <v>Adults Only</v>
      </c>
      <c r="D90" s="79">
        <f>IFERROR(__xludf.DUMMYFUNCTION("""COMPUTED_VALUE"""),9509.99)</f>
        <v>9509.99</v>
      </c>
      <c r="E90" s="79">
        <f>IFERROR(__xludf.DUMMYFUNCTION("""COMPUTED_VALUE"""),13133.770738500998)</f>
        <v>13133.77074</v>
      </c>
      <c r="F90" s="69">
        <f>IFERROR(__xludf.DUMMYFUNCTION("""COMPUTED_VALUE"""),1.37)</f>
        <v>1.37</v>
      </c>
      <c r="G90" s="78"/>
      <c r="H90" s="78">
        <f>IFERROR(__xludf.DUMMYFUNCTION("""COMPUTED_VALUE"""),9.0)</f>
        <v>9</v>
      </c>
      <c r="I90" s="78"/>
      <c r="J90" s="78">
        <f>IFERROR(__xludf.DUMMYFUNCTION("""COMPUTED_VALUE"""),5.0)</f>
        <v>5</v>
      </c>
      <c r="K90" s="76"/>
      <c r="L90" s="76" t="str">
        <f>IFERROR(__xludf.DUMMYFUNCTION("""COMPUTED_VALUE"""),"Mexico")</f>
        <v>Mexico</v>
      </c>
      <c r="M90" s="76" t="str">
        <f>IFERROR(__xludf.DUMMYFUNCTION("""COMPUTED_VALUE"""),"Cancun")</f>
        <v>Cancun</v>
      </c>
      <c r="N90" s="76" t="str">
        <f>IFERROR(__xludf.DUMMYFUNCTION("""COMPUTED_VALUE"""),"Cancun")</f>
        <v>Cancun</v>
      </c>
      <c r="O90" s="78" t="b">
        <f>IFERROR(__xludf.DUMMYFUNCTION("""COMPUTED_VALUE"""),TRUE)</f>
        <v>1</v>
      </c>
      <c r="P90" s="80">
        <f>IFERROR(__xludf.DUMMYFUNCTION("""COMPUTED_VALUE"""),0.01597222222222222)</f>
        <v>0.01597222222</v>
      </c>
      <c r="Q90" s="76" t="str">
        <f>IFERROR(__xludf.DUMMYFUNCTION("""COMPUTED_VALUE"""),"Fiesta Americana Travelty")</f>
        <v>Fiesta Americana Travelty</v>
      </c>
      <c r="R90" s="76" t="str">
        <f>IFERROR(__xludf.DUMMYFUNCTION("""COMPUTED_VALUE"""),"Green, Romantic")</f>
        <v>Green, Romantic</v>
      </c>
      <c r="S90" s="76" t="str">
        <f>IFERROR(__xludf.DUMMYFUNCTION("""COMPUTED_VALUE"""),"Beach, Heated Pool, Gym, Evening Entertainment, Wifi (Free), Room Service, Swim Up Bar, Nightclub, Spa, Buffet")</f>
        <v>Beach, Heated Pool, Gym, Evening Entertainment, Wifi (Free), Room Service, Swim Up Bar, Nightclub, Spa, Buffet</v>
      </c>
      <c r="T90" s="76"/>
      <c r="U90" s="76"/>
      <c r="V90" s="78" t="b">
        <f>IFERROR(__xludf.DUMMYFUNCTION("""COMPUTED_VALUE"""),TRUE)</f>
        <v>1</v>
      </c>
      <c r="W90" s="78">
        <f>IFERROR(__xludf.DUMMYFUNCTION("""COMPUTED_VALUE"""),371.0)</f>
        <v>371</v>
      </c>
      <c r="X90" s="78">
        <f>IFERROR(__xludf.DUMMYFUNCTION("""COMPUTED_VALUE"""),2002.0)</f>
        <v>2002</v>
      </c>
      <c r="Y90" s="78">
        <f>IFERROR(__xludf.DUMMYFUNCTION("""COMPUTED_VALUE"""),2018.0)</f>
        <v>2018</v>
      </c>
      <c r="Z90" s="81">
        <f>IFERROR(__xludf.DUMMYFUNCTION("""COMPUTED_VALUE"""),11.0)</f>
        <v>11</v>
      </c>
    </row>
    <row r="91">
      <c r="A91" s="65" t="str">
        <f>IFERROR(__xludf.DUMMYFUNCTION("""COMPUTED_VALUE"""),"Club Med Miches Playa Esmeralda - Dominican Republic")</f>
        <v>Club Med Miches Playa Esmeralda - Dominican Republic</v>
      </c>
      <c r="B91" s="66">
        <f>IFERROR(__xludf.DUMMYFUNCTION("""COMPUTED_VALUE"""),93.0)</f>
        <v>93</v>
      </c>
      <c r="C91" s="67" t="str">
        <f>IFERROR(__xludf.DUMMYFUNCTION("""COMPUTED_VALUE"""),"Family")</f>
        <v>Family</v>
      </c>
      <c r="D91" s="79">
        <f>IFERROR(__xludf.DUMMYFUNCTION("""COMPUTED_VALUE"""),11227.9)</f>
        <v>11227.9</v>
      </c>
      <c r="E91" s="79">
        <f>IFERROR(__xludf.DUMMYFUNCTION("""COMPUTED_VALUE"""),15506.290172209998)</f>
        <v>15506.29017</v>
      </c>
      <c r="F91" s="69">
        <f>IFERROR(__xludf.DUMMYFUNCTION("""COMPUTED_VALUE"""),1.16)</f>
        <v>1.16</v>
      </c>
      <c r="G91" s="78"/>
      <c r="H91" s="74" t="str">
        <f>IFERROR(__xludf.DUMMYFUNCTION("""COMPUTED_VALUE"""),"NYR")</f>
        <v>NYR</v>
      </c>
      <c r="I91" s="78"/>
      <c r="J91" s="78"/>
      <c r="K91" s="76"/>
      <c r="L91" s="76" t="str">
        <f>IFERROR(__xludf.DUMMYFUNCTION("""COMPUTED_VALUE"""),"Dominican Republic")</f>
        <v>Dominican Republic</v>
      </c>
      <c r="M91" s="76" t="str">
        <f>IFERROR(__xludf.DUMMYFUNCTION("""COMPUTED_VALUE"""),"Miches")</f>
        <v>Miches</v>
      </c>
      <c r="N91" s="76" t="str">
        <f>IFERROR(__xludf.DUMMYFUNCTION("""COMPUTED_VALUE"""),"Punta Cana")</f>
        <v>Punta Cana</v>
      </c>
      <c r="O91" s="78" t="b">
        <f>IFERROR(__xludf.DUMMYFUNCTION("""COMPUTED_VALUE"""),TRUE)</f>
        <v>1</v>
      </c>
      <c r="P91" s="80">
        <f>IFERROR(__xludf.DUMMYFUNCTION("""COMPUTED_VALUE"""),0.05625)</f>
        <v>0.05625</v>
      </c>
      <c r="Q91" s="76" t="str">
        <f>IFERROR(__xludf.DUMMYFUNCTION("""COMPUTED_VALUE"""),"Club Med")</f>
        <v>Club Med</v>
      </c>
      <c r="R91" s="76" t="str">
        <f>IFERROR(__xludf.DUMMYFUNCTION("""COMPUTED_VALUE"""),"Ocean View")</f>
        <v>Ocean View</v>
      </c>
      <c r="S91" s="76" t="str">
        <f>IFERROR(__xludf.DUMMYFUNCTION("""COMPUTED_VALUE"""),"Beach, Swim Out/Plunge Pool Rooms, Adults Only Rooms, Kids Club, Teen Club, Kids Waterpark, Kids Club for Under 4, Gym, Archery, Yoga Classes, Tennis, Spa, Babysitting, Adult Pool, Horseback Riding, Evening Entertainment, Nightclub, Buffet")</f>
        <v>Beach, Swim Out/Plunge Pool Rooms, Adults Only Rooms, Kids Club, Teen Club, Kids Waterpark, Kids Club for Under 4, Gym, Archery, Yoga Classes, Tennis, Spa, Babysitting, Adult Pool, Horseback Riding, Evening Entertainment, Nightclub, Buffet</v>
      </c>
      <c r="T91" s="76"/>
      <c r="U91" s="76" t="str">
        <f>IFERROR(__xludf.DUMMYFUNCTION("""COMPUTED_VALUE"""),"1 King")</f>
        <v>1 King</v>
      </c>
      <c r="V91" s="78" t="b">
        <f>IFERROR(__xludf.DUMMYFUNCTION("""COMPUTED_VALUE"""),FALSE)</f>
        <v>0</v>
      </c>
      <c r="W91" s="78">
        <f>IFERROR(__xludf.DUMMYFUNCTION("""COMPUTED_VALUE"""),162.0)</f>
        <v>162</v>
      </c>
      <c r="X91" s="78">
        <f>IFERROR(__xludf.DUMMYFUNCTION("""COMPUTED_VALUE"""),2019.0)</f>
        <v>2019</v>
      </c>
      <c r="Y91" s="78"/>
      <c r="Z91" s="81"/>
    </row>
    <row r="92">
      <c r="A92" s="77" t="str">
        <f>IFERROR(__xludf.DUMMYFUNCTION("""COMPUTED_VALUE"""),"Bluefields Bay Villas")</f>
        <v>Bluefields Bay Villas</v>
      </c>
      <c r="B92" s="66">
        <f>IFERROR(__xludf.DUMMYFUNCTION("""COMPUTED_VALUE"""),93.0)</f>
        <v>93</v>
      </c>
      <c r="C92" s="78" t="str">
        <f>IFERROR(__xludf.DUMMYFUNCTION("""COMPUTED_VALUE"""),"Family")</f>
        <v>Family</v>
      </c>
      <c r="D92" s="68">
        <f>IFERROR(__xludf.DUMMYFUNCTION("""COMPUTED_VALUE"""),14055.3)</f>
        <v>14055.3</v>
      </c>
      <c r="E92" s="68">
        <f>IFERROR(__xludf.DUMMYFUNCTION("""COMPUTED_VALUE"""),19411.070659469995)</f>
        <v>19411.07066</v>
      </c>
      <c r="F92" s="69">
        <f>IFERROR(__xludf.DUMMYFUNCTION("""COMPUTED_VALUE"""),0.92)</f>
        <v>0.92</v>
      </c>
      <c r="G92" s="74"/>
      <c r="H92" s="74" t="str">
        <f>IFERROR(__xludf.DUMMYFUNCTION("""COMPUTED_VALUE"""),"NYR")</f>
        <v>NYR</v>
      </c>
      <c r="I92" s="74"/>
      <c r="J92" s="74">
        <f>IFERROR(__xludf.DUMMYFUNCTION("""COMPUTED_VALUE"""),4.0)</f>
        <v>4</v>
      </c>
      <c r="K92" s="71"/>
      <c r="L92" s="72" t="str">
        <f>IFERROR(__xludf.DUMMYFUNCTION("""COMPUTED_VALUE"""),"Jamaica")</f>
        <v>Jamaica</v>
      </c>
      <c r="M92" s="72" t="str">
        <f>IFERROR(__xludf.DUMMYFUNCTION("""COMPUTED_VALUE"""),"Bluefields")</f>
        <v>Bluefields</v>
      </c>
      <c r="N92" s="72" t="str">
        <f>IFERROR(__xludf.DUMMYFUNCTION("""COMPUTED_VALUE"""),"Sangster")</f>
        <v>Sangster</v>
      </c>
      <c r="O92" s="74" t="b">
        <f>IFERROR(__xludf.DUMMYFUNCTION("""COMPUTED_VALUE"""),TRUE)</f>
        <v>1</v>
      </c>
      <c r="P92" s="73">
        <f>IFERROR(__xludf.DUMMYFUNCTION("""COMPUTED_VALUE"""),0.04583333333333333)</f>
        <v>0.04583333333</v>
      </c>
      <c r="Q92" s="71"/>
      <c r="R92" s="71" t="str">
        <f>IFERROR(__xludf.DUMMYFUNCTION("""COMPUTED_VALUE"""),"Family")</f>
        <v>Family</v>
      </c>
      <c r="S92" s="72" t="str">
        <f>IFERROR(__xludf.DUMMYFUNCTION("""COMPUTED_VALUE"""),"Beach, Family Suite, 2 Bedroom Suites, Babysitting, Diving, Horseback Riding, Tennis, Wifi (Free), Room Service, Hiking, Snorkelling")</f>
        <v>Beach, Family Suite, 2 Bedroom Suites, Babysitting, Diving, Horseback Riding, Tennis, Wifi (Free), Room Service, Hiking, Snorkelling</v>
      </c>
      <c r="T92" s="72"/>
      <c r="U92" s="72" t="str">
        <f>IFERROR(__xludf.DUMMYFUNCTION("""COMPUTED_VALUE"""),"1 King and 2 Twin")</f>
        <v>1 King and 2 Twin</v>
      </c>
      <c r="V92" s="74" t="b">
        <f>IFERROR(__xludf.DUMMYFUNCTION("""COMPUTED_VALUE"""),FALSE)</f>
        <v>0</v>
      </c>
      <c r="W92" s="74">
        <f>IFERROR(__xludf.DUMMYFUNCTION("""COMPUTED_VALUE"""),10.0)</f>
        <v>10</v>
      </c>
      <c r="X92" s="74"/>
      <c r="Y92" s="74"/>
      <c r="Z92" s="75"/>
    </row>
    <row r="93">
      <c r="A93" s="65" t="str">
        <f>IFERROR(__xludf.DUMMYFUNCTION("""COMPUTED_VALUE"""),"Cozumel Palace")</f>
        <v>Cozumel Palace</v>
      </c>
      <c r="B93" s="66">
        <f>IFERROR(__xludf.DUMMYFUNCTION("""COMPUTED_VALUE"""),92.8)</f>
        <v>92.8</v>
      </c>
      <c r="C93" s="67" t="str">
        <f>IFERROR(__xludf.DUMMYFUNCTION("""COMPUTED_VALUE"""),"Family")</f>
        <v>Family</v>
      </c>
      <c r="D93" s="79">
        <f>IFERROR(__xludf.DUMMYFUNCTION("""COMPUTED_VALUE"""),3766.0)</f>
        <v>3766</v>
      </c>
      <c r="E93" s="79">
        <f>IFERROR(__xludf.DUMMYFUNCTION("""COMPUTED_VALUE"""),5201.033923399999)</f>
        <v>5201.033923</v>
      </c>
      <c r="F93" s="69">
        <f>IFERROR(__xludf.DUMMYFUNCTION("""COMPUTED_VALUE"""),3.4)</f>
        <v>3.4</v>
      </c>
      <c r="G93" s="78"/>
      <c r="H93" s="74">
        <f>IFERROR(__xludf.DUMMYFUNCTION("""COMPUTED_VALUE"""),7.0)</f>
        <v>7</v>
      </c>
      <c r="I93" s="78"/>
      <c r="J93" s="78">
        <f>IFERROR(__xludf.DUMMYFUNCTION("""COMPUTED_VALUE"""),4.5)</f>
        <v>4.5</v>
      </c>
      <c r="K93" s="71"/>
      <c r="L93" s="76" t="str">
        <f>IFERROR(__xludf.DUMMYFUNCTION("""COMPUTED_VALUE"""),"Mexico")</f>
        <v>Mexico</v>
      </c>
      <c r="M93" s="76" t="str">
        <f>IFERROR(__xludf.DUMMYFUNCTION("""COMPUTED_VALUE"""),"Cozumel")</f>
        <v>Cozumel</v>
      </c>
      <c r="N93" s="76" t="str">
        <f>IFERROR(__xludf.DUMMYFUNCTION("""COMPUTED_VALUE"""),"Cozumel")</f>
        <v>Cozumel</v>
      </c>
      <c r="O93" s="78" t="b">
        <f>IFERROR(__xludf.DUMMYFUNCTION("""COMPUTED_VALUE"""),TRUE)</f>
        <v>1</v>
      </c>
      <c r="P93" s="80">
        <f>IFERROR(__xludf.DUMMYFUNCTION("""COMPUTED_VALUE"""),0.00625)</f>
        <v>0.00625</v>
      </c>
      <c r="Q93" s="76" t="str">
        <f>IFERROR(__xludf.DUMMYFUNCTION("""COMPUTED_VALUE"""),"Palace Resorts")</f>
        <v>Palace Resorts</v>
      </c>
      <c r="R93" s="76" t="str">
        <f>IFERROR(__xludf.DUMMYFUNCTION("""COMPUTED_VALUE"""),"Great View, Family")</f>
        <v>Great View, Family</v>
      </c>
      <c r="S93" s="76" t="str">
        <f>IFERROR(__xludf.DUMMYFUNCTION("""COMPUTED_VALUE"""),"Family Suite, 2 Bedroom Suites, Kids Club, Heated Pool, Gym, Snorkelling, Evening Entertainment, Spa, Wifi (Free), Diving, Babysitting, Swim Up Bar, Fishing, Buffet")</f>
        <v>Family Suite, 2 Bedroom Suites, Kids Club, Heated Pool, Gym, Snorkelling, Evening Entertainment, Spa, Wifi (Free), Diving, Babysitting, Swim Up Bar, Fishing, Buffet</v>
      </c>
      <c r="T93" s="76"/>
      <c r="U93" s="76" t="str">
        <f>IFERROR(__xludf.DUMMYFUNCTION("""COMPUTED_VALUE"""),"1 King or 2 Double")</f>
        <v>1 King or 2 Double</v>
      </c>
      <c r="V93" s="78" t="b">
        <f>IFERROR(__xludf.DUMMYFUNCTION("""COMPUTED_VALUE"""),FALSE)</f>
        <v>0</v>
      </c>
      <c r="W93" s="78">
        <f>IFERROR(__xludf.DUMMYFUNCTION("""COMPUTED_VALUE"""),175.0)</f>
        <v>175</v>
      </c>
      <c r="X93" s="78">
        <f>IFERROR(__xludf.DUMMYFUNCTION("""COMPUTED_VALUE"""),1988.0)</f>
        <v>1988</v>
      </c>
      <c r="Y93" s="74">
        <f>IFERROR(__xludf.DUMMYFUNCTION("""COMPUTED_VALUE"""),2004.0)</f>
        <v>2004</v>
      </c>
      <c r="Z93" s="81">
        <f>IFERROR(__xludf.DUMMYFUNCTION("""COMPUTED_VALUE"""),5.0)</f>
        <v>5</v>
      </c>
    </row>
    <row r="94">
      <c r="A94" s="65" t="str">
        <f>IFERROR(__xludf.DUMMYFUNCTION("""COMPUTED_VALUE"""),"Sanctuary Cap Cana, A Luxury Collection Resort, Dominican Republic, Adult All-inclusive")</f>
        <v>Sanctuary Cap Cana, A Luxury Collection Resort, Dominican Republic, Adult All-inclusive</v>
      </c>
      <c r="B94" s="66">
        <f>IFERROR(__xludf.DUMMYFUNCTION("""COMPUTED_VALUE"""),92.8)</f>
        <v>92.8</v>
      </c>
      <c r="C94" s="67" t="str">
        <f>IFERROR(__xludf.DUMMYFUNCTION("""COMPUTED_VALUE"""),"Adults Only")</f>
        <v>Adults Only</v>
      </c>
      <c r="D94" s="79">
        <f>IFERROR(__xludf.DUMMYFUNCTION("""COMPUTED_VALUE"""),5329.0)</f>
        <v>5329</v>
      </c>
      <c r="E94" s="79">
        <f>IFERROR(__xludf.DUMMYFUNCTION("""COMPUTED_VALUE"""),7359.614917099999)</f>
        <v>7359.614917</v>
      </c>
      <c r="F94" s="69">
        <f>IFERROR(__xludf.DUMMYFUNCTION("""COMPUTED_VALUE"""),2.4)</f>
        <v>2.4</v>
      </c>
      <c r="G94" s="78">
        <f>IFERROR(__xludf.DUMMYFUNCTION("""COMPUTED_VALUE"""),4.0)</f>
        <v>4</v>
      </c>
      <c r="H94" s="78" t="str">
        <f>IFERROR(__xludf.DUMMYFUNCTION("""COMPUTED_VALUE"""),"NYR")</f>
        <v>NYR</v>
      </c>
      <c r="I94" s="78"/>
      <c r="J94" s="78">
        <f>IFERROR(__xludf.DUMMYFUNCTION("""COMPUTED_VALUE"""),5.0)</f>
        <v>5</v>
      </c>
      <c r="K94" s="71"/>
      <c r="L94" s="76" t="str">
        <f>IFERROR(__xludf.DUMMYFUNCTION("""COMPUTED_VALUE"""),"Dominican Republic")</f>
        <v>Dominican Republic</v>
      </c>
      <c r="M94" s="76" t="str">
        <f>IFERROR(__xludf.DUMMYFUNCTION("""COMPUTED_VALUE"""),"Cap Cana")</f>
        <v>Cap Cana</v>
      </c>
      <c r="N94" s="76" t="str">
        <f>IFERROR(__xludf.DUMMYFUNCTION("""COMPUTED_VALUE"""),"Punta Cana")</f>
        <v>Punta Cana</v>
      </c>
      <c r="O94" s="78" t="b">
        <f>IFERROR(__xludf.DUMMYFUNCTION("""COMPUTED_VALUE"""),TRUE)</f>
        <v>1</v>
      </c>
      <c r="P94" s="80">
        <f>IFERROR(__xludf.DUMMYFUNCTION("""COMPUTED_VALUE"""),0.0125)</f>
        <v>0.0125</v>
      </c>
      <c r="Q94" s="76" t="str">
        <f>IFERROR(__xludf.DUMMYFUNCTION("""COMPUTED_VALUE"""),"Marriott")</f>
        <v>Marriott</v>
      </c>
      <c r="R94" s="76" t="str">
        <f>IFERROR(__xludf.DUMMYFUNCTION("""COMPUTED_VALUE"""),"Great View, Bay View")</f>
        <v>Great View, Bay View</v>
      </c>
      <c r="S94" s="76" t="str">
        <f>IFERROR(__xludf.DUMMYFUNCTION("""COMPUTED_VALUE"""),"Beach, Swim Out/Plunge Pool Rooms, Gym, Nightclub, Swim Up Bar, Evening Entertainment, Spa, Buffet")</f>
        <v>Beach, Swim Out/Plunge Pool Rooms, Gym, Nightclub, Swim Up Bar, Evening Entertainment, Spa, Buffet</v>
      </c>
      <c r="T94" s="76"/>
      <c r="U94" s="76"/>
      <c r="V94" s="78" t="b">
        <f>IFERROR(__xludf.DUMMYFUNCTION("""COMPUTED_VALUE"""),TRUE)</f>
        <v>1</v>
      </c>
      <c r="W94" s="78">
        <f>IFERROR(__xludf.DUMMYFUNCTION("""COMPUTED_VALUE"""),324.0)</f>
        <v>324</v>
      </c>
      <c r="X94" s="78">
        <f>IFERROR(__xludf.DUMMYFUNCTION("""COMPUTED_VALUE"""),2007.0)</f>
        <v>2007</v>
      </c>
      <c r="Y94" s="74">
        <f>IFERROR(__xludf.DUMMYFUNCTION("""COMPUTED_VALUE"""),2019.0)</f>
        <v>2019</v>
      </c>
      <c r="Z94" s="81">
        <f>IFERROR(__xludf.DUMMYFUNCTION("""COMPUTED_VALUE"""),6.0)</f>
        <v>6</v>
      </c>
    </row>
    <row r="95">
      <c r="A95" s="65" t="str">
        <f>IFERROR(__xludf.DUMMYFUNCTION("""COMPUTED_VALUE"""),"Grand Fiesta Americana Coral Beach Cancún All Inclusive Spa Resort")</f>
        <v>Grand Fiesta Americana Coral Beach Cancún All Inclusive Spa Resort</v>
      </c>
      <c r="B95" s="66">
        <f>IFERROR(__xludf.DUMMYFUNCTION("""COMPUTED_VALUE"""),92.8)</f>
        <v>92.8</v>
      </c>
      <c r="C95" s="67" t="str">
        <f>IFERROR(__xludf.DUMMYFUNCTION("""COMPUTED_VALUE"""),"Family")</f>
        <v>Family</v>
      </c>
      <c r="D95" s="79">
        <f>IFERROR(__xludf.DUMMYFUNCTION("""COMPUTED_VALUE"""),11160.67)</f>
        <v>11160.67</v>
      </c>
      <c r="E95" s="79">
        <f>IFERROR(__xludf.DUMMYFUNCTION("""COMPUTED_VALUE"""),15413.442187432998)</f>
        <v>15413.44219</v>
      </c>
      <c r="F95" s="69">
        <f>IFERROR(__xludf.DUMMYFUNCTION("""COMPUTED_VALUE"""),1.15)</f>
        <v>1.15</v>
      </c>
      <c r="G95" s="78"/>
      <c r="H95" s="78">
        <f>IFERROR(__xludf.DUMMYFUNCTION("""COMPUTED_VALUE"""),9.0)</f>
        <v>9</v>
      </c>
      <c r="I95" s="78"/>
      <c r="J95" s="78">
        <f>IFERROR(__xludf.DUMMYFUNCTION("""COMPUTED_VALUE"""),5.0)</f>
        <v>5</v>
      </c>
      <c r="K95" s="71"/>
      <c r="L95" s="76" t="str">
        <f>IFERROR(__xludf.DUMMYFUNCTION("""COMPUTED_VALUE"""),"Mexico")</f>
        <v>Mexico</v>
      </c>
      <c r="M95" s="71" t="str">
        <f>IFERROR(__xludf.DUMMYFUNCTION("""COMPUTED_VALUE"""),"Cancun")</f>
        <v>Cancun</v>
      </c>
      <c r="N95" s="71" t="str">
        <f>IFERROR(__xludf.DUMMYFUNCTION("""COMPUTED_VALUE"""),"Cancun")</f>
        <v>Cancun</v>
      </c>
      <c r="O95" s="78" t="b">
        <f>IFERROR(__xludf.DUMMYFUNCTION("""COMPUTED_VALUE"""),TRUE)</f>
        <v>1</v>
      </c>
      <c r="P95" s="80">
        <f>IFERROR(__xludf.DUMMYFUNCTION("""COMPUTED_VALUE"""),0.017361111111111112)</f>
        <v>0.01736111111</v>
      </c>
      <c r="Q95" s="76" t="str">
        <f>IFERROR(__xludf.DUMMYFUNCTION("""COMPUTED_VALUE"""),"Fiesta Americana Travelty")</f>
        <v>Fiesta Americana Travelty</v>
      </c>
      <c r="R95" s="71" t="str">
        <f>IFERROR(__xludf.DUMMYFUNCTION("""COMPUTED_VALUE"""),"Business, Classic")</f>
        <v>Business, Classic</v>
      </c>
      <c r="S95" s="76" t="str">
        <f>IFERROR(__xludf.DUMMYFUNCTION("""COMPUTED_VALUE"""),"Beach, Family Suite, 2 Bedroom Suites, Kids Club, Heated Pool, Gym, Diving, Wifi (Paid), Room Service, Watersports Equipment Rentals, Evening Entertainment, Babysitting, Swim Up Bar, Snorkelling, Fishing, Spa, Buffet")</f>
        <v>Beach, Family Suite, 2 Bedroom Suites, Kids Club, Heated Pool, Gym, Diving, Wifi (Paid), Room Service, Watersports Equipment Rentals, Evening Entertainment, Babysitting, Swim Up Bar, Snorkelling, Fishing, Spa, Buffet</v>
      </c>
      <c r="T95" s="76"/>
      <c r="U95" s="76" t="str">
        <f>IFERROR(__xludf.DUMMYFUNCTION("""COMPUTED_VALUE"""),"2 Queen")</f>
        <v>2 Queen</v>
      </c>
      <c r="V95" s="78" t="b">
        <f>IFERROR(__xludf.DUMMYFUNCTION("""COMPUTED_VALUE"""),TRUE)</f>
        <v>1</v>
      </c>
      <c r="W95" s="78">
        <f>IFERROR(__xludf.DUMMYFUNCTION("""COMPUTED_VALUE"""),602.0)</f>
        <v>602</v>
      </c>
      <c r="X95" s="78">
        <f>IFERROR(__xludf.DUMMYFUNCTION("""COMPUTED_VALUE"""),1990.0)</f>
        <v>1990</v>
      </c>
      <c r="Y95" s="78">
        <f>IFERROR(__xludf.DUMMYFUNCTION("""COMPUTED_VALUE"""),2013.0)</f>
        <v>2013</v>
      </c>
      <c r="Z95" s="81">
        <f>IFERROR(__xludf.DUMMYFUNCTION("""COMPUTED_VALUE"""),11.0)</f>
        <v>11</v>
      </c>
    </row>
    <row r="96">
      <c r="A96" s="65" t="str">
        <f>IFERROR(__xludf.DUMMYFUNCTION("""COMPUTED_VALUE"""),"Excellence Oyster Bay")</f>
        <v>Excellence Oyster Bay</v>
      </c>
      <c r="B96" s="66">
        <f>IFERROR(__xludf.DUMMYFUNCTION("""COMPUTED_VALUE"""),92.7)</f>
        <v>92.7</v>
      </c>
      <c r="C96" s="67" t="str">
        <f>IFERROR(__xludf.DUMMYFUNCTION("""COMPUTED_VALUE"""),"Adults Only")</f>
        <v>Adults Only</v>
      </c>
      <c r="D96" s="79">
        <f>IFERROR(__xludf.DUMMYFUNCTION("""COMPUTED_VALUE"""),4230.0)</f>
        <v>4230</v>
      </c>
      <c r="E96" s="79">
        <f>IFERROR(__xludf.DUMMYFUNCTION("""COMPUTED_VALUE"""),5841.841076999999)</f>
        <v>5841.841077</v>
      </c>
      <c r="F96" s="69">
        <f>IFERROR(__xludf.DUMMYFUNCTION("""COMPUTED_VALUE"""),3.0)</f>
        <v>3</v>
      </c>
      <c r="G96" s="78">
        <f>IFERROR(__xludf.DUMMYFUNCTION("""COMPUTED_VALUE"""),4.0)</f>
        <v>4</v>
      </c>
      <c r="H96" s="78">
        <f>IFERROR(__xludf.DUMMYFUNCTION("""COMPUTED_VALUE"""),8.0)</f>
        <v>8</v>
      </c>
      <c r="I96" s="78"/>
      <c r="J96" s="78">
        <f>IFERROR(__xludf.DUMMYFUNCTION("""COMPUTED_VALUE"""),5.0)</f>
        <v>5</v>
      </c>
      <c r="K96" s="71"/>
      <c r="L96" s="76" t="str">
        <f>IFERROR(__xludf.DUMMYFUNCTION("""COMPUTED_VALUE"""),"Jamaica")</f>
        <v>Jamaica</v>
      </c>
      <c r="M96" s="76" t="str">
        <f>IFERROR(__xludf.DUMMYFUNCTION("""COMPUTED_VALUE"""),"Falmouth")</f>
        <v>Falmouth</v>
      </c>
      <c r="N96" s="76" t="str">
        <f>IFERROR(__xludf.DUMMYFUNCTION("""COMPUTED_VALUE"""),"Sangster")</f>
        <v>Sangster</v>
      </c>
      <c r="O96" s="78" t="b">
        <f>IFERROR(__xludf.DUMMYFUNCTION("""COMPUTED_VALUE"""),TRUE)</f>
        <v>1</v>
      </c>
      <c r="P96" s="80">
        <f>IFERROR(__xludf.DUMMYFUNCTION("""COMPUTED_VALUE"""),0.025)</f>
        <v>0.025</v>
      </c>
      <c r="Q96" s="71" t="str">
        <f>IFERROR(__xludf.DUMMYFUNCTION("""COMPUTED_VALUE"""),"The Excellence Collection")</f>
        <v>The Excellence Collection</v>
      </c>
      <c r="R96" s="76"/>
      <c r="S96" s="76" t="str">
        <f>IFERROR(__xludf.DUMMYFUNCTION("""COMPUTED_VALUE"""),"Beach, Swim Out/Plunge Pool Rooms, Gym, Snorkelling, Evening Entertainment, Nightclub, Spa, Wifi (Free), Swim Up Bar, Buffet")</f>
        <v>Beach, Swim Out/Plunge Pool Rooms, Gym, Snorkelling, Evening Entertainment, Nightclub, Spa, Wifi (Free), Swim Up Bar, Buffet</v>
      </c>
      <c r="T96" s="76"/>
      <c r="U96" s="76"/>
      <c r="V96" s="78" t="b">
        <f>IFERROR(__xludf.DUMMYFUNCTION("""COMPUTED_VALUE"""),FALSE)</f>
        <v>0</v>
      </c>
      <c r="W96" s="78">
        <f>IFERROR(__xludf.DUMMYFUNCTION("""COMPUTED_VALUE"""),315.0)</f>
        <v>315</v>
      </c>
      <c r="X96" s="78">
        <f>IFERROR(__xludf.DUMMYFUNCTION("""COMPUTED_VALUE"""),2018.0)</f>
        <v>2018</v>
      </c>
      <c r="Y96" s="74"/>
      <c r="Z96" s="81">
        <f>IFERROR(__xludf.DUMMYFUNCTION("""COMPUTED_VALUE"""),3.0)</f>
        <v>3</v>
      </c>
    </row>
    <row r="97">
      <c r="A97" s="65" t="str">
        <f>IFERROR(__xludf.DUMMYFUNCTION("""COMPUTED_VALUE"""),"StolenTime by Rendezvous")</f>
        <v>StolenTime by Rendezvous</v>
      </c>
      <c r="B97" s="66">
        <f>IFERROR(__xludf.DUMMYFUNCTION("""COMPUTED_VALUE"""),92.7)</f>
        <v>92.7</v>
      </c>
      <c r="C97" s="67" t="str">
        <f>IFERROR(__xludf.DUMMYFUNCTION("""COMPUTED_VALUE"""),"Adults Only")</f>
        <v>Adults Only</v>
      </c>
      <c r="D97" s="79">
        <f>IFERROR(__xludf.DUMMYFUNCTION("""COMPUTED_VALUE"""),8015.0)</f>
        <v>8015</v>
      </c>
      <c r="E97" s="79">
        <f>IFERROR(__xludf.DUMMYFUNCTION("""COMPUTED_VALUE"""),11069.114948499999)</f>
        <v>11069.11495</v>
      </c>
      <c r="F97" s="69">
        <f>IFERROR(__xludf.DUMMYFUNCTION("""COMPUTED_VALUE"""),1.58)</f>
        <v>1.58</v>
      </c>
      <c r="G97" s="78"/>
      <c r="H97" s="78">
        <f>IFERROR(__xludf.DUMMYFUNCTION("""COMPUTED_VALUE"""),7.0)</f>
        <v>7</v>
      </c>
      <c r="I97" s="78"/>
      <c r="J97" s="78"/>
      <c r="K97" s="71"/>
      <c r="L97" s="76" t="str">
        <f>IFERROR(__xludf.DUMMYFUNCTION("""COMPUTED_VALUE"""),"Saint Lucia")</f>
        <v>Saint Lucia</v>
      </c>
      <c r="M97" s="76" t="str">
        <f>IFERROR(__xludf.DUMMYFUNCTION("""COMPUTED_VALUE"""),"St. Lucia")</f>
        <v>St. Lucia</v>
      </c>
      <c r="N97" s="76" t="str">
        <f>IFERROR(__xludf.DUMMYFUNCTION("""COMPUTED_VALUE"""),"Hewanorra")</f>
        <v>Hewanorra</v>
      </c>
      <c r="O97" s="78" t="b">
        <f>IFERROR(__xludf.DUMMYFUNCTION("""COMPUTED_VALUE"""),FALSE)</f>
        <v>0</v>
      </c>
      <c r="P97" s="80">
        <f>IFERROR(__xludf.DUMMYFUNCTION("""COMPUTED_VALUE"""),0.04791666666666667)</f>
        <v>0.04791666667</v>
      </c>
      <c r="Q97" s="71"/>
      <c r="R97" s="76" t="str">
        <f>IFERROR(__xludf.DUMMYFUNCTION("""COMPUTED_VALUE"""),"Charming, Great View")</f>
        <v>Charming, Great View</v>
      </c>
      <c r="S97" s="76" t="str">
        <f>IFERROR(__xludf.DUMMYFUNCTION("""COMPUTED_VALUE"""),"Beach, Gym, Archery, Yoga Classes, Snorkelling, Windsurfing, Fishing, Spa, Wifi (Free), Lazy River, Swim Up Bar, Diving, Tennis, Evening Entertainment, Buffet")</f>
        <v>Beach, Gym, Archery, Yoga Classes, Snorkelling, Windsurfing, Fishing, Spa, Wifi (Free), Lazy River, Swim Up Bar, Diving, Tennis, Evening Entertainment, Buffet</v>
      </c>
      <c r="T97" s="76"/>
      <c r="U97" s="76"/>
      <c r="V97" s="78" t="b">
        <f>IFERROR(__xludf.DUMMYFUNCTION("""COMPUTED_VALUE"""),FALSE)</f>
        <v>0</v>
      </c>
      <c r="W97" s="78">
        <f>IFERROR(__xludf.DUMMYFUNCTION("""COMPUTED_VALUE"""),100.0)</f>
        <v>100</v>
      </c>
      <c r="X97" s="78">
        <f>IFERROR(__xludf.DUMMYFUNCTION("""COMPUTED_VALUE"""),1984.0)</f>
        <v>1984</v>
      </c>
      <c r="Y97" s="78">
        <f>IFERROR(__xludf.DUMMYFUNCTION("""COMPUTED_VALUE"""),2015.0)</f>
        <v>2015</v>
      </c>
      <c r="Z97" s="81">
        <f>IFERROR(__xludf.DUMMYFUNCTION("""COMPUTED_VALUE"""),3.0)</f>
        <v>3</v>
      </c>
    </row>
    <row r="98">
      <c r="A98" s="65" t="str">
        <f>IFERROR(__xludf.DUMMYFUNCTION("""COMPUTED_VALUE"""),"The Towers at Pacifica at Pueblo Bonito Pacifica Golf &amp; Spa Resort")</f>
        <v>The Towers at Pacifica at Pueblo Bonito Pacifica Golf &amp; Spa Resort</v>
      </c>
      <c r="B98" s="66">
        <f>IFERROR(__xludf.DUMMYFUNCTION("""COMPUTED_VALUE"""),92.7)</f>
        <v>92.7</v>
      </c>
      <c r="C98" s="67" t="str">
        <f>IFERROR(__xludf.DUMMYFUNCTION("""COMPUTED_VALUE"""),"Adults Only")</f>
        <v>Adults Only</v>
      </c>
      <c r="D98" s="79">
        <f>IFERROR(__xludf.DUMMYFUNCTION("""COMPUTED_VALUE"""),8394.4)</f>
        <v>8394.4</v>
      </c>
      <c r="E98" s="79">
        <f>IFERROR(__xludf.DUMMYFUNCTION("""COMPUTED_VALUE"""),11593.085280559999)</f>
        <v>11593.08528</v>
      </c>
      <c r="F98" s="69">
        <f>IFERROR(__xludf.DUMMYFUNCTION("""COMPUTED_VALUE"""),1.51)</f>
        <v>1.51</v>
      </c>
      <c r="G98" s="78"/>
      <c r="H98" s="78">
        <f>IFERROR(__xludf.DUMMYFUNCTION("""COMPUTED_VALUE"""),7.0)</f>
        <v>7</v>
      </c>
      <c r="I98" s="78"/>
      <c r="J98" s="78">
        <f>IFERROR(__xludf.DUMMYFUNCTION("""COMPUTED_VALUE"""),4.0)</f>
        <v>4</v>
      </c>
      <c r="K98" s="71"/>
      <c r="L98" s="76" t="str">
        <f>IFERROR(__xludf.DUMMYFUNCTION("""COMPUTED_VALUE"""),"Mexico")</f>
        <v>Mexico</v>
      </c>
      <c r="M98" s="76" t="str">
        <f>IFERROR(__xludf.DUMMYFUNCTION("""COMPUTED_VALUE"""),"Cabo San Lucas")</f>
        <v>Cabo San Lucas</v>
      </c>
      <c r="N98" s="76" t="str">
        <f>IFERROR(__xludf.DUMMYFUNCTION("""COMPUTED_VALUE"""),"Los Cabos")</f>
        <v>Los Cabos</v>
      </c>
      <c r="O98" s="78" t="b">
        <f>IFERROR(__xludf.DUMMYFUNCTION("""COMPUTED_VALUE"""),TRUE)</f>
        <v>1</v>
      </c>
      <c r="P98" s="80">
        <f>IFERROR(__xludf.DUMMYFUNCTION("""COMPUTED_VALUE"""),0.03263888888888889)</f>
        <v>0.03263888889</v>
      </c>
      <c r="Q98" s="76" t="str">
        <f>IFERROR(__xludf.DUMMYFUNCTION("""COMPUTED_VALUE"""),"Pueblo Bonito")</f>
        <v>Pueblo Bonito</v>
      </c>
      <c r="R98" s="76" t="str">
        <f>IFERROR(__xludf.DUMMYFUNCTION("""COMPUTED_VALUE"""),"Romantic, Charming")</f>
        <v>Romantic, Charming</v>
      </c>
      <c r="S98" s="76" t="str">
        <f>IFERROR(__xludf.DUMMYFUNCTION("""COMPUTED_VALUE"""),"Beach, Heated Pool, Gym, Yoga Classes, Swim Up Bar, Golf Course, Tennis, Wifi (Free), Room Service, Hiking, Spa, Buffet")</f>
        <v>Beach, Heated Pool, Gym, Yoga Classes, Swim Up Bar, Golf Course, Tennis, Wifi (Free), Room Service, Hiking, Spa, Buffet</v>
      </c>
      <c r="T98" s="76"/>
      <c r="U98" s="76"/>
      <c r="V98" s="78" t="b">
        <f>IFERROR(__xludf.DUMMYFUNCTION("""COMPUTED_VALUE"""),FALSE)</f>
        <v>0</v>
      </c>
      <c r="W98" s="78">
        <f>IFERROR(__xludf.DUMMYFUNCTION("""COMPUTED_VALUE"""),154.0)</f>
        <v>154</v>
      </c>
      <c r="X98" s="78">
        <f>IFERROR(__xludf.DUMMYFUNCTION("""COMPUTED_VALUE"""),2005.0)</f>
        <v>2005</v>
      </c>
      <c r="Y98" s="78"/>
      <c r="Z98" s="81">
        <f>IFERROR(__xludf.DUMMYFUNCTION("""COMPUTED_VALUE"""),5.0)</f>
        <v>5</v>
      </c>
    </row>
    <row r="99">
      <c r="A99" s="65" t="str">
        <f>IFERROR(__xludf.DUMMYFUNCTION("""COMPUTED_VALUE"""),"Emerald Estates Luxury Villas")</f>
        <v>Emerald Estates Luxury Villas</v>
      </c>
      <c r="B99" s="66">
        <f>IFERROR(__xludf.DUMMYFUNCTION("""COMPUTED_VALUE"""),92.7)</f>
        <v>92.7</v>
      </c>
      <c r="C99" s="67" t="str">
        <f>IFERROR(__xludf.DUMMYFUNCTION("""COMPUTED_VALUE"""),"Family")</f>
        <v>Family</v>
      </c>
      <c r="D99" s="79">
        <f>IFERROR(__xludf.DUMMYFUNCTION("""COMPUTED_VALUE"""),9912.0)</f>
        <v>9912</v>
      </c>
      <c r="E99" s="79">
        <f>IFERROR(__xludf.DUMMYFUNCTION("""COMPUTED_VALUE"""),13688.966608799998)</f>
        <v>13688.96661</v>
      </c>
      <c r="F99" s="69">
        <f>IFERROR(__xludf.DUMMYFUNCTION("""COMPUTED_VALUE"""),1.28)</f>
        <v>1.28</v>
      </c>
      <c r="G99" s="78"/>
      <c r="H99" s="78"/>
      <c r="I99" s="78"/>
      <c r="J99" s="78">
        <f>IFERROR(__xludf.DUMMYFUNCTION("""COMPUTED_VALUE"""),5.0)</f>
        <v>5</v>
      </c>
      <c r="K99" s="71"/>
      <c r="L99" s="76" t="str">
        <f>IFERROR(__xludf.DUMMYFUNCTION("""COMPUTED_VALUE"""),"Mexico")</f>
        <v>Mexico</v>
      </c>
      <c r="M99" s="76" t="str">
        <f>IFERROR(__xludf.DUMMYFUNCTION("""COMPUTED_VALUE"""),"Mazatlan")</f>
        <v>Mazatlan</v>
      </c>
      <c r="N99" s="76" t="str">
        <f>IFERROR(__xludf.DUMMYFUNCTION("""COMPUTED_VALUE"""),"Gen Rafael Buelna")</f>
        <v>Gen Rafael Buelna</v>
      </c>
      <c r="O99" s="78" t="b">
        <f>IFERROR(__xludf.DUMMYFUNCTION("""COMPUTED_VALUE"""),FALSE)</f>
        <v>0</v>
      </c>
      <c r="P99" s="80">
        <f>IFERROR(__xludf.DUMMYFUNCTION("""COMPUTED_VALUE"""),0.025694444444444443)</f>
        <v>0.02569444444</v>
      </c>
      <c r="Q99" s="76" t="str">
        <f>IFERROR(__xludf.DUMMYFUNCTION("""COMPUTED_VALUE"""),"Pueblo Bonito")</f>
        <v>Pueblo Bonito</v>
      </c>
      <c r="R99" s="71" t="str">
        <f>IFERROR(__xludf.DUMMYFUNCTION("""COMPUTED_VALUE"""),"Charming")</f>
        <v>Charming</v>
      </c>
      <c r="S99" s="76" t="str">
        <f>IFERROR(__xludf.DUMMYFUNCTION("""COMPUTED_VALUE"""),"Beach, Swim Out/Plunge Pool Rooms, Family Suite, 2 Bedroom Suites, Heated Pool, Gym, Tennis, Yoga Classes, Adult Pool, Room Service, Swim Up Bar, Wifi (Free), Spa, Buffet")</f>
        <v>Beach, Swim Out/Plunge Pool Rooms, Family Suite, 2 Bedroom Suites, Heated Pool, Gym, Tennis, Yoga Classes, Adult Pool, Room Service, Swim Up Bar, Wifi (Free), Spa, Buffet</v>
      </c>
      <c r="T99" s="76"/>
      <c r="U99" s="76" t="str">
        <f>IFERROR(__xludf.DUMMYFUNCTION("""COMPUTED_VALUE"""),"3 Bedrooms")</f>
        <v>3 Bedrooms</v>
      </c>
      <c r="V99" s="78" t="b">
        <f>IFERROR(__xludf.DUMMYFUNCTION("""COMPUTED_VALUE"""),FALSE)</f>
        <v>0</v>
      </c>
      <c r="W99" s="78"/>
      <c r="X99" s="78"/>
      <c r="Y99" s="74"/>
      <c r="Z99" s="81"/>
    </row>
    <row r="100">
      <c r="A100" s="65" t="str">
        <f>IFERROR(__xludf.DUMMYFUNCTION("""COMPUTED_VALUE"""),"UNICO 20 87 Hotel Riviera Maya")</f>
        <v>UNICO 20 87 Hotel Riviera Maya</v>
      </c>
      <c r="B100" s="66">
        <f>IFERROR(__xludf.DUMMYFUNCTION("""COMPUTED_VALUE"""),92.5)</f>
        <v>92.5</v>
      </c>
      <c r="C100" s="67" t="str">
        <f>IFERROR(__xludf.DUMMYFUNCTION("""COMPUTED_VALUE"""),"Adults Only")</f>
        <v>Adults Only</v>
      </c>
      <c r="D100" s="79">
        <f>IFERROR(__xludf.DUMMYFUNCTION("""COMPUTED_VALUE"""),4287.0)</f>
        <v>4287</v>
      </c>
      <c r="E100" s="79">
        <f>IFERROR(__xludf.DUMMYFUNCTION("""COMPUTED_VALUE"""),5920.560921299999)</f>
        <v>5920.560921</v>
      </c>
      <c r="F100" s="69">
        <f>IFERROR(__xludf.DUMMYFUNCTION("""COMPUTED_VALUE"""),2.92)</f>
        <v>2.92</v>
      </c>
      <c r="G100" s="78">
        <f>IFERROR(__xludf.DUMMYFUNCTION("""COMPUTED_VALUE"""),5.0)</f>
        <v>5</v>
      </c>
      <c r="H100" s="78">
        <f>IFERROR(__xludf.DUMMYFUNCTION("""COMPUTED_VALUE"""),9.0)</f>
        <v>9</v>
      </c>
      <c r="I100" s="78"/>
      <c r="J100" s="78">
        <f>IFERROR(__xludf.DUMMYFUNCTION("""COMPUTED_VALUE"""),5.0)</f>
        <v>5</v>
      </c>
      <c r="K100" s="71"/>
      <c r="L100" s="76" t="str">
        <f>IFERROR(__xludf.DUMMYFUNCTION("""COMPUTED_VALUE"""),"Mexico")</f>
        <v>Mexico</v>
      </c>
      <c r="M100" s="76" t="str">
        <f>IFERROR(__xludf.DUMMYFUNCTION("""COMPUTED_VALUE"""),"Akumal")</f>
        <v>Akumal</v>
      </c>
      <c r="N100" s="76" t="str">
        <f>IFERROR(__xludf.DUMMYFUNCTION("""COMPUTED_VALUE"""),"Cancun")</f>
        <v>Cancun</v>
      </c>
      <c r="O100" s="78" t="b">
        <f>IFERROR(__xludf.DUMMYFUNCTION("""COMPUTED_VALUE"""),TRUE)</f>
        <v>1</v>
      </c>
      <c r="P100" s="80">
        <f>IFERROR(__xludf.DUMMYFUNCTION("""COMPUTED_VALUE"""),0.04513888888888889)</f>
        <v>0.04513888889</v>
      </c>
      <c r="Q100" s="76" t="str">
        <f>IFERROR(__xludf.DUMMYFUNCTION("""COMPUTED_VALUE"""),"AIC Hotel Group")</f>
        <v>AIC Hotel Group</v>
      </c>
      <c r="R100" s="76" t="str">
        <f>IFERROR(__xludf.DUMMYFUNCTION("""COMPUTED_VALUE"""),"Trendy, Great View")</f>
        <v>Trendy, Great View</v>
      </c>
      <c r="S100" s="76" t="str">
        <f>IFERROR(__xludf.DUMMYFUNCTION("""COMPUTED_VALUE"""),"Beach, Great Food, Swim Out/Plunge Pool Rooms, Heated Pool, Gym, Evening Entertainment, Wifi (Free), Room Service, Swim Up Bar, Nightclub, Spa, Buffet")</f>
        <v>Beach, Great Food, Swim Out/Plunge Pool Rooms, Heated Pool, Gym, Evening Entertainment, Wifi (Free), Room Service, Swim Up Bar, Nightclub, Spa, Buffet</v>
      </c>
      <c r="T100" s="76"/>
      <c r="U100" s="76"/>
      <c r="V100" s="78" t="b">
        <f>IFERROR(__xludf.DUMMYFUNCTION("""COMPUTED_VALUE"""),FALSE)</f>
        <v>0</v>
      </c>
      <c r="W100" s="78">
        <f>IFERROR(__xludf.DUMMYFUNCTION("""COMPUTED_VALUE"""),448.0)</f>
        <v>448</v>
      </c>
      <c r="X100" s="78">
        <f>IFERROR(__xludf.DUMMYFUNCTION("""COMPUTED_VALUE"""),2017.0)</f>
        <v>2017</v>
      </c>
      <c r="Y100" s="74"/>
      <c r="Z100" s="81">
        <f>IFERROR(__xludf.DUMMYFUNCTION("""COMPUTED_VALUE"""),5.0)</f>
        <v>5</v>
      </c>
    </row>
    <row r="101">
      <c r="A101" s="65" t="str">
        <f>IFERROR(__xludf.DUMMYFUNCTION("""COMPUTED_VALUE"""),"Sun Palace Cancun")</f>
        <v>Sun Palace Cancun</v>
      </c>
      <c r="B101" s="66">
        <f>IFERROR(__xludf.DUMMYFUNCTION("""COMPUTED_VALUE"""),92.5)</f>
        <v>92.5</v>
      </c>
      <c r="C101" s="67" t="str">
        <f>IFERROR(__xludf.DUMMYFUNCTION("""COMPUTED_VALUE"""),"Adults Only")</f>
        <v>Adults Only</v>
      </c>
      <c r="D101" s="79">
        <f>IFERROR(__xludf.DUMMYFUNCTION("""COMPUTED_VALUE"""),4571.0)</f>
        <v>4571</v>
      </c>
      <c r="E101" s="79">
        <f>IFERROR(__xludf.DUMMYFUNCTION("""COMPUTED_VALUE"""),6312.779092899999)</f>
        <v>6312.779093</v>
      </c>
      <c r="F101" s="69">
        <f>IFERROR(__xludf.DUMMYFUNCTION("""COMPUTED_VALUE"""),2.73)</f>
        <v>2.73</v>
      </c>
      <c r="G101" s="78">
        <f>IFERROR(__xludf.DUMMYFUNCTION("""COMPUTED_VALUE"""),4.0)</f>
        <v>4</v>
      </c>
      <c r="H101" s="78">
        <f>IFERROR(__xludf.DUMMYFUNCTION("""COMPUTED_VALUE"""),7.0)</f>
        <v>7</v>
      </c>
      <c r="I101" s="78"/>
      <c r="J101" s="78">
        <f>IFERROR(__xludf.DUMMYFUNCTION("""COMPUTED_VALUE"""),4.5)</f>
        <v>4.5</v>
      </c>
      <c r="K101" s="71"/>
      <c r="L101" s="76" t="str">
        <f>IFERROR(__xludf.DUMMYFUNCTION("""COMPUTED_VALUE"""),"Mexico")</f>
        <v>Mexico</v>
      </c>
      <c r="M101" s="76" t="str">
        <f>IFERROR(__xludf.DUMMYFUNCTION("""COMPUTED_VALUE"""),"Cancun")</f>
        <v>Cancun</v>
      </c>
      <c r="N101" s="72" t="str">
        <f>IFERROR(__xludf.DUMMYFUNCTION("""COMPUTED_VALUE"""),"Cancun")</f>
        <v>Cancun</v>
      </c>
      <c r="O101" s="78" t="b">
        <f>IFERROR(__xludf.DUMMYFUNCTION("""COMPUTED_VALUE"""),TRUE)</f>
        <v>1</v>
      </c>
      <c r="P101" s="80">
        <f>IFERROR(__xludf.DUMMYFUNCTION("""COMPUTED_VALUE"""),0.009722222222222222)</f>
        <v>0.009722222222</v>
      </c>
      <c r="Q101" s="76" t="str">
        <f>IFERROR(__xludf.DUMMYFUNCTION("""COMPUTED_VALUE"""),"Palace Resorts")</f>
        <v>Palace Resorts</v>
      </c>
      <c r="R101" s="76" t="str">
        <f>IFERROR(__xludf.DUMMYFUNCTION("""COMPUTED_VALUE"""),"Quiet, Romantic")</f>
        <v>Quiet, Romantic</v>
      </c>
      <c r="S101" s="76" t="str">
        <f>IFERROR(__xludf.DUMMYFUNCTION("""COMPUTED_VALUE"""),"Beach, Heated Pool, Gym, Diving, Room Service, Swim Up Bar, Snorkelling, Fishing, Spa, Wifi (Free), Evening Entertainment, Buffet")</f>
        <v>Beach, Heated Pool, Gym, Diving, Room Service, Swim Up Bar, Snorkelling, Fishing, Spa, Wifi (Free), Evening Entertainment, Buffet</v>
      </c>
      <c r="T101" s="76"/>
      <c r="U101" s="76"/>
      <c r="V101" s="78" t="b">
        <f>IFERROR(__xludf.DUMMYFUNCTION("""COMPUTED_VALUE"""),TRUE)</f>
        <v>1</v>
      </c>
      <c r="W101" s="78">
        <f>IFERROR(__xludf.DUMMYFUNCTION("""COMPUTED_VALUE"""),252.0)</f>
        <v>252</v>
      </c>
      <c r="X101" s="74">
        <f>IFERROR(__xludf.DUMMYFUNCTION("""COMPUTED_VALUE"""),1986.0)</f>
        <v>1986</v>
      </c>
      <c r="Y101" s="74">
        <f>IFERROR(__xludf.DUMMYFUNCTION("""COMPUTED_VALUE"""),2006.0)</f>
        <v>2006</v>
      </c>
      <c r="Z101" s="81">
        <f>IFERROR(__xludf.DUMMYFUNCTION("""COMPUTED_VALUE"""),5.0)</f>
        <v>5</v>
      </c>
    </row>
    <row r="102">
      <c r="A102" s="65" t="str">
        <f>IFERROR(__xludf.DUMMYFUNCTION("""COMPUTED_VALUE"""),"Velas Vallarta Suites Resort")</f>
        <v>Velas Vallarta Suites Resort</v>
      </c>
      <c r="B102" s="66">
        <f>IFERROR(__xludf.DUMMYFUNCTION("""COMPUTED_VALUE"""),92.3)</f>
        <v>92.3</v>
      </c>
      <c r="C102" s="67" t="str">
        <f>IFERROR(__xludf.DUMMYFUNCTION("""COMPUTED_VALUE"""),"Family")</f>
        <v>Family</v>
      </c>
      <c r="D102" s="79">
        <f>IFERROR(__xludf.DUMMYFUNCTION("""COMPUTED_VALUE"""),3431.4)</f>
        <v>3431.4</v>
      </c>
      <c r="E102" s="79">
        <f>IFERROR(__xludf.DUMMYFUNCTION("""COMPUTED_VALUE"""),4738.934626859999)</f>
        <v>4738.934627</v>
      </c>
      <c r="F102" s="69">
        <f>IFERROR(__xludf.DUMMYFUNCTION("""COMPUTED_VALUE"""),3.58)</f>
        <v>3.58</v>
      </c>
      <c r="G102" s="78"/>
      <c r="H102" s="78">
        <f>IFERROR(__xludf.DUMMYFUNCTION("""COMPUTED_VALUE"""),7.0)</f>
        <v>7</v>
      </c>
      <c r="I102" s="78"/>
      <c r="J102" s="78">
        <f>IFERROR(__xludf.DUMMYFUNCTION("""COMPUTED_VALUE"""),4.0)</f>
        <v>4</v>
      </c>
      <c r="K102" s="71"/>
      <c r="L102" s="76" t="str">
        <f>IFERROR(__xludf.DUMMYFUNCTION("""COMPUTED_VALUE"""),"Mexico")</f>
        <v>Mexico</v>
      </c>
      <c r="M102" s="76" t="str">
        <f>IFERROR(__xludf.DUMMYFUNCTION("""COMPUTED_VALUE"""),"Puerto Vallarta")</f>
        <v>Puerto Vallarta</v>
      </c>
      <c r="N102" s="76" t="str">
        <f>IFERROR(__xludf.DUMMYFUNCTION("""COMPUTED_VALUE"""),"Ordaz")</f>
        <v>Ordaz</v>
      </c>
      <c r="O102" s="70" t="b">
        <f>IFERROR(__xludf.DUMMYFUNCTION("""COMPUTED_VALUE"""),TRUE)</f>
        <v>1</v>
      </c>
      <c r="P102" s="73">
        <f>IFERROR(__xludf.DUMMYFUNCTION("""COMPUTED_VALUE"""),0.004166666666666667)</f>
        <v>0.004166666667</v>
      </c>
      <c r="Q102" s="76" t="str">
        <f>IFERROR(__xludf.DUMMYFUNCTION("""COMPUTED_VALUE"""),"Velas Resorts")</f>
        <v>Velas Resorts</v>
      </c>
      <c r="R102" s="76" t="str">
        <f>IFERROR(__xludf.DUMMYFUNCTION("""COMPUTED_VALUE"""),"Green, Quiet")</f>
        <v>Green, Quiet</v>
      </c>
      <c r="S102" s="76" t="str">
        <f>IFERROR(__xludf.DUMMYFUNCTION("""COMPUTED_VALUE"""),"Beach, Family Suite, 2 Bedroom Suites, Kids Club, Teen Club, Lazy River, Heated Pool, Gym, Diving, Wifi (Paid), Evening Entertainment, Spa, Babysitting, Swim Up Bar, Tennis, Fishing, Buffet")</f>
        <v>Beach, Family Suite, 2 Bedroom Suites, Kids Club, Teen Club, Lazy River, Heated Pool, Gym, Diving, Wifi (Paid), Evening Entertainment, Spa, Babysitting, Swim Up Bar, Tennis, Fishing, Buffet</v>
      </c>
      <c r="T102" s="76"/>
      <c r="U102" s="76" t="str">
        <f>IFERROR(__xludf.DUMMYFUNCTION("""COMPUTED_VALUE"""),"1 King or 2 Twin 1 Sofa Bed")</f>
        <v>1 King or 2 Twin 1 Sofa Bed</v>
      </c>
      <c r="V102" s="78" t="b">
        <f>IFERROR(__xludf.DUMMYFUNCTION("""COMPUTED_VALUE"""),TRUE)</f>
        <v>1</v>
      </c>
      <c r="W102" s="78">
        <f>IFERROR(__xludf.DUMMYFUNCTION("""COMPUTED_VALUE"""),345.0)</f>
        <v>345</v>
      </c>
      <c r="X102" s="70">
        <f>IFERROR(__xludf.DUMMYFUNCTION("""COMPUTED_VALUE"""),1990.0)</f>
        <v>1990</v>
      </c>
      <c r="Y102" s="70">
        <f>IFERROR(__xludf.DUMMYFUNCTION("""COMPUTED_VALUE"""),2005.0)</f>
        <v>2005</v>
      </c>
      <c r="Z102" s="81">
        <f>IFERROR(__xludf.DUMMYFUNCTION("""COMPUTED_VALUE"""),9.0)</f>
        <v>9</v>
      </c>
    </row>
    <row r="103">
      <c r="A103" s="65" t="str">
        <f>IFERROR(__xludf.DUMMYFUNCTION("""COMPUTED_VALUE"""),"TRS Turquesa Hotel")</f>
        <v>TRS Turquesa Hotel</v>
      </c>
      <c r="B103" s="66">
        <f>IFERROR(__xludf.DUMMYFUNCTION("""COMPUTED_VALUE"""),92.3)</f>
        <v>92.3</v>
      </c>
      <c r="C103" s="67" t="str">
        <f>IFERROR(__xludf.DUMMYFUNCTION("""COMPUTED_VALUE"""),"Adults Only")</f>
        <v>Adults Only</v>
      </c>
      <c r="D103" s="85">
        <f>IFERROR(__xludf.DUMMYFUNCTION("""COMPUTED_VALUE"""),3690.27)</f>
        <v>3690.27</v>
      </c>
      <c r="E103" s="79">
        <f>IFERROR(__xludf.DUMMYFUNCTION("""COMPUTED_VALUE"""),5096.447014472999)</f>
        <v>5096.447014</v>
      </c>
      <c r="F103" s="69">
        <f>IFERROR(__xludf.DUMMYFUNCTION("""COMPUTED_VALUE"""),3.33)</f>
        <v>3.33</v>
      </c>
      <c r="G103" s="78"/>
      <c r="H103" s="74">
        <f>IFERROR(__xludf.DUMMYFUNCTION("""COMPUTED_VALUE"""),7.0)</f>
        <v>7</v>
      </c>
      <c r="I103" s="78"/>
      <c r="J103" s="78"/>
      <c r="K103" s="76"/>
      <c r="L103" s="76" t="str">
        <f>IFERROR(__xludf.DUMMYFUNCTION("""COMPUTED_VALUE"""),"Dominican Republic")</f>
        <v>Dominican Republic</v>
      </c>
      <c r="M103" s="76" t="str">
        <f>IFERROR(__xludf.DUMMYFUNCTION("""COMPUTED_VALUE"""),"Bavaro")</f>
        <v>Bavaro</v>
      </c>
      <c r="N103" s="76" t="str">
        <f>IFERROR(__xludf.DUMMYFUNCTION("""COMPUTED_VALUE"""),"Punta Cana")</f>
        <v>Punta Cana</v>
      </c>
      <c r="O103" s="78" t="b">
        <f>IFERROR(__xludf.DUMMYFUNCTION("""COMPUTED_VALUE"""),TRUE)</f>
        <v>1</v>
      </c>
      <c r="P103" s="80">
        <f>IFERROR(__xludf.DUMMYFUNCTION("""COMPUTED_VALUE"""),0.01875)</f>
        <v>0.01875</v>
      </c>
      <c r="Q103" s="76" t="str">
        <f>IFERROR(__xludf.DUMMYFUNCTION("""COMPUTED_VALUE"""),"Wyndham Hotels")</f>
        <v>Wyndham Hotels</v>
      </c>
      <c r="R103" s="76" t="str">
        <f>IFERROR(__xludf.DUMMYFUNCTION("""COMPUTED_VALUE"""),"Value, Quiet")</f>
        <v>Value, Quiet</v>
      </c>
      <c r="S103" s="76" t="str">
        <f>IFERROR(__xludf.DUMMYFUNCTION("""COMPUTED_VALUE"""),"Beach, Swim Out/Plunge Pool Rooms, Gym, Casino, Snorkelling, Evening Entertainment, Nightclub, Room Service, Swim Up Bar, Diving, Tennis, Fishing, Spa, Buffet")</f>
        <v>Beach, Swim Out/Plunge Pool Rooms, Gym, Casino, Snorkelling, Evening Entertainment, Nightclub, Room Service, Swim Up Bar, Diving, Tennis, Fishing, Spa, Buffet</v>
      </c>
      <c r="T103" s="76"/>
      <c r="U103" s="76"/>
      <c r="V103" s="74" t="b">
        <f>IFERROR(__xludf.DUMMYFUNCTION("""COMPUTED_VALUE"""),FALSE)</f>
        <v>0</v>
      </c>
      <c r="W103" s="74">
        <f>IFERROR(__xludf.DUMMYFUNCTION("""COMPUTED_VALUE"""),372.0)</f>
        <v>372</v>
      </c>
      <c r="X103" s="74">
        <f>IFERROR(__xludf.DUMMYFUNCTION("""COMPUTED_VALUE"""),2004.0)</f>
        <v>2004</v>
      </c>
      <c r="Y103" s="74">
        <f>IFERROR(__xludf.DUMMYFUNCTION("""COMPUTED_VALUE"""),2014.0)</f>
        <v>2014</v>
      </c>
      <c r="Z103" s="75">
        <f>IFERROR(__xludf.DUMMYFUNCTION("""COMPUTED_VALUE"""),3.0)</f>
        <v>3</v>
      </c>
    </row>
    <row r="104">
      <c r="A104" s="65" t="str">
        <f>IFERROR(__xludf.DUMMYFUNCTION("""COMPUTED_VALUE"""),"Akumal Bay Beach &amp; Wellness Resort")</f>
        <v>Akumal Bay Beach &amp; Wellness Resort</v>
      </c>
      <c r="B104" s="66">
        <f>IFERROR(__xludf.DUMMYFUNCTION("""COMPUTED_VALUE"""),92.3)</f>
        <v>92.3</v>
      </c>
      <c r="C104" s="67" t="str">
        <f>IFERROR(__xludf.DUMMYFUNCTION("""COMPUTED_VALUE"""),"Family")</f>
        <v>Family</v>
      </c>
      <c r="D104" s="85">
        <f>IFERROR(__xludf.DUMMYFUNCTION("""COMPUTED_VALUE"""),4468.33)</f>
        <v>4468.33</v>
      </c>
      <c r="E104" s="79">
        <f>IFERROR(__xludf.DUMMYFUNCTION("""COMPUTED_VALUE"""),6170.986699666999)</f>
        <v>6170.9867</v>
      </c>
      <c r="F104" s="69">
        <f>IFERROR(__xludf.DUMMYFUNCTION("""COMPUTED_VALUE"""),2.75)</f>
        <v>2.75</v>
      </c>
      <c r="G104" s="78"/>
      <c r="H104" s="78" t="str">
        <f>IFERROR(__xludf.DUMMYFUNCTION("""COMPUTED_VALUE"""),"NYR")</f>
        <v>NYR</v>
      </c>
      <c r="I104" s="78"/>
      <c r="J104" s="78">
        <f>IFERROR(__xludf.DUMMYFUNCTION("""COMPUTED_VALUE"""),5.0)</f>
        <v>5</v>
      </c>
      <c r="K104" s="76"/>
      <c r="L104" s="76" t="str">
        <f>IFERROR(__xludf.DUMMYFUNCTION("""COMPUTED_VALUE"""),"Mexico")</f>
        <v>Mexico</v>
      </c>
      <c r="M104" s="76" t="str">
        <f>IFERROR(__xludf.DUMMYFUNCTION("""COMPUTED_VALUE"""),"Akumal")</f>
        <v>Akumal</v>
      </c>
      <c r="N104" s="87" t="str">
        <f>IFERROR(__xludf.DUMMYFUNCTION("""COMPUTED_VALUE"""),"Tulum")</f>
        <v>Tulum</v>
      </c>
      <c r="O104" s="78" t="b">
        <f>IFERROR(__xludf.DUMMYFUNCTION("""COMPUTED_VALUE"""),TRUE)</f>
        <v>1</v>
      </c>
      <c r="P104" s="80">
        <f>IFERROR(__xludf.DUMMYFUNCTION("""COMPUTED_VALUE"""),0.04583333333333333)</f>
        <v>0.04583333333</v>
      </c>
      <c r="Q104" s="76"/>
      <c r="R104" s="76" t="str">
        <f>IFERROR(__xludf.DUMMYFUNCTION("""COMPUTED_VALUE"""),"Quiet, Bay View")</f>
        <v>Quiet, Bay View</v>
      </c>
      <c r="S104" s="76" t="str">
        <f>IFERROR(__xludf.DUMMYFUNCTION("""COMPUTED_VALUE"""),"Beach, Adults Only Rooms, Kids Club, Babysitting, Snorkelling, Evening Entertainment, Gym, Diving, Yoga Classes, Tennis, Spa, Buffet")</f>
        <v>Beach, Adults Only Rooms, Kids Club, Babysitting, Snorkelling, Evening Entertainment, Gym, Diving, Yoga Classes, Tennis, Spa, Buffet</v>
      </c>
      <c r="T104" s="76" t="str">
        <f>IFERROR(__xludf.DUMMYFUNCTION("""COMPUTED_VALUE"""),"Can't Book Two Rooms")</f>
        <v>Can't Book Two Rooms</v>
      </c>
      <c r="U104" s="76" t="str">
        <f>IFERROR(__xludf.DUMMYFUNCTION("""COMPUTED_VALUE"""),"1 King or 2 Twin")</f>
        <v>1 King or 2 Twin</v>
      </c>
      <c r="V104" s="78" t="b">
        <f>IFERROR(__xludf.DUMMYFUNCTION("""COMPUTED_VALUE"""),FALSE)</f>
        <v>0</v>
      </c>
      <c r="W104" s="78">
        <f>IFERROR(__xludf.DUMMYFUNCTION("""COMPUTED_VALUE"""),310.0)</f>
        <v>310</v>
      </c>
      <c r="X104" s="78"/>
      <c r="Y104" s="74">
        <f>IFERROR(__xludf.DUMMYFUNCTION("""COMPUTED_VALUE"""),2014.0)</f>
        <v>2014</v>
      </c>
      <c r="Z104" s="81">
        <f>IFERROR(__xludf.DUMMYFUNCTION("""COMPUTED_VALUE"""),4.0)</f>
        <v>4</v>
      </c>
    </row>
    <row r="105">
      <c r="A105" s="65" t="str">
        <f>IFERROR(__xludf.DUMMYFUNCTION("""COMPUTED_VALUE"""),"Secrets Tide Punta Cana")</f>
        <v>Secrets Tide Punta Cana</v>
      </c>
      <c r="B105" s="66">
        <f>IFERROR(__xludf.DUMMYFUNCTION("""COMPUTED_VALUE"""),92.3)</f>
        <v>92.3</v>
      </c>
      <c r="C105" s="67" t="str">
        <f>IFERROR(__xludf.DUMMYFUNCTION("""COMPUTED_VALUE"""),"Adults Only")</f>
        <v>Adults Only</v>
      </c>
      <c r="D105" s="79">
        <f>IFERROR(__xludf.DUMMYFUNCTION("""COMPUTED_VALUE"""),5180.0)</f>
        <v>5180</v>
      </c>
      <c r="E105" s="79">
        <f>IFERROR(__xludf.DUMMYFUNCTION("""COMPUTED_VALUE"""),7153.838481999999)</f>
        <v>7153.838482</v>
      </c>
      <c r="F105" s="69">
        <f>IFERROR(__xludf.DUMMYFUNCTION("""COMPUTED_VALUE"""),2.37)</f>
        <v>2.37</v>
      </c>
      <c r="G105" s="78"/>
      <c r="H105" s="78" t="str">
        <f>IFERROR(__xludf.DUMMYFUNCTION("""COMPUTED_VALUE"""),"NYR")</f>
        <v>NYR</v>
      </c>
      <c r="I105" s="78" t="str">
        <f>IFERROR(__xludf.DUMMYFUNCTION("""COMPUTED_VALUE"""),"C")</f>
        <v>C</v>
      </c>
      <c r="J105" s="78">
        <f>IFERROR(__xludf.DUMMYFUNCTION("""COMPUTED_VALUE"""),5.0)</f>
        <v>5</v>
      </c>
      <c r="K105" s="76"/>
      <c r="L105" s="76" t="str">
        <f>IFERROR(__xludf.DUMMYFUNCTION("""COMPUTED_VALUE"""),"Dominican Republic")</f>
        <v>Dominican Republic</v>
      </c>
      <c r="M105" s="76" t="str">
        <f>IFERROR(__xludf.DUMMYFUNCTION("""COMPUTED_VALUE"""),"Punta Cana")</f>
        <v>Punta Cana</v>
      </c>
      <c r="N105" s="87" t="str">
        <f>IFERROR(__xludf.DUMMYFUNCTION("""COMPUTED_VALUE"""),"Punta Cana")</f>
        <v>Punta Cana</v>
      </c>
      <c r="O105" s="78" t="b">
        <f>IFERROR(__xludf.DUMMYFUNCTION("""COMPUTED_VALUE"""),TRUE)</f>
        <v>1</v>
      </c>
      <c r="P105" s="80">
        <f>IFERROR(__xludf.DUMMYFUNCTION("""COMPUTED_VALUE"""),0.02847222222222222)</f>
        <v>0.02847222222</v>
      </c>
      <c r="Q105" s="76" t="str">
        <f>IFERROR(__xludf.DUMMYFUNCTION("""COMPUTED_VALUE"""),"Hyatt")</f>
        <v>Hyatt</v>
      </c>
      <c r="R105" s="76"/>
      <c r="S105" s="76" t="str">
        <f>IFERROR(__xludf.DUMMYFUNCTION("""COMPUTED_VALUE"""),"Beach, Great Food, Swim Out/Plunge Pool Rooms, Gym, Diving, Room Service, Swim Up Bar, Snorkelling, Evening Entertainment, Nightclub, Wifi (Free), Spa, Buffet")</f>
        <v>Beach, Great Food, Swim Out/Plunge Pool Rooms, Gym, Diving, Room Service, Swim Up Bar, Snorkelling, Evening Entertainment, Nightclub, Wifi (Free), Spa, Buffet</v>
      </c>
      <c r="T105" s="76"/>
      <c r="U105" s="76"/>
      <c r="V105" s="78" t="b">
        <f>IFERROR(__xludf.DUMMYFUNCTION("""COMPUTED_VALUE"""),FALSE)</f>
        <v>0</v>
      </c>
      <c r="W105" s="78">
        <f>IFERROR(__xludf.DUMMYFUNCTION("""COMPUTED_VALUE"""),668.0)</f>
        <v>668</v>
      </c>
      <c r="X105" s="74">
        <f>IFERROR(__xludf.DUMMYFUNCTION("""COMPUTED_VALUE"""),2023.0)</f>
        <v>2023</v>
      </c>
      <c r="Y105" s="74"/>
      <c r="Z105" s="75"/>
    </row>
    <row r="106">
      <c r="A106" s="65" t="str">
        <f>IFERROR(__xludf.DUMMYFUNCTION("""COMPUTED_VALUE"""),"The Tower by Temptation Cancun Resort")</f>
        <v>The Tower by Temptation Cancun Resort</v>
      </c>
      <c r="B106" s="66">
        <f>IFERROR(__xludf.DUMMYFUNCTION("""COMPUTED_VALUE"""),92.3)</f>
        <v>92.3</v>
      </c>
      <c r="C106" s="67" t="str">
        <f>IFERROR(__xludf.DUMMYFUNCTION("""COMPUTED_VALUE"""),"Adults Only")</f>
        <v>Adults Only</v>
      </c>
      <c r="D106" s="85">
        <f>IFERROR(__xludf.DUMMYFUNCTION("""COMPUTED_VALUE"""),5489.9)</f>
        <v>5489.9</v>
      </c>
      <c r="E106" s="79">
        <f>IFERROR(__xludf.DUMMYFUNCTION("""COMPUTED_VALUE"""),7581.825846009999)</f>
        <v>7581.825846</v>
      </c>
      <c r="F106" s="69">
        <f>IFERROR(__xludf.DUMMYFUNCTION("""COMPUTED_VALUE"""),2.24)</f>
        <v>2.24</v>
      </c>
      <c r="G106" s="78"/>
      <c r="H106" s="78">
        <f>IFERROR(__xludf.DUMMYFUNCTION("""COMPUTED_VALUE"""),7.0)</f>
        <v>7</v>
      </c>
      <c r="I106" s="78"/>
      <c r="J106" s="78">
        <f>IFERROR(__xludf.DUMMYFUNCTION("""COMPUTED_VALUE"""),4.0)</f>
        <v>4</v>
      </c>
      <c r="K106" s="76"/>
      <c r="L106" s="76" t="str">
        <f>IFERROR(__xludf.DUMMYFUNCTION("""COMPUTED_VALUE"""),"Mexico")</f>
        <v>Mexico</v>
      </c>
      <c r="M106" s="76" t="str">
        <f>IFERROR(__xludf.DUMMYFUNCTION("""COMPUTED_VALUE"""),"Cancun")</f>
        <v>Cancun</v>
      </c>
      <c r="N106" s="76" t="str">
        <f>IFERROR(__xludf.DUMMYFUNCTION("""COMPUTED_VALUE"""),"Cancun")</f>
        <v>Cancun</v>
      </c>
      <c r="O106" s="78" t="b">
        <f>IFERROR(__xludf.DUMMYFUNCTION("""COMPUTED_VALUE"""),TRUE)</f>
        <v>1</v>
      </c>
      <c r="P106" s="80">
        <f>IFERROR(__xludf.DUMMYFUNCTION("""COMPUTED_VALUE"""),0.017361111111111112)</f>
        <v>0.01736111111</v>
      </c>
      <c r="Q106" s="76" t="str">
        <f>IFERROR(__xludf.DUMMYFUNCTION("""COMPUTED_VALUE"""),"Desire")</f>
        <v>Desire</v>
      </c>
      <c r="R106" s="76" t="str">
        <f>IFERROR(__xludf.DUMMYFUNCTION("""COMPUTED_VALUE"""),"Trendy, Charming")</f>
        <v>Trendy, Charming</v>
      </c>
      <c r="S106" s="76" t="str">
        <f>IFERROR(__xludf.DUMMYFUNCTION("""COMPUTED_VALUE"""),"Beach, Gym, Windsurfing, Yoga Classes, Swim Up Bar, Nightclub, Spa, Wifi (Free), Room Service, Evening Entertainment, Buffet")</f>
        <v>Beach, Gym, Windsurfing, Yoga Classes, Swim Up Bar, Nightclub, Spa, Wifi (Free), Room Service, Evening Entertainment, Buffet</v>
      </c>
      <c r="T106" s="76"/>
      <c r="U106" s="76"/>
      <c r="V106" s="74" t="b">
        <f>IFERROR(__xludf.DUMMYFUNCTION("""COMPUTED_VALUE"""),TRUE)</f>
        <v>1</v>
      </c>
      <c r="W106" s="74">
        <f>IFERROR(__xludf.DUMMYFUNCTION("""COMPUTED_VALUE"""),430.0)</f>
        <v>430</v>
      </c>
      <c r="X106" s="74">
        <f>IFERROR(__xludf.DUMMYFUNCTION("""COMPUTED_VALUE"""),1974.0)</f>
        <v>1974</v>
      </c>
      <c r="Y106" s="74">
        <f>IFERROR(__xludf.DUMMYFUNCTION("""COMPUTED_VALUE"""),2017.0)</f>
        <v>2017</v>
      </c>
      <c r="Z106" s="75">
        <f>IFERROR(__xludf.DUMMYFUNCTION("""COMPUTED_VALUE"""),3.0)</f>
        <v>3</v>
      </c>
    </row>
    <row r="107">
      <c r="A107" s="65" t="str">
        <f>IFERROR(__xludf.DUMMYFUNCTION("""COMPUTED_VALUE"""),"Villa Del Palmar At The Islands Of Loreto By Danzante Bay")</f>
        <v>Villa Del Palmar At The Islands Of Loreto By Danzante Bay</v>
      </c>
      <c r="B107" s="66">
        <f>IFERROR(__xludf.DUMMYFUNCTION("""COMPUTED_VALUE"""),92.3)</f>
        <v>92.3</v>
      </c>
      <c r="C107" s="67" t="str">
        <f>IFERROR(__xludf.DUMMYFUNCTION("""COMPUTED_VALUE"""),"Family")</f>
        <v>Family</v>
      </c>
      <c r="D107" s="79">
        <f>IFERROR(__xludf.DUMMYFUNCTION("""COMPUTED_VALUE"""),6733.0)</f>
        <v>6733</v>
      </c>
      <c r="E107" s="79">
        <f>IFERROR(__xludf.DUMMYFUNCTION("""COMPUTED_VALUE"""),9298.6089767)</f>
        <v>9298.608977</v>
      </c>
      <c r="F107" s="69">
        <f>IFERROR(__xludf.DUMMYFUNCTION("""COMPUTED_VALUE"""),1.83)</f>
        <v>1.83</v>
      </c>
      <c r="G107" s="78"/>
      <c r="H107" s="78">
        <f>IFERROR(__xludf.DUMMYFUNCTION("""COMPUTED_VALUE"""),8.0)</f>
        <v>8</v>
      </c>
      <c r="I107" s="78"/>
      <c r="J107" s="78">
        <f>IFERROR(__xludf.DUMMYFUNCTION("""COMPUTED_VALUE"""),4.0)</f>
        <v>4</v>
      </c>
      <c r="K107" s="76"/>
      <c r="L107" s="76" t="str">
        <f>IFERROR(__xludf.DUMMYFUNCTION("""COMPUTED_VALUE"""),"Mexico")</f>
        <v>Mexico</v>
      </c>
      <c r="M107" s="76" t="str">
        <f>IFERROR(__xludf.DUMMYFUNCTION("""COMPUTED_VALUE"""),"Loreto")</f>
        <v>Loreto</v>
      </c>
      <c r="N107" s="76" t="str">
        <f>IFERROR(__xludf.DUMMYFUNCTION("""COMPUTED_VALUE"""),"Loreto")</f>
        <v>Loreto</v>
      </c>
      <c r="O107" s="78" t="b">
        <f>IFERROR(__xludf.DUMMYFUNCTION("""COMPUTED_VALUE"""),FALSE)</f>
        <v>0</v>
      </c>
      <c r="P107" s="80">
        <f>IFERROR(__xludf.DUMMYFUNCTION("""COMPUTED_VALUE"""),0.027777777777777776)</f>
        <v>0.02777777778</v>
      </c>
      <c r="Q107" s="76" t="str">
        <f>IFERROR(__xludf.DUMMYFUNCTION("""COMPUTED_VALUE"""),"The Villa Group")</f>
        <v>The Villa Group</v>
      </c>
      <c r="R107" s="76" t="str">
        <f>IFERROR(__xludf.DUMMYFUNCTION("""COMPUTED_VALUE"""),"Ocean View, Green")</f>
        <v>Ocean View, Green</v>
      </c>
      <c r="S107" s="76" t="str">
        <f>IFERROR(__xludf.DUMMYFUNCTION("""COMPUTED_VALUE"""),"Beach, Swim Out/Plunge Pool Rooms, Family Suite, 2 Bedroom Suites, Kids Club, Heated Pool, Gym, Diving, Yoga Classes, Horseback Riding, Tennis, Evening Entertainment, Nightclub, Babysitting, Room Service, Hiking, Snorkelling, Watersports Equipment Rentals"&amp;", Fishing, Spa, Buffet")</f>
        <v>Beach, Swim Out/Plunge Pool Rooms, Family Suite, 2 Bedroom Suites, Kids Club, Heated Pool, Gym, Diving, Yoga Classes, Horseback Riding, Tennis, Evening Entertainment, Nightclub, Babysitting, Room Service, Hiking, Snorkelling, Watersports Equipment Rentals, Fishing, Spa, Buffet</v>
      </c>
      <c r="T107" s="76"/>
      <c r="U107" s="76" t="str">
        <f>IFERROR(__xludf.DUMMYFUNCTION("""COMPUTED_VALUE"""),"1 King or 2 Queen")</f>
        <v>1 King or 2 Queen</v>
      </c>
      <c r="V107" s="78" t="b">
        <f>IFERROR(__xludf.DUMMYFUNCTION("""COMPUTED_VALUE"""),TRUE)</f>
        <v>1</v>
      </c>
      <c r="W107" s="78">
        <f>IFERROR(__xludf.DUMMYFUNCTION("""COMPUTED_VALUE"""),338.0)</f>
        <v>338</v>
      </c>
      <c r="X107" s="78">
        <f>IFERROR(__xludf.DUMMYFUNCTION("""COMPUTED_VALUE"""),2011.0)</f>
        <v>2011</v>
      </c>
      <c r="Y107" s="74">
        <f>IFERROR(__xludf.DUMMYFUNCTION("""COMPUTED_VALUE"""),2021.0)</f>
        <v>2021</v>
      </c>
      <c r="Z107" s="81">
        <f>IFERROR(__xludf.DUMMYFUNCTION("""COMPUTED_VALUE"""),7.0)</f>
        <v>7</v>
      </c>
    </row>
    <row r="108">
      <c r="A108" s="65" t="str">
        <f>IFERROR(__xludf.DUMMYFUNCTION("""COMPUTED_VALUE"""),"Hyatt Ziva Cancun")</f>
        <v>Hyatt Ziva Cancun</v>
      </c>
      <c r="B108" s="66">
        <f>IFERROR(__xludf.DUMMYFUNCTION("""COMPUTED_VALUE"""),92.3)</f>
        <v>92.3</v>
      </c>
      <c r="C108" s="67" t="str">
        <f>IFERROR(__xludf.DUMMYFUNCTION("""COMPUTED_VALUE"""),"Family")</f>
        <v>Family</v>
      </c>
      <c r="D108" s="79">
        <f>IFERROR(__xludf.DUMMYFUNCTION("""COMPUTED_VALUE"""),6997.73)</f>
        <v>6997.73</v>
      </c>
      <c r="E108" s="79">
        <f>IFERROR(__xludf.DUMMYFUNCTION("""COMPUTED_VALUE"""),9664.214316726999)</f>
        <v>9664.214317</v>
      </c>
      <c r="F108" s="69">
        <f>IFERROR(__xludf.DUMMYFUNCTION("""COMPUTED_VALUE"""),1.76)</f>
        <v>1.76</v>
      </c>
      <c r="G108" s="78">
        <f>IFERROR(__xludf.DUMMYFUNCTION("""COMPUTED_VALUE"""),4.0)</f>
        <v>4</v>
      </c>
      <c r="H108" s="78">
        <f>IFERROR(__xludf.DUMMYFUNCTION("""COMPUTED_VALUE"""),8.0)</f>
        <v>8</v>
      </c>
      <c r="I108" s="78" t="str">
        <f>IFERROR(__xludf.DUMMYFUNCTION("""COMPUTED_VALUE"""),"F")</f>
        <v>F</v>
      </c>
      <c r="J108" s="78">
        <f>IFERROR(__xludf.DUMMYFUNCTION("""COMPUTED_VALUE"""),3.5)</f>
        <v>3.5</v>
      </c>
      <c r="K108" s="76"/>
      <c r="L108" s="76" t="str">
        <f>IFERROR(__xludf.DUMMYFUNCTION("""COMPUTED_VALUE"""),"Mexico")</f>
        <v>Mexico</v>
      </c>
      <c r="M108" s="76" t="str">
        <f>IFERROR(__xludf.DUMMYFUNCTION("""COMPUTED_VALUE"""),"Cancun")</f>
        <v>Cancun</v>
      </c>
      <c r="N108" s="76" t="str">
        <f>IFERROR(__xludf.DUMMYFUNCTION("""COMPUTED_VALUE"""),"Cancun")</f>
        <v>Cancun</v>
      </c>
      <c r="O108" s="78" t="b">
        <f>IFERROR(__xludf.DUMMYFUNCTION("""COMPUTED_VALUE"""),TRUE)</f>
        <v>1</v>
      </c>
      <c r="P108" s="80">
        <f>IFERROR(__xludf.DUMMYFUNCTION("""COMPUTED_VALUE"""),0.020833333333333332)</f>
        <v>0.02083333333</v>
      </c>
      <c r="Q108" s="76" t="str">
        <f>IFERROR(__xludf.DUMMYFUNCTION("""COMPUTED_VALUE"""),"Hyatt")</f>
        <v>Hyatt</v>
      </c>
      <c r="R108" s="76" t="str">
        <f>IFERROR(__xludf.DUMMYFUNCTION("""COMPUTED_VALUE"""),"Modern, Romantic")</f>
        <v>Modern, Romantic</v>
      </c>
      <c r="S108" s="76" t="str">
        <f>IFERROR(__xludf.DUMMYFUNCTION("""COMPUTED_VALUE"""),"Beach, Swim Out/Plunge Pool Rooms, Adults Only Rooms, Family Suite, 2 Bedroom Suites, Kids Club, Teen Club, Kids Waterpark, Pool Slide, Water Feature, Heated Pool, Gym, Adult Pool, Swim Up Bar, Evening Entertainment, Nightclub, Spa, Wifi (Free), Babysitti"&amp;"ng, Buffet")</f>
        <v>Beach, Swim Out/Plunge Pool Rooms, Adults Only Rooms, Family Suite, 2 Bedroom Suites, Kids Club, Teen Club, Kids Waterpark, Pool Slide, Water Feature, Heated Pool, Gym, Adult Pool, Swim Up Bar, Evening Entertainment, Nightclub, Spa, Wifi (Free), Babysitting, Buffet</v>
      </c>
      <c r="T108" s="76" t="str">
        <f>IFERROR(__xludf.DUMMYFUNCTION("""COMPUTED_VALUE"""),"Can Request")</f>
        <v>Can Request</v>
      </c>
      <c r="U108" s="76" t="str">
        <f>IFERROR(__xludf.DUMMYFUNCTION("""COMPUTED_VALUE"""),"2 Queen")</f>
        <v>2 Queen</v>
      </c>
      <c r="V108" s="78" t="b">
        <f>IFERROR(__xludf.DUMMYFUNCTION("""COMPUTED_VALUE"""),TRUE)</f>
        <v>1</v>
      </c>
      <c r="W108" s="78">
        <f>IFERROR(__xludf.DUMMYFUNCTION("""COMPUTED_VALUE"""),547.0)</f>
        <v>547</v>
      </c>
      <c r="X108" s="78">
        <f>IFERROR(__xludf.DUMMYFUNCTION("""COMPUTED_VALUE"""),2015.0)</f>
        <v>2015</v>
      </c>
      <c r="Y108" s="74"/>
      <c r="Z108" s="81">
        <f>IFERROR(__xludf.DUMMYFUNCTION("""COMPUTED_VALUE"""),16.0)</f>
        <v>16</v>
      </c>
    </row>
    <row r="109">
      <c r="A109" s="65" t="str">
        <f>IFERROR(__xludf.DUMMYFUNCTION("""COMPUTED_VALUE"""),"Blue Waters Resort &amp; Spa - Antigua")</f>
        <v>Blue Waters Resort &amp; Spa - Antigua</v>
      </c>
      <c r="B109" s="66">
        <f>IFERROR(__xludf.DUMMYFUNCTION("""COMPUTED_VALUE"""),92.3)</f>
        <v>92.3</v>
      </c>
      <c r="C109" s="67" t="str">
        <f>IFERROR(__xludf.DUMMYFUNCTION("""COMPUTED_VALUE"""),"Family")</f>
        <v>Family</v>
      </c>
      <c r="D109" s="79">
        <f>IFERROR(__xludf.DUMMYFUNCTION("""COMPUTED_VALUE"""),9588.6)</f>
        <v>9588.6</v>
      </c>
      <c r="E109" s="79">
        <f>IFERROR(__xludf.DUMMYFUNCTION("""COMPUTED_VALUE"""),13242.335071139998)</f>
        <v>13242.33507</v>
      </c>
      <c r="F109" s="69">
        <f>IFERROR(__xludf.DUMMYFUNCTION("""COMPUTED_VALUE"""),1.28)</f>
        <v>1.28</v>
      </c>
      <c r="G109" s="78"/>
      <c r="H109" s="78">
        <f>IFERROR(__xludf.DUMMYFUNCTION("""COMPUTED_VALUE"""),7.0)</f>
        <v>7</v>
      </c>
      <c r="I109" s="78"/>
      <c r="J109" s="78"/>
      <c r="K109" s="76"/>
      <c r="L109" s="76" t="str">
        <f>IFERROR(__xludf.DUMMYFUNCTION("""COMPUTED_VALUE"""),"Antigua")</f>
        <v>Antigua</v>
      </c>
      <c r="M109" s="76" t="str">
        <f>IFERROR(__xludf.DUMMYFUNCTION("""COMPUTED_VALUE"""),"St. John's")</f>
        <v>St. John's</v>
      </c>
      <c r="N109" s="76" t="str">
        <f>IFERROR(__xludf.DUMMYFUNCTION("""COMPUTED_VALUE"""),"V.C. Bird")</f>
        <v>V.C. Bird</v>
      </c>
      <c r="O109" s="78" t="b">
        <f>IFERROR(__xludf.DUMMYFUNCTION("""COMPUTED_VALUE"""),TRUE)</f>
        <v>1</v>
      </c>
      <c r="P109" s="80">
        <f>IFERROR(__xludf.DUMMYFUNCTION("""COMPUTED_VALUE"""),0.011111111111111112)</f>
        <v>0.01111111111</v>
      </c>
      <c r="Q109" s="76"/>
      <c r="R109" s="76" t="str">
        <f>IFERROR(__xludf.DUMMYFUNCTION("""COMPUTED_VALUE"""),"Romantic, Ocean View")</f>
        <v>Romantic, Ocean View</v>
      </c>
      <c r="S109" s="76" t="str">
        <f>IFERROR(__xludf.DUMMYFUNCTION("""COMPUTED_VALUE"""),"Beach, Swim Out/Plunge Pool Rooms, Kids Club, Gym, Snorkelling, Tennis, Evening Entertainment, Wifi (Free), Babysitting, Adult Pool, Watersports Equipment Rentals, Fishing, Spa")</f>
        <v>Beach, Swim Out/Plunge Pool Rooms, Kids Club, Gym, Snorkelling, Tennis, Evening Entertainment, Wifi (Free), Babysitting, Adult Pool, Watersports Equipment Rentals, Fishing, Spa</v>
      </c>
      <c r="T109" s="76"/>
      <c r="U109" s="76" t="str">
        <f>IFERROR(__xludf.DUMMYFUNCTION("""COMPUTED_VALUE"""),"1 King")</f>
        <v>1 King</v>
      </c>
      <c r="V109" s="78" t="b">
        <f>IFERROR(__xludf.DUMMYFUNCTION("""COMPUTED_VALUE"""),FALSE)</f>
        <v>0</v>
      </c>
      <c r="W109" s="78">
        <f>IFERROR(__xludf.DUMMYFUNCTION("""COMPUTED_VALUE"""),116.0)</f>
        <v>116</v>
      </c>
      <c r="X109" s="78">
        <f>IFERROR(__xludf.DUMMYFUNCTION("""COMPUTED_VALUE"""),1960.0)</f>
        <v>1960</v>
      </c>
      <c r="Y109" s="78">
        <f>IFERROR(__xludf.DUMMYFUNCTION("""COMPUTED_VALUE"""),2016.0)</f>
        <v>2016</v>
      </c>
      <c r="Z109" s="81">
        <f>IFERROR(__xludf.DUMMYFUNCTION("""COMPUTED_VALUE"""),2.0)</f>
        <v>2</v>
      </c>
    </row>
    <row r="110">
      <c r="A110" s="65" t="str">
        <f>IFERROR(__xludf.DUMMYFUNCTION("""COMPUTED_VALUE"""),"The Landings Resort and Spa")</f>
        <v>The Landings Resort and Spa</v>
      </c>
      <c r="B110" s="66">
        <f>IFERROR(__xludf.DUMMYFUNCTION("""COMPUTED_VALUE"""),92.3)</f>
        <v>92.3</v>
      </c>
      <c r="C110" s="67" t="str">
        <f>IFERROR(__xludf.DUMMYFUNCTION("""COMPUTED_VALUE"""),"Family")</f>
        <v>Family</v>
      </c>
      <c r="D110" s="79">
        <f>IFERROR(__xludf.DUMMYFUNCTION("""COMPUTED_VALUE"""),12053.72)</f>
        <v>12053.72</v>
      </c>
      <c r="E110" s="79">
        <f>IFERROR(__xludf.DUMMYFUNCTION("""COMPUTED_VALUE"""),16646.788800627997)</f>
        <v>16646.7888</v>
      </c>
      <c r="F110" s="69">
        <f>IFERROR(__xludf.DUMMYFUNCTION("""COMPUTED_VALUE"""),1.02)</f>
        <v>1.02</v>
      </c>
      <c r="G110" s="78"/>
      <c r="H110" s="78">
        <f>IFERROR(__xludf.DUMMYFUNCTION("""COMPUTED_VALUE"""),9.0)</f>
        <v>9</v>
      </c>
      <c r="I110" s="78"/>
      <c r="J110" s="78">
        <f>IFERROR(__xludf.DUMMYFUNCTION("""COMPUTED_VALUE"""),4.5)</f>
        <v>4.5</v>
      </c>
      <c r="K110" s="71"/>
      <c r="L110" s="76" t="str">
        <f>IFERROR(__xludf.DUMMYFUNCTION("""COMPUTED_VALUE"""),"Saint Lucia")</f>
        <v>Saint Lucia</v>
      </c>
      <c r="M110" s="76" t="str">
        <f>IFERROR(__xludf.DUMMYFUNCTION("""COMPUTED_VALUE"""),"Rodney Bay")</f>
        <v>Rodney Bay</v>
      </c>
      <c r="N110" s="76" t="str">
        <f>IFERROR(__xludf.DUMMYFUNCTION("""COMPUTED_VALUE"""),"Hewanorra")</f>
        <v>Hewanorra</v>
      </c>
      <c r="O110" s="78" t="b">
        <f>IFERROR(__xludf.DUMMYFUNCTION("""COMPUTED_VALUE"""),FALSE)</f>
        <v>0</v>
      </c>
      <c r="P110" s="80">
        <f>IFERROR(__xludf.DUMMYFUNCTION("""COMPUTED_VALUE"""),0.06180555555555556)</f>
        <v>0.06180555556</v>
      </c>
      <c r="Q110" s="76"/>
      <c r="R110" s="76" t="str">
        <f>IFERROR(__xludf.DUMMYFUNCTION("""COMPUTED_VALUE"""),"Marina View, Family")</f>
        <v>Marina View, Family</v>
      </c>
      <c r="S110" s="76" t="str">
        <f>IFERROR(__xludf.DUMMYFUNCTION("""COMPUTED_VALUE"""),"Beach, Swim Out/Plunge Pool Rooms, Family Suite, 2 Bedroom Suites, Kids Club, Gym, Diving, Tennis, Evening Entertainment, Wifi (Free), Babysitting, Watersports Equipment Rentals, Fishing, Spa, Buffet")</f>
        <v>Beach, Swim Out/Plunge Pool Rooms, Family Suite, 2 Bedroom Suites, Kids Club, Gym, Diving, Tennis, Evening Entertainment, Wifi (Free), Babysitting, Watersports Equipment Rentals, Fishing, Spa, Buffet</v>
      </c>
      <c r="T110" s="76"/>
      <c r="U110" s="76" t="str">
        <f>IFERROR(__xludf.DUMMYFUNCTION("""COMPUTED_VALUE"""),"2 King and 2 Twin")</f>
        <v>2 King and 2 Twin</v>
      </c>
      <c r="V110" s="78" t="b">
        <f>IFERROR(__xludf.DUMMYFUNCTION("""COMPUTED_VALUE"""),FALSE)</f>
        <v>0</v>
      </c>
      <c r="W110" s="78">
        <f>IFERROR(__xludf.DUMMYFUNCTION("""COMPUTED_VALUE"""),85.0)</f>
        <v>85</v>
      </c>
      <c r="X110" s="78">
        <f>IFERROR(__xludf.DUMMYFUNCTION("""COMPUTED_VALUE"""),2007.0)</f>
        <v>2007</v>
      </c>
      <c r="Y110" s="78">
        <f>IFERROR(__xludf.DUMMYFUNCTION("""COMPUTED_VALUE"""),2016.0)</f>
        <v>2016</v>
      </c>
      <c r="Z110" s="81">
        <f>IFERROR(__xludf.DUMMYFUNCTION("""COMPUTED_VALUE"""),4.0)</f>
        <v>4</v>
      </c>
    </row>
    <row r="111">
      <c r="A111" s="65" t="str">
        <f>IFERROR(__xludf.DUMMYFUNCTION("""COMPUTED_VALUE"""),"Hotel Xcaret Mexico")</f>
        <v>Hotel Xcaret Mexico</v>
      </c>
      <c r="B111" s="66">
        <f>IFERROR(__xludf.DUMMYFUNCTION("""COMPUTED_VALUE"""),92.3)</f>
        <v>92.3</v>
      </c>
      <c r="C111" s="67" t="str">
        <f>IFERROR(__xludf.DUMMYFUNCTION("""COMPUTED_VALUE"""),"Family")</f>
        <v>Family</v>
      </c>
      <c r="D111" s="79">
        <f>IFERROR(__xludf.DUMMYFUNCTION("""COMPUTED_VALUE"""),14700.0)</f>
        <v>14700</v>
      </c>
      <c r="E111" s="79">
        <f>IFERROR(__xludf.DUMMYFUNCTION("""COMPUTED_VALUE"""),20301.43353)</f>
        <v>20301.43353</v>
      </c>
      <c r="F111" s="69">
        <f>IFERROR(__xludf.DUMMYFUNCTION("""COMPUTED_VALUE"""),0.84)</f>
        <v>0.84</v>
      </c>
      <c r="G111" s="78">
        <f>IFERROR(__xludf.DUMMYFUNCTION("""COMPUTED_VALUE"""),5.0)</f>
        <v>5</v>
      </c>
      <c r="H111" s="74">
        <f>IFERROR(__xludf.DUMMYFUNCTION("""COMPUTED_VALUE"""),7.0)</f>
        <v>7</v>
      </c>
      <c r="I111" s="78"/>
      <c r="J111" s="78"/>
      <c r="K111" s="76"/>
      <c r="L111" s="76" t="str">
        <f>IFERROR(__xludf.DUMMYFUNCTION("""COMPUTED_VALUE"""),"Mexico")</f>
        <v>Mexico</v>
      </c>
      <c r="M111" s="76" t="str">
        <f>IFERROR(__xludf.DUMMYFUNCTION("""COMPUTED_VALUE"""),"Playa del Carmen")</f>
        <v>Playa del Carmen</v>
      </c>
      <c r="N111" s="76" t="str">
        <f>IFERROR(__xludf.DUMMYFUNCTION("""COMPUTED_VALUE"""),"Cancun")</f>
        <v>Cancun</v>
      </c>
      <c r="O111" s="78" t="b">
        <f>IFERROR(__xludf.DUMMYFUNCTION("""COMPUTED_VALUE"""),TRUE)</f>
        <v>1</v>
      </c>
      <c r="P111" s="80">
        <f>IFERROR(__xludf.DUMMYFUNCTION("""COMPUTED_VALUE"""),0.035416666666666666)</f>
        <v>0.03541666667</v>
      </c>
      <c r="Q111" s="76" t="str">
        <f>IFERROR(__xludf.DUMMYFUNCTION("""COMPUTED_VALUE"""),"Hoteles Xcaret")</f>
        <v>Hoteles Xcaret</v>
      </c>
      <c r="R111" s="76" t="str">
        <f>IFERROR(__xludf.DUMMYFUNCTION("""COMPUTED_VALUE"""),"River View, Trendy")</f>
        <v>River View, Trendy</v>
      </c>
      <c r="S111" s="76" t="str">
        <f>IFERROR(__xludf.DUMMYFUNCTION("""COMPUTED_VALUE"""),"Beach, Swim Out/Plunge Pool Rooms, Adults Only Rooms, Kids Club, Teen Club, Lazy River, Kids Waterpark, Pool Slide, Water Feature, Heated Pool, Gym, Bicycles Available, Yoga Classes, Adult Pool, Swim Up Bar, Tennis, Wifi (Free), Babysitting, Room Service,"&amp;" Evening Entertainment, Nightclub, Spa, Buffet")</f>
        <v>Beach, Swim Out/Plunge Pool Rooms, Adults Only Rooms, Kids Club, Teen Club, Lazy River, Kids Waterpark, Pool Slide, Water Feature, Heated Pool, Gym, Bicycles Available, Yoga Classes, Adult Pool, Swim Up Bar, Tennis, Wifi (Free), Babysitting, Room Service, Evening Entertainment, Nightclub, Spa, Buffet</v>
      </c>
      <c r="T111" s="76"/>
      <c r="U111" s="76" t="str">
        <f>IFERROR(__xludf.DUMMYFUNCTION("""COMPUTED_VALUE"""),"2 Double")</f>
        <v>2 Double</v>
      </c>
      <c r="V111" s="78" t="b">
        <f>IFERROR(__xludf.DUMMYFUNCTION("""COMPUTED_VALUE"""),FALSE)</f>
        <v>0</v>
      </c>
      <c r="W111" s="78">
        <f>IFERROR(__xludf.DUMMYFUNCTION("""COMPUTED_VALUE"""),900.0)</f>
        <v>900</v>
      </c>
      <c r="X111" s="78">
        <f>IFERROR(__xludf.DUMMYFUNCTION("""COMPUTED_VALUE"""),2017.0)</f>
        <v>2017</v>
      </c>
      <c r="Y111" s="78"/>
      <c r="Z111" s="81">
        <f>IFERROR(__xludf.DUMMYFUNCTION("""COMPUTED_VALUE"""),6.0)</f>
        <v>6</v>
      </c>
    </row>
    <row r="112">
      <c r="A112" s="65" t="str">
        <f>IFERROR(__xludf.DUMMYFUNCTION("""COMPUTED_VALUE"""),"Serenade All Suites")</f>
        <v>Serenade All Suites</v>
      </c>
      <c r="B112" s="66">
        <f>IFERROR(__xludf.DUMMYFUNCTION("""COMPUTED_VALUE"""),92.0)</f>
        <v>92</v>
      </c>
      <c r="C112" s="67" t="str">
        <f>IFERROR(__xludf.DUMMYFUNCTION("""COMPUTED_VALUE"""),"Adults Only")</f>
        <v>Adults Only</v>
      </c>
      <c r="D112" s="68">
        <f>IFERROR(__xludf.DUMMYFUNCTION("""COMPUTED_VALUE"""),2835.0)</f>
        <v>2835</v>
      </c>
      <c r="E112" s="79">
        <f>IFERROR(__xludf.DUMMYFUNCTION("""COMPUTED_VALUE"""),3915.2764664999995)</f>
        <v>3915.276467</v>
      </c>
      <c r="F112" s="69">
        <f>IFERROR(__xludf.DUMMYFUNCTION("""COMPUTED_VALUE"""),4.23)</f>
        <v>4.23</v>
      </c>
      <c r="G112" s="78"/>
      <c r="H112" s="78" t="str">
        <f>IFERROR(__xludf.DUMMYFUNCTION("""COMPUTED_VALUE"""),"NYR")</f>
        <v>NYR</v>
      </c>
      <c r="I112" s="78"/>
      <c r="J112" s="78">
        <f>IFERROR(__xludf.DUMMYFUNCTION("""COMPUTED_VALUE"""),5.0)</f>
        <v>5</v>
      </c>
      <c r="K112" s="76"/>
      <c r="L112" s="76" t="str">
        <f>IFERROR(__xludf.DUMMYFUNCTION("""COMPUTED_VALUE"""),"Dominican Republic")</f>
        <v>Dominican Republic</v>
      </c>
      <c r="M112" s="76" t="str">
        <f>IFERROR(__xludf.DUMMYFUNCTION("""COMPUTED_VALUE"""),"Cabeza De Toro")</f>
        <v>Cabeza De Toro</v>
      </c>
      <c r="N112" s="76" t="str">
        <f>IFERROR(__xludf.DUMMYFUNCTION("""COMPUTED_VALUE"""),"Punta Cana")</f>
        <v>Punta Cana</v>
      </c>
      <c r="O112" s="78" t="b">
        <f>IFERROR(__xludf.DUMMYFUNCTION("""COMPUTED_VALUE"""),TRUE)</f>
        <v>1</v>
      </c>
      <c r="P112" s="80">
        <f>IFERROR(__xludf.DUMMYFUNCTION("""COMPUTED_VALUE"""),0.011805555555555555)</f>
        <v>0.01180555556</v>
      </c>
      <c r="Q112" s="76" t="str">
        <f>IFERROR(__xludf.DUMMYFUNCTION("""COMPUTED_VALUE"""),"Serenade Caribbean Resorts")</f>
        <v>Serenade Caribbean Resorts</v>
      </c>
      <c r="R112" s="76"/>
      <c r="S112" s="71" t="str">
        <f>IFERROR(__xludf.DUMMYFUNCTION("""COMPUTED_VALUE"""),"Beach, Swim Out/Plunge Pool Rooms, Gym, Swim Up Bar, Windsurfing, Nightclub, Spa, Wifi (Free), Buffet, Snorkelling, Evening Entertainment")</f>
        <v>Beach, Swim Out/Plunge Pool Rooms, Gym, Swim Up Bar, Windsurfing, Nightclub, Spa, Wifi (Free), Buffet, Snorkelling, Evening Entertainment</v>
      </c>
      <c r="T112" s="71"/>
      <c r="U112" s="71"/>
      <c r="V112" s="70" t="b">
        <f>IFERROR(__xludf.DUMMYFUNCTION("""COMPUTED_VALUE"""),FALSE)</f>
        <v>0</v>
      </c>
      <c r="W112" s="70">
        <f>IFERROR(__xludf.DUMMYFUNCTION("""COMPUTED_VALUE"""),625.0)</f>
        <v>625</v>
      </c>
      <c r="X112" s="70">
        <f>IFERROR(__xludf.DUMMYFUNCTION("""COMPUTED_VALUE"""),2020.0)</f>
        <v>2020</v>
      </c>
      <c r="Y112" s="70"/>
      <c r="Z112" s="83"/>
    </row>
    <row r="113">
      <c r="A113" s="65" t="str">
        <f>IFERROR(__xludf.DUMMYFUNCTION("""COMPUTED_VALUE"""),"Paradisus La Perla - Adults Only - Riviera Maya")</f>
        <v>Paradisus La Perla - Adults Only - Riviera Maya</v>
      </c>
      <c r="B113" s="66">
        <f>IFERROR(__xludf.DUMMYFUNCTION("""COMPUTED_VALUE"""),92.0)</f>
        <v>92</v>
      </c>
      <c r="C113" s="67" t="str">
        <f>IFERROR(__xludf.DUMMYFUNCTION("""COMPUTED_VALUE"""),"Adults Only")</f>
        <v>Adults Only</v>
      </c>
      <c r="D113" s="79">
        <f>IFERROR(__xludf.DUMMYFUNCTION("""COMPUTED_VALUE"""),3353.0)</f>
        <v>3353</v>
      </c>
      <c r="E113" s="79">
        <f>IFERROR(__xludf.DUMMYFUNCTION("""COMPUTED_VALUE"""),4630.6603147)</f>
        <v>4630.660315</v>
      </c>
      <c r="F113" s="69">
        <f>IFERROR(__xludf.DUMMYFUNCTION("""COMPUTED_VALUE"""),3.58)</f>
        <v>3.58</v>
      </c>
      <c r="G113" s="70"/>
      <c r="H113" s="70">
        <f>IFERROR(__xludf.DUMMYFUNCTION("""COMPUTED_VALUE"""),9.0)</f>
        <v>9</v>
      </c>
      <c r="I113" s="70"/>
      <c r="J113" s="78">
        <f>IFERROR(__xludf.DUMMYFUNCTION("""COMPUTED_VALUE"""),5.0)</f>
        <v>5</v>
      </c>
      <c r="K113" s="71"/>
      <c r="L113" s="76" t="str">
        <f>IFERROR(__xludf.DUMMYFUNCTION("""COMPUTED_VALUE"""),"Mexico")</f>
        <v>Mexico</v>
      </c>
      <c r="M113" s="76" t="str">
        <f>IFERROR(__xludf.DUMMYFUNCTION("""COMPUTED_VALUE"""),"Playa del Carmen")</f>
        <v>Playa del Carmen</v>
      </c>
      <c r="N113" s="76" t="str">
        <f>IFERROR(__xludf.DUMMYFUNCTION("""COMPUTED_VALUE"""),"Cancun")</f>
        <v>Cancun</v>
      </c>
      <c r="O113" s="78" t="b">
        <f>IFERROR(__xludf.DUMMYFUNCTION("""COMPUTED_VALUE"""),TRUE)</f>
        <v>1</v>
      </c>
      <c r="P113" s="80">
        <f>IFERROR(__xludf.DUMMYFUNCTION("""COMPUTED_VALUE"""),0.029861111111111113)</f>
        <v>0.02986111111</v>
      </c>
      <c r="Q113" s="71" t="str">
        <f>IFERROR(__xludf.DUMMYFUNCTION("""COMPUTED_VALUE"""),"Melia")</f>
        <v>Melia</v>
      </c>
      <c r="R113" s="71" t="str">
        <f>IFERROR(__xludf.DUMMYFUNCTION("""COMPUTED_VALUE"""),"Business, Romantic")</f>
        <v>Business, Romantic</v>
      </c>
      <c r="S113" s="76" t="str">
        <f>IFERROR(__xludf.DUMMYFUNCTION("""COMPUTED_VALUE"""),"Beach, Swim Out/Plunge Pool Rooms, Gym, Diving, Buffet, Swim Up Bar, Watersports Equipment Rentals, Wifi (Free), Room Service, Evening Entertainment, Nightclub, Spa")</f>
        <v>Beach, Swim Out/Plunge Pool Rooms, Gym, Diving, Buffet, Swim Up Bar, Watersports Equipment Rentals, Wifi (Free), Room Service, Evening Entertainment, Nightclub, Spa</v>
      </c>
      <c r="T113" s="76"/>
      <c r="U113" s="76"/>
      <c r="V113" s="70" t="b">
        <f>IFERROR(__xludf.DUMMYFUNCTION("""COMPUTED_VALUE"""),FALSE)</f>
        <v>0</v>
      </c>
      <c r="W113" s="70">
        <f>IFERROR(__xludf.DUMMYFUNCTION("""COMPUTED_VALUE"""),394.0)</f>
        <v>394</v>
      </c>
      <c r="X113" s="70">
        <f>IFERROR(__xludf.DUMMYFUNCTION("""COMPUTED_VALUE"""),2011.0)</f>
        <v>2011</v>
      </c>
      <c r="Y113" s="70"/>
      <c r="Z113" s="83"/>
    </row>
    <row r="114">
      <c r="A114" s="65" t="str">
        <f>IFERROR(__xludf.DUMMYFUNCTION("""COMPUTED_VALUE"""),"Haven Riviera Cancun")</f>
        <v>Haven Riviera Cancun</v>
      </c>
      <c r="B114" s="66">
        <f>IFERROR(__xludf.DUMMYFUNCTION("""COMPUTED_VALUE"""),92.0)</f>
        <v>92</v>
      </c>
      <c r="C114" s="67" t="str">
        <f>IFERROR(__xludf.DUMMYFUNCTION("""COMPUTED_VALUE"""),"Adults Only")</f>
        <v>Adults Only</v>
      </c>
      <c r="D114" s="79">
        <f>IFERROR(__xludf.DUMMYFUNCTION("""COMPUTED_VALUE"""),4200.27)</f>
        <v>4200.27</v>
      </c>
      <c r="E114" s="79">
        <f>IFERROR(__xludf.DUMMYFUNCTION("""COMPUTED_VALUE"""),5800.782463473)</f>
        <v>5800.782463</v>
      </c>
      <c r="F114" s="69">
        <f>IFERROR(__xludf.DUMMYFUNCTION("""COMPUTED_VALUE"""),2.86)</f>
        <v>2.86</v>
      </c>
      <c r="G114" s="70"/>
      <c r="H114" s="70">
        <f>IFERROR(__xludf.DUMMYFUNCTION("""COMPUTED_VALUE"""),7.0)</f>
        <v>7</v>
      </c>
      <c r="I114" s="70"/>
      <c r="J114" s="78">
        <f>IFERROR(__xludf.DUMMYFUNCTION("""COMPUTED_VALUE"""),5.0)</f>
        <v>5</v>
      </c>
      <c r="K114" s="71"/>
      <c r="L114" s="76" t="str">
        <f>IFERROR(__xludf.DUMMYFUNCTION("""COMPUTED_VALUE"""),"Mexico")</f>
        <v>Mexico</v>
      </c>
      <c r="M114" s="76" t="str">
        <f>IFERROR(__xludf.DUMMYFUNCTION("""COMPUTED_VALUE"""),"Cancun")</f>
        <v>Cancun</v>
      </c>
      <c r="N114" s="76" t="str">
        <f>IFERROR(__xludf.DUMMYFUNCTION("""COMPUTED_VALUE"""),"Cancun")</f>
        <v>Cancun</v>
      </c>
      <c r="O114" s="78" t="b">
        <f>IFERROR(__xludf.DUMMYFUNCTION("""COMPUTED_VALUE"""),TRUE)</f>
        <v>1</v>
      </c>
      <c r="P114" s="80">
        <f>IFERROR(__xludf.DUMMYFUNCTION("""COMPUTED_VALUE"""),0.013888888888888888)</f>
        <v>0.01388888889</v>
      </c>
      <c r="Q114" s="76"/>
      <c r="R114" s="76" t="str">
        <f>IFERROR(__xludf.DUMMYFUNCTION("""COMPUTED_VALUE"""),"Trendy, Romantic")</f>
        <v>Trendy, Romantic</v>
      </c>
      <c r="S114" s="76" t="str">
        <f>IFERROR(__xludf.DUMMYFUNCTION("""COMPUTED_VALUE"""),"Beach, Swim Out/Plunge Pool Rooms, Heated Pool, Gym, Tennis, Buffet, Swim Up Bar, Nightclub, Spa, Wifi (Free), Evening Entertainment")</f>
        <v>Beach, Swim Out/Plunge Pool Rooms, Heated Pool, Gym, Tennis, Buffet, Swim Up Bar, Nightclub, Spa, Wifi (Free), Evening Entertainment</v>
      </c>
      <c r="T114" s="76"/>
      <c r="U114" s="76"/>
      <c r="V114" s="70" t="b">
        <f>IFERROR(__xludf.DUMMYFUNCTION("""COMPUTED_VALUE"""),FALSE)</f>
        <v>0</v>
      </c>
      <c r="W114" s="70">
        <f>IFERROR(__xludf.DUMMYFUNCTION("""COMPUTED_VALUE"""),333.0)</f>
        <v>333</v>
      </c>
      <c r="X114" s="70">
        <f>IFERROR(__xludf.DUMMYFUNCTION("""COMPUTED_VALUE"""),2018.0)</f>
        <v>2018</v>
      </c>
      <c r="Y114" s="70"/>
      <c r="Z114" s="83"/>
    </row>
    <row r="115">
      <c r="A115" s="65" t="str">
        <f>IFERROR(__xludf.DUMMYFUNCTION("""COMPUTED_VALUE"""),"Majestic Mirage Punta Cana")</f>
        <v>Majestic Mirage Punta Cana</v>
      </c>
      <c r="B115" s="66">
        <f>IFERROR(__xludf.DUMMYFUNCTION("""COMPUTED_VALUE"""),92.0)</f>
        <v>92</v>
      </c>
      <c r="C115" s="67" t="str">
        <f>IFERROR(__xludf.DUMMYFUNCTION("""COMPUTED_VALUE"""),"Family")</f>
        <v>Family</v>
      </c>
      <c r="D115" s="79">
        <f>IFERROR(__xludf.DUMMYFUNCTION("""COMPUTED_VALUE"""),4476.22)</f>
        <v>4476.22</v>
      </c>
      <c r="E115" s="79">
        <f>IFERROR(__xludf.DUMMYFUNCTION("""COMPUTED_VALUE"""),6181.883183378)</f>
        <v>6181.883183</v>
      </c>
      <c r="F115" s="69">
        <f>IFERROR(__xludf.DUMMYFUNCTION("""COMPUTED_VALUE"""),2.68)</f>
        <v>2.68</v>
      </c>
      <c r="G115" s="78"/>
      <c r="H115" s="78">
        <f>IFERROR(__xludf.DUMMYFUNCTION("""COMPUTED_VALUE"""),7.0)</f>
        <v>7</v>
      </c>
      <c r="I115" s="78"/>
      <c r="J115" s="78"/>
      <c r="K115" s="76"/>
      <c r="L115" s="76" t="str">
        <f>IFERROR(__xludf.DUMMYFUNCTION("""COMPUTED_VALUE"""),"Dominican Republic")</f>
        <v>Dominican Republic</v>
      </c>
      <c r="M115" s="76" t="str">
        <f>IFERROR(__xludf.DUMMYFUNCTION("""COMPUTED_VALUE"""),"Bavaro")</f>
        <v>Bavaro</v>
      </c>
      <c r="N115" s="76" t="str">
        <f>IFERROR(__xludf.DUMMYFUNCTION("""COMPUTED_VALUE"""),"Punta Cana")</f>
        <v>Punta Cana</v>
      </c>
      <c r="O115" s="78" t="b">
        <f>IFERROR(__xludf.DUMMYFUNCTION("""COMPUTED_VALUE"""),TRUE)</f>
        <v>1</v>
      </c>
      <c r="P115" s="80">
        <f>IFERROR(__xludf.DUMMYFUNCTION("""COMPUTED_VALUE"""),0.02013888888888889)</f>
        <v>0.02013888889</v>
      </c>
      <c r="Q115" s="76" t="str">
        <f>IFERROR(__xludf.DUMMYFUNCTION("""COMPUTED_VALUE"""),"Majestic Resorts")</f>
        <v>Majestic Resorts</v>
      </c>
      <c r="R115" s="76" t="str">
        <f>IFERROR(__xludf.DUMMYFUNCTION("""COMPUTED_VALUE"""),"Modern, Romantic")</f>
        <v>Modern, Romantic</v>
      </c>
      <c r="S115" s="76" t="str">
        <f>IFERROR(__xludf.DUMMYFUNCTION("""COMPUTED_VALUE"""),"Beach, Great Food, Swim Out/Plunge Pool Rooms, Adults Only Rooms, Kids Club, Gym, Buffet, Swim Up Bar, Tennis, Nightclub, Spa, Wifi (Free), Babysitting, Adult Pool, Room Service, Evening Entertainment")</f>
        <v>Beach, Great Food, Swim Out/Plunge Pool Rooms, Adults Only Rooms, Kids Club, Gym, Buffet, Swim Up Bar, Tennis, Nightclub, Spa, Wifi (Free), Babysitting, Adult Pool, Room Service, Evening Entertainment</v>
      </c>
      <c r="T115" s="76"/>
      <c r="U115" s="76" t="str">
        <f>IFERROR(__xludf.DUMMYFUNCTION("""COMPUTED_VALUE"""),"1 King or 2 Queen")</f>
        <v>1 King or 2 Queen</v>
      </c>
      <c r="V115" s="74" t="b">
        <f>IFERROR(__xludf.DUMMYFUNCTION("""COMPUTED_VALUE"""),FALSE)</f>
        <v>0</v>
      </c>
      <c r="W115" s="74">
        <f>IFERROR(__xludf.DUMMYFUNCTION("""COMPUTED_VALUE"""),510.0)</f>
        <v>510</v>
      </c>
      <c r="X115" s="74">
        <f>IFERROR(__xludf.DUMMYFUNCTION("""COMPUTED_VALUE"""),2016.0)</f>
        <v>2016</v>
      </c>
      <c r="Y115" s="74"/>
      <c r="Z115" s="75"/>
    </row>
    <row r="116">
      <c r="A116" s="65" t="str">
        <f>IFERROR(__xludf.DUMMYFUNCTION("""COMPUTED_VALUE"""),"Premium Level at Barcelo Maya Palace")</f>
        <v>Premium Level at Barcelo Maya Palace</v>
      </c>
      <c r="B116" s="66">
        <f>IFERROR(__xludf.DUMMYFUNCTION("""COMPUTED_VALUE"""),92.0)</f>
        <v>92</v>
      </c>
      <c r="C116" s="67" t="str">
        <f>IFERROR(__xludf.DUMMYFUNCTION("""COMPUTED_VALUE"""),"Family")</f>
        <v>Family</v>
      </c>
      <c r="D116" s="79">
        <f>IFERROR(__xludf.DUMMYFUNCTION("""COMPUTED_VALUE"""),4865.21)</f>
        <v>4865.21</v>
      </c>
      <c r="E116" s="79">
        <f>IFERROR(__xludf.DUMMYFUNCTION("""COMPUTED_VALUE"""),6719.097783978999)</f>
        <v>6719.097784</v>
      </c>
      <c r="F116" s="69">
        <f>IFERROR(__xludf.DUMMYFUNCTION("""COMPUTED_VALUE"""),2.47)</f>
        <v>2.47</v>
      </c>
      <c r="G116" s="78"/>
      <c r="H116" s="78">
        <f>IFERROR(__xludf.DUMMYFUNCTION("""COMPUTED_VALUE"""),8.0)</f>
        <v>8</v>
      </c>
      <c r="I116" s="78"/>
      <c r="J116" s="78">
        <f>IFERROR(__xludf.DUMMYFUNCTION("""COMPUTED_VALUE"""),1.0)</f>
        <v>1</v>
      </c>
      <c r="K116" s="76"/>
      <c r="L116" s="76" t="str">
        <f>IFERROR(__xludf.DUMMYFUNCTION("""COMPUTED_VALUE"""),"Mexico")</f>
        <v>Mexico</v>
      </c>
      <c r="M116" s="76" t="str">
        <f>IFERROR(__xludf.DUMMYFUNCTION("""COMPUTED_VALUE"""),"Puerto Aventuras")</f>
        <v>Puerto Aventuras</v>
      </c>
      <c r="N116" s="76" t="str">
        <f>IFERROR(__xludf.DUMMYFUNCTION("""COMPUTED_VALUE"""),"Cancun")</f>
        <v>Cancun</v>
      </c>
      <c r="O116" s="78" t="b">
        <f>IFERROR(__xludf.DUMMYFUNCTION("""COMPUTED_VALUE"""),TRUE)</f>
        <v>1</v>
      </c>
      <c r="P116" s="80">
        <f>IFERROR(__xludf.DUMMYFUNCTION("""COMPUTED_VALUE"""),0.04236111111111111)</f>
        <v>0.04236111111</v>
      </c>
      <c r="Q116" s="76" t="str">
        <f>IFERROR(__xludf.DUMMYFUNCTION("""COMPUTED_VALUE"""),"Barcelo")</f>
        <v>Barcelo</v>
      </c>
      <c r="R116" s="76" t="str">
        <f>IFERROR(__xludf.DUMMYFUNCTION("""COMPUTED_VALUE"""),"Trendy, Charming")</f>
        <v>Trendy, Charming</v>
      </c>
      <c r="S116" s="76" t="str">
        <f>IFERROR(__xludf.DUMMYFUNCTION("""COMPUTED_VALUE"""),"Beach, Kids Club, Teen Club, Lazy River, Kids Waterpark, Pool Slide, Water Feature, Heated Pool, Gym, Diving, Wifi (Paid), Buffet, Tennis, Evening Entertainment, Nightclub, Spa, Babysitting, Adult Pool, Swim Up Bar, Snorkelling")</f>
        <v>Beach, Kids Club, Teen Club, Lazy River, Kids Waterpark, Pool Slide, Water Feature, Heated Pool, Gym, Diving, Wifi (Paid), Buffet, Tennis, Evening Entertainment, Nightclub, Spa, Babysitting, Adult Pool, Swim Up Bar, Snorkelling</v>
      </c>
      <c r="T116" s="76" t="str">
        <f>IFERROR(__xludf.DUMMYFUNCTION("""COMPUTED_VALUE"""),"Can't Book Two Rooms")</f>
        <v>Can't Book Two Rooms</v>
      </c>
      <c r="U116" s="76" t="str">
        <f>IFERROR(__xludf.DUMMYFUNCTION("""COMPUTED_VALUE"""),"1 King or 2 Double")</f>
        <v>1 King or 2 Double</v>
      </c>
      <c r="V116" s="78" t="b">
        <f>IFERROR(__xludf.DUMMYFUNCTION("""COMPUTED_VALUE"""),FALSE)</f>
        <v>0</v>
      </c>
      <c r="W116" s="78">
        <f>IFERROR(__xludf.DUMMYFUNCTION("""COMPUTED_VALUE"""),756.0)</f>
        <v>756</v>
      </c>
      <c r="X116" s="78">
        <f>IFERROR(__xludf.DUMMYFUNCTION("""COMPUTED_VALUE"""),2007.0)</f>
        <v>2007</v>
      </c>
      <c r="Y116" s="74"/>
      <c r="Z116" s="81">
        <f>IFERROR(__xludf.DUMMYFUNCTION("""COMPUTED_VALUE"""),3.0)</f>
        <v>3</v>
      </c>
    </row>
    <row r="117">
      <c r="A117" s="65" t="str">
        <f>IFERROR(__xludf.DUMMYFUNCTION("""COMPUTED_VALUE"""),"Marquis Los Cabos")</f>
        <v>Marquis Los Cabos</v>
      </c>
      <c r="B117" s="66">
        <f>IFERROR(__xludf.DUMMYFUNCTION("""COMPUTED_VALUE"""),92.0)</f>
        <v>92</v>
      </c>
      <c r="C117" s="67" t="str">
        <f>IFERROR(__xludf.DUMMYFUNCTION("""COMPUTED_VALUE"""),"Adults Only")</f>
        <v>Adults Only</v>
      </c>
      <c r="D117" s="79">
        <f>IFERROR(__xludf.DUMMYFUNCTION("""COMPUTED_VALUE"""),6326.0)</f>
        <v>6326</v>
      </c>
      <c r="E117" s="79">
        <f>IFERROR(__xludf.DUMMYFUNCTION("""COMPUTED_VALUE"""),8736.521667399998)</f>
        <v>8736.521667</v>
      </c>
      <c r="F117" s="69">
        <f>IFERROR(__xludf.DUMMYFUNCTION("""COMPUTED_VALUE"""),1.9)</f>
        <v>1.9</v>
      </c>
      <c r="G117" s="78">
        <f>IFERROR(__xludf.DUMMYFUNCTION("""COMPUTED_VALUE"""),4.0)</f>
        <v>4</v>
      </c>
      <c r="H117" s="78">
        <f>IFERROR(__xludf.DUMMYFUNCTION("""COMPUTED_VALUE"""),8.0)</f>
        <v>8</v>
      </c>
      <c r="I117" s="78"/>
      <c r="J117" s="78">
        <f>IFERROR(__xludf.DUMMYFUNCTION("""COMPUTED_VALUE"""),5.0)</f>
        <v>5</v>
      </c>
      <c r="K117" s="71"/>
      <c r="L117" s="76" t="str">
        <f>IFERROR(__xludf.DUMMYFUNCTION("""COMPUTED_VALUE"""),"Mexico")</f>
        <v>Mexico</v>
      </c>
      <c r="M117" s="76" t="str">
        <f>IFERROR(__xludf.DUMMYFUNCTION("""COMPUTED_VALUE"""),"San Jose del Cabo")</f>
        <v>San Jose del Cabo</v>
      </c>
      <c r="N117" s="76" t="str">
        <f>IFERROR(__xludf.DUMMYFUNCTION("""COMPUTED_VALUE"""),"Los Cabos")</f>
        <v>Los Cabos</v>
      </c>
      <c r="O117" s="78" t="b">
        <f>IFERROR(__xludf.DUMMYFUNCTION("""COMPUTED_VALUE"""),TRUE)</f>
        <v>1</v>
      </c>
      <c r="P117" s="80">
        <f>IFERROR(__xludf.DUMMYFUNCTION("""COMPUTED_VALUE"""),0.01875)</f>
        <v>0.01875</v>
      </c>
      <c r="Q117" s="76"/>
      <c r="R117" s="76" t="str">
        <f>IFERROR(__xludf.DUMMYFUNCTION("""COMPUTED_VALUE"""),"Great View, Green")</f>
        <v>Great View, Green</v>
      </c>
      <c r="S117" s="76" t="str">
        <f>IFERROR(__xludf.DUMMYFUNCTION("""COMPUTED_VALUE"""),"Beach, Swim Out/Plunge Pool Rooms, Heated Pool, Gym, Buffet, Casino, Golf Course, Tennis, Evening Entertainment, Nightclub, Spa, Wifi (Free), Pets Allowed, Room Service, Diving, Horseback Riding, Fishing")</f>
        <v>Beach, Swim Out/Plunge Pool Rooms, Heated Pool, Gym, Buffet, Casino, Golf Course, Tennis, Evening Entertainment, Nightclub, Spa, Wifi (Free), Pets Allowed, Room Service, Diving, Horseback Riding, Fishing</v>
      </c>
      <c r="T117" s="76"/>
      <c r="U117" s="76"/>
      <c r="V117" s="78" t="b">
        <f>IFERROR(__xludf.DUMMYFUNCTION("""COMPUTED_VALUE"""),TRUE)</f>
        <v>1</v>
      </c>
      <c r="W117" s="78">
        <f>IFERROR(__xludf.DUMMYFUNCTION("""COMPUTED_VALUE"""),235.0)</f>
        <v>235</v>
      </c>
      <c r="X117" s="78">
        <f>IFERROR(__xludf.DUMMYFUNCTION("""COMPUTED_VALUE"""),2003.0)</f>
        <v>2003</v>
      </c>
      <c r="Y117" s="74">
        <f>IFERROR(__xludf.DUMMYFUNCTION("""COMPUTED_VALUE"""),2015.0)</f>
        <v>2015</v>
      </c>
      <c r="Z117" s="81">
        <f>IFERROR(__xludf.DUMMYFUNCTION("""COMPUTED_VALUE"""),5.0)</f>
        <v>5</v>
      </c>
    </row>
    <row r="118">
      <c r="A118" s="65" t="str">
        <f>IFERROR(__xludf.DUMMYFUNCTION("""COMPUTED_VALUE"""),"Zoetry Villa Rolandi Isla Mujeres Cancun")</f>
        <v>Zoetry Villa Rolandi Isla Mujeres Cancun</v>
      </c>
      <c r="B118" s="66">
        <f>IFERROR(__xludf.DUMMYFUNCTION("""COMPUTED_VALUE"""),92.0)</f>
        <v>92</v>
      </c>
      <c r="C118" s="67" t="str">
        <f>IFERROR(__xludf.DUMMYFUNCTION("""COMPUTED_VALUE"""),"Adults Only")</f>
        <v>Adults Only</v>
      </c>
      <c r="D118" s="79">
        <f>IFERROR(__xludf.DUMMYFUNCTION("""COMPUTED_VALUE"""),7266.0)</f>
        <v>7266</v>
      </c>
      <c r="E118" s="79">
        <f>IFERROR(__xludf.DUMMYFUNCTION("""COMPUTED_VALUE"""),10034.7085734)</f>
        <v>10034.70857</v>
      </c>
      <c r="F118" s="69">
        <f>IFERROR(__xludf.DUMMYFUNCTION("""COMPUTED_VALUE"""),1.65)</f>
        <v>1.65</v>
      </c>
      <c r="G118" s="78"/>
      <c r="H118" s="78">
        <f>IFERROR(__xludf.DUMMYFUNCTION("""COMPUTED_VALUE"""),8.0)</f>
        <v>8</v>
      </c>
      <c r="I118" s="78" t="str">
        <f>IFERROR(__xludf.DUMMYFUNCTION("""COMPUTED_VALUE"""),"D")</f>
        <v>D</v>
      </c>
      <c r="J118" s="78">
        <f>IFERROR(__xludf.DUMMYFUNCTION("""COMPUTED_VALUE"""),5.0)</f>
        <v>5</v>
      </c>
      <c r="K118" s="76"/>
      <c r="L118" s="76" t="str">
        <f>IFERROR(__xludf.DUMMYFUNCTION("""COMPUTED_VALUE"""),"Mexico")</f>
        <v>Mexico</v>
      </c>
      <c r="M118" s="76" t="str">
        <f>IFERROR(__xludf.DUMMYFUNCTION("""COMPUTED_VALUE"""),"Isla Mujeres")</f>
        <v>Isla Mujeres</v>
      </c>
      <c r="N118" s="76" t="str">
        <f>IFERROR(__xludf.DUMMYFUNCTION("""COMPUTED_VALUE"""),"Cancun")</f>
        <v>Cancun</v>
      </c>
      <c r="O118" s="78" t="b">
        <f>IFERROR(__xludf.DUMMYFUNCTION("""COMPUTED_VALUE"""),TRUE)</f>
        <v>1</v>
      </c>
      <c r="P118" s="80">
        <f>IFERROR(__xludf.DUMMYFUNCTION("""COMPUTED_VALUE"""),0.05763888888888889)</f>
        <v>0.05763888889</v>
      </c>
      <c r="Q118" s="76" t="str">
        <f>IFERROR(__xludf.DUMMYFUNCTION("""COMPUTED_VALUE"""),"Hyatt")</f>
        <v>Hyatt</v>
      </c>
      <c r="R118" s="76" t="str">
        <f>IFERROR(__xludf.DUMMYFUNCTION("""COMPUTED_VALUE"""),"Quiet, Great View")</f>
        <v>Quiet, Great View</v>
      </c>
      <c r="S118" s="76" t="str">
        <f>IFERROR(__xludf.DUMMYFUNCTION("""COMPUTED_VALUE"""),"Beach, Heated Pool, Gym, Diving, Yoga Classes, Fishing, Wifi (Free), Spa, Room Service, Snorkelling")</f>
        <v>Beach, Heated Pool, Gym, Diving, Yoga Classes, Fishing, Wifi (Free), Spa, Room Service, Snorkelling</v>
      </c>
      <c r="T118" s="76"/>
      <c r="U118" s="76"/>
      <c r="V118" s="78" t="b">
        <f>IFERROR(__xludf.DUMMYFUNCTION("""COMPUTED_VALUE"""),FALSE)</f>
        <v>0</v>
      </c>
      <c r="W118" s="78">
        <f>IFERROR(__xludf.DUMMYFUNCTION("""COMPUTED_VALUE"""),35.0)</f>
        <v>35</v>
      </c>
      <c r="X118" s="78">
        <f>IFERROR(__xludf.DUMMYFUNCTION("""COMPUTED_VALUE"""),1999.0)</f>
        <v>1999</v>
      </c>
      <c r="Y118" s="78">
        <f>IFERROR(__xludf.DUMMYFUNCTION("""COMPUTED_VALUE"""),2015.0)</f>
        <v>2015</v>
      </c>
      <c r="Z118" s="81">
        <f>IFERROR(__xludf.DUMMYFUNCTION("""COMPUTED_VALUE"""),3.0)</f>
        <v>3</v>
      </c>
    </row>
    <row r="119">
      <c r="A119" s="65" t="str">
        <f>IFERROR(__xludf.DUMMYFUNCTION("""COMPUTED_VALUE"""),"Sunset at the Palms")</f>
        <v>Sunset at the Palms</v>
      </c>
      <c r="B119" s="66">
        <f>IFERROR(__xludf.DUMMYFUNCTION("""COMPUTED_VALUE"""),92.0)</f>
        <v>92</v>
      </c>
      <c r="C119" s="67" t="str">
        <f>IFERROR(__xludf.DUMMYFUNCTION("""COMPUTED_VALUE"""),"Adults Only")</f>
        <v>Adults Only</v>
      </c>
      <c r="D119" s="79">
        <f>IFERROR(__xludf.DUMMYFUNCTION("""COMPUTED_VALUE"""),8936.08)</f>
        <v>8936.08</v>
      </c>
      <c r="E119" s="79">
        <f>IFERROR(__xludf.DUMMYFUNCTION("""COMPUTED_VALUE"""),12341.172390392)</f>
        <v>12341.17239</v>
      </c>
      <c r="F119" s="69">
        <f>IFERROR(__xludf.DUMMYFUNCTION("""COMPUTED_VALUE"""),1.34)</f>
        <v>1.34</v>
      </c>
      <c r="G119" s="78"/>
      <c r="H119" s="78">
        <f>IFERROR(__xludf.DUMMYFUNCTION("""COMPUTED_VALUE"""),7.0)</f>
        <v>7</v>
      </c>
      <c r="I119" s="78"/>
      <c r="J119" s="78">
        <f>IFERROR(__xludf.DUMMYFUNCTION("""COMPUTED_VALUE"""),4.0)</f>
        <v>4</v>
      </c>
      <c r="K119" s="76"/>
      <c r="L119" s="76" t="str">
        <f>IFERROR(__xludf.DUMMYFUNCTION("""COMPUTED_VALUE"""),"Jamaica")</f>
        <v>Jamaica</v>
      </c>
      <c r="M119" s="76" t="str">
        <f>IFERROR(__xludf.DUMMYFUNCTION("""COMPUTED_VALUE"""),"Negril")</f>
        <v>Negril</v>
      </c>
      <c r="N119" s="76" t="str">
        <f>IFERROR(__xludf.DUMMYFUNCTION("""COMPUTED_VALUE"""),"Sangster")</f>
        <v>Sangster</v>
      </c>
      <c r="O119" s="78" t="b">
        <f>IFERROR(__xludf.DUMMYFUNCTION("""COMPUTED_VALUE"""),TRUE)</f>
        <v>1</v>
      </c>
      <c r="P119" s="80">
        <f>IFERROR(__xludf.DUMMYFUNCTION("""COMPUTED_VALUE"""),0.052083333333333336)</f>
        <v>0.05208333333</v>
      </c>
      <c r="Q119" s="76"/>
      <c r="R119" s="76" t="str">
        <f>IFERROR(__xludf.DUMMYFUNCTION("""COMPUTED_VALUE"""),"Charming, Romantic")</f>
        <v>Charming, Romantic</v>
      </c>
      <c r="S119" s="76" t="str">
        <f>IFERROR(__xludf.DUMMYFUNCTION("""COMPUTED_VALUE"""),"Beach, Great Beach, Gym, Diving, Buffet, Swim Up Bar, Snorkelling, Evening Entertainment, Room Service, Watersports Equipment Rentals, Spa")</f>
        <v>Beach, Great Beach, Gym, Diving, Buffet, Swim Up Bar, Snorkelling, Evening Entertainment, Room Service, Watersports Equipment Rentals, Spa</v>
      </c>
      <c r="T119" s="76"/>
      <c r="U119" s="76"/>
      <c r="V119" s="78" t="b">
        <f>IFERROR(__xludf.DUMMYFUNCTION("""COMPUTED_VALUE"""),FALSE)</f>
        <v>0</v>
      </c>
      <c r="W119" s="78">
        <f>IFERROR(__xludf.DUMMYFUNCTION("""COMPUTED_VALUE"""),85.0)</f>
        <v>85</v>
      </c>
      <c r="X119" s="78">
        <f>IFERROR(__xludf.DUMMYFUNCTION("""COMPUTED_VALUE"""),1986.0)</f>
        <v>1986</v>
      </c>
      <c r="Y119" s="78">
        <f>IFERROR(__xludf.DUMMYFUNCTION("""COMPUTED_VALUE"""),2007.0)</f>
        <v>2007</v>
      </c>
      <c r="Z119" s="81">
        <f>IFERROR(__xludf.DUMMYFUNCTION("""COMPUTED_VALUE"""),1.0)</f>
        <v>1</v>
      </c>
    </row>
    <row r="120">
      <c r="A120" s="65" t="str">
        <f>IFERROR(__xludf.DUMMYFUNCTION("""COMPUTED_VALUE"""),"Villa Premiere Boutique Hotel &amp; Romantic Getaway")</f>
        <v>Villa Premiere Boutique Hotel &amp; Romantic Getaway</v>
      </c>
      <c r="B120" s="66">
        <f>IFERROR(__xludf.DUMMYFUNCTION("""COMPUTED_VALUE"""),91.8)</f>
        <v>91.8</v>
      </c>
      <c r="C120" s="67" t="str">
        <f>IFERROR(__xludf.DUMMYFUNCTION("""COMPUTED_VALUE"""),"Adults Only")</f>
        <v>Adults Only</v>
      </c>
      <c r="D120" s="79">
        <f>IFERROR(__xludf.DUMMYFUNCTION("""COMPUTED_VALUE"""),3821.67)</f>
        <v>3821.67</v>
      </c>
      <c r="E120" s="79">
        <f>IFERROR(__xludf.DUMMYFUNCTION("""COMPUTED_VALUE"""),5277.916971332999)</f>
        <v>5277.916971</v>
      </c>
      <c r="F120" s="69">
        <f>IFERROR(__xludf.DUMMYFUNCTION("""COMPUTED_VALUE"""),3.09)</f>
        <v>3.09</v>
      </c>
      <c r="G120" s="78">
        <f>IFERROR(__xludf.DUMMYFUNCTION("""COMPUTED_VALUE"""),4.0)</f>
        <v>4</v>
      </c>
      <c r="H120" s="78">
        <f>IFERROR(__xludf.DUMMYFUNCTION("""COMPUTED_VALUE"""),7.0)</f>
        <v>7</v>
      </c>
      <c r="I120" s="78"/>
      <c r="J120" s="78">
        <f>IFERROR(__xludf.DUMMYFUNCTION("""COMPUTED_VALUE"""),5.0)</f>
        <v>5</v>
      </c>
      <c r="K120" s="71"/>
      <c r="L120" s="76" t="str">
        <f>IFERROR(__xludf.DUMMYFUNCTION("""COMPUTED_VALUE"""),"Mexico")</f>
        <v>Mexico</v>
      </c>
      <c r="M120" s="76" t="str">
        <f>IFERROR(__xludf.DUMMYFUNCTION("""COMPUTED_VALUE"""),"Puerto Vallarta")</f>
        <v>Puerto Vallarta</v>
      </c>
      <c r="N120" s="76" t="str">
        <f>IFERROR(__xludf.DUMMYFUNCTION("""COMPUTED_VALUE"""),"Ordaz")</f>
        <v>Ordaz</v>
      </c>
      <c r="O120" s="78" t="b">
        <f>IFERROR(__xludf.DUMMYFUNCTION("""COMPUTED_VALUE"""),TRUE)</f>
        <v>1</v>
      </c>
      <c r="P120" s="80">
        <f>IFERROR(__xludf.DUMMYFUNCTION("""COMPUTED_VALUE"""),0.013194444444444444)</f>
        <v>0.01319444444</v>
      </c>
      <c r="Q120" s="76" t="str">
        <f>IFERROR(__xludf.DUMMYFUNCTION("""COMPUTED_VALUE"""),"Buena Aventura Hoteles")</f>
        <v>Buena Aventura Hoteles</v>
      </c>
      <c r="R120" s="76" t="str">
        <f>IFERROR(__xludf.DUMMYFUNCTION("""COMPUTED_VALUE"""),"Charming, Romantic")</f>
        <v>Charming, Romantic</v>
      </c>
      <c r="S120" s="76" t="str">
        <f>IFERROR(__xludf.DUMMYFUNCTION("""COMPUTED_VALUE"""),"Beach, Heated Pool, Gym, Bicycles Available, Yoga Classes, Swim Up Bar, Hiking, Snorkelling, Evening Entertainment, Spa, Wifi (Free), Room Service, Diving, Horseback Riding, Fishing")</f>
        <v>Beach, Heated Pool, Gym, Bicycles Available, Yoga Classes, Swim Up Bar, Hiking, Snorkelling, Evening Entertainment, Spa, Wifi (Free), Room Service, Diving, Horseback Riding, Fishing</v>
      </c>
      <c r="T120" s="76"/>
      <c r="U120" s="76"/>
      <c r="V120" s="78" t="b">
        <f>IFERROR(__xludf.DUMMYFUNCTION("""COMPUTED_VALUE"""),TRUE)</f>
        <v>1</v>
      </c>
      <c r="W120" s="78">
        <f>IFERROR(__xludf.DUMMYFUNCTION("""COMPUTED_VALUE"""),80.0)</f>
        <v>80</v>
      </c>
      <c r="X120" s="78">
        <f>IFERROR(__xludf.DUMMYFUNCTION("""COMPUTED_VALUE"""),1999.0)</f>
        <v>1999</v>
      </c>
      <c r="Y120" s="78">
        <f>IFERROR(__xludf.DUMMYFUNCTION("""COMPUTED_VALUE"""),2017.0)</f>
        <v>2017</v>
      </c>
      <c r="Z120" s="81">
        <f>IFERROR(__xludf.DUMMYFUNCTION("""COMPUTED_VALUE"""),8.0)</f>
        <v>8</v>
      </c>
    </row>
    <row r="121">
      <c r="A121" s="65" t="str">
        <f>IFERROR(__xludf.DUMMYFUNCTION("""COMPUTED_VALUE"""),"El Cid Marina Beach Hotel")</f>
        <v>El Cid Marina Beach Hotel</v>
      </c>
      <c r="B121" s="66">
        <f>IFERROR(__xludf.DUMMYFUNCTION("""COMPUTED_VALUE"""),91.8)</f>
        <v>91.8</v>
      </c>
      <c r="C121" s="67" t="str">
        <f>IFERROR(__xludf.DUMMYFUNCTION("""COMPUTED_VALUE"""),"Family")</f>
        <v>Family</v>
      </c>
      <c r="D121" s="85">
        <f>IFERROR(__xludf.DUMMYFUNCTION("""COMPUTED_VALUE"""),4840.32)</f>
        <v>4840.32</v>
      </c>
      <c r="E121" s="79">
        <f>IFERROR(__xludf.DUMMYFUNCTION("""COMPUTED_VALUE"""),6684.723451967999)</f>
        <v>6684.723452</v>
      </c>
      <c r="F121" s="69">
        <f>IFERROR(__xludf.DUMMYFUNCTION("""COMPUTED_VALUE"""),2.44)</f>
        <v>2.44</v>
      </c>
      <c r="G121" s="70">
        <f>IFERROR(__xludf.DUMMYFUNCTION("""COMPUTED_VALUE"""),3.0)</f>
        <v>3</v>
      </c>
      <c r="H121" s="70">
        <f>IFERROR(__xludf.DUMMYFUNCTION("""COMPUTED_VALUE"""),6.0)</f>
        <v>6</v>
      </c>
      <c r="I121" s="70"/>
      <c r="J121" s="78">
        <f>IFERROR(__xludf.DUMMYFUNCTION("""COMPUTED_VALUE"""),4.5)</f>
        <v>4.5</v>
      </c>
      <c r="K121" s="71"/>
      <c r="L121" s="76" t="str">
        <f>IFERROR(__xludf.DUMMYFUNCTION("""COMPUTED_VALUE"""),"Mexico")</f>
        <v>Mexico</v>
      </c>
      <c r="M121" s="76" t="str">
        <f>IFERROR(__xludf.DUMMYFUNCTION("""COMPUTED_VALUE"""),"Mazatlan")</f>
        <v>Mazatlan</v>
      </c>
      <c r="N121" s="76" t="str">
        <f>IFERROR(__xludf.DUMMYFUNCTION("""COMPUTED_VALUE"""),"Gen Rafael Buelna")</f>
        <v>Gen Rafael Buelna</v>
      </c>
      <c r="O121" s="78" t="b">
        <f>IFERROR(__xludf.DUMMYFUNCTION("""COMPUTED_VALUE"""),FALSE)</f>
        <v>0</v>
      </c>
      <c r="P121" s="80">
        <f>IFERROR(__xludf.DUMMYFUNCTION("""COMPUTED_VALUE"""),0.020833333333333332)</f>
        <v>0.02083333333</v>
      </c>
      <c r="Q121" s="76" t="str">
        <f>IFERROR(__xludf.DUMMYFUNCTION("""COMPUTED_VALUE"""),"El Cid Resorts")</f>
        <v>El Cid Resorts</v>
      </c>
      <c r="R121" s="71" t="str">
        <f>IFERROR(__xludf.DUMMYFUNCTION("""COMPUTED_VALUE"""),"Marina View, Harbour View")</f>
        <v>Marina View, Harbour View</v>
      </c>
      <c r="S121" s="76" t="str">
        <f>IFERROR(__xludf.DUMMYFUNCTION("""COMPUTED_VALUE"""),"Beach, Pool Slide, Water Feature, Heated Pool, Gym, Golf Course, Evening Entertainment, Kids Club, Spa, Babysitting, Wifi (Paid), Buffet, Swim Up Bar, Tennis, Fishing")</f>
        <v>Beach, Pool Slide, Water Feature, Heated Pool, Gym, Golf Course, Evening Entertainment, Kids Club, Spa, Babysitting, Wifi (Paid), Buffet, Swim Up Bar, Tennis, Fishing</v>
      </c>
      <c r="T121" s="76"/>
      <c r="U121" s="76" t="str">
        <f>IFERROR(__xludf.DUMMYFUNCTION("""COMPUTED_VALUE"""),"2 Queen")</f>
        <v>2 Queen</v>
      </c>
      <c r="V121" s="78" t="b">
        <f>IFERROR(__xludf.DUMMYFUNCTION("""COMPUTED_VALUE"""),FALSE)</f>
        <v>0</v>
      </c>
      <c r="W121" s="78">
        <f>IFERROR(__xludf.DUMMYFUNCTION("""COMPUTED_VALUE"""),294.0)</f>
        <v>294</v>
      </c>
      <c r="X121" s="78">
        <f>IFERROR(__xludf.DUMMYFUNCTION("""COMPUTED_VALUE"""),1987.0)</f>
        <v>1987</v>
      </c>
      <c r="Y121" s="70">
        <f>IFERROR(__xludf.DUMMYFUNCTION("""COMPUTED_VALUE"""),2000.0)</f>
        <v>2000</v>
      </c>
      <c r="Z121" s="81">
        <f>IFERROR(__xludf.DUMMYFUNCTION("""COMPUTED_VALUE"""),27.0)</f>
        <v>27</v>
      </c>
    </row>
    <row r="122">
      <c r="A122" s="65" t="str">
        <f>IFERROR(__xludf.DUMMYFUNCTION("""COMPUTED_VALUE"""),"Couples Tower Isle (Nude areas, Couples only)")</f>
        <v>Couples Tower Isle (Nude areas, Couples only)</v>
      </c>
      <c r="B122" s="66">
        <f>IFERROR(__xludf.DUMMYFUNCTION("""COMPUTED_VALUE"""),91.7)</f>
        <v>91.7</v>
      </c>
      <c r="C122" s="67" t="str">
        <f>IFERROR(__xludf.DUMMYFUNCTION("""COMPUTED_VALUE"""),"Adults Only")</f>
        <v>Adults Only</v>
      </c>
      <c r="D122" s="79">
        <f>IFERROR(__xludf.DUMMYFUNCTION("""COMPUTED_VALUE"""),2694.0)</f>
        <v>2694</v>
      </c>
      <c r="E122" s="79">
        <f>IFERROR(__xludf.DUMMYFUNCTION("""COMPUTED_VALUE"""),3720.5484305999994)</f>
        <v>3720.548431</v>
      </c>
      <c r="F122" s="69">
        <f>IFERROR(__xludf.DUMMYFUNCTION("""COMPUTED_VALUE"""),4.34)</f>
        <v>4.34</v>
      </c>
      <c r="G122" s="78"/>
      <c r="H122" s="78">
        <f>IFERROR(__xludf.DUMMYFUNCTION("""COMPUTED_VALUE"""),7.0)</f>
        <v>7</v>
      </c>
      <c r="I122" s="78"/>
      <c r="J122" s="78">
        <f>IFERROR(__xludf.DUMMYFUNCTION("""COMPUTED_VALUE"""),5.0)</f>
        <v>5</v>
      </c>
      <c r="K122" s="71" t="str">
        <f>IFERROR(__xludf.DUMMYFUNCTION("""COMPUTED_VALUE"""),"Nude Areas, Couples Only")</f>
        <v>Nude Areas, Couples Only</v>
      </c>
      <c r="L122" s="76" t="str">
        <f>IFERROR(__xludf.DUMMYFUNCTION("""COMPUTED_VALUE"""),"Jamaica")</f>
        <v>Jamaica</v>
      </c>
      <c r="M122" s="76" t="str">
        <f>IFERROR(__xludf.DUMMYFUNCTION("""COMPUTED_VALUE"""),"Ochos Rios")</f>
        <v>Ochos Rios</v>
      </c>
      <c r="N122" s="76" t="str">
        <f>IFERROR(__xludf.DUMMYFUNCTION("""COMPUTED_VALUE"""),"Sangster")</f>
        <v>Sangster</v>
      </c>
      <c r="O122" s="78" t="b">
        <f>IFERROR(__xludf.DUMMYFUNCTION("""COMPUTED_VALUE"""),TRUE)</f>
        <v>1</v>
      </c>
      <c r="P122" s="80">
        <f>IFERROR(__xludf.DUMMYFUNCTION("""COMPUTED_VALUE"""),0.06666666666666667)</f>
        <v>0.06666666667</v>
      </c>
      <c r="Q122" s="76" t="str">
        <f>IFERROR(__xludf.DUMMYFUNCTION("""COMPUTED_VALUE"""),"Couples Resorts")</f>
        <v>Couples Resorts</v>
      </c>
      <c r="R122" s="76"/>
      <c r="S122" s="76" t="str">
        <f>IFERROR(__xludf.DUMMYFUNCTION("""COMPUTED_VALUE"""),"Beach, Swim Out/Plunge Pool Rooms, Gym, Buffet, Diving, Tennis, Windsurfing, Evening Entertainment, Nightclub, Room Service, Swim Up Bar, Snorkelling, Watersports Equipment Rentals, Spa")</f>
        <v>Beach, Swim Out/Plunge Pool Rooms, Gym, Buffet, Diving, Tennis, Windsurfing, Evening Entertainment, Nightclub, Room Service, Swim Up Bar, Snorkelling, Watersports Equipment Rentals, Spa</v>
      </c>
      <c r="T122" s="76"/>
      <c r="U122" s="76"/>
      <c r="V122" s="78" t="b">
        <f>IFERROR(__xludf.DUMMYFUNCTION("""COMPUTED_VALUE"""),FALSE)</f>
        <v>0</v>
      </c>
      <c r="W122" s="78">
        <f>IFERROR(__xludf.DUMMYFUNCTION("""COMPUTED_VALUE"""),218.0)</f>
        <v>218</v>
      </c>
      <c r="X122" s="78">
        <f>IFERROR(__xludf.DUMMYFUNCTION("""COMPUTED_VALUE"""),1949.0)</f>
        <v>1949</v>
      </c>
      <c r="Y122" s="78">
        <f>IFERROR(__xludf.DUMMYFUNCTION("""COMPUTED_VALUE"""),2009.0)</f>
        <v>2009</v>
      </c>
      <c r="Z122" s="81">
        <f>IFERROR(__xludf.DUMMYFUNCTION("""COMPUTED_VALUE"""),5.0)</f>
        <v>5</v>
      </c>
    </row>
    <row r="123">
      <c r="A123" s="65" t="str">
        <f>IFERROR(__xludf.DUMMYFUNCTION("""COMPUTED_VALUE"""),"Sandos Finisterra")</f>
        <v>Sandos Finisterra</v>
      </c>
      <c r="B123" s="66">
        <f>IFERROR(__xludf.DUMMYFUNCTION("""COMPUTED_VALUE"""),91.7)</f>
        <v>91.7</v>
      </c>
      <c r="C123" s="67" t="str">
        <f>IFERROR(__xludf.DUMMYFUNCTION("""COMPUTED_VALUE"""),"Family")</f>
        <v>Family</v>
      </c>
      <c r="D123" s="79">
        <f>IFERROR(__xludf.DUMMYFUNCTION("""COMPUTED_VALUE"""),5144.02)</f>
        <v>5144.02</v>
      </c>
      <c r="E123" s="79">
        <f>IFERROR(__xludf.DUMMYFUNCTION("""COMPUTED_VALUE"""),7104.148306598)</f>
        <v>7104.148307</v>
      </c>
      <c r="F123" s="69">
        <f>IFERROR(__xludf.DUMMYFUNCTION("""COMPUTED_VALUE"""),2.27)</f>
        <v>2.27</v>
      </c>
      <c r="G123" s="78"/>
      <c r="H123" s="78">
        <f>IFERROR(__xludf.DUMMYFUNCTION("""COMPUTED_VALUE"""),6.0)</f>
        <v>6</v>
      </c>
      <c r="I123" s="78"/>
      <c r="J123" s="78">
        <f>IFERROR(__xludf.DUMMYFUNCTION("""COMPUTED_VALUE"""),5.0)</f>
        <v>5</v>
      </c>
      <c r="K123" s="76"/>
      <c r="L123" s="76" t="str">
        <f>IFERROR(__xludf.DUMMYFUNCTION("""COMPUTED_VALUE"""),"Mexico")</f>
        <v>Mexico</v>
      </c>
      <c r="M123" s="76" t="str">
        <f>IFERROR(__xludf.DUMMYFUNCTION("""COMPUTED_VALUE"""),"Los Cabos")</f>
        <v>Los Cabos</v>
      </c>
      <c r="N123" s="76" t="str">
        <f>IFERROR(__xludf.DUMMYFUNCTION("""COMPUTED_VALUE"""),"Los Cabos")</f>
        <v>Los Cabos</v>
      </c>
      <c r="O123" s="78" t="b">
        <f>IFERROR(__xludf.DUMMYFUNCTION("""COMPUTED_VALUE"""),TRUE)</f>
        <v>1</v>
      </c>
      <c r="P123" s="80">
        <f>IFERROR(__xludf.DUMMYFUNCTION("""COMPUTED_VALUE"""),0.027083333333333334)</f>
        <v>0.02708333333</v>
      </c>
      <c r="Q123" s="76" t="str">
        <f>IFERROR(__xludf.DUMMYFUNCTION("""COMPUTED_VALUE"""),"Sandos")</f>
        <v>Sandos</v>
      </c>
      <c r="R123" s="76" t="str">
        <f>IFERROR(__xludf.DUMMYFUNCTION("""COMPUTED_VALUE"""),"Bay View, Business")</f>
        <v>Bay View, Business</v>
      </c>
      <c r="S123" s="76" t="str">
        <f>IFERROR(__xludf.DUMMYFUNCTION("""COMPUTED_VALUE"""),"Beach, Heated Pool, Gym, Diving, Buffet, Swim Up Bar, Tennis, Fishing, Nightclub, Babysitting, Adult Pool, Room Service, Snorkelling, Evening Entertainment, Kids Club, Spa")</f>
        <v>Beach, Heated Pool, Gym, Diving, Buffet, Swim Up Bar, Tennis, Fishing, Nightclub, Babysitting, Adult Pool, Room Service, Snorkelling, Evening Entertainment, Kids Club, Spa</v>
      </c>
      <c r="T123" s="76"/>
      <c r="U123" s="76" t="str">
        <f>IFERROR(__xludf.DUMMYFUNCTION("""COMPUTED_VALUE"""),"1 King or 2 Double")</f>
        <v>1 King or 2 Double</v>
      </c>
      <c r="V123" s="74" t="b">
        <f>IFERROR(__xludf.DUMMYFUNCTION("""COMPUTED_VALUE"""),FALSE)</f>
        <v>0</v>
      </c>
      <c r="W123" s="74">
        <f>IFERROR(__xludf.DUMMYFUNCTION("""COMPUTED_VALUE"""),272.0)</f>
        <v>272</v>
      </c>
      <c r="X123" s="74">
        <f>IFERROR(__xludf.DUMMYFUNCTION("""COMPUTED_VALUE"""),1969.0)</f>
        <v>1969</v>
      </c>
      <c r="Y123" s="74">
        <f>IFERROR(__xludf.DUMMYFUNCTION("""COMPUTED_VALUE"""),2016.0)</f>
        <v>2016</v>
      </c>
      <c r="Z123" s="75">
        <f>IFERROR(__xludf.DUMMYFUNCTION("""COMPUTED_VALUE"""),8.0)</f>
        <v>8</v>
      </c>
    </row>
    <row r="124">
      <c r="A124" s="77" t="str">
        <f>IFERROR(__xludf.DUMMYFUNCTION("""COMPUTED_VALUE"""),"Iberostar Selection Hacienda Dominicus")</f>
        <v>Iberostar Selection Hacienda Dominicus</v>
      </c>
      <c r="B124" s="66">
        <f>IFERROR(__xludf.DUMMYFUNCTION("""COMPUTED_VALUE"""),91.7)</f>
        <v>91.7</v>
      </c>
      <c r="C124" s="78" t="str">
        <f>IFERROR(__xludf.DUMMYFUNCTION("""COMPUTED_VALUE"""),"Family")</f>
        <v>Family</v>
      </c>
      <c r="D124" s="68">
        <f>IFERROR(__xludf.DUMMYFUNCTION("""COMPUTED_VALUE"""),5436.82)</f>
        <v>5436.82</v>
      </c>
      <c r="E124" s="68">
        <f>IFERROR(__xludf.DUMMYFUNCTION("""COMPUTED_VALUE"""),7508.519717317999)</f>
        <v>7508.519717</v>
      </c>
      <c r="F124" s="69">
        <f>IFERROR(__xludf.DUMMYFUNCTION("""COMPUTED_VALUE"""),2.15)</f>
        <v>2.15</v>
      </c>
      <c r="G124" s="70"/>
      <c r="H124" s="70">
        <f>IFERROR(__xludf.DUMMYFUNCTION("""COMPUTED_VALUE"""),8.0)</f>
        <v>8</v>
      </c>
      <c r="I124" s="70"/>
      <c r="J124" s="70">
        <f>IFERROR(__xludf.DUMMYFUNCTION("""COMPUTED_VALUE"""),5.0)</f>
        <v>5</v>
      </c>
      <c r="K124" s="71"/>
      <c r="L124" s="72" t="str">
        <f>IFERROR(__xludf.DUMMYFUNCTION("""COMPUTED_VALUE"""),"Dominican Republic")</f>
        <v>Dominican Republic</v>
      </c>
      <c r="M124" s="72" t="str">
        <f>IFERROR(__xludf.DUMMYFUNCTION("""COMPUTED_VALUE"""),"Bayahibe")</f>
        <v>Bayahibe</v>
      </c>
      <c r="N124" s="76" t="str">
        <f>IFERROR(__xludf.DUMMYFUNCTION("""COMPUTED_VALUE"""),"Punta Cana")</f>
        <v>Punta Cana</v>
      </c>
      <c r="O124" s="70" t="b">
        <f>IFERROR(__xludf.DUMMYFUNCTION("""COMPUTED_VALUE"""),TRUE)</f>
        <v>1</v>
      </c>
      <c r="P124" s="73">
        <f>IFERROR(__xludf.DUMMYFUNCTION("""COMPUTED_VALUE"""),0.034722222222222224)</f>
        <v>0.03472222222</v>
      </c>
      <c r="Q124" s="71" t="str">
        <f>IFERROR(__xludf.DUMMYFUNCTION("""COMPUTED_VALUE"""),"IHG")</f>
        <v>IHG</v>
      </c>
      <c r="R124" s="71" t="str">
        <f>IFERROR(__xludf.DUMMYFUNCTION("""COMPUTED_VALUE"""),"Park View, Great View")</f>
        <v>Park View, Great View</v>
      </c>
      <c r="S124" s="71" t="str">
        <f>IFERROR(__xludf.DUMMYFUNCTION("""COMPUTED_VALUE"""),"Beach, Swim Out/Plunge Pool Rooms, Family Suite, 2 Bedroom Suites, Kids Club, Gym, Diving, Yoga Classes, Buffet, Swim Up Bar, Snorkelling, Spa, Babysitting, Tennis, Evening Entertainment, Nightclub")</f>
        <v>Beach, Swim Out/Plunge Pool Rooms, Family Suite, 2 Bedroom Suites, Kids Club, Gym, Diving, Yoga Classes, Buffet, Swim Up Bar, Snorkelling, Spa, Babysitting, Tennis, Evening Entertainment, Nightclub</v>
      </c>
      <c r="T124" s="71" t="str">
        <f>IFERROR(__xludf.DUMMYFUNCTION("""COMPUTED_VALUE"""),"Yes")</f>
        <v>Yes</v>
      </c>
      <c r="U124" s="71" t="str">
        <f>IFERROR(__xludf.DUMMYFUNCTION("""COMPUTED_VALUE"""),"1 King or 2 Double")</f>
        <v>1 King or 2 Double</v>
      </c>
      <c r="V124" s="74" t="b">
        <f>IFERROR(__xludf.DUMMYFUNCTION("""COMPUTED_VALUE"""),FALSE)</f>
        <v>0</v>
      </c>
      <c r="W124" s="74">
        <f>IFERROR(__xludf.DUMMYFUNCTION("""COMPUTED_VALUE"""),504.0)</f>
        <v>504</v>
      </c>
      <c r="X124" s="74"/>
      <c r="Y124" s="74"/>
      <c r="Z124" s="75"/>
    </row>
    <row r="125">
      <c r="A125" s="65" t="str">
        <f>IFERROR(__xludf.DUMMYFUNCTION("""COMPUTED_VALUE"""),"Grand Lido Negril Au-Naturel, An Autograph Collection All-Inclusive Resort - Adults Only (Clothing optional, Nude areas)")</f>
        <v>Grand Lido Negril Au-Naturel, An Autograph Collection All-Inclusive Resort - Adults Only (Clothing optional, Nude areas)</v>
      </c>
      <c r="B125" s="66">
        <f>IFERROR(__xludf.DUMMYFUNCTION("""COMPUTED_VALUE"""),91.7)</f>
        <v>91.7</v>
      </c>
      <c r="C125" s="67" t="str">
        <f>IFERROR(__xludf.DUMMYFUNCTION("""COMPUTED_VALUE"""),"Adults Only")</f>
        <v>Adults Only</v>
      </c>
      <c r="D125" s="79">
        <f>IFERROR(__xludf.DUMMYFUNCTION("""COMPUTED_VALUE"""),5935.93)</f>
        <v>5935.93</v>
      </c>
      <c r="E125" s="79">
        <f>IFERROR(__xludf.DUMMYFUNCTION("""COMPUTED_VALUE"""),8197.815532907)</f>
        <v>8197.815533</v>
      </c>
      <c r="F125" s="69">
        <f>IFERROR(__xludf.DUMMYFUNCTION("""COMPUTED_VALUE"""),1.97)</f>
        <v>1.97</v>
      </c>
      <c r="G125" s="78"/>
      <c r="H125" s="78">
        <f>IFERROR(__xludf.DUMMYFUNCTION("""COMPUTED_VALUE"""),7.0)</f>
        <v>7</v>
      </c>
      <c r="I125" s="78"/>
      <c r="J125" s="78">
        <f>IFERROR(__xludf.DUMMYFUNCTION("""COMPUTED_VALUE"""),4.0)</f>
        <v>4</v>
      </c>
      <c r="K125" s="71" t="str">
        <f>IFERROR(__xludf.DUMMYFUNCTION("""COMPUTED_VALUE"""),"Clothing Optional, Nude Areas")</f>
        <v>Clothing Optional, Nude Areas</v>
      </c>
      <c r="L125" s="76" t="str">
        <f>IFERROR(__xludf.DUMMYFUNCTION("""COMPUTED_VALUE"""),"Jamaica")</f>
        <v>Jamaica</v>
      </c>
      <c r="M125" s="76" t="str">
        <f>IFERROR(__xludf.DUMMYFUNCTION("""COMPUTED_VALUE"""),"Negril")</f>
        <v>Negril</v>
      </c>
      <c r="N125" s="76" t="str">
        <f>IFERROR(__xludf.DUMMYFUNCTION("""COMPUTED_VALUE"""),"Sangster")</f>
        <v>Sangster</v>
      </c>
      <c r="O125" s="78" t="b">
        <f>IFERROR(__xludf.DUMMYFUNCTION("""COMPUTED_VALUE"""),TRUE)</f>
        <v>1</v>
      </c>
      <c r="P125" s="80">
        <f>IFERROR(__xludf.DUMMYFUNCTION("""COMPUTED_VALUE"""),0.05416666666666667)</f>
        <v>0.05416666667</v>
      </c>
      <c r="Q125" s="76" t="str">
        <f>IFERROR(__xludf.DUMMYFUNCTION("""COMPUTED_VALUE"""),"Marriott")</f>
        <v>Marriott</v>
      </c>
      <c r="R125" s="76" t="str">
        <f>IFERROR(__xludf.DUMMYFUNCTION("""COMPUTED_VALUE"""),"Ocean View, Magnificent View")</f>
        <v>Ocean View, Magnificent View</v>
      </c>
      <c r="S125" s="76" t="str">
        <f>IFERROR(__xludf.DUMMYFUNCTION("""COMPUTED_VALUE"""),"Beach, Great Beach, Swim Out/Plunge Pool Rooms, Heated Pool, Gym, Buffet, Tennis, Nightclub, Wifi (Free), Swim Up Bar, Room Service, Snorkelling, Evening Entertainment, Spa")</f>
        <v>Beach, Great Beach, Swim Out/Plunge Pool Rooms, Heated Pool, Gym, Buffet, Tennis, Nightclub, Wifi (Free), Swim Up Bar, Room Service, Snorkelling, Evening Entertainment, Spa</v>
      </c>
      <c r="T125" s="76"/>
      <c r="U125" s="76"/>
      <c r="V125" s="78" t="b">
        <f>IFERROR(__xludf.DUMMYFUNCTION("""COMPUTED_VALUE"""),FALSE)</f>
        <v>0</v>
      </c>
      <c r="W125" s="78">
        <f>IFERROR(__xludf.DUMMYFUNCTION("""COMPUTED_VALUE"""),26.0)</f>
        <v>26</v>
      </c>
      <c r="X125" s="78"/>
      <c r="Y125" s="78"/>
      <c r="Z125" s="81"/>
    </row>
    <row r="126">
      <c r="A126" s="77" t="str">
        <f>IFERROR(__xludf.DUMMYFUNCTION("""COMPUTED_VALUE"""),"Iberostar Selection Coral Bávaro")</f>
        <v>Iberostar Selection Coral Bávaro</v>
      </c>
      <c r="B126" s="66">
        <f>IFERROR(__xludf.DUMMYFUNCTION("""COMPUTED_VALUE"""),91.7)</f>
        <v>91.7</v>
      </c>
      <c r="C126" s="78" t="str">
        <f>IFERROR(__xludf.DUMMYFUNCTION("""COMPUTED_VALUE"""),"Family")</f>
        <v>Family</v>
      </c>
      <c r="D126" s="68">
        <f>IFERROR(__xludf.DUMMYFUNCTION("""COMPUTED_VALUE"""),6479.1)</f>
        <v>6479.1</v>
      </c>
      <c r="E126" s="68">
        <f>IFERROR(__xludf.DUMMYFUNCTION("""COMPUTED_VALUE"""),8947.960407089999)</f>
        <v>8947.960407</v>
      </c>
      <c r="F126" s="69">
        <f>IFERROR(__xludf.DUMMYFUNCTION("""COMPUTED_VALUE"""),1.81)</f>
        <v>1.81</v>
      </c>
      <c r="G126" s="74"/>
      <c r="H126" s="74">
        <f>IFERROR(__xludf.DUMMYFUNCTION("""COMPUTED_VALUE"""),7.0)</f>
        <v>7</v>
      </c>
      <c r="I126" s="74"/>
      <c r="J126" s="74">
        <f>IFERROR(__xludf.DUMMYFUNCTION("""COMPUTED_VALUE"""),5.0)</f>
        <v>5</v>
      </c>
      <c r="K126" s="71"/>
      <c r="L126" s="72" t="str">
        <f>IFERROR(__xludf.DUMMYFUNCTION("""COMPUTED_VALUE"""),"Dominican Republic")</f>
        <v>Dominican Republic</v>
      </c>
      <c r="M126" s="72" t="str">
        <f>IFERROR(__xludf.DUMMYFUNCTION("""COMPUTED_VALUE"""),"Bavaro")</f>
        <v>Bavaro</v>
      </c>
      <c r="N126" s="72" t="str">
        <f>IFERROR(__xludf.DUMMYFUNCTION("""COMPUTED_VALUE"""),"Punta Cana")</f>
        <v>Punta Cana</v>
      </c>
      <c r="O126" s="74" t="b">
        <f>IFERROR(__xludf.DUMMYFUNCTION("""COMPUTED_VALUE"""),TRUE)</f>
        <v>1</v>
      </c>
      <c r="P126" s="73">
        <f>IFERROR(__xludf.DUMMYFUNCTION("""COMPUTED_VALUE"""),0.02013888888888889)</f>
        <v>0.02013888889</v>
      </c>
      <c r="Q126" s="71" t="str">
        <f>IFERROR(__xludf.DUMMYFUNCTION("""COMPUTED_VALUE"""),"IHG")</f>
        <v>IHG</v>
      </c>
      <c r="R126" s="76" t="str">
        <f>IFERROR(__xludf.DUMMYFUNCTION("""COMPUTED_VALUE"""),"Charming, Ocean View")</f>
        <v>Charming, Ocean View</v>
      </c>
      <c r="S126" s="76" t="str">
        <f>IFERROR(__xludf.DUMMYFUNCTION("""COMPUTED_VALUE"""),"Beach, Family Suite, 2 Bedroom Suites, Kids Club, Kids Waterpark, Gym, Casino, Snorkelling, Evening Entertainment, Wifi (Free), Babysitting, Buffet, Tennis, Nightclub, Spa")</f>
        <v>Beach, Family Suite, 2 Bedroom Suites, Kids Club, Kids Waterpark, Gym, Casino, Snorkelling, Evening Entertainment, Wifi (Free), Babysitting, Buffet, Tennis, Nightclub, Spa</v>
      </c>
      <c r="T126" s="72" t="str">
        <f>IFERROR(__xludf.DUMMYFUNCTION("""COMPUTED_VALUE"""),"Yes")</f>
        <v>Yes</v>
      </c>
      <c r="U126" s="72" t="str">
        <f>IFERROR(__xludf.DUMMYFUNCTION("""COMPUTED_VALUE"""),"2 King or 2 Double")</f>
        <v>2 King or 2 Double</v>
      </c>
      <c r="V126" s="74" t="b">
        <f>IFERROR(__xludf.DUMMYFUNCTION("""COMPUTED_VALUE"""),FALSE)</f>
        <v>0</v>
      </c>
      <c r="W126" s="74">
        <f>IFERROR(__xludf.DUMMYFUNCTION("""COMPUTED_VALUE"""),162.0)</f>
        <v>162</v>
      </c>
      <c r="X126" s="74">
        <f>IFERROR(__xludf.DUMMYFUNCTION("""COMPUTED_VALUE"""),2019.0)</f>
        <v>2019</v>
      </c>
      <c r="Y126" s="74"/>
      <c r="Z126" s="75"/>
    </row>
    <row r="127">
      <c r="A127" s="65" t="str">
        <f>IFERROR(__xludf.DUMMYFUNCTION("""COMPUTED_VALUE"""),"Aston Costa Verde Beach Resort")</f>
        <v>Aston Costa Verde Beach Resort</v>
      </c>
      <c r="B127" s="66">
        <f>IFERROR(__xludf.DUMMYFUNCTION("""COMPUTED_VALUE"""),91.5)</f>
        <v>91.5</v>
      </c>
      <c r="C127" s="67" t="str">
        <f>IFERROR(__xludf.DUMMYFUNCTION("""COMPUTED_VALUE"""),"Family")</f>
        <v>Family</v>
      </c>
      <c r="D127" s="79">
        <f>IFERROR(__xludf.DUMMYFUNCTION("""COMPUTED_VALUE"""),1396.5)</f>
        <v>1396.5</v>
      </c>
      <c r="E127" s="79">
        <f>IFERROR(__xludf.DUMMYFUNCTION("""COMPUTED_VALUE"""),1928.6361853499998)</f>
        <v>1928.636185</v>
      </c>
      <c r="F127" s="69">
        <f>IFERROR(__xludf.DUMMYFUNCTION("""COMPUTED_VALUE"""),8.23)</f>
        <v>8.23</v>
      </c>
      <c r="G127" s="78"/>
      <c r="H127" s="78"/>
      <c r="I127" s="78"/>
      <c r="J127" s="78">
        <f>IFERROR(__xludf.DUMMYFUNCTION("""COMPUTED_VALUE"""),4.0)</f>
        <v>4</v>
      </c>
      <c r="K127" s="71"/>
      <c r="L127" s="76" t="str">
        <f>IFERROR(__xludf.DUMMYFUNCTION("""COMPUTED_VALUE"""),"Cuba")</f>
        <v>Cuba</v>
      </c>
      <c r="M127" s="76" t="str">
        <f>IFERROR(__xludf.DUMMYFUNCTION("""COMPUTED_VALUE"""),"Rafael Freyre")</f>
        <v>Rafael Freyre</v>
      </c>
      <c r="N127" s="76" t="str">
        <f>IFERROR(__xludf.DUMMYFUNCTION("""COMPUTED_VALUE"""),"Holguin")</f>
        <v>Holguin</v>
      </c>
      <c r="O127" s="78" t="b">
        <f>IFERROR(__xludf.DUMMYFUNCTION("""COMPUTED_VALUE"""),TRUE)</f>
        <v>1</v>
      </c>
      <c r="P127" s="80">
        <f>IFERROR(__xludf.DUMMYFUNCTION("""COMPUTED_VALUE"""),0.04375)</f>
        <v>0.04375</v>
      </c>
      <c r="Q127" s="71"/>
      <c r="R127" s="76"/>
      <c r="S127" s="76" t="str">
        <f>IFERROR(__xludf.DUMMYFUNCTION("""COMPUTED_VALUE"""),"Beach, Kids Club, Teen Club, Babysitting, Buffet, Evening Entertainment, Gym, Tennis, Nightclub")</f>
        <v>Beach, Kids Club, Teen Club, Babysitting, Buffet, Evening Entertainment, Gym, Tennis, Nightclub</v>
      </c>
      <c r="T127" s="76"/>
      <c r="U127" s="76" t="str">
        <f>IFERROR(__xludf.DUMMYFUNCTION("""COMPUTED_VALUE"""),"1 King or 2 Twin")</f>
        <v>1 King or 2 Twin</v>
      </c>
      <c r="V127" s="78" t="b">
        <f>IFERROR(__xludf.DUMMYFUNCTION("""COMPUTED_VALUE"""),FALSE)</f>
        <v>0</v>
      </c>
      <c r="W127" s="78"/>
      <c r="X127" s="78"/>
      <c r="Y127" s="78"/>
      <c r="Z127" s="81"/>
    </row>
    <row r="128">
      <c r="A128" s="65" t="str">
        <f>IFERROR(__xludf.DUMMYFUNCTION("""COMPUTED_VALUE"""),"Meliá Costa Rey")</f>
        <v>Meliá Costa Rey</v>
      </c>
      <c r="B128" s="66">
        <f>IFERROR(__xludf.DUMMYFUNCTION("""COMPUTED_VALUE"""),91.5)</f>
        <v>91.5</v>
      </c>
      <c r="C128" s="67" t="str">
        <f>IFERROR(__xludf.DUMMYFUNCTION("""COMPUTED_VALUE"""),"Family")</f>
        <v>Family</v>
      </c>
      <c r="D128" s="68">
        <f>IFERROR(__xludf.DUMMYFUNCTION("""COMPUTED_VALUE"""),2100.0)</f>
        <v>2100</v>
      </c>
      <c r="E128" s="68">
        <f>IFERROR(__xludf.DUMMYFUNCTION("""COMPUTED_VALUE"""),2900.20479)</f>
        <v>2900.20479</v>
      </c>
      <c r="F128" s="69">
        <f>IFERROR(__xludf.DUMMYFUNCTION("""COMPUTED_VALUE"""),5.48)</f>
        <v>5.48</v>
      </c>
      <c r="G128" s="70"/>
      <c r="H128" s="70" t="str">
        <f>IFERROR(__xludf.DUMMYFUNCTION("""COMPUTED_VALUE"""),"NYR")</f>
        <v>NYR</v>
      </c>
      <c r="I128" s="70"/>
      <c r="J128" s="70">
        <f>IFERROR(__xludf.DUMMYFUNCTION("""COMPUTED_VALUE"""),5.0)</f>
        <v>5</v>
      </c>
      <c r="K128" s="76"/>
      <c r="L128" s="76" t="str">
        <f>IFERROR(__xludf.DUMMYFUNCTION("""COMPUTED_VALUE"""),"Cuba")</f>
        <v>Cuba</v>
      </c>
      <c r="M128" s="71" t="str">
        <f>IFERROR(__xludf.DUMMYFUNCTION("""COMPUTED_VALUE"""),"Cayo Coco")</f>
        <v>Cayo Coco</v>
      </c>
      <c r="N128" s="71" t="str">
        <f>IFERROR(__xludf.DUMMYFUNCTION("""COMPUTED_VALUE"""),"Cayo Coco")</f>
        <v>Cayo Coco</v>
      </c>
      <c r="O128" s="70" t="b">
        <f>IFERROR(__xludf.DUMMYFUNCTION("""COMPUTED_VALUE"""),TRUE)</f>
        <v>1</v>
      </c>
      <c r="P128" s="73">
        <f>IFERROR(__xludf.DUMMYFUNCTION("""COMPUTED_VALUE"""),0.011111111111111112)</f>
        <v>0.01111111111</v>
      </c>
      <c r="Q128" s="76" t="str">
        <f>IFERROR(__xludf.DUMMYFUNCTION("""COMPUTED_VALUE"""),"Melia")</f>
        <v>Melia</v>
      </c>
      <c r="R128" s="76" t="str">
        <f>IFERROR(__xludf.DUMMYFUNCTION("""COMPUTED_VALUE"""),"Modern, Family")</f>
        <v>Modern, Family</v>
      </c>
      <c r="S128" s="71" t="str">
        <f>IFERROR(__xludf.DUMMYFUNCTION("""COMPUTED_VALUE"""),"Beach, Gym, Diving, Adult Pool, Swim Up Bar, Watersports Equipment Rentals, Babysitting, Buffet, Evening Entertainment, Nightclub, Kids Club, Spa")</f>
        <v>Beach, Gym, Diving, Adult Pool, Swim Up Bar, Watersports Equipment Rentals, Babysitting, Buffet, Evening Entertainment, Nightclub, Kids Club, Spa</v>
      </c>
      <c r="T128" s="71"/>
      <c r="U128" s="71" t="str">
        <f>IFERROR(__xludf.DUMMYFUNCTION("""COMPUTED_VALUE"""),"2 Double")</f>
        <v>2 Double</v>
      </c>
      <c r="V128" s="70" t="b">
        <f>IFERROR(__xludf.DUMMYFUNCTION("""COMPUTED_VALUE"""),FALSE)</f>
        <v>0</v>
      </c>
      <c r="W128" s="70">
        <f>IFERROR(__xludf.DUMMYFUNCTION("""COMPUTED_VALUE"""),566.0)</f>
        <v>566</v>
      </c>
      <c r="X128" s="70">
        <f>IFERROR(__xludf.DUMMYFUNCTION("""COMPUTED_VALUE"""),2015.0)</f>
        <v>2015</v>
      </c>
      <c r="Y128" s="70"/>
      <c r="Z128" s="83">
        <f>IFERROR(__xludf.DUMMYFUNCTION("""COMPUTED_VALUE"""),3.0)</f>
        <v>3</v>
      </c>
    </row>
    <row r="129">
      <c r="A129" s="65" t="str">
        <f>IFERROR(__xludf.DUMMYFUNCTION("""COMPUTED_VALUE"""),"Melia Buenavista All Inclusive The Level &amp; Spa")</f>
        <v>Melia Buenavista All Inclusive The Level &amp; Spa</v>
      </c>
      <c r="B129" s="66">
        <f>IFERROR(__xludf.DUMMYFUNCTION("""COMPUTED_VALUE"""),91.5)</f>
        <v>91.5</v>
      </c>
      <c r="C129" s="67" t="str">
        <f>IFERROR(__xludf.DUMMYFUNCTION("""COMPUTED_VALUE"""),"Adults Only")</f>
        <v>Adults Only</v>
      </c>
      <c r="D129" s="79">
        <f>IFERROR(__xludf.DUMMYFUNCTION("""COMPUTED_VALUE"""),2177.0)</f>
        <v>2177</v>
      </c>
      <c r="E129" s="79">
        <f>IFERROR(__xludf.DUMMYFUNCTION("""COMPUTED_VALUE"""),3006.5456323)</f>
        <v>3006.545632</v>
      </c>
      <c r="F129" s="69">
        <f>IFERROR(__xludf.DUMMYFUNCTION("""COMPUTED_VALUE"""),5.28)</f>
        <v>5.28</v>
      </c>
      <c r="G129" s="78"/>
      <c r="H129" s="78">
        <f>IFERROR(__xludf.DUMMYFUNCTION("""COMPUTED_VALUE"""),7.0)</f>
        <v>7</v>
      </c>
      <c r="I129" s="78"/>
      <c r="J129" s="78">
        <f>IFERROR(__xludf.DUMMYFUNCTION("""COMPUTED_VALUE"""),5.0)</f>
        <v>5</v>
      </c>
      <c r="K129" s="76"/>
      <c r="L129" s="76" t="str">
        <f>IFERROR(__xludf.DUMMYFUNCTION("""COMPUTED_VALUE"""),"Cuba")</f>
        <v>Cuba</v>
      </c>
      <c r="M129" s="76" t="str">
        <f>IFERROR(__xludf.DUMMYFUNCTION("""COMPUTED_VALUE"""),"Cayo Santa Maria")</f>
        <v>Cayo Santa Maria</v>
      </c>
      <c r="N129" s="76" t="str">
        <f>IFERROR(__xludf.DUMMYFUNCTION("""COMPUTED_VALUE"""),"Cayo Coco")</f>
        <v>Cayo Coco</v>
      </c>
      <c r="O129" s="78" t="b">
        <f>IFERROR(__xludf.DUMMYFUNCTION("""COMPUTED_VALUE"""),TRUE)</f>
        <v>1</v>
      </c>
      <c r="P129" s="80">
        <f>IFERROR(__xludf.DUMMYFUNCTION("""COMPUTED_VALUE"""),0.06875)</f>
        <v>0.06875</v>
      </c>
      <c r="Q129" s="76" t="str">
        <f>IFERROR(__xludf.DUMMYFUNCTION("""COMPUTED_VALUE"""),"Melia")</f>
        <v>Melia</v>
      </c>
      <c r="R129" s="76" t="str">
        <f>IFERROR(__xludf.DUMMYFUNCTION("""COMPUTED_VALUE"""),"Ocean View, Romantic")</f>
        <v>Ocean View, Romantic</v>
      </c>
      <c r="S129" s="76" t="str">
        <f>IFERROR(__xludf.DUMMYFUNCTION("""COMPUTED_VALUE"""),"Beach, Gym, Diving, Buffet, Snorkelling, Fishing, Room Service, Tennis, Evening Entertainment")</f>
        <v>Beach, Gym, Diving, Buffet, Snorkelling, Fishing, Room Service, Tennis, Evening Entertainment</v>
      </c>
      <c r="T129" s="88"/>
      <c r="U129" s="88"/>
      <c r="V129" s="74" t="b">
        <f>IFERROR(__xludf.DUMMYFUNCTION("""COMPUTED_VALUE"""),FALSE)</f>
        <v>0</v>
      </c>
      <c r="W129" s="74">
        <f>IFERROR(__xludf.DUMMYFUNCTION("""COMPUTED_VALUE"""),105.0)</f>
        <v>105</v>
      </c>
      <c r="X129" s="74"/>
      <c r="Y129" s="74"/>
      <c r="Z129" s="75">
        <f>IFERROR(__xludf.DUMMYFUNCTION("""COMPUTED_VALUE"""),2.0)</f>
        <v>2</v>
      </c>
    </row>
    <row r="130">
      <c r="A130" s="65" t="str">
        <f>IFERROR(__xludf.DUMMYFUNCTION("""COMPUTED_VALUE"""),"Villa La Estancia Beach Resort &amp; Spa Los Cabos")</f>
        <v>Villa La Estancia Beach Resort &amp; Spa Los Cabos</v>
      </c>
      <c r="B130" s="66">
        <f>IFERROR(__xludf.DUMMYFUNCTION("""COMPUTED_VALUE"""),91.5)</f>
        <v>91.5</v>
      </c>
      <c r="C130" s="67" t="str">
        <f>IFERROR(__xludf.DUMMYFUNCTION("""COMPUTED_VALUE"""),"Family")</f>
        <v>Family</v>
      </c>
      <c r="D130" s="79">
        <f>IFERROR(__xludf.DUMMYFUNCTION("""COMPUTED_VALUE"""),6030.0)</f>
        <v>6030</v>
      </c>
      <c r="E130" s="79">
        <f>IFERROR(__xludf.DUMMYFUNCTION("""COMPUTED_VALUE"""),8327.730897)</f>
        <v>8327.730897</v>
      </c>
      <c r="F130" s="69">
        <f>IFERROR(__xludf.DUMMYFUNCTION("""COMPUTED_VALUE"""),1.91)</f>
        <v>1.91</v>
      </c>
      <c r="G130" s="78"/>
      <c r="H130" s="78">
        <f>IFERROR(__xludf.DUMMYFUNCTION("""COMPUTED_VALUE"""),7.0)</f>
        <v>7</v>
      </c>
      <c r="I130" s="78"/>
      <c r="J130" s="78">
        <f>IFERROR(__xludf.DUMMYFUNCTION("""COMPUTED_VALUE"""),4.0)</f>
        <v>4</v>
      </c>
      <c r="K130" s="76"/>
      <c r="L130" s="76" t="str">
        <f>IFERROR(__xludf.DUMMYFUNCTION("""COMPUTED_VALUE"""),"Mexico")</f>
        <v>Mexico</v>
      </c>
      <c r="M130" s="76" t="str">
        <f>IFERROR(__xludf.DUMMYFUNCTION("""COMPUTED_VALUE"""),"Cabo San Lucas")</f>
        <v>Cabo San Lucas</v>
      </c>
      <c r="N130" s="76" t="str">
        <f>IFERROR(__xludf.DUMMYFUNCTION("""COMPUTED_VALUE"""),"Los Cabos")</f>
        <v>Los Cabos</v>
      </c>
      <c r="O130" s="78" t="b">
        <f>IFERROR(__xludf.DUMMYFUNCTION("""COMPUTED_VALUE"""),TRUE)</f>
        <v>1</v>
      </c>
      <c r="P130" s="80">
        <f>IFERROR(__xludf.DUMMYFUNCTION("""COMPUTED_VALUE"""),0.024305555555555556)</f>
        <v>0.02430555556</v>
      </c>
      <c r="Q130" s="76" t="str">
        <f>IFERROR(__xludf.DUMMYFUNCTION("""COMPUTED_VALUE"""),"The Villa Group")</f>
        <v>The Villa Group</v>
      </c>
      <c r="R130" s="76" t="str">
        <f>IFERROR(__xludf.DUMMYFUNCTION("""COMPUTED_VALUE"""),"Value, Family")</f>
        <v>Value, Family</v>
      </c>
      <c r="S130" s="76" t="str">
        <f>IFERROR(__xludf.DUMMYFUNCTION("""COMPUTED_VALUE"""),"Beach, Family Suite, 2 Bedroom Suites, Lazy River, Heated Pool, Gym, Snorkelling, Fishing, Kids Club, Spa, Babysitting, Swim Up Bar, Room Service, Tennis")</f>
        <v>Beach, Family Suite, 2 Bedroom Suites, Lazy River, Heated Pool, Gym, Snorkelling, Fishing, Kids Club, Spa, Babysitting, Swim Up Bar, Room Service, Tennis</v>
      </c>
      <c r="T130" s="76"/>
      <c r="U130" s="76" t="str">
        <f>IFERROR(__xludf.DUMMYFUNCTION("""COMPUTED_VALUE"""),"2 Queen")</f>
        <v>2 Queen</v>
      </c>
      <c r="V130" s="74" t="b">
        <f>IFERROR(__xludf.DUMMYFUNCTION("""COMPUTED_VALUE"""),TRUE)</f>
        <v>1</v>
      </c>
      <c r="W130" s="74">
        <f>IFERROR(__xludf.DUMMYFUNCTION("""COMPUTED_VALUE"""),156.0)</f>
        <v>156</v>
      </c>
      <c r="X130" s="74">
        <f>IFERROR(__xludf.DUMMYFUNCTION("""COMPUTED_VALUE"""),2001.0)</f>
        <v>2001</v>
      </c>
      <c r="Y130" s="74"/>
      <c r="Z130" s="75">
        <f>IFERROR(__xludf.DUMMYFUNCTION("""COMPUTED_VALUE"""),8.0)</f>
        <v>8</v>
      </c>
    </row>
    <row r="131">
      <c r="A131" s="65" t="str">
        <f>IFERROR(__xludf.DUMMYFUNCTION("""COMPUTED_VALUE"""),"Sandals St. Vincent (Couples only)")</f>
        <v>Sandals St. Vincent (Couples only)</v>
      </c>
      <c r="B131" s="66">
        <f>IFERROR(__xludf.DUMMYFUNCTION("""COMPUTED_VALUE"""),91.5)</f>
        <v>91.5</v>
      </c>
      <c r="C131" s="67" t="str">
        <f>IFERROR(__xludf.DUMMYFUNCTION("""COMPUTED_VALUE"""),"Adults Only")</f>
        <v>Adults Only</v>
      </c>
      <c r="D131" s="79">
        <f>IFERROR(__xludf.DUMMYFUNCTION("""COMPUTED_VALUE"""),8198.2)</f>
        <v>8198.2</v>
      </c>
      <c r="E131" s="79">
        <f>IFERROR(__xludf.DUMMYFUNCTION("""COMPUTED_VALUE"""),11322.12329018)</f>
        <v>11322.12329</v>
      </c>
      <c r="F131" s="69">
        <f>IFERROR(__xludf.DUMMYFUNCTION("""COMPUTED_VALUE"""),1.4)</f>
        <v>1.4</v>
      </c>
      <c r="G131" s="78"/>
      <c r="H131" s="74" t="str">
        <f>IFERROR(__xludf.DUMMYFUNCTION("""COMPUTED_VALUE"""),"NYR")</f>
        <v>NYR</v>
      </c>
      <c r="I131" s="78"/>
      <c r="J131" s="78"/>
      <c r="K131" s="76" t="str">
        <f>IFERROR(__xludf.DUMMYFUNCTION("""COMPUTED_VALUE"""),"Couples Only")</f>
        <v>Couples Only</v>
      </c>
      <c r="L131" s="76" t="str">
        <f>IFERROR(__xludf.DUMMYFUNCTION("""COMPUTED_VALUE"""),"St Vincent")</f>
        <v>St Vincent</v>
      </c>
      <c r="M131" s="76" t="str">
        <f>IFERROR(__xludf.DUMMYFUNCTION("""COMPUTED_VALUE"""),"Buccament")</f>
        <v>Buccament</v>
      </c>
      <c r="N131" s="76" t="str">
        <f>IFERROR(__xludf.DUMMYFUNCTION("""COMPUTED_VALUE"""),"Argyle")</f>
        <v>Argyle</v>
      </c>
      <c r="O131" s="78" t="b">
        <f>IFERROR(__xludf.DUMMYFUNCTION("""COMPUTED_VALUE"""),FALSE)</f>
        <v>0</v>
      </c>
      <c r="P131" s="80">
        <f>IFERROR(__xludf.DUMMYFUNCTION("""COMPUTED_VALUE"""),0.03194444444444444)</f>
        <v>0.03194444444</v>
      </c>
      <c r="Q131" s="76" t="str">
        <f>IFERROR(__xludf.DUMMYFUNCTION("""COMPUTED_VALUE"""),"Sandals")</f>
        <v>Sandals</v>
      </c>
      <c r="R131" s="76"/>
      <c r="S131" s="76" t="str">
        <f>IFERROR(__xludf.DUMMYFUNCTION("""COMPUTED_VALUE"""),"Beach, Swim Out/Plunge Pool Rooms, Wifi (Free), Buffet, Spa, Gym, Diving, Swim Up Bar, Evening Entertainment")</f>
        <v>Beach, Swim Out/Plunge Pool Rooms, Wifi (Free), Buffet, Spa, Gym, Diving, Swim Up Bar, Evening Entertainment</v>
      </c>
      <c r="T131" s="76"/>
      <c r="U131" s="76"/>
      <c r="V131" s="74" t="b">
        <f>IFERROR(__xludf.DUMMYFUNCTION("""COMPUTED_VALUE"""),FALSE)</f>
        <v>0</v>
      </c>
      <c r="W131" s="74">
        <f>IFERROR(__xludf.DUMMYFUNCTION("""COMPUTED_VALUE"""),301.0)</f>
        <v>301</v>
      </c>
      <c r="X131" s="74"/>
      <c r="Y131" s="74">
        <f>IFERROR(__xludf.DUMMYFUNCTION("""COMPUTED_VALUE"""),2023.0)</f>
        <v>2023</v>
      </c>
      <c r="Z131" s="75"/>
    </row>
    <row r="132">
      <c r="A132" s="65" t="str">
        <f>IFERROR(__xludf.DUMMYFUNCTION("""COMPUTED_VALUE"""),"Club Med Cancun")</f>
        <v>Club Med Cancun</v>
      </c>
      <c r="B132" s="66">
        <f>IFERROR(__xludf.DUMMYFUNCTION("""COMPUTED_VALUE"""),91.5)</f>
        <v>91.5</v>
      </c>
      <c r="C132" s="67" t="str">
        <f>IFERROR(__xludf.DUMMYFUNCTION("""COMPUTED_VALUE"""),"Family")</f>
        <v>Family</v>
      </c>
      <c r="D132" s="79">
        <f>IFERROR(__xludf.DUMMYFUNCTION("""COMPUTED_VALUE"""),11703.34)</f>
        <v>11703.34</v>
      </c>
      <c r="E132" s="79">
        <f>IFERROR(__xludf.DUMMYFUNCTION("""COMPUTED_VALUE"""),16162.896536665998)</f>
        <v>16162.89654</v>
      </c>
      <c r="F132" s="69">
        <f>IFERROR(__xludf.DUMMYFUNCTION("""COMPUTED_VALUE"""),0.98)</f>
        <v>0.98</v>
      </c>
      <c r="G132" s="78"/>
      <c r="H132" s="78">
        <f>IFERROR(__xludf.DUMMYFUNCTION("""COMPUTED_VALUE"""),7.0)</f>
        <v>7</v>
      </c>
      <c r="I132" s="78"/>
      <c r="J132" s="78">
        <f>IFERROR(__xludf.DUMMYFUNCTION("""COMPUTED_VALUE"""),4.5)</f>
        <v>4.5</v>
      </c>
      <c r="K132" s="71"/>
      <c r="L132" s="76" t="str">
        <f>IFERROR(__xludf.DUMMYFUNCTION("""COMPUTED_VALUE"""),"Mexico")</f>
        <v>Mexico</v>
      </c>
      <c r="M132" s="76" t="str">
        <f>IFERROR(__xludf.DUMMYFUNCTION("""COMPUTED_VALUE"""),"Cancun")</f>
        <v>Cancun</v>
      </c>
      <c r="N132" s="76" t="str">
        <f>IFERROR(__xludf.DUMMYFUNCTION("""COMPUTED_VALUE"""),"Cancun")</f>
        <v>Cancun</v>
      </c>
      <c r="O132" s="78" t="b">
        <f>IFERROR(__xludf.DUMMYFUNCTION("""COMPUTED_VALUE"""),TRUE)</f>
        <v>1</v>
      </c>
      <c r="P132" s="80">
        <f>IFERROR(__xludf.DUMMYFUNCTION("""COMPUTED_VALUE"""),0.011111111111111112)</f>
        <v>0.01111111111</v>
      </c>
      <c r="Q132" s="76" t="str">
        <f>IFERROR(__xludf.DUMMYFUNCTION("""COMPUTED_VALUE"""),"Club Med")</f>
        <v>Club Med</v>
      </c>
      <c r="R132" s="76" t="str">
        <f>IFERROR(__xludf.DUMMYFUNCTION("""COMPUTED_VALUE"""),"Family, Bay View")</f>
        <v>Family, Bay View</v>
      </c>
      <c r="S132" s="76" t="str">
        <f>IFERROR(__xludf.DUMMYFUNCTION("""COMPUTED_VALUE"""),"Beach, Family Suite, 2 Bedroom Suites, Kids Club, Teen Club, Kids Waterpark, Pool Slide, Water Feature, Kids Club for Under 4, Gym, Tennis, Spa, Babysitting, Buffet, Diving, Evening Entertainment, Nightclub")</f>
        <v>Beach, Family Suite, 2 Bedroom Suites, Kids Club, Teen Club, Kids Waterpark, Pool Slide, Water Feature, Kids Club for Under 4, Gym, Tennis, Spa, Babysitting, Buffet, Diving, Evening Entertainment, Nightclub</v>
      </c>
      <c r="T132" s="76" t="str">
        <f>IFERROR(__xludf.DUMMYFUNCTION("""COMPUTED_VALUE"""),"Yes")</f>
        <v>Yes</v>
      </c>
      <c r="U132" s="76" t="str">
        <f>IFERROR(__xludf.DUMMYFUNCTION("""COMPUTED_VALUE"""),"2 Bedrooms")</f>
        <v>2 Bedrooms</v>
      </c>
      <c r="V132" s="78" t="b">
        <f>IFERROR(__xludf.DUMMYFUNCTION("""COMPUTED_VALUE"""),FALSE)</f>
        <v>0</v>
      </c>
      <c r="W132" s="78">
        <f>IFERROR(__xludf.DUMMYFUNCTION("""COMPUTED_VALUE"""),376.0)</f>
        <v>376</v>
      </c>
      <c r="X132" s="78">
        <f>IFERROR(__xludf.DUMMYFUNCTION("""COMPUTED_VALUE"""),1976.0)</f>
        <v>1976</v>
      </c>
      <c r="Y132" s="74">
        <f>IFERROR(__xludf.DUMMYFUNCTION("""COMPUTED_VALUE"""),2024.0)</f>
        <v>2024</v>
      </c>
      <c r="Z132" s="75">
        <f>IFERROR(__xludf.DUMMYFUNCTION("""COMPUTED_VALUE"""),3.0)</f>
        <v>3</v>
      </c>
    </row>
    <row r="133">
      <c r="A133" s="65" t="str">
        <f>IFERROR(__xludf.DUMMYFUNCTION("""COMPUTED_VALUE"""),"Zoetry Agua Punta Cana")</f>
        <v>Zoetry Agua Punta Cana</v>
      </c>
      <c r="B133" s="66">
        <f>IFERROR(__xludf.DUMMYFUNCTION("""COMPUTED_VALUE"""),91.5)</f>
        <v>91.5</v>
      </c>
      <c r="C133" s="67" t="str">
        <f>IFERROR(__xludf.DUMMYFUNCTION("""COMPUTED_VALUE"""),"Family")</f>
        <v>Family</v>
      </c>
      <c r="D133" s="79">
        <f>IFERROR(__xludf.DUMMYFUNCTION("""COMPUTED_VALUE"""),13392.0)</f>
        <v>13392</v>
      </c>
      <c r="E133" s="79">
        <f>IFERROR(__xludf.DUMMYFUNCTION("""COMPUTED_VALUE"""),18495.020260799996)</f>
        <v>18495.02026</v>
      </c>
      <c r="F133" s="69">
        <f>IFERROR(__xludf.DUMMYFUNCTION("""COMPUTED_VALUE"""),0.86)</f>
        <v>0.86</v>
      </c>
      <c r="G133" s="78">
        <f>IFERROR(__xludf.DUMMYFUNCTION("""COMPUTED_VALUE"""),4.0)</f>
        <v>4</v>
      </c>
      <c r="H133" s="74">
        <f>IFERROR(__xludf.DUMMYFUNCTION("""COMPUTED_VALUE"""),9.0)</f>
        <v>9</v>
      </c>
      <c r="I133" s="78" t="str">
        <f>IFERROR(__xludf.DUMMYFUNCTION("""COMPUTED_VALUE"""),"E")</f>
        <v>E</v>
      </c>
      <c r="J133" s="78">
        <f>IFERROR(__xludf.DUMMYFUNCTION("""COMPUTED_VALUE"""),5.0)</f>
        <v>5</v>
      </c>
      <c r="K133" s="76"/>
      <c r="L133" s="76" t="str">
        <f>IFERROR(__xludf.DUMMYFUNCTION("""COMPUTED_VALUE"""),"Dominican Republic")</f>
        <v>Dominican Republic</v>
      </c>
      <c r="M133" s="76" t="str">
        <f>IFERROR(__xludf.DUMMYFUNCTION("""COMPUTED_VALUE"""),"Uvero Alto")</f>
        <v>Uvero Alto</v>
      </c>
      <c r="N133" s="76" t="str">
        <f>IFERROR(__xludf.DUMMYFUNCTION("""COMPUTED_VALUE"""),"Punta Cana")</f>
        <v>Punta Cana</v>
      </c>
      <c r="O133" s="78" t="b">
        <f>IFERROR(__xludf.DUMMYFUNCTION("""COMPUTED_VALUE"""),TRUE)</f>
        <v>1</v>
      </c>
      <c r="P133" s="80">
        <f>IFERROR(__xludf.DUMMYFUNCTION("""COMPUTED_VALUE"""),0.03194444444444444)</f>
        <v>0.03194444444</v>
      </c>
      <c r="Q133" s="76" t="str">
        <f>IFERROR(__xludf.DUMMYFUNCTION("""COMPUTED_VALUE"""),"Hyatt")</f>
        <v>Hyatt</v>
      </c>
      <c r="R133" s="76"/>
      <c r="S133" s="76" t="str">
        <f>IFERROR(__xludf.DUMMYFUNCTION("""COMPUTED_VALUE"""),"Beach, Swim Out/Plunge Pool Rooms, Family Suite, 2 Bedroom Suites, Lazy River, Gym, Room Service, Evening Entertainment, Wifi (Free), Adult Pool, Swim Up Bar, Diving, Fishing, Spa")</f>
        <v>Beach, Swim Out/Plunge Pool Rooms, Family Suite, 2 Bedroom Suites, Lazy River, Gym, Room Service, Evening Entertainment, Wifi (Free), Adult Pool, Swim Up Bar, Diving, Fishing, Spa</v>
      </c>
      <c r="T133" s="76" t="str">
        <f>IFERROR(__xludf.DUMMYFUNCTION("""COMPUTED_VALUE"""),"Can't Book Two Rooms")</f>
        <v>Can't Book Two Rooms</v>
      </c>
      <c r="U133" s="76" t="str">
        <f>IFERROR(__xludf.DUMMYFUNCTION("""COMPUTED_VALUE"""),"1 King or 2 Queen")</f>
        <v>1 King or 2 Queen</v>
      </c>
      <c r="V133" s="74" t="b">
        <f>IFERROR(__xludf.DUMMYFUNCTION("""COMPUTED_VALUE"""),FALSE)</f>
        <v>0</v>
      </c>
      <c r="W133" s="74">
        <f>IFERROR(__xludf.DUMMYFUNCTION("""COMPUTED_VALUE"""),96.0)</f>
        <v>96</v>
      </c>
      <c r="X133" s="74">
        <f>IFERROR(__xludf.DUMMYFUNCTION("""COMPUTED_VALUE"""),2006.0)</f>
        <v>2006</v>
      </c>
      <c r="Y133" s="74">
        <f>IFERROR(__xludf.DUMMYFUNCTION("""COMPUTED_VALUE"""),2013.0)</f>
        <v>2013</v>
      </c>
      <c r="Z133" s="75">
        <f>IFERROR(__xludf.DUMMYFUNCTION("""COMPUTED_VALUE"""),3.0)</f>
        <v>3</v>
      </c>
    </row>
    <row r="134">
      <c r="A134" s="65" t="str">
        <f>IFERROR(__xludf.DUMMYFUNCTION("""COMPUTED_VALUE"""),"Couples Sans Souci (Nude areas, Couples only)")</f>
        <v>Couples Sans Souci (Nude areas, Couples only)</v>
      </c>
      <c r="B134" s="66">
        <f>IFERROR(__xludf.DUMMYFUNCTION("""COMPUTED_VALUE"""),91.3)</f>
        <v>91.3</v>
      </c>
      <c r="C134" s="67" t="str">
        <f>IFERROR(__xludf.DUMMYFUNCTION("""COMPUTED_VALUE"""),"Adults Only")</f>
        <v>Adults Only</v>
      </c>
      <c r="D134" s="79">
        <f>IFERROR(__xludf.DUMMYFUNCTION("""COMPUTED_VALUE"""),3450.0)</f>
        <v>3450</v>
      </c>
      <c r="E134" s="79">
        <f>IFERROR(__xludf.DUMMYFUNCTION("""COMPUTED_VALUE"""),4764.622154999999)</f>
        <v>4764.622155</v>
      </c>
      <c r="F134" s="69">
        <f>IFERROR(__xludf.DUMMYFUNCTION("""COMPUTED_VALUE"""),3.28)</f>
        <v>3.28</v>
      </c>
      <c r="G134" s="78"/>
      <c r="H134" s="78">
        <f>IFERROR(__xludf.DUMMYFUNCTION("""COMPUTED_VALUE"""),8.0)</f>
        <v>8</v>
      </c>
      <c r="I134" s="78"/>
      <c r="J134" s="78">
        <f>IFERROR(__xludf.DUMMYFUNCTION("""COMPUTED_VALUE"""),5.0)</f>
        <v>5</v>
      </c>
      <c r="K134" s="76" t="str">
        <f>IFERROR(__xludf.DUMMYFUNCTION("""COMPUTED_VALUE"""),"Nude Areas, Couples Only")</f>
        <v>Nude Areas, Couples Only</v>
      </c>
      <c r="L134" s="76" t="str">
        <f>IFERROR(__xludf.DUMMYFUNCTION("""COMPUTED_VALUE"""),"Jamaica")</f>
        <v>Jamaica</v>
      </c>
      <c r="M134" s="76" t="str">
        <f>IFERROR(__xludf.DUMMYFUNCTION("""COMPUTED_VALUE"""),"Ochos Rios")</f>
        <v>Ochos Rios</v>
      </c>
      <c r="N134" s="76" t="str">
        <f>IFERROR(__xludf.DUMMYFUNCTION("""COMPUTED_VALUE"""),"Sangster")</f>
        <v>Sangster</v>
      </c>
      <c r="O134" s="78" t="b">
        <f>IFERROR(__xludf.DUMMYFUNCTION("""COMPUTED_VALUE"""),TRUE)</f>
        <v>1</v>
      </c>
      <c r="P134" s="80">
        <f>IFERROR(__xludf.DUMMYFUNCTION("""COMPUTED_VALUE"""),0.06458333333333334)</f>
        <v>0.06458333333</v>
      </c>
      <c r="Q134" s="76" t="str">
        <f>IFERROR(__xludf.DUMMYFUNCTION("""COMPUTED_VALUE"""),"Couples Resorts")</f>
        <v>Couples Resorts</v>
      </c>
      <c r="R134" s="76" t="str">
        <f>IFERROR(__xludf.DUMMYFUNCTION("""COMPUTED_VALUE"""),"Green, Quiet")</f>
        <v>Green, Quiet</v>
      </c>
      <c r="S134" s="76" t="str">
        <f>IFERROR(__xludf.DUMMYFUNCTION("""COMPUTED_VALUE"""),"Beach, Gym, Bicycles Available, Yoga Classes, Room Service, Swim Up Bar, Snorkelling, Watersports Equipment Rentals, Spa, Wifi (Free), Buffet, Diving, Tennis, Evening Entertainment")</f>
        <v>Beach, Gym, Bicycles Available, Yoga Classes, Room Service, Swim Up Bar, Snorkelling, Watersports Equipment Rentals, Spa, Wifi (Free), Buffet, Diving, Tennis, Evening Entertainment</v>
      </c>
      <c r="T134" s="76"/>
      <c r="U134" s="76"/>
      <c r="V134" s="78" t="b">
        <f>IFERROR(__xludf.DUMMYFUNCTION("""COMPUTED_VALUE"""),FALSE)</f>
        <v>0</v>
      </c>
      <c r="W134" s="78">
        <f>IFERROR(__xludf.DUMMYFUNCTION("""COMPUTED_VALUE"""),150.0)</f>
        <v>150</v>
      </c>
      <c r="X134" s="78">
        <f>IFERROR(__xludf.DUMMYFUNCTION("""COMPUTED_VALUE"""),1952.0)</f>
        <v>1952</v>
      </c>
      <c r="Y134" s="78">
        <f>IFERROR(__xludf.DUMMYFUNCTION("""COMPUTED_VALUE"""),2022.0)</f>
        <v>2022</v>
      </c>
      <c r="Z134" s="81">
        <f>IFERROR(__xludf.DUMMYFUNCTION("""COMPUTED_VALUE"""),3.0)</f>
        <v>3</v>
      </c>
    </row>
    <row r="135">
      <c r="A135" s="65" t="str">
        <f>IFERROR(__xludf.DUMMYFUNCTION("""COMPUTED_VALUE"""),"Couples Resorts Negril (Nude areas, Couples only)")</f>
        <v>Couples Resorts Negril (Nude areas, Couples only)</v>
      </c>
      <c r="B135" s="66">
        <f>IFERROR(__xludf.DUMMYFUNCTION("""COMPUTED_VALUE"""),91.3)</f>
        <v>91.3</v>
      </c>
      <c r="C135" s="67" t="str">
        <f>IFERROR(__xludf.DUMMYFUNCTION("""COMPUTED_VALUE"""),"Adults Only")</f>
        <v>Adults Only</v>
      </c>
      <c r="D135" s="79">
        <f>IFERROR(__xludf.DUMMYFUNCTION("""COMPUTED_VALUE"""),3750.0)</f>
        <v>3750</v>
      </c>
      <c r="E135" s="79">
        <f>IFERROR(__xludf.DUMMYFUNCTION("""COMPUTED_VALUE"""),5178.9371249999995)</f>
        <v>5178.937125</v>
      </c>
      <c r="F135" s="69">
        <f>IFERROR(__xludf.DUMMYFUNCTION("""COMPUTED_VALUE"""),3.01)</f>
        <v>3.01</v>
      </c>
      <c r="G135" s="78"/>
      <c r="H135" s="78">
        <f>IFERROR(__xludf.DUMMYFUNCTION("""COMPUTED_VALUE"""),9.0)</f>
        <v>9</v>
      </c>
      <c r="I135" s="78"/>
      <c r="J135" s="78">
        <f>IFERROR(__xludf.DUMMYFUNCTION("""COMPUTED_VALUE"""),5.0)</f>
        <v>5</v>
      </c>
      <c r="K135" s="76" t="str">
        <f>IFERROR(__xludf.DUMMYFUNCTION("""COMPUTED_VALUE"""),"Nude Areas, Couples Only")</f>
        <v>Nude Areas, Couples Only</v>
      </c>
      <c r="L135" s="76" t="str">
        <f>IFERROR(__xludf.DUMMYFUNCTION("""COMPUTED_VALUE"""),"Jamaica")</f>
        <v>Jamaica</v>
      </c>
      <c r="M135" s="76" t="str">
        <f>IFERROR(__xludf.DUMMYFUNCTION("""COMPUTED_VALUE"""),"Negril")</f>
        <v>Negril</v>
      </c>
      <c r="N135" s="87" t="str">
        <f>IFERROR(__xludf.DUMMYFUNCTION("""COMPUTED_VALUE"""),"Sangster")</f>
        <v>Sangster</v>
      </c>
      <c r="O135" s="78" t="b">
        <f>IFERROR(__xludf.DUMMYFUNCTION("""COMPUTED_VALUE"""),TRUE)</f>
        <v>1</v>
      </c>
      <c r="P135" s="80">
        <f>IFERROR(__xludf.DUMMYFUNCTION("""COMPUTED_VALUE"""),0.05277777777777778)</f>
        <v>0.05277777778</v>
      </c>
      <c r="Q135" s="76" t="str">
        <f>IFERROR(__xludf.DUMMYFUNCTION("""COMPUTED_VALUE"""),"Couples Resorts")</f>
        <v>Couples Resorts</v>
      </c>
      <c r="R135" s="76" t="str">
        <f>IFERROR(__xludf.DUMMYFUNCTION("""COMPUTED_VALUE"""),"Green, Ocean View")</f>
        <v>Green, Ocean View</v>
      </c>
      <c r="S135" s="76" t="str">
        <f>IFERROR(__xludf.DUMMYFUNCTION("""COMPUTED_VALUE"""),"Beach, Great Beach, Gym, Buffet, Tennis, Windsurfing, Yoga Classes, Room Service, Swim Up Bar, Diving, Snorkelling, Watersports Equipment Rentals, Evening Entertainment, Nightclub, Spa")</f>
        <v>Beach, Great Beach, Gym, Buffet, Tennis, Windsurfing, Yoga Classes, Room Service, Swim Up Bar, Diving, Snorkelling, Watersports Equipment Rentals, Evening Entertainment, Nightclub, Spa</v>
      </c>
      <c r="T135" s="76"/>
      <c r="U135" s="76"/>
      <c r="V135" s="78" t="b">
        <f>IFERROR(__xludf.DUMMYFUNCTION("""COMPUTED_VALUE"""),FALSE)</f>
        <v>0</v>
      </c>
      <c r="W135" s="78">
        <f>IFERROR(__xludf.DUMMYFUNCTION("""COMPUTED_VALUE"""),234.0)</f>
        <v>234</v>
      </c>
      <c r="X135" s="78">
        <f>IFERROR(__xludf.DUMMYFUNCTION("""COMPUTED_VALUE"""),1999.0)</f>
        <v>1999</v>
      </c>
      <c r="Y135" s="74">
        <f>IFERROR(__xludf.DUMMYFUNCTION("""COMPUTED_VALUE"""),2013.0)</f>
        <v>2013</v>
      </c>
      <c r="Z135" s="81">
        <f>IFERROR(__xludf.DUMMYFUNCTION("""COMPUTED_VALUE"""),3.0)</f>
        <v>3</v>
      </c>
    </row>
    <row r="136">
      <c r="A136" s="65" t="str">
        <f>IFERROR(__xludf.DUMMYFUNCTION("""COMPUTED_VALUE"""),"Playacar Palace")</f>
        <v>Playacar Palace</v>
      </c>
      <c r="B136" s="66">
        <f>IFERROR(__xludf.DUMMYFUNCTION("""COMPUTED_VALUE"""),91.3)</f>
        <v>91.3</v>
      </c>
      <c r="C136" s="67" t="str">
        <f>IFERROR(__xludf.DUMMYFUNCTION("""COMPUTED_VALUE"""),"Family")</f>
        <v>Family</v>
      </c>
      <c r="D136" s="79">
        <f>IFERROR(__xludf.DUMMYFUNCTION("""COMPUTED_VALUE"""),4088.0)</f>
        <v>4088</v>
      </c>
      <c r="E136" s="79">
        <f>IFERROR(__xludf.DUMMYFUNCTION("""COMPUTED_VALUE"""),5645.731991199999)</f>
        <v>5645.731991</v>
      </c>
      <c r="F136" s="69">
        <f>IFERROR(__xludf.DUMMYFUNCTION("""COMPUTED_VALUE"""),2.76)</f>
        <v>2.76</v>
      </c>
      <c r="G136" s="70">
        <f>IFERROR(__xludf.DUMMYFUNCTION("""COMPUTED_VALUE"""),4.0)</f>
        <v>4</v>
      </c>
      <c r="H136" s="78">
        <f>IFERROR(__xludf.DUMMYFUNCTION("""COMPUTED_VALUE"""),7.0)</f>
        <v>7</v>
      </c>
      <c r="I136" s="78"/>
      <c r="J136" s="78">
        <f>IFERROR(__xludf.DUMMYFUNCTION("""COMPUTED_VALUE"""),5.0)</f>
        <v>5</v>
      </c>
      <c r="K136" s="71"/>
      <c r="L136" s="76" t="str">
        <f>IFERROR(__xludf.DUMMYFUNCTION("""COMPUTED_VALUE"""),"Mexico")</f>
        <v>Mexico</v>
      </c>
      <c r="M136" s="76" t="str">
        <f>IFERROR(__xludf.DUMMYFUNCTION("""COMPUTED_VALUE"""),"Playa del Carmen")</f>
        <v>Playa del Carmen</v>
      </c>
      <c r="N136" s="76" t="str">
        <f>IFERROR(__xludf.DUMMYFUNCTION("""COMPUTED_VALUE"""),"Cancun")</f>
        <v>Cancun</v>
      </c>
      <c r="O136" s="78" t="b">
        <f>IFERROR(__xludf.DUMMYFUNCTION("""COMPUTED_VALUE"""),TRUE)</f>
        <v>1</v>
      </c>
      <c r="P136" s="80">
        <f>IFERROR(__xludf.DUMMYFUNCTION("""COMPUTED_VALUE"""),0.03263888888888889)</f>
        <v>0.03263888889</v>
      </c>
      <c r="Q136" s="76" t="str">
        <f>IFERROR(__xludf.DUMMYFUNCTION("""COMPUTED_VALUE"""),"Palace Resorts")</f>
        <v>Palace Resorts</v>
      </c>
      <c r="R136" s="76" t="str">
        <f>IFERROR(__xludf.DUMMYFUNCTION("""COMPUTED_VALUE"""),"Value, Ocean View")</f>
        <v>Value, Ocean View</v>
      </c>
      <c r="S136" s="76" t="str">
        <f>IFERROR(__xludf.DUMMYFUNCTION("""COMPUTED_VALUE"""),"Beach, Gym, Bicycles Available, Buffet, Swim Up Bar, Diving, Fishing, Kids Club, Spa, Wifi (Free), Babysitting, Room Service, Snorkelling, Evening Entertainment")</f>
        <v>Beach, Gym, Bicycles Available, Buffet, Swim Up Bar, Diving, Fishing, Kids Club, Spa, Wifi (Free), Babysitting, Room Service, Snorkelling, Evening Entertainment</v>
      </c>
      <c r="T136" s="76"/>
      <c r="U136" s="76" t="str">
        <f>IFERROR(__xludf.DUMMYFUNCTION("""COMPUTED_VALUE"""),"1 King or 2 Double")</f>
        <v>1 King or 2 Double</v>
      </c>
      <c r="V136" s="78" t="b">
        <f>IFERROR(__xludf.DUMMYFUNCTION("""COMPUTED_VALUE"""),FALSE)</f>
        <v>0</v>
      </c>
      <c r="W136" s="78">
        <f>IFERROR(__xludf.DUMMYFUNCTION("""COMPUTED_VALUE"""),201.0)</f>
        <v>201</v>
      </c>
      <c r="X136" s="78">
        <f>IFERROR(__xludf.DUMMYFUNCTION("""COMPUTED_VALUE"""),1991.0)</f>
        <v>1991</v>
      </c>
      <c r="Y136" s="74">
        <f>IFERROR(__xludf.DUMMYFUNCTION("""COMPUTED_VALUE"""),2018.0)</f>
        <v>2018</v>
      </c>
      <c r="Z136" s="81">
        <f>IFERROR(__xludf.DUMMYFUNCTION("""COMPUTED_VALUE"""),6.0)</f>
        <v>6</v>
      </c>
    </row>
    <row r="137">
      <c r="A137" s="65" t="str">
        <f>IFERROR(__xludf.DUMMYFUNCTION("""COMPUTED_VALUE"""),"Casa Dorada Los Cabos Resort &amp; Spa")</f>
        <v>Casa Dorada Los Cabos Resort &amp; Spa</v>
      </c>
      <c r="B137" s="66">
        <f>IFERROR(__xludf.DUMMYFUNCTION("""COMPUTED_VALUE"""),91.3)</f>
        <v>91.3</v>
      </c>
      <c r="C137" s="67" t="str">
        <f>IFERROR(__xludf.DUMMYFUNCTION("""COMPUTED_VALUE"""),"Family")</f>
        <v>Family</v>
      </c>
      <c r="D137" s="79">
        <f>IFERROR(__xludf.DUMMYFUNCTION("""COMPUTED_VALUE"""),5325.6)</f>
        <v>5325.6</v>
      </c>
      <c r="E137" s="79">
        <f>IFERROR(__xludf.DUMMYFUNCTION("""COMPUTED_VALUE"""),7354.91934744)</f>
        <v>7354.919347</v>
      </c>
      <c r="F137" s="69">
        <f>IFERROR(__xludf.DUMMYFUNCTION("""COMPUTED_VALUE"""),2.12)</f>
        <v>2.12</v>
      </c>
      <c r="G137" s="70">
        <f>IFERROR(__xludf.DUMMYFUNCTION("""COMPUTED_VALUE"""),4.0)</f>
        <v>4</v>
      </c>
      <c r="H137" s="78">
        <f>IFERROR(__xludf.DUMMYFUNCTION("""COMPUTED_VALUE"""),8.0)</f>
        <v>8</v>
      </c>
      <c r="I137" s="78"/>
      <c r="J137" s="78">
        <f>IFERROR(__xludf.DUMMYFUNCTION("""COMPUTED_VALUE"""),5.0)</f>
        <v>5</v>
      </c>
      <c r="K137" s="71"/>
      <c r="L137" s="76" t="str">
        <f>IFERROR(__xludf.DUMMYFUNCTION("""COMPUTED_VALUE"""),"Mexico")</f>
        <v>Mexico</v>
      </c>
      <c r="M137" s="76" t="str">
        <f>IFERROR(__xludf.DUMMYFUNCTION("""COMPUTED_VALUE"""),"Cabo San Lucas")</f>
        <v>Cabo San Lucas</v>
      </c>
      <c r="N137" s="76" t="str">
        <f>IFERROR(__xludf.DUMMYFUNCTION("""COMPUTED_VALUE"""),"Los Cabos")</f>
        <v>Los Cabos</v>
      </c>
      <c r="O137" s="70" t="b">
        <f>IFERROR(__xludf.DUMMYFUNCTION("""COMPUTED_VALUE"""),TRUE)</f>
        <v>1</v>
      </c>
      <c r="P137" s="80">
        <f>IFERROR(__xludf.DUMMYFUNCTION("""COMPUTED_VALUE"""),0.025)</f>
        <v>0.025</v>
      </c>
      <c r="Q137" s="71"/>
      <c r="R137" s="76" t="str">
        <f>IFERROR(__xludf.DUMMYFUNCTION("""COMPUTED_VALUE"""),"Ocean View, Harbour View")</f>
        <v>Ocean View, Harbour View</v>
      </c>
      <c r="S137" s="76" t="str">
        <f>IFERROR(__xludf.DUMMYFUNCTION("""COMPUTED_VALUE"""),"Beach, Family Suite, 2 Bedroom Suites, Kids Club, Heated Pool, Gym, Diving, Buffet, Swim Up Bar, Hiking, Snorkelling, Spa, Yoga Classes, Room Service, Horseback Riding, Fishing")</f>
        <v>Beach, Family Suite, 2 Bedroom Suites, Kids Club, Heated Pool, Gym, Diving, Buffet, Swim Up Bar, Hiking, Snorkelling, Spa, Yoga Classes, Room Service, Horseback Riding, Fishing</v>
      </c>
      <c r="T137" s="76"/>
      <c r="U137" s="76" t="str">
        <f>IFERROR(__xludf.DUMMYFUNCTION("""COMPUTED_VALUE"""),"2 Double")</f>
        <v>2 Double</v>
      </c>
      <c r="V137" s="78" t="b">
        <f>IFERROR(__xludf.DUMMYFUNCTION("""COMPUTED_VALUE"""),FALSE)</f>
        <v>0</v>
      </c>
      <c r="W137" s="78">
        <f>IFERROR(__xludf.DUMMYFUNCTION("""COMPUTED_VALUE"""),181.0)</f>
        <v>181</v>
      </c>
      <c r="X137" s="78">
        <f>IFERROR(__xludf.DUMMYFUNCTION("""COMPUTED_VALUE"""),2008.0)</f>
        <v>2008</v>
      </c>
      <c r="Y137" s="78">
        <f>IFERROR(__xludf.DUMMYFUNCTION("""COMPUTED_VALUE"""),2015.0)</f>
        <v>2015</v>
      </c>
      <c r="Z137" s="81">
        <f>IFERROR(__xludf.DUMMYFUNCTION("""COMPUTED_VALUE"""),7.0)</f>
        <v>7</v>
      </c>
    </row>
    <row r="138">
      <c r="A138" s="65" t="str">
        <f>IFERROR(__xludf.DUMMYFUNCTION("""COMPUTED_VALUE"""),"Garza Blanca Preserve Resort &amp; Spa")</f>
        <v>Garza Blanca Preserve Resort &amp; Spa</v>
      </c>
      <c r="B138" s="66">
        <f>IFERROR(__xludf.DUMMYFUNCTION("""COMPUTED_VALUE"""),91.3)</f>
        <v>91.3</v>
      </c>
      <c r="C138" s="67" t="str">
        <f>IFERROR(__xludf.DUMMYFUNCTION("""COMPUTED_VALUE"""),"Family")</f>
        <v>Family</v>
      </c>
      <c r="D138" s="79">
        <f>IFERROR(__xludf.DUMMYFUNCTION("""COMPUTED_VALUE"""),5343.0)</f>
        <v>5343</v>
      </c>
      <c r="E138" s="79">
        <f>IFERROR(__xludf.DUMMYFUNCTION("""COMPUTED_VALUE"""),7378.949615699999)</f>
        <v>7378.949616</v>
      </c>
      <c r="F138" s="69">
        <f>IFERROR(__xludf.DUMMYFUNCTION("""COMPUTED_VALUE"""),2.11)</f>
        <v>2.11</v>
      </c>
      <c r="G138" s="78">
        <f>IFERROR(__xludf.DUMMYFUNCTION("""COMPUTED_VALUE"""),4.0)</f>
        <v>4</v>
      </c>
      <c r="H138" s="78">
        <f>IFERROR(__xludf.DUMMYFUNCTION("""COMPUTED_VALUE"""),8.0)</f>
        <v>8</v>
      </c>
      <c r="I138" s="78"/>
      <c r="J138" s="78">
        <f>IFERROR(__xludf.DUMMYFUNCTION("""COMPUTED_VALUE"""),5.0)</f>
        <v>5</v>
      </c>
      <c r="K138" s="76"/>
      <c r="L138" s="76" t="str">
        <f>IFERROR(__xludf.DUMMYFUNCTION("""COMPUTED_VALUE"""),"Mexico")</f>
        <v>Mexico</v>
      </c>
      <c r="M138" s="76" t="str">
        <f>IFERROR(__xludf.DUMMYFUNCTION("""COMPUTED_VALUE"""),"Puerto Vallarta")</f>
        <v>Puerto Vallarta</v>
      </c>
      <c r="N138" s="76" t="str">
        <f>IFERROR(__xludf.DUMMYFUNCTION("""COMPUTED_VALUE"""),"Ordaz")</f>
        <v>Ordaz</v>
      </c>
      <c r="O138" s="78" t="b">
        <f>IFERROR(__xludf.DUMMYFUNCTION("""COMPUTED_VALUE"""),TRUE)</f>
        <v>1</v>
      </c>
      <c r="P138" s="80">
        <f>IFERROR(__xludf.DUMMYFUNCTION("""COMPUTED_VALUE"""),0.024305555555555556)</f>
        <v>0.02430555556</v>
      </c>
      <c r="Q138" s="76" t="str">
        <f>IFERROR(__xludf.DUMMYFUNCTION("""COMPUTED_VALUE"""),"Tafer Hotels &amp; Resorts")</f>
        <v>Tafer Hotels &amp; Resorts</v>
      </c>
      <c r="R138" s="76" t="str">
        <f>IFERROR(__xludf.DUMMYFUNCTION("""COMPUTED_VALUE"""),"Mountain View, Great View")</f>
        <v>Mountain View, Great View</v>
      </c>
      <c r="S138" s="76" t="str">
        <f>IFERROR(__xludf.DUMMYFUNCTION("""COMPUTED_VALUE"""),"Beach, Family Suite, 2 Bedroom Suites, Kids Club, Heated Pool, Gym, Diving, Yoga Classes, Buffet, Babysitting, Wifi (Paid), Adult Pool, Room Service, Snorkelling, Evening Entertainment, Pets Allowed, Spa")</f>
        <v>Beach, Family Suite, 2 Bedroom Suites, Kids Club, Heated Pool, Gym, Diving, Yoga Classes, Buffet, Babysitting, Wifi (Paid), Adult Pool, Room Service, Snorkelling, Evening Entertainment, Pets Allowed, Spa</v>
      </c>
      <c r="T138" s="76"/>
      <c r="U138" s="76" t="str">
        <f>IFERROR(__xludf.DUMMYFUNCTION("""COMPUTED_VALUE"""),"1 King or 2 Queen")</f>
        <v>1 King or 2 Queen</v>
      </c>
      <c r="V138" s="78" t="b">
        <f>IFERROR(__xludf.DUMMYFUNCTION("""COMPUTED_VALUE"""),TRUE)</f>
        <v>1</v>
      </c>
      <c r="W138" s="78">
        <f>IFERROR(__xludf.DUMMYFUNCTION("""COMPUTED_VALUE"""),164.0)</f>
        <v>164</v>
      </c>
      <c r="X138" s="78">
        <f>IFERROR(__xludf.DUMMYFUNCTION("""COMPUTED_VALUE"""),2009.0)</f>
        <v>2009</v>
      </c>
      <c r="Y138" s="78"/>
      <c r="Z138" s="81">
        <f>IFERROR(__xludf.DUMMYFUNCTION("""COMPUTED_VALUE"""),7.0)</f>
        <v>7</v>
      </c>
    </row>
    <row r="139">
      <c r="A139" s="65" t="str">
        <f>IFERROR(__xludf.DUMMYFUNCTION("""COMPUTED_VALUE"""),"Margaritaville Island Reserve Riviera Cancun by Karisma")</f>
        <v>Margaritaville Island Reserve Riviera Cancun by Karisma</v>
      </c>
      <c r="B139" s="66">
        <f>IFERROR(__xludf.DUMMYFUNCTION("""COMPUTED_VALUE"""),91.3)</f>
        <v>91.3</v>
      </c>
      <c r="C139" s="67" t="str">
        <f>IFERROR(__xludf.DUMMYFUNCTION("""COMPUTED_VALUE"""),"Family")</f>
        <v>Family</v>
      </c>
      <c r="D139" s="85">
        <f>IFERROR(__xludf.DUMMYFUNCTION("""COMPUTED_VALUE"""),5881.03)</f>
        <v>5881.03</v>
      </c>
      <c r="E139" s="79">
        <f>IFERROR(__xludf.DUMMYFUNCTION("""COMPUTED_VALUE"""),8121.995893396998)</f>
        <v>8121.995893</v>
      </c>
      <c r="F139" s="69">
        <f>IFERROR(__xludf.DUMMYFUNCTION("""COMPUTED_VALUE"""),1.92)</f>
        <v>1.92</v>
      </c>
      <c r="G139" s="70"/>
      <c r="H139" s="70" t="str">
        <f>IFERROR(__xludf.DUMMYFUNCTION("""COMPUTED_VALUE"""),"NYR")</f>
        <v>NYR</v>
      </c>
      <c r="I139" s="70"/>
      <c r="J139" s="78">
        <f>IFERROR(__xludf.DUMMYFUNCTION("""COMPUTED_VALUE"""),5.0)</f>
        <v>5</v>
      </c>
      <c r="K139" s="71"/>
      <c r="L139" s="76" t="str">
        <f>IFERROR(__xludf.DUMMYFUNCTION("""COMPUTED_VALUE"""),"Mexico")</f>
        <v>Mexico</v>
      </c>
      <c r="M139" s="76" t="str">
        <f>IFERROR(__xludf.DUMMYFUNCTION("""COMPUTED_VALUE"""),"Puerto Morelos")</f>
        <v>Puerto Morelos</v>
      </c>
      <c r="N139" s="76" t="str">
        <f>IFERROR(__xludf.DUMMYFUNCTION("""COMPUTED_VALUE"""),"Cancun")</f>
        <v>Cancun</v>
      </c>
      <c r="O139" s="78" t="b">
        <f>IFERROR(__xludf.DUMMYFUNCTION("""COMPUTED_VALUE"""),TRUE)</f>
        <v>1</v>
      </c>
      <c r="P139" s="80">
        <f>IFERROR(__xludf.DUMMYFUNCTION("""COMPUTED_VALUE"""),0.015277777777777777)</f>
        <v>0.01527777778</v>
      </c>
      <c r="Q139" s="76" t="str">
        <f>IFERROR(__xludf.DUMMYFUNCTION("""COMPUTED_VALUE"""),"Margaritaville")</f>
        <v>Margaritaville</v>
      </c>
      <c r="R139" s="76" t="str">
        <f>IFERROR(__xludf.DUMMYFUNCTION("""COMPUTED_VALUE"""),"Ocean View")</f>
        <v>Ocean View</v>
      </c>
      <c r="S139" s="76" t="str">
        <f>IFERROR(__xludf.DUMMYFUNCTION("""COMPUTED_VALUE"""),"Beach, Swim Out/Plunge Pool Rooms, Kids Club, Gym, Diving, Yoga Classes, Swim Up Bar, Snorkelling, Windsurfing, Spa, Wifi (Free), Room Service, Watersports Equipment Rentals, Evening Entertainment")</f>
        <v>Beach, Swim Out/Plunge Pool Rooms, Kids Club, Gym, Diving, Yoga Classes, Swim Up Bar, Snorkelling, Windsurfing, Spa, Wifi (Free), Room Service, Watersports Equipment Rentals, Evening Entertainment</v>
      </c>
      <c r="T139" s="76" t="str">
        <f>IFERROR(__xludf.DUMMYFUNCTION("""COMPUTED_VALUE"""),"Can't Book Two Rooms")</f>
        <v>Can't Book Two Rooms</v>
      </c>
      <c r="U139" s="76" t="str">
        <f>IFERROR(__xludf.DUMMYFUNCTION("""COMPUTED_VALUE"""),"2 Queen")</f>
        <v>2 Queen</v>
      </c>
      <c r="V139" s="70" t="b">
        <f>IFERROR(__xludf.DUMMYFUNCTION("""COMPUTED_VALUE"""),FALSE)</f>
        <v>0</v>
      </c>
      <c r="W139" s="70">
        <f>IFERROR(__xludf.DUMMYFUNCTION("""COMPUTED_VALUE"""),148.0)</f>
        <v>148</v>
      </c>
      <c r="X139" s="78">
        <f>IFERROR(__xludf.DUMMYFUNCTION("""COMPUTED_VALUE"""),2008.0)</f>
        <v>2008</v>
      </c>
      <c r="Y139" s="70"/>
      <c r="Z139" s="83">
        <f>IFERROR(__xludf.DUMMYFUNCTION("""COMPUTED_VALUE"""),3.0)</f>
        <v>3</v>
      </c>
    </row>
    <row r="140">
      <c r="A140" s="65" t="str">
        <f>IFERROR(__xludf.DUMMYFUNCTION("""COMPUTED_VALUE"""),"Pueblo Bonito Pacifica Golf &amp; Spa Resort")</f>
        <v>Pueblo Bonito Pacifica Golf &amp; Spa Resort</v>
      </c>
      <c r="B140" s="66">
        <f>IFERROR(__xludf.DUMMYFUNCTION("""COMPUTED_VALUE"""),91.3)</f>
        <v>91.3</v>
      </c>
      <c r="C140" s="67" t="str">
        <f>IFERROR(__xludf.DUMMYFUNCTION("""COMPUTED_VALUE"""),"Adults Only")</f>
        <v>Adults Only</v>
      </c>
      <c r="D140" s="85">
        <f>IFERROR(__xludf.DUMMYFUNCTION("""COMPUTED_VALUE"""),6120.8)</f>
        <v>6120.8</v>
      </c>
      <c r="E140" s="79">
        <f>IFERROR(__xludf.DUMMYFUNCTION("""COMPUTED_VALUE"""),8453.130227919999)</f>
        <v>8453.130228</v>
      </c>
      <c r="F140" s="69">
        <f>IFERROR(__xludf.DUMMYFUNCTION("""COMPUTED_VALUE"""),1.85)</f>
        <v>1.85</v>
      </c>
      <c r="G140" s="70">
        <f>IFERROR(__xludf.DUMMYFUNCTION("""COMPUTED_VALUE"""),4.0)</f>
        <v>4</v>
      </c>
      <c r="H140" s="78">
        <f>IFERROR(__xludf.DUMMYFUNCTION("""COMPUTED_VALUE"""),7.0)</f>
        <v>7</v>
      </c>
      <c r="I140" s="70"/>
      <c r="J140" s="78">
        <f>IFERROR(__xludf.DUMMYFUNCTION("""COMPUTED_VALUE"""),5.0)</f>
        <v>5</v>
      </c>
      <c r="K140" s="71"/>
      <c r="L140" s="76" t="str">
        <f>IFERROR(__xludf.DUMMYFUNCTION("""COMPUTED_VALUE"""),"Mexico")</f>
        <v>Mexico</v>
      </c>
      <c r="M140" s="76" t="str">
        <f>IFERROR(__xludf.DUMMYFUNCTION("""COMPUTED_VALUE"""),"Cabo San Lucas")</f>
        <v>Cabo San Lucas</v>
      </c>
      <c r="N140" s="76" t="str">
        <f>IFERROR(__xludf.DUMMYFUNCTION("""COMPUTED_VALUE"""),"Los Cabos")</f>
        <v>Los Cabos</v>
      </c>
      <c r="O140" s="78" t="b">
        <f>IFERROR(__xludf.DUMMYFUNCTION("""COMPUTED_VALUE"""),TRUE)</f>
        <v>1</v>
      </c>
      <c r="P140" s="80">
        <f>IFERROR(__xludf.DUMMYFUNCTION("""COMPUTED_VALUE"""),0.03333333333333333)</f>
        <v>0.03333333333</v>
      </c>
      <c r="Q140" s="76" t="str">
        <f>IFERROR(__xludf.DUMMYFUNCTION("""COMPUTED_VALUE"""),"Pueblo Bonito")</f>
        <v>Pueblo Bonito</v>
      </c>
      <c r="R140" s="76" t="str">
        <f>IFERROR(__xludf.DUMMYFUNCTION("""COMPUTED_VALUE"""),"Green, Quiet")</f>
        <v>Green, Quiet</v>
      </c>
      <c r="S140" s="76" t="str">
        <f>IFERROR(__xludf.DUMMYFUNCTION("""COMPUTED_VALUE"""),"Beach, Heated Pool, Gym, Golf Course, Wifi (Paid), Buffet, Swim Up Bar, Hiking, Evening Entertainment, Yoga Classes, Room Service, Tennis, Fishing, Spa")</f>
        <v>Beach, Heated Pool, Gym, Golf Course, Wifi (Paid), Buffet, Swim Up Bar, Hiking, Evening Entertainment, Yoga Classes, Room Service, Tennis, Fishing, Spa</v>
      </c>
      <c r="T140" s="76"/>
      <c r="U140" s="76"/>
      <c r="V140" s="78" t="b">
        <f>IFERROR(__xludf.DUMMYFUNCTION("""COMPUTED_VALUE"""),FALSE)</f>
        <v>0</v>
      </c>
      <c r="W140" s="78">
        <f>IFERROR(__xludf.DUMMYFUNCTION("""COMPUTED_VALUE"""),154.0)</f>
        <v>154</v>
      </c>
      <c r="X140" s="78">
        <f>IFERROR(__xludf.DUMMYFUNCTION("""COMPUTED_VALUE"""),2005.0)</f>
        <v>2005</v>
      </c>
      <c r="Y140" s="78"/>
      <c r="Z140" s="81">
        <f>IFERROR(__xludf.DUMMYFUNCTION("""COMPUTED_VALUE"""),5.0)</f>
        <v>5</v>
      </c>
    </row>
    <row r="141">
      <c r="A141" s="65" t="str">
        <f>IFERROR(__xludf.DUMMYFUNCTION("""COMPUTED_VALUE"""),"Pueblo Bonito Mazatlan Beach Resort")</f>
        <v>Pueblo Bonito Mazatlan Beach Resort</v>
      </c>
      <c r="B141" s="66">
        <f>IFERROR(__xludf.DUMMYFUNCTION("""COMPUTED_VALUE"""),91.3)</f>
        <v>91.3</v>
      </c>
      <c r="C141" s="67" t="str">
        <f>IFERROR(__xludf.DUMMYFUNCTION("""COMPUTED_VALUE"""),"Family")</f>
        <v>Family</v>
      </c>
      <c r="D141" s="85">
        <f>IFERROR(__xludf.DUMMYFUNCTION("""COMPUTED_VALUE"""),6143.2)</f>
        <v>6143.2</v>
      </c>
      <c r="E141" s="79">
        <f>IFERROR(__xludf.DUMMYFUNCTION("""COMPUTED_VALUE"""),8484.065745679998)</f>
        <v>8484.065746</v>
      </c>
      <c r="F141" s="69">
        <f>IFERROR(__xludf.DUMMYFUNCTION("""COMPUTED_VALUE"""),1.84)</f>
        <v>1.84</v>
      </c>
      <c r="G141" s="78"/>
      <c r="H141" s="78">
        <f>IFERROR(__xludf.DUMMYFUNCTION("""COMPUTED_VALUE"""),6.0)</f>
        <v>6</v>
      </c>
      <c r="I141" s="78"/>
      <c r="J141" s="78">
        <f>IFERROR(__xludf.DUMMYFUNCTION("""COMPUTED_VALUE"""),5.0)</f>
        <v>5</v>
      </c>
      <c r="K141" s="76"/>
      <c r="L141" s="76" t="str">
        <f>IFERROR(__xludf.DUMMYFUNCTION("""COMPUTED_VALUE"""),"Mexico")</f>
        <v>Mexico</v>
      </c>
      <c r="M141" s="76" t="str">
        <f>IFERROR(__xludf.DUMMYFUNCTION("""COMPUTED_VALUE"""),"Mazatlan")</f>
        <v>Mazatlan</v>
      </c>
      <c r="N141" s="76" t="str">
        <f>IFERROR(__xludf.DUMMYFUNCTION("""COMPUTED_VALUE"""),"Gen Rafael Buelna")</f>
        <v>Gen Rafael Buelna</v>
      </c>
      <c r="O141" s="78" t="b">
        <f>IFERROR(__xludf.DUMMYFUNCTION("""COMPUTED_VALUE"""),FALSE)</f>
        <v>0</v>
      </c>
      <c r="P141" s="80">
        <f>IFERROR(__xludf.DUMMYFUNCTION("""COMPUTED_VALUE"""),0.022222222222222223)</f>
        <v>0.02222222222</v>
      </c>
      <c r="Q141" s="76" t="str">
        <f>IFERROR(__xludf.DUMMYFUNCTION("""COMPUTED_VALUE"""),"Pueblo Bonito")</f>
        <v>Pueblo Bonito</v>
      </c>
      <c r="R141" s="76" t="str">
        <f>IFERROR(__xludf.DUMMYFUNCTION("""COMPUTED_VALUE"""),"Classic, Green")</f>
        <v>Classic, Green</v>
      </c>
      <c r="S141" s="76" t="str">
        <f>IFERROR(__xludf.DUMMYFUNCTION("""COMPUTED_VALUE"""),"Beach, Heated Pool, Gym, Buffet, Swim Up Bar, Fishing")</f>
        <v>Beach, Heated Pool, Gym, Buffet, Swim Up Bar, Fishing</v>
      </c>
      <c r="T141" s="76"/>
      <c r="U141" s="76" t="str">
        <f>IFERROR(__xludf.DUMMYFUNCTION("""COMPUTED_VALUE"""),"1 King or 2 Double")</f>
        <v>1 King or 2 Double</v>
      </c>
      <c r="V141" s="78" t="b">
        <f>IFERROR(__xludf.DUMMYFUNCTION("""COMPUTED_VALUE"""),FALSE)</f>
        <v>0</v>
      </c>
      <c r="W141" s="78">
        <f>IFERROR(__xludf.DUMMYFUNCTION("""COMPUTED_VALUE"""),247.0)</f>
        <v>247</v>
      </c>
      <c r="X141" s="74">
        <f>IFERROR(__xludf.DUMMYFUNCTION("""COMPUTED_VALUE"""),1986.0)</f>
        <v>1986</v>
      </c>
      <c r="Y141" s="78">
        <f>IFERROR(__xludf.DUMMYFUNCTION("""COMPUTED_VALUE"""),2018.0)</f>
        <v>2018</v>
      </c>
      <c r="Z141" s="75">
        <f>IFERROR(__xludf.DUMMYFUNCTION("""COMPUTED_VALUE"""),4.0)</f>
        <v>4</v>
      </c>
    </row>
    <row r="142">
      <c r="A142" s="65" t="str">
        <f>IFERROR(__xludf.DUMMYFUNCTION("""COMPUTED_VALUE"""),"Sandals Dunn's River (Couples only)")</f>
        <v>Sandals Dunn's River (Couples only)</v>
      </c>
      <c r="B142" s="66">
        <f>IFERROR(__xludf.DUMMYFUNCTION("""COMPUTED_VALUE"""),91.3)</f>
        <v>91.3</v>
      </c>
      <c r="C142" s="67" t="str">
        <f>IFERROR(__xludf.DUMMYFUNCTION("""COMPUTED_VALUE"""),"Adults Only")</f>
        <v>Adults Only</v>
      </c>
      <c r="D142" s="79">
        <f>IFERROR(__xludf.DUMMYFUNCTION("""COMPUTED_VALUE"""),6835.5)</f>
        <v>6835.5</v>
      </c>
      <c r="E142" s="79">
        <f>IFERROR(__xludf.DUMMYFUNCTION("""COMPUTED_VALUE"""),9440.166591449999)</f>
        <v>9440.166591</v>
      </c>
      <c r="F142" s="69">
        <f>IFERROR(__xludf.DUMMYFUNCTION("""COMPUTED_VALUE"""),1.65)</f>
        <v>1.65</v>
      </c>
      <c r="G142" s="78"/>
      <c r="H142" s="78" t="str">
        <f>IFERROR(__xludf.DUMMYFUNCTION("""COMPUTED_VALUE"""),"NYR")</f>
        <v>NYR</v>
      </c>
      <c r="I142" s="78"/>
      <c r="J142" s="78"/>
      <c r="K142" s="76" t="str">
        <f>IFERROR(__xludf.DUMMYFUNCTION("""COMPUTED_VALUE"""),"Couples Only")</f>
        <v>Couples Only</v>
      </c>
      <c r="L142" s="76" t="str">
        <f>IFERROR(__xludf.DUMMYFUNCTION("""COMPUTED_VALUE"""),"Jamaica")</f>
        <v>Jamaica</v>
      </c>
      <c r="M142" s="76" t="str">
        <f>IFERROR(__xludf.DUMMYFUNCTION("""COMPUTED_VALUE"""),"Ochos Rios")</f>
        <v>Ochos Rios</v>
      </c>
      <c r="N142" s="76" t="str">
        <f>IFERROR(__xludf.DUMMYFUNCTION("""COMPUTED_VALUE"""),"Sangster")</f>
        <v>Sangster</v>
      </c>
      <c r="O142" s="78" t="b">
        <f>IFERROR(__xludf.DUMMYFUNCTION("""COMPUTED_VALUE"""),TRUE)</f>
        <v>1</v>
      </c>
      <c r="P142" s="80">
        <f>IFERROR(__xludf.DUMMYFUNCTION("""COMPUTED_VALUE"""),0.06111111111111111)</f>
        <v>0.06111111111</v>
      </c>
      <c r="Q142" s="76" t="str">
        <f>IFERROR(__xludf.DUMMYFUNCTION("""COMPUTED_VALUE"""),"Sandals")</f>
        <v>Sandals</v>
      </c>
      <c r="R142" s="76"/>
      <c r="S142" s="76" t="str">
        <f>IFERROR(__xludf.DUMMYFUNCTION("""COMPUTED_VALUE"""),"Beach, Swim Out/Plunge Pool Rooms, Gym, Swim Up Bar, Spa, Wifi (Free), Buffet, Evening Entertainment, Nightclub")</f>
        <v>Beach, Swim Out/Plunge Pool Rooms, Gym, Swim Up Bar, Spa, Wifi (Free), Buffet, Evening Entertainment, Nightclub</v>
      </c>
      <c r="T142" s="76"/>
      <c r="U142" s="76"/>
      <c r="V142" s="78" t="b">
        <f>IFERROR(__xludf.DUMMYFUNCTION("""COMPUTED_VALUE"""),FALSE)</f>
        <v>0</v>
      </c>
      <c r="W142" s="78">
        <f>IFERROR(__xludf.DUMMYFUNCTION("""COMPUTED_VALUE"""),260.0)</f>
        <v>260</v>
      </c>
      <c r="X142" s="78"/>
      <c r="Y142" s="78"/>
      <c r="Z142" s="81"/>
    </row>
    <row r="143">
      <c r="A143" s="65" t="str">
        <f>IFERROR(__xludf.DUMMYFUNCTION("""COMPUTED_VALUE"""),"Hilton Grand Vacations Club La Pacifica Los Cabos")</f>
        <v>Hilton Grand Vacations Club La Pacifica Los Cabos</v>
      </c>
      <c r="B143" s="66">
        <f>IFERROR(__xludf.DUMMYFUNCTION("""COMPUTED_VALUE"""),91.3)</f>
        <v>91.3</v>
      </c>
      <c r="C143" s="67" t="str">
        <f>IFERROR(__xludf.DUMMYFUNCTION("""COMPUTED_VALUE"""),"Family")</f>
        <v>Family</v>
      </c>
      <c r="D143" s="79">
        <f>IFERROR(__xludf.DUMMYFUNCTION("""COMPUTED_VALUE"""),6897.93)</f>
        <v>6897.93</v>
      </c>
      <c r="E143" s="79">
        <f>IFERROR(__xludf.DUMMYFUNCTION("""COMPUTED_VALUE"""),9526.385536707)</f>
        <v>9526.385537</v>
      </c>
      <c r="F143" s="69">
        <f>IFERROR(__xludf.DUMMYFUNCTION("""COMPUTED_VALUE"""),1.64)</f>
        <v>1.64</v>
      </c>
      <c r="G143" s="78"/>
      <c r="H143" s="78">
        <f>IFERROR(__xludf.DUMMYFUNCTION("""COMPUTED_VALUE"""),7.0)</f>
        <v>7</v>
      </c>
      <c r="I143" s="78"/>
      <c r="J143" s="78">
        <f>IFERROR(__xludf.DUMMYFUNCTION("""COMPUTED_VALUE"""),4.0)</f>
        <v>4</v>
      </c>
      <c r="K143" s="76"/>
      <c r="L143" s="76" t="str">
        <f>IFERROR(__xludf.DUMMYFUNCTION("""COMPUTED_VALUE"""),"Mexico")</f>
        <v>Mexico</v>
      </c>
      <c r="M143" s="76" t="str">
        <f>IFERROR(__xludf.DUMMYFUNCTION("""COMPUTED_VALUE"""),"San Jose del Cabo")</f>
        <v>San Jose del Cabo</v>
      </c>
      <c r="N143" s="76" t="str">
        <f>IFERROR(__xludf.DUMMYFUNCTION("""COMPUTED_VALUE"""),"Los Cabos")</f>
        <v>Los Cabos</v>
      </c>
      <c r="O143" s="78" t="b">
        <f>IFERROR(__xludf.DUMMYFUNCTION("""COMPUTED_VALUE"""),TRUE)</f>
        <v>1</v>
      </c>
      <c r="P143" s="80">
        <f>IFERROR(__xludf.DUMMYFUNCTION("""COMPUTED_VALUE"""),0.02013888888888889)</f>
        <v>0.02013888889</v>
      </c>
      <c r="Q143" s="76" t="str">
        <f>IFERROR(__xludf.DUMMYFUNCTION("""COMPUTED_VALUE"""),"Hilton")</f>
        <v>Hilton</v>
      </c>
      <c r="R143" s="76" t="str">
        <f>IFERROR(__xludf.DUMMYFUNCTION("""COMPUTED_VALUE"""),"Family, Bay View")</f>
        <v>Family, Bay View</v>
      </c>
      <c r="S143" s="76" t="str">
        <f>IFERROR(__xludf.DUMMYFUNCTION("""COMPUTED_VALUE"""),"Beach, Family Suite, 2 Bedroom Suites, Kids Waterpark, Gym, Tennis, Wifi (Free), Babysitting, Spa")</f>
        <v>Beach, Family Suite, 2 Bedroom Suites, Kids Waterpark, Gym, Tennis, Wifi (Free), Babysitting, Spa</v>
      </c>
      <c r="T143" s="76"/>
      <c r="U143" s="76" t="str">
        <f>IFERROR(__xludf.DUMMYFUNCTION("""COMPUTED_VALUE"""),"1 King and 1 Sofa Bed")</f>
        <v>1 King and 1 Sofa Bed</v>
      </c>
      <c r="V143" s="78" t="b">
        <f>IFERROR(__xludf.DUMMYFUNCTION("""COMPUTED_VALUE"""),FALSE)</f>
        <v>0</v>
      </c>
      <c r="W143" s="78">
        <f>IFERROR(__xludf.DUMMYFUNCTION("""COMPUTED_VALUE"""),81.0)</f>
        <v>81</v>
      </c>
      <c r="X143" s="78">
        <f>IFERROR(__xludf.DUMMYFUNCTION("""COMPUTED_VALUE"""),2020.0)</f>
        <v>2020</v>
      </c>
      <c r="Y143" s="74"/>
      <c r="Z143" s="81">
        <f>IFERROR(__xludf.DUMMYFUNCTION("""COMPUTED_VALUE"""),5.0)</f>
        <v>5</v>
      </c>
    </row>
    <row r="144">
      <c r="A144" s="65" t="str">
        <f>IFERROR(__xludf.DUMMYFUNCTION("""COMPUTED_VALUE"""),"Sandals Grenada (Couples only)")</f>
        <v>Sandals Grenada (Couples only)</v>
      </c>
      <c r="B144" s="66">
        <f>IFERROR(__xludf.DUMMYFUNCTION("""COMPUTED_VALUE"""),91.3)</f>
        <v>91.3</v>
      </c>
      <c r="C144" s="67" t="str">
        <f>IFERROR(__xludf.DUMMYFUNCTION("""COMPUTED_VALUE"""),"Adults Only")</f>
        <v>Adults Only</v>
      </c>
      <c r="D144" s="79">
        <f>IFERROR(__xludf.DUMMYFUNCTION("""COMPUTED_VALUE"""),6950.8)</f>
        <v>6950.8</v>
      </c>
      <c r="E144" s="79">
        <f>IFERROR(__xludf.DUMMYFUNCTION("""COMPUTED_VALUE"""),9599.401644919999)</f>
        <v>9599.401645</v>
      </c>
      <c r="F144" s="69">
        <f>IFERROR(__xludf.DUMMYFUNCTION("""COMPUTED_VALUE"""),1.63)</f>
        <v>1.63</v>
      </c>
      <c r="G144" s="78">
        <f>IFERROR(__xludf.DUMMYFUNCTION("""COMPUTED_VALUE"""),4.0)</f>
        <v>4</v>
      </c>
      <c r="H144" s="78" t="str">
        <f>IFERROR(__xludf.DUMMYFUNCTION("""COMPUTED_VALUE"""),"NYR")</f>
        <v>NYR</v>
      </c>
      <c r="I144" s="78"/>
      <c r="J144" s="78"/>
      <c r="K144" s="76" t="str">
        <f>IFERROR(__xludf.DUMMYFUNCTION("""COMPUTED_VALUE"""),"Couples Only")</f>
        <v>Couples Only</v>
      </c>
      <c r="L144" s="76" t="str">
        <f>IFERROR(__xludf.DUMMYFUNCTION("""COMPUTED_VALUE"""),"Grenada")</f>
        <v>Grenada</v>
      </c>
      <c r="M144" s="76" t="str">
        <f>IFERROR(__xludf.DUMMYFUNCTION("""COMPUTED_VALUE"""),"Pink Gin Beach")</f>
        <v>Pink Gin Beach</v>
      </c>
      <c r="N144" s="87" t="str">
        <f>IFERROR(__xludf.DUMMYFUNCTION("""COMPUTED_VALUE"""),"Point Saline")</f>
        <v>Point Saline</v>
      </c>
      <c r="O144" s="78" t="b">
        <f>IFERROR(__xludf.DUMMYFUNCTION("""COMPUTED_VALUE"""),FALSE)</f>
        <v>0</v>
      </c>
      <c r="P144" s="80">
        <f>IFERROR(__xludf.DUMMYFUNCTION("""COMPUTED_VALUE"""),0.003472222222222222)</f>
        <v>0.003472222222</v>
      </c>
      <c r="Q144" s="76" t="str">
        <f>IFERROR(__xludf.DUMMYFUNCTION("""COMPUTED_VALUE"""),"Sandals")</f>
        <v>Sandals</v>
      </c>
      <c r="R144" s="76" t="str">
        <f>IFERROR(__xludf.DUMMYFUNCTION("""COMPUTED_VALUE"""),"Modern")</f>
        <v>Modern</v>
      </c>
      <c r="S144" s="76" t="str">
        <f>IFERROR(__xludf.DUMMYFUNCTION("""COMPUTED_VALUE"""),"Beach, Swim Out/Plunge Pool Rooms, Gym, Diving, Spa, Buffet, Swim Up Bar, Tennis, Evening Entertainment")</f>
        <v>Beach, Swim Out/Plunge Pool Rooms, Gym, Diving, Spa, Buffet, Swim Up Bar, Tennis, Evening Entertainment</v>
      </c>
      <c r="T144" s="76"/>
      <c r="U144" s="76"/>
      <c r="V144" s="78" t="b">
        <f>IFERROR(__xludf.DUMMYFUNCTION("""COMPUTED_VALUE"""),FALSE)</f>
        <v>0</v>
      </c>
      <c r="W144" s="78">
        <f>IFERROR(__xludf.DUMMYFUNCTION("""COMPUTED_VALUE"""),257.0)</f>
        <v>257</v>
      </c>
      <c r="X144" s="78">
        <f>IFERROR(__xludf.DUMMYFUNCTION("""COMPUTED_VALUE"""),1993.0)</f>
        <v>1993</v>
      </c>
      <c r="Y144" s="74">
        <f>IFERROR(__xludf.DUMMYFUNCTION("""COMPUTED_VALUE"""),2013.0)</f>
        <v>2013</v>
      </c>
      <c r="Z144" s="75"/>
    </row>
    <row r="145">
      <c r="A145" s="65" t="str">
        <f>IFERROR(__xludf.DUMMYFUNCTION("""COMPUTED_VALUE"""),"Grand Solmar Pacific Dunes Resort Golf &amp; Spa")</f>
        <v>Grand Solmar Pacific Dunes Resort Golf &amp; Spa</v>
      </c>
      <c r="B145" s="66">
        <f>IFERROR(__xludf.DUMMYFUNCTION("""COMPUTED_VALUE"""),91.3)</f>
        <v>91.3</v>
      </c>
      <c r="C145" s="67" t="str">
        <f>IFERROR(__xludf.DUMMYFUNCTION("""COMPUTED_VALUE"""),"Family")</f>
        <v>Family</v>
      </c>
      <c r="D145" s="79">
        <f>IFERROR(__xludf.DUMMYFUNCTION("""COMPUTED_VALUE"""),8311.21)</f>
        <v>8311.21</v>
      </c>
      <c r="E145" s="79">
        <f>IFERROR(__xludf.DUMMYFUNCTION("""COMPUTED_VALUE"""),11478.195739378998)</f>
        <v>11478.19574</v>
      </c>
      <c r="F145" s="69">
        <f>IFERROR(__xludf.DUMMYFUNCTION("""COMPUTED_VALUE"""),1.36)</f>
        <v>1.36</v>
      </c>
      <c r="G145" s="70"/>
      <c r="H145" s="70">
        <f>IFERROR(__xludf.DUMMYFUNCTION("""COMPUTED_VALUE"""),7.0)</f>
        <v>7</v>
      </c>
      <c r="I145" s="70"/>
      <c r="J145" s="78">
        <f>IFERROR(__xludf.DUMMYFUNCTION("""COMPUTED_VALUE"""),4.0)</f>
        <v>4</v>
      </c>
      <c r="K145" s="71"/>
      <c r="L145" s="76" t="str">
        <f>IFERROR(__xludf.DUMMYFUNCTION("""COMPUTED_VALUE"""),"Mexico")</f>
        <v>Mexico</v>
      </c>
      <c r="M145" s="76" t="str">
        <f>IFERROR(__xludf.DUMMYFUNCTION("""COMPUTED_VALUE"""),"Cabo San Lucas")</f>
        <v>Cabo San Lucas</v>
      </c>
      <c r="N145" s="76" t="str">
        <f>IFERROR(__xludf.DUMMYFUNCTION("""COMPUTED_VALUE"""),"Los Cabos")</f>
        <v>Los Cabos</v>
      </c>
      <c r="O145" s="78" t="b">
        <f>IFERROR(__xludf.DUMMYFUNCTION("""COMPUTED_VALUE"""),TRUE)</f>
        <v>1</v>
      </c>
      <c r="P145" s="80">
        <f>IFERROR(__xludf.DUMMYFUNCTION("""COMPUTED_VALUE"""),0.029166666666666667)</f>
        <v>0.02916666667</v>
      </c>
      <c r="Q145" s="76" t="str">
        <f>IFERROR(__xludf.DUMMYFUNCTION("""COMPUTED_VALUE"""),"Solmar")</f>
        <v>Solmar</v>
      </c>
      <c r="R145" s="76" t="str">
        <f>IFERROR(__xludf.DUMMYFUNCTION("""COMPUTED_VALUE"""),"Lagoon View, Trendy")</f>
        <v>Lagoon View, Trendy</v>
      </c>
      <c r="S145" s="76" t="str">
        <f>IFERROR(__xludf.DUMMYFUNCTION("""COMPUTED_VALUE"""),"Beach, Family Suite, 2 Bedroom Suites, Kids Club, Big Waterslides, Heated Pool, Gym, Golf Course, Yoga Classes, Swim Up Bar, Hiking, Babysitting, Adult Pool, Room Service, Snorkelling, Evening Entertainment, Spa")</f>
        <v>Beach, Family Suite, 2 Bedroom Suites, Kids Club, Big Waterslides, Heated Pool, Gym, Golf Course, Yoga Classes, Swim Up Bar, Hiking, Babysitting, Adult Pool, Room Service, Snorkelling, Evening Entertainment, Spa</v>
      </c>
      <c r="T145" s="76" t="str">
        <f>IFERROR(__xludf.DUMMYFUNCTION("""COMPUTED_VALUE"""),"Can't Book Two Rooms")</f>
        <v>Can't Book Two Rooms</v>
      </c>
      <c r="U145" s="76" t="str">
        <f>IFERROR(__xludf.DUMMYFUNCTION("""COMPUTED_VALUE"""),"1 King and 1 Queen Murphy Bed")</f>
        <v>1 King and 1 Queen Murphy Bed</v>
      </c>
      <c r="V145" s="78" t="b">
        <f>IFERROR(__xludf.DUMMYFUNCTION("""COMPUTED_VALUE"""),FALSE)</f>
        <v>0</v>
      </c>
      <c r="W145" s="78">
        <f>IFERROR(__xludf.DUMMYFUNCTION("""COMPUTED_VALUE"""),127.0)</f>
        <v>127</v>
      </c>
      <c r="X145" s="78">
        <f>IFERROR(__xludf.DUMMYFUNCTION("""COMPUTED_VALUE"""),2017.0)</f>
        <v>2017</v>
      </c>
      <c r="Y145" s="78">
        <f>IFERROR(__xludf.DUMMYFUNCTION("""COMPUTED_VALUE"""),2019.0)</f>
        <v>2019</v>
      </c>
      <c r="Z145" s="81">
        <f>IFERROR(__xludf.DUMMYFUNCTION("""COMPUTED_VALUE"""),5.0)</f>
        <v>5</v>
      </c>
    </row>
    <row r="146">
      <c r="A146" s="65" t="str">
        <f>IFERROR(__xludf.DUMMYFUNCTION("""COMPUTED_VALUE"""),"Blue Haven Resort")</f>
        <v>Blue Haven Resort</v>
      </c>
      <c r="B146" s="66">
        <f>IFERROR(__xludf.DUMMYFUNCTION("""COMPUTED_VALUE"""),91.3)</f>
        <v>91.3</v>
      </c>
      <c r="C146" s="67" t="str">
        <f>IFERROR(__xludf.DUMMYFUNCTION("""COMPUTED_VALUE"""),"Family")</f>
        <v>Family</v>
      </c>
      <c r="D146" s="79">
        <f>IFERROR(__xludf.DUMMYFUNCTION("""COMPUTED_VALUE"""),10143.0)</f>
        <v>10143</v>
      </c>
      <c r="E146" s="79">
        <f>IFERROR(__xludf.DUMMYFUNCTION("""COMPUTED_VALUE"""),14007.989135699998)</f>
        <v>14007.98914</v>
      </c>
      <c r="F146" s="69">
        <f>IFERROR(__xludf.DUMMYFUNCTION("""COMPUTED_VALUE"""),1.11)</f>
        <v>1.11</v>
      </c>
      <c r="G146" s="70"/>
      <c r="H146" s="78">
        <f>IFERROR(__xludf.DUMMYFUNCTION("""COMPUTED_VALUE"""),7.0)</f>
        <v>7</v>
      </c>
      <c r="I146" s="78"/>
      <c r="J146" s="78"/>
      <c r="K146" s="76"/>
      <c r="L146" s="76" t="str">
        <f>IFERROR(__xludf.DUMMYFUNCTION("""COMPUTED_VALUE"""),"Turks and Caicos")</f>
        <v>Turks and Caicos</v>
      </c>
      <c r="M146" s="76" t="str">
        <f>IFERROR(__xludf.DUMMYFUNCTION("""COMPUTED_VALUE"""),"Leeward")</f>
        <v>Leeward</v>
      </c>
      <c r="N146" s="76" t="str">
        <f>IFERROR(__xludf.DUMMYFUNCTION("""COMPUTED_VALUE"""),"Providenciales")</f>
        <v>Providenciales</v>
      </c>
      <c r="O146" s="78" t="b">
        <f>IFERROR(__xludf.DUMMYFUNCTION("""COMPUTED_VALUE"""),TRUE)</f>
        <v>1</v>
      </c>
      <c r="P146" s="80">
        <f>IFERROR(__xludf.DUMMYFUNCTION("""COMPUTED_VALUE"""),0.01597222222222222)</f>
        <v>0.01597222222</v>
      </c>
      <c r="Q146" s="76"/>
      <c r="R146" s="76" t="str">
        <f>IFERROR(__xludf.DUMMYFUNCTION("""COMPUTED_VALUE"""),"Business")</f>
        <v>Business</v>
      </c>
      <c r="S146" s="76" t="str">
        <f>IFERROR(__xludf.DUMMYFUNCTION("""COMPUTED_VALUE"""),"Beach, Family Suite, 2 Bedroom Suites, Kids Club, Gym, Bicycles Available, Yoga Classes, Buffet, Swim Up Bar, Wifi (Free), Snorkelling, Evening Entertainment, Babysitting, Spa")</f>
        <v>Beach, Family Suite, 2 Bedroom Suites, Kids Club, Gym, Bicycles Available, Yoga Classes, Buffet, Swim Up Bar, Wifi (Free), Snorkelling, Evening Entertainment, Babysitting, Spa</v>
      </c>
      <c r="T146" s="76"/>
      <c r="U146" s="76" t="str">
        <f>IFERROR(__xludf.DUMMYFUNCTION("""COMPUTED_VALUE"""),"1 King and 1 Sofa Bed")</f>
        <v>1 King and 1 Sofa Bed</v>
      </c>
      <c r="V146" s="78" t="b">
        <f>IFERROR(__xludf.DUMMYFUNCTION("""COMPUTED_VALUE"""),FALSE)</f>
        <v>0</v>
      </c>
      <c r="W146" s="78">
        <f>IFERROR(__xludf.DUMMYFUNCTION("""COMPUTED_VALUE"""),35.0)</f>
        <v>35</v>
      </c>
      <c r="X146" s="74">
        <f>IFERROR(__xludf.DUMMYFUNCTION("""COMPUTED_VALUE"""),2013.0)</f>
        <v>2013</v>
      </c>
      <c r="Y146" s="78"/>
      <c r="Z146" s="81">
        <f>IFERROR(__xludf.DUMMYFUNCTION("""COMPUTED_VALUE"""),5.0)</f>
        <v>5</v>
      </c>
    </row>
    <row r="147">
      <c r="A147" s="77" t="str">
        <f>IFERROR(__xludf.DUMMYFUNCTION("""COMPUTED_VALUE"""),"Paradisus Río De Oro Resort &amp; Spa")</f>
        <v>Paradisus Río De Oro Resort &amp; Spa</v>
      </c>
      <c r="B147" s="66">
        <f>IFERROR(__xludf.DUMMYFUNCTION("""COMPUTED_VALUE"""),91.0)</f>
        <v>91</v>
      </c>
      <c r="C147" s="78" t="str">
        <f>IFERROR(__xludf.DUMMYFUNCTION("""COMPUTED_VALUE"""),"Adults Only")</f>
        <v>Adults Only</v>
      </c>
      <c r="D147" s="68">
        <f>IFERROR(__xludf.DUMMYFUNCTION("""COMPUTED_VALUE"""),1750.0)</f>
        <v>1750</v>
      </c>
      <c r="E147" s="68">
        <f>IFERROR(__xludf.DUMMYFUNCTION("""COMPUTED_VALUE"""),2416.8373249999995)</f>
        <v>2416.837325</v>
      </c>
      <c r="F147" s="69">
        <f>IFERROR(__xludf.DUMMYFUNCTION("""COMPUTED_VALUE"""),6.29)</f>
        <v>6.29</v>
      </c>
      <c r="G147" s="70"/>
      <c r="H147" s="70">
        <f>IFERROR(__xludf.DUMMYFUNCTION("""COMPUTED_VALUE"""),8.0)</f>
        <v>8</v>
      </c>
      <c r="I147" s="70"/>
      <c r="J147" s="70">
        <f>IFERROR(__xludf.DUMMYFUNCTION("""COMPUTED_VALUE"""),4.5)</f>
        <v>4.5</v>
      </c>
      <c r="K147" s="71"/>
      <c r="L147" s="72" t="str">
        <f>IFERROR(__xludf.DUMMYFUNCTION("""COMPUTED_VALUE"""),"Cuba")</f>
        <v>Cuba</v>
      </c>
      <c r="M147" s="72" t="str">
        <f>IFERROR(__xludf.DUMMYFUNCTION("""COMPUTED_VALUE"""),"Holguin")</f>
        <v>Holguin</v>
      </c>
      <c r="N147" s="72" t="str">
        <f>IFERROR(__xludf.DUMMYFUNCTION("""COMPUTED_VALUE"""),"Holguin")</f>
        <v>Holguin</v>
      </c>
      <c r="O147" s="74" t="b">
        <f>IFERROR(__xludf.DUMMYFUNCTION("""COMPUTED_VALUE"""),TRUE)</f>
        <v>1</v>
      </c>
      <c r="P147" s="73">
        <f>IFERROR(__xludf.DUMMYFUNCTION("""COMPUTED_VALUE"""),0.04652777777777778)</f>
        <v>0.04652777778</v>
      </c>
      <c r="Q147" s="71" t="str">
        <f>IFERROR(__xludf.DUMMYFUNCTION("""COMPUTED_VALUE"""),"Melia")</f>
        <v>Melia</v>
      </c>
      <c r="R147" s="71" t="str">
        <f>IFERROR(__xludf.DUMMYFUNCTION("""COMPUTED_VALUE"""),"Quiet, Great View")</f>
        <v>Quiet, Great View</v>
      </c>
      <c r="S147" s="71" t="str">
        <f>IFERROR(__xludf.DUMMYFUNCTION("""COMPUTED_VALUE"""),"Beach, Swim Out/Plunge Pool Rooms, Gym, Snorkelling, Yoga Classes, Buffet, Swim Up Bar, Tennis, Evening Entertainment, Nightclub, Spa, Adult Pool")</f>
        <v>Beach, Swim Out/Plunge Pool Rooms, Gym, Snorkelling, Yoga Classes, Buffet, Swim Up Bar, Tennis, Evening Entertainment, Nightclub, Spa, Adult Pool</v>
      </c>
      <c r="T147" s="71"/>
      <c r="U147" s="71"/>
      <c r="V147" s="74" t="b">
        <f>IFERROR(__xludf.DUMMYFUNCTION("""COMPUTED_VALUE"""),FALSE)</f>
        <v>0</v>
      </c>
      <c r="W147" s="74">
        <f>IFERROR(__xludf.DUMMYFUNCTION("""COMPUTED_VALUE"""),354.0)</f>
        <v>354</v>
      </c>
      <c r="X147" s="74">
        <f>IFERROR(__xludf.DUMMYFUNCTION("""COMPUTED_VALUE"""),2008.0)</f>
        <v>2008</v>
      </c>
      <c r="Y147" s="74"/>
      <c r="Z147" s="75"/>
    </row>
    <row r="148">
      <c r="A148" s="65" t="str">
        <f>IFERROR(__xludf.DUMMYFUNCTION("""COMPUTED_VALUE"""),"Royalton Cayo Santa Maria")</f>
        <v>Royalton Cayo Santa Maria</v>
      </c>
      <c r="B148" s="66">
        <f>IFERROR(__xludf.DUMMYFUNCTION("""COMPUTED_VALUE"""),91.0)</f>
        <v>91</v>
      </c>
      <c r="C148" s="67" t="str">
        <f>IFERROR(__xludf.DUMMYFUNCTION("""COMPUTED_VALUE"""),"Adults Only")</f>
        <v>Adults Only</v>
      </c>
      <c r="D148" s="79">
        <f>IFERROR(__xludf.DUMMYFUNCTION("""COMPUTED_VALUE"""),2090.76)</f>
        <v>2090.76</v>
      </c>
      <c r="E148" s="79">
        <f>IFERROR(__xludf.DUMMYFUNCTION("""COMPUTED_VALUE"""),2887.443888924)</f>
        <v>2887.443889</v>
      </c>
      <c r="F148" s="69">
        <f>IFERROR(__xludf.DUMMYFUNCTION("""COMPUTED_VALUE"""),5.26)</f>
        <v>5.26</v>
      </c>
      <c r="G148" s="78"/>
      <c r="H148" s="78"/>
      <c r="I148" s="78"/>
      <c r="J148" s="78">
        <f>IFERROR(__xludf.DUMMYFUNCTION("""COMPUTED_VALUE"""),4.0)</f>
        <v>4</v>
      </c>
      <c r="K148" s="71"/>
      <c r="L148" s="76" t="str">
        <f>IFERROR(__xludf.DUMMYFUNCTION("""COMPUTED_VALUE"""),"Cuba")</f>
        <v>Cuba</v>
      </c>
      <c r="M148" s="76" t="str">
        <f>IFERROR(__xludf.DUMMYFUNCTION("""COMPUTED_VALUE"""),"Cayo Santa Maria")</f>
        <v>Cayo Santa Maria</v>
      </c>
      <c r="N148" s="76" t="str">
        <f>IFERROR(__xludf.DUMMYFUNCTION("""COMPUTED_VALUE"""),"Santa Clara")</f>
        <v>Santa Clara</v>
      </c>
      <c r="O148" s="78" t="b">
        <f>IFERROR(__xludf.DUMMYFUNCTION("""COMPUTED_VALUE"""),TRUE)</f>
        <v>1</v>
      </c>
      <c r="P148" s="80">
        <f>IFERROR(__xludf.DUMMYFUNCTION("""COMPUTED_VALUE"""),0.06666666666666667)</f>
        <v>0.06666666667</v>
      </c>
      <c r="Q148" s="76" t="str">
        <f>IFERROR(__xludf.DUMMYFUNCTION("""COMPUTED_VALUE"""),"Royalton")</f>
        <v>Royalton</v>
      </c>
      <c r="R148" s="76" t="str">
        <f>IFERROR(__xludf.DUMMYFUNCTION("""COMPUTED_VALUE"""),"Romantic, Charming")</f>
        <v>Romantic, Charming</v>
      </c>
      <c r="S148" s="76" t="str">
        <f>IFERROR(__xludf.DUMMYFUNCTION("""COMPUTED_VALUE"""),"Beach, Gym, Diving, Buffet, Evening Entertainment")</f>
        <v>Beach, Gym, Diving, Buffet, Evening Entertainment</v>
      </c>
      <c r="T148" s="76"/>
      <c r="U148" s="76"/>
      <c r="V148" s="78" t="b">
        <f>IFERROR(__xludf.DUMMYFUNCTION("""COMPUTED_VALUE"""),FALSE)</f>
        <v>0</v>
      </c>
      <c r="W148" s="78">
        <f>IFERROR(__xludf.DUMMYFUNCTION("""COMPUTED_VALUE"""),122.0)</f>
        <v>122</v>
      </c>
      <c r="X148" s="78">
        <f>IFERROR(__xludf.DUMMYFUNCTION("""COMPUTED_VALUE"""),2012.0)</f>
        <v>2012</v>
      </c>
      <c r="Y148" s="78">
        <f>IFERROR(__xludf.DUMMYFUNCTION("""COMPUTED_VALUE"""),2017.0)</f>
        <v>2017</v>
      </c>
      <c r="Z148" s="81">
        <f>IFERROR(__xludf.DUMMYFUNCTION("""COMPUTED_VALUE"""),2.0)</f>
        <v>2</v>
      </c>
    </row>
    <row r="149">
      <c r="A149" s="65" t="str">
        <f>IFERROR(__xludf.DUMMYFUNCTION("""COMPUTED_VALUE"""),"Grand Sirenis Cayo Santa Maria")</f>
        <v>Grand Sirenis Cayo Santa Maria</v>
      </c>
      <c r="B149" s="66">
        <f>IFERROR(__xludf.DUMMYFUNCTION("""COMPUTED_VALUE"""),91.0)</f>
        <v>91</v>
      </c>
      <c r="C149" s="67" t="str">
        <f>IFERROR(__xludf.DUMMYFUNCTION("""COMPUTED_VALUE"""),"Family")</f>
        <v>Family</v>
      </c>
      <c r="D149" s="79">
        <f>IFERROR(__xludf.DUMMYFUNCTION("""COMPUTED_VALUE"""),2222.5)</f>
        <v>2222.5</v>
      </c>
      <c r="E149" s="79">
        <f>IFERROR(__xludf.DUMMYFUNCTION("""COMPUTED_VALUE"""),3069.3834027499997)</f>
        <v>3069.383403</v>
      </c>
      <c r="F149" s="69">
        <f>IFERROR(__xludf.DUMMYFUNCTION("""COMPUTED_VALUE"""),4.95)</f>
        <v>4.95</v>
      </c>
      <c r="G149" s="78"/>
      <c r="H149" s="74"/>
      <c r="I149" s="78"/>
      <c r="J149" s="78">
        <f>IFERROR(__xludf.DUMMYFUNCTION("""COMPUTED_VALUE"""),5.0)</f>
        <v>5</v>
      </c>
      <c r="K149" s="76"/>
      <c r="L149" s="76" t="str">
        <f>IFERROR(__xludf.DUMMYFUNCTION("""COMPUTED_VALUE"""),"Cuba")</f>
        <v>Cuba</v>
      </c>
      <c r="M149" s="76" t="str">
        <f>IFERROR(__xludf.DUMMYFUNCTION("""COMPUTED_VALUE"""),"Cayo Las Brujas")</f>
        <v>Cayo Las Brujas</v>
      </c>
      <c r="N149" s="76" t="str">
        <f>IFERROR(__xludf.DUMMYFUNCTION("""COMPUTED_VALUE"""),"Santa Clara")</f>
        <v>Santa Clara</v>
      </c>
      <c r="O149" s="78" t="b">
        <f>IFERROR(__xludf.DUMMYFUNCTION("""COMPUTED_VALUE"""),TRUE)</f>
        <v>1</v>
      </c>
      <c r="P149" s="80">
        <f>IFERROR(__xludf.DUMMYFUNCTION("""COMPUTED_VALUE"""),0.06388888888888888)</f>
        <v>0.06388888889</v>
      </c>
      <c r="Q149" s="76" t="str">
        <f>IFERROR(__xludf.DUMMYFUNCTION("""COMPUTED_VALUE"""),"Sirenis Hotels")</f>
        <v>Sirenis Hotels</v>
      </c>
      <c r="R149" s="76" t="str">
        <f>IFERROR(__xludf.DUMMYFUNCTION("""COMPUTED_VALUE"""),"Ocean View")</f>
        <v>Ocean View</v>
      </c>
      <c r="S149" s="76" t="str">
        <f>IFERROR(__xludf.DUMMYFUNCTION("""COMPUTED_VALUE"""),"Beach, Kids Club, Gym, Snorkelling, Tennis, Nightclub, Wifi (Paid), Buffet, Swim Up Bar, Evening Entertainment, Babysitting")</f>
        <v>Beach, Kids Club, Gym, Snorkelling, Tennis, Nightclub, Wifi (Paid), Buffet, Swim Up Bar, Evening Entertainment, Babysitting</v>
      </c>
      <c r="T149" s="76" t="str">
        <f>IFERROR(__xludf.DUMMYFUNCTION("""COMPUTED_VALUE"""),"Can't Book Two Rooms")</f>
        <v>Can't Book Two Rooms</v>
      </c>
      <c r="U149" s="76" t="str">
        <f>IFERROR(__xludf.DUMMYFUNCTION("""COMPUTED_VALUE"""),"1 King or 2 Double")</f>
        <v>1 King or 2 Double</v>
      </c>
      <c r="V149" s="74" t="b">
        <f>IFERROR(__xludf.DUMMYFUNCTION("""COMPUTED_VALUE"""),FALSE)</f>
        <v>0</v>
      </c>
      <c r="W149" s="74"/>
      <c r="X149" s="74"/>
      <c r="Y149" s="74"/>
      <c r="Z149" s="75"/>
    </row>
    <row r="150">
      <c r="A150" s="65" t="str">
        <f>IFERROR(__xludf.DUMMYFUNCTION("""COMPUTED_VALUE"""),"Escape at Nonsuch Bay Antigua - Adults Only - All Inclusive")</f>
        <v>Escape at Nonsuch Bay Antigua - Adults Only - All Inclusive</v>
      </c>
      <c r="B150" s="66">
        <f>IFERROR(__xludf.DUMMYFUNCTION("""COMPUTED_VALUE"""),91.0)</f>
        <v>91</v>
      </c>
      <c r="C150" s="67" t="str">
        <f>IFERROR(__xludf.DUMMYFUNCTION("""COMPUTED_VALUE"""),"Adults Only")</f>
        <v>Adults Only</v>
      </c>
      <c r="D150" s="79">
        <f>IFERROR(__xludf.DUMMYFUNCTION("""COMPUTED_VALUE"""),2495.0)</f>
        <v>2495</v>
      </c>
      <c r="E150" s="79">
        <f>IFERROR(__xludf.DUMMYFUNCTION("""COMPUTED_VALUE"""),3445.7195004999994)</f>
        <v>3445.719501</v>
      </c>
      <c r="F150" s="69">
        <f>IFERROR(__xludf.DUMMYFUNCTION("""COMPUTED_VALUE"""),4.41)</f>
        <v>4.41</v>
      </c>
      <c r="G150" s="78"/>
      <c r="H150" s="78"/>
      <c r="I150" s="78"/>
      <c r="J150" s="78">
        <f>IFERROR(__xludf.DUMMYFUNCTION("""COMPUTED_VALUE"""),4.0)</f>
        <v>4</v>
      </c>
      <c r="K150" s="71"/>
      <c r="L150" s="76" t="str">
        <f>IFERROR(__xludf.DUMMYFUNCTION("""COMPUTED_VALUE"""),"Antigua")</f>
        <v>Antigua</v>
      </c>
      <c r="M150" s="76" t="str">
        <f>IFERROR(__xludf.DUMMYFUNCTION("""COMPUTED_VALUE"""),"Freetown")</f>
        <v>Freetown</v>
      </c>
      <c r="N150" s="76" t="str">
        <f>IFERROR(__xludf.DUMMYFUNCTION("""COMPUTED_VALUE"""),"V.C. Bird")</f>
        <v>V.C. Bird</v>
      </c>
      <c r="O150" s="78" t="b">
        <f>IFERROR(__xludf.DUMMYFUNCTION("""COMPUTED_VALUE"""),TRUE)</f>
        <v>1</v>
      </c>
      <c r="P150" s="80">
        <f>IFERROR(__xludf.DUMMYFUNCTION("""COMPUTED_VALUE"""),0.025694444444444443)</f>
        <v>0.02569444444</v>
      </c>
      <c r="Q150" s="76"/>
      <c r="R150" s="76" t="str">
        <f>IFERROR(__xludf.DUMMYFUNCTION("""COMPUTED_VALUE"""),"Ocean View")</f>
        <v>Ocean View</v>
      </c>
      <c r="S150" s="76" t="str">
        <f>IFERROR(__xludf.DUMMYFUNCTION("""COMPUTED_VALUE"""),"Beach, Swim Out/Plunge Pool Rooms, Snorkelling, Wifi (Free), Spa")</f>
        <v>Beach, Swim Out/Plunge Pool Rooms, Snorkelling, Wifi (Free), Spa</v>
      </c>
      <c r="T150" s="76"/>
      <c r="U150" s="76"/>
      <c r="V150" s="78" t="b">
        <f>IFERROR(__xludf.DUMMYFUNCTION("""COMPUTED_VALUE"""),FALSE)</f>
        <v>0</v>
      </c>
      <c r="W150" s="78"/>
      <c r="X150" s="78"/>
      <c r="Y150" s="74"/>
      <c r="Z150" s="81"/>
    </row>
    <row r="151">
      <c r="A151" s="65" t="str">
        <f>IFERROR(__xludf.DUMMYFUNCTION("""COMPUTED_VALUE"""),"Sugar Cane Club Hotel &amp; Spa")</f>
        <v>Sugar Cane Club Hotel &amp; Spa</v>
      </c>
      <c r="B151" s="66">
        <f>IFERROR(__xludf.DUMMYFUNCTION("""COMPUTED_VALUE"""),91.0)</f>
        <v>91</v>
      </c>
      <c r="C151" s="67" t="str">
        <f>IFERROR(__xludf.DUMMYFUNCTION("""COMPUTED_VALUE"""),"Adults Only")</f>
        <v>Adults Only</v>
      </c>
      <c r="D151" s="85">
        <f>IFERROR(__xludf.DUMMYFUNCTION("""COMPUTED_VALUE"""),2692.2)</f>
        <v>2692.2</v>
      </c>
      <c r="E151" s="79">
        <f>IFERROR(__xludf.DUMMYFUNCTION("""COMPUTED_VALUE"""),3718.0625407799994)</f>
        <v>3718.062541</v>
      </c>
      <c r="F151" s="69">
        <f>IFERROR(__xludf.DUMMYFUNCTION("""COMPUTED_VALUE"""),4.09)</f>
        <v>4.09</v>
      </c>
      <c r="G151" s="78"/>
      <c r="H151" s="78">
        <f>IFERROR(__xludf.DUMMYFUNCTION("""COMPUTED_VALUE"""),7.0)</f>
        <v>7</v>
      </c>
      <c r="I151" s="78"/>
      <c r="J151" s="78">
        <f>IFERROR(__xludf.DUMMYFUNCTION("""COMPUTED_VALUE"""),4.0)</f>
        <v>4</v>
      </c>
      <c r="K151" s="76"/>
      <c r="L151" s="76" t="str">
        <f>IFERROR(__xludf.DUMMYFUNCTION("""COMPUTED_VALUE"""),"Barbados")</f>
        <v>Barbados</v>
      </c>
      <c r="M151" s="76" t="str">
        <f>IFERROR(__xludf.DUMMYFUNCTION("""COMPUTED_VALUE"""),"Saint Peter Parish")</f>
        <v>Saint Peter Parish</v>
      </c>
      <c r="N151" s="76" t="str">
        <f>IFERROR(__xludf.DUMMYFUNCTION("""COMPUTED_VALUE"""),"Grantley Adams")</f>
        <v>Grantley Adams</v>
      </c>
      <c r="O151" s="78" t="b">
        <f>IFERROR(__xludf.DUMMYFUNCTION("""COMPUTED_VALUE"""),TRUE)</f>
        <v>1</v>
      </c>
      <c r="P151" s="80">
        <f>IFERROR(__xludf.DUMMYFUNCTION("""COMPUTED_VALUE"""),0.02847222222222222)</f>
        <v>0.02847222222</v>
      </c>
      <c r="Q151" s="76"/>
      <c r="R151" s="76" t="str">
        <f>IFERROR(__xludf.DUMMYFUNCTION("""COMPUTED_VALUE"""),"Romantic")</f>
        <v>Romantic</v>
      </c>
      <c r="S151" s="76" t="str">
        <f>IFERROR(__xludf.DUMMYFUNCTION("""COMPUTED_VALUE"""),"Gym, Buffet, Spa, Wifi (Free), Bicycles Available, Evening Entertainment")</f>
        <v>Gym, Buffet, Spa, Wifi (Free), Bicycles Available, Evening Entertainment</v>
      </c>
      <c r="T151" s="76"/>
      <c r="U151" s="76"/>
      <c r="V151" s="78" t="b">
        <f>IFERROR(__xludf.DUMMYFUNCTION("""COMPUTED_VALUE"""),TRUE)</f>
        <v>1</v>
      </c>
      <c r="W151" s="78">
        <f>IFERROR(__xludf.DUMMYFUNCTION("""COMPUTED_VALUE"""),47.0)</f>
        <v>47</v>
      </c>
      <c r="X151" s="78">
        <f>IFERROR(__xludf.DUMMYFUNCTION("""COMPUTED_VALUE"""),1972.0)</f>
        <v>1972</v>
      </c>
      <c r="Y151" s="78">
        <f>IFERROR(__xludf.DUMMYFUNCTION("""COMPUTED_VALUE"""),2008.0)</f>
        <v>2008</v>
      </c>
      <c r="Z151" s="81">
        <f>IFERROR(__xludf.DUMMYFUNCTION("""COMPUTED_VALUE"""),3.0)</f>
        <v>3</v>
      </c>
    </row>
    <row r="152">
      <c r="A152" s="65" t="str">
        <f>IFERROR(__xludf.DUMMYFUNCTION("""COMPUTED_VALUE"""),"Melia Internacional Varadero")</f>
        <v>Melia Internacional Varadero</v>
      </c>
      <c r="B152" s="66">
        <f>IFERROR(__xludf.DUMMYFUNCTION("""COMPUTED_VALUE"""),91.0)</f>
        <v>91</v>
      </c>
      <c r="C152" s="67" t="str">
        <f>IFERROR(__xludf.DUMMYFUNCTION("""COMPUTED_VALUE"""),"Family")</f>
        <v>Family</v>
      </c>
      <c r="D152" s="79">
        <f>IFERROR(__xludf.DUMMYFUNCTION("""COMPUTED_VALUE"""),2786.0)</f>
        <v>2786</v>
      </c>
      <c r="E152" s="79">
        <f>IFERROR(__xludf.DUMMYFUNCTION("""COMPUTED_VALUE"""),3847.6050213999997)</f>
        <v>3847.605021</v>
      </c>
      <c r="F152" s="69">
        <f>IFERROR(__xludf.DUMMYFUNCTION("""COMPUTED_VALUE"""),3.95)</f>
        <v>3.95</v>
      </c>
      <c r="G152" s="78"/>
      <c r="H152" s="78">
        <f>IFERROR(__xludf.DUMMYFUNCTION("""COMPUTED_VALUE"""),6.0)</f>
        <v>6</v>
      </c>
      <c r="I152" s="78"/>
      <c r="J152" s="78">
        <f>IFERROR(__xludf.DUMMYFUNCTION("""COMPUTED_VALUE"""),5.0)</f>
        <v>5</v>
      </c>
      <c r="K152" s="76"/>
      <c r="L152" s="76" t="str">
        <f>IFERROR(__xludf.DUMMYFUNCTION("""COMPUTED_VALUE"""),"Cuba")</f>
        <v>Cuba</v>
      </c>
      <c r="M152" s="76" t="str">
        <f>IFERROR(__xludf.DUMMYFUNCTION("""COMPUTED_VALUE"""),"Varadero")</f>
        <v>Varadero</v>
      </c>
      <c r="N152" s="76" t="str">
        <f>IFERROR(__xludf.DUMMYFUNCTION("""COMPUTED_VALUE"""),"Varadero")</f>
        <v>Varadero</v>
      </c>
      <c r="O152" s="78" t="b">
        <f>IFERROR(__xludf.DUMMYFUNCTION("""COMPUTED_VALUE"""),TRUE)</f>
        <v>1</v>
      </c>
      <c r="P152" s="80">
        <f>IFERROR(__xludf.DUMMYFUNCTION("""COMPUTED_VALUE"""),0.018055555555555554)</f>
        <v>0.01805555556</v>
      </c>
      <c r="Q152" s="76" t="str">
        <f>IFERROR(__xludf.DUMMYFUNCTION("""COMPUTED_VALUE"""),"Melia")</f>
        <v>Melia</v>
      </c>
      <c r="R152" s="76" t="str">
        <f>IFERROR(__xludf.DUMMYFUNCTION("""COMPUTED_VALUE"""),"Trendy, Business")</f>
        <v>Trendy, Business</v>
      </c>
      <c r="S152" s="76" t="str">
        <f>IFERROR(__xludf.DUMMYFUNCTION("""COMPUTED_VALUE"""),"Beach, Great Beach, Adults Only Rooms, Kids Club, Gym, Buffet, Swim Up Bar, Tennis, Babysitting, Snorkelling, Evening Entertainment, Spa")</f>
        <v>Beach, Great Beach, Adults Only Rooms, Kids Club, Gym, Buffet, Swim Up Bar, Tennis, Babysitting, Snorkelling, Evening Entertainment, Spa</v>
      </c>
      <c r="T152" s="76"/>
      <c r="U152" s="76" t="str">
        <f>IFERROR(__xludf.DUMMYFUNCTION("""COMPUTED_VALUE"""),"1 King or 2 Double")</f>
        <v>1 King or 2 Double</v>
      </c>
      <c r="V152" s="78" t="b">
        <f>IFERROR(__xludf.DUMMYFUNCTION("""COMPUTED_VALUE"""),TRUE)</f>
        <v>1</v>
      </c>
      <c r="W152" s="78">
        <f>IFERROR(__xludf.DUMMYFUNCTION("""COMPUTED_VALUE"""),163.0)</f>
        <v>163</v>
      </c>
      <c r="X152" s="78">
        <f>IFERROR(__xludf.DUMMYFUNCTION("""COMPUTED_VALUE"""),1950.0)</f>
        <v>1950</v>
      </c>
      <c r="Y152" s="78">
        <f>IFERROR(__xludf.DUMMYFUNCTION("""COMPUTED_VALUE"""),1998.0)</f>
        <v>1998</v>
      </c>
      <c r="Z152" s="81">
        <f>IFERROR(__xludf.DUMMYFUNCTION("""COMPUTED_VALUE"""),4.0)</f>
        <v>4</v>
      </c>
    </row>
    <row r="153">
      <c r="A153" s="65" t="str">
        <f>IFERROR(__xludf.DUMMYFUNCTION("""COMPUTED_VALUE"""),"Cocobay Resort - All Inclusive - Adults Only")</f>
        <v>Cocobay Resort - All Inclusive - Adults Only</v>
      </c>
      <c r="B153" s="66">
        <f>IFERROR(__xludf.DUMMYFUNCTION("""COMPUTED_VALUE"""),91.0)</f>
        <v>91</v>
      </c>
      <c r="C153" s="67" t="str">
        <f>IFERROR(__xludf.DUMMYFUNCTION("""COMPUTED_VALUE"""),"Adults Only")</f>
        <v>Adults Only</v>
      </c>
      <c r="D153" s="79">
        <f>IFERROR(__xludf.DUMMYFUNCTION("""COMPUTED_VALUE"""),3294.0)</f>
        <v>3294</v>
      </c>
      <c r="E153" s="79">
        <f>IFERROR(__xludf.DUMMYFUNCTION("""COMPUTED_VALUE"""),4549.1783706)</f>
        <v>4549.178371</v>
      </c>
      <c r="F153" s="69">
        <f>IFERROR(__xludf.DUMMYFUNCTION("""COMPUTED_VALUE"""),3.34)</f>
        <v>3.34</v>
      </c>
      <c r="G153" s="78"/>
      <c r="H153" s="78"/>
      <c r="I153" s="78"/>
      <c r="J153" s="78">
        <f>IFERROR(__xludf.DUMMYFUNCTION("""COMPUTED_VALUE"""),4.0)</f>
        <v>4</v>
      </c>
      <c r="K153" s="71"/>
      <c r="L153" s="76" t="str">
        <f>IFERROR(__xludf.DUMMYFUNCTION("""COMPUTED_VALUE"""),"Antigua")</f>
        <v>Antigua</v>
      </c>
      <c r="M153" s="76" t="str">
        <f>IFERROR(__xludf.DUMMYFUNCTION("""COMPUTED_VALUE"""),"Bolans")</f>
        <v>Bolans</v>
      </c>
      <c r="N153" s="76" t="str">
        <f>IFERROR(__xludf.DUMMYFUNCTION("""COMPUTED_VALUE"""),"V.C. Bird")</f>
        <v>V.C. Bird</v>
      </c>
      <c r="O153" s="78" t="b">
        <f>IFERROR(__xludf.DUMMYFUNCTION("""COMPUTED_VALUE"""),TRUE)</f>
        <v>1</v>
      </c>
      <c r="P153" s="80">
        <f>IFERROR(__xludf.DUMMYFUNCTION("""COMPUTED_VALUE"""),0.020833333333333332)</f>
        <v>0.02083333333</v>
      </c>
      <c r="Q153" s="76"/>
      <c r="R153" s="76" t="str">
        <f>IFERROR(__xludf.DUMMYFUNCTION("""COMPUTED_VALUE"""),"Romantic")</f>
        <v>Romantic</v>
      </c>
      <c r="S153" s="76" t="str">
        <f>IFERROR(__xludf.DUMMYFUNCTION("""COMPUTED_VALUE"""),"Beach, Swim Out/Plunge Pool Rooms, Gym, Yoga Classes, Room Service, Snorkelling, Spa, Wifi (Free), Evening Entertainment")</f>
        <v>Beach, Swim Out/Plunge Pool Rooms, Gym, Yoga Classes, Room Service, Snorkelling, Spa, Wifi (Free), Evening Entertainment</v>
      </c>
      <c r="T153" s="76"/>
      <c r="U153" s="76"/>
      <c r="V153" s="78" t="b">
        <f>IFERROR(__xludf.DUMMYFUNCTION("""COMPUTED_VALUE"""),FALSE)</f>
        <v>0</v>
      </c>
      <c r="W153" s="78"/>
      <c r="X153" s="78"/>
      <c r="Y153" s="78"/>
      <c r="Z153" s="81"/>
    </row>
    <row r="154">
      <c r="A154" s="65" t="str">
        <f>IFERROR(__xludf.DUMMYFUNCTION("""COMPUTED_VALUE"""),"Barcelo Maya Palace")</f>
        <v>Barcelo Maya Palace</v>
      </c>
      <c r="B154" s="66">
        <f>IFERROR(__xludf.DUMMYFUNCTION("""COMPUTED_VALUE"""),91.0)</f>
        <v>91</v>
      </c>
      <c r="C154" s="67" t="str">
        <f>IFERROR(__xludf.DUMMYFUNCTION("""COMPUTED_VALUE"""),"Family")</f>
        <v>Family</v>
      </c>
      <c r="D154" s="79">
        <f>IFERROR(__xludf.DUMMYFUNCTION("""COMPUTED_VALUE"""),4121.25)</f>
        <v>4121.25</v>
      </c>
      <c r="E154" s="79">
        <f>IFERROR(__xludf.DUMMYFUNCTION("""COMPUTED_VALUE"""),5691.651900374999)</f>
        <v>5691.6519</v>
      </c>
      <c r="F154" s="69">
        <f>IFERROR(__xludf.DUMMYFUNCTION("""COMPUTED_VALUE"""),2.67)</f>
        <v>2.67</v>
      </c>
      <c r="G154" s="78">
        <f>IFERROR(__xludf.DUMMYFUNCTION("""COMPUTED_VALUE"""),4.0)</f>
        <v>4</v>
      </c>
      <c r="H154" s="74">
        <f>IFERROR(__xludf.DUMMYFUNCTION("""COMPUTED_VALUE"""),8.0)</f>
        <v>8</v>
      </c>
      <c r="I154" s="78"/>
      <c r="J154" s="78"/>
      <c r="K154" s="76"/>
      <c r="L154" s="76" t="str">
        <f>IFERROR(__xludf.DUMMYFUNCTION("""COMPUTED_VALUE"""),"Mexico")</f>
        <v>Mexico</v>
      </c>
      <c r="M154" s="76" t="str">
        <f>IFERROR(__xludf.DUMMYFUNCTION("""COMPUTED_VALUE"""),"Barcelo Maya")</f>
        <v>Barcelo Maya</v>
      </c>
      <c r="N154" s="76" t="str">
        <f>IFERROR(__xludf.DUMMYFUNCTION("""COMPUTED_VALUE"""),"Cancun")</f>
        <v>Cancun</v>
      </c>
      <c r="O154" s="78" t="b">
        <f>IFERROR(__xludf.DUMMYFUNCTION("""COMPUTED_VALUE"""),TRUE)</f>
        <v>1</v>
      </c>
      <c r="P154" s="80">
        <f>IFERROR(__xludf.DUMMYFUNCTION("""COMPUTED_VALUE"""),0.043055555555555555)</f>
        <v>0.04305555556</v>
      </c>
      <c r="Q154" s="76" t="str">
        <f>IFERROR(__xludf.DUMMYFUNCTION("""COMPUTED_VALUE"""),"Barcelo")</f>
        <v>Barcelo</v>
      </c>
      <c r="R154" s="76" t="str">
        <f>IFERROR(__xludf.DUMMYFUNCTION("""COMPUTED_VALUE"""),"Quiet, Bay View")</f>
        <v>Quiet, Bay View</v>
      </c>
      <c r="S154" s="76" t="str">
        <f>IFERROR(__xludf.DUMMYFUNCTION("""COMPUTED_VALUE"""),"Beach, Family Suite, 2 Bedroom Suites, Kids Club, Teen Club, Kids Waterpark, Pool Slide, Water Feature, Flowrider, Gym, Diving, Adult Pool, Swim Up Bar, Snorkelling, Spa, Babysitting, Buffet, Mini Golf, Tennis, Evening Entertainment, Nightclub")</f>
        <v>Beach, Family Suite, 2 Bedroom Suites, Kids Club, Teen Club, Kids Waterpark, Pool Slide, Water Feature, Flowrider, Gym, Diving, Adult Pool, Swim Up Bar, Snorkelling, Spa, Babysitting, Buffet, Mini Golf, Tennis, Evening Entertainment, Nightclub</v>
      </c>
      <c r="T154" s="76"/>
      <c r="U154" s="76" t="str">
        <f>IFERROR(__xludf.DUMMYFUNCTION("""COMPUTED_VALUE"""),"1 King or 2 Double")</f>
        <v>1 King or 2 Double</v>
      </c>
      <c r="V154" s="74" t="b">
        <f>IFERROR(__xludf.DUMMYFUNCTION("""COMPUTED_VALUE"""),FALSE)</f>
        <v>0</v>
      </c>
      <c r="W154" s="74">
        <f>IFERROR(__xludf.DUMMYFUNCTION("""COMPUTED_VALUE"""),756.0)</f>
        <v>756</v>
      </c>
      <c r="X154" s="74">
        <f>IFERROR(__xludf.DUMMYFUNCTION("""COMPUTED_VALUE"""),2007.0)</f>
        <v>2007</v>
      </c>
      <c r="Y154" s="74"/>
      <c r="Z154" s="75">
        <f>IFERROR(__xludf.DUMMYFUNCTION("""COMPUTED_VALUE"""),3.0)</f>
        <v>3</v>
      </c>
    </row>
    <row r="155">
      <c r="A155" s="65" t="str">
        <f>IFERROR(__xludf.DUMMYFUNCTION("""COMPUTED_VALUE"""),"Hotel Riu Palace Riviera Maya")</f>
        <v>Hotel Riu Palace Riviera Maya</v>
      </c>
      <c r="B155" s="66">
        <f>IFERROR(__xludf.DUMMYFUNCTION("""COMPUTED_VALUE"""),91.0)</f>
        <v>91</v>
      </c>
      <c r="C155" s="67" t="str">
        <f>IFERROR(__xludf.DUMMYFUNCTION("""COMPUTED_VALUE"""),"Family")</f>
        <v>Family</v>
      </c>
      <c r="D155" s="79">
        <f>IFERROR(__xludf.DUMMYFUNCTION("""COMPUTED_VALUE"""),4687.2)</f>
        <v>4687.2</v>
      </c>
      <c r="E155" s="79">
        <f>IFERROR(__xludf.DUMMYFUNCTION("""COMPUTED_VALUE"""),6473.257091279999)</f>
        <v>6473.257091</v>
      </c>
      <c r="F155" s="69">
        <f>IFERROR(__xludf.DUMMYFUNCTION("""COMPUTED_VALUE"""),2.35)</f>
        <v>2.35</v>
      </c>
      <c r="G155" s="78"/>
      <c r="H155" s="74">
        <f>IFERROR(__xludf.DUMMYFUNCTION("""COMPUTED_VALUE"""),7.0)</f>
        <v>7</v>
      </c>
      <c r="I155" s="78"/>
      <c r="J155" s="78">
        <f>IFERROR(__xludf.DUMMYFUNCTION("""COMPUTED_VALUE"""),5.0)</f>
        <v>5</v>
      </c>
      <c r="K155" s="71"/>
      <c r="L155" s="76" t="str">
        <f>IFERROR(__xludf.DUMMYFUNCTION("""COMPUTED_VALUE"""),"Mexico")</f>
        <v>Mexico</v>
      </c>
      <c r="M155" s="76" t="str">
        <f>IFERROR(__xludf.DUMMYFUNCTION("""COMPUTED_VALUE"""),"Playa del Carmen")</f>
        <v>Playa del Carmen</v>
      </c>
      <c r="N155" s="76" t="str">
        <f>IFERROR(__xludf.DUMMYFUNCTION("""COMPUTED_VALUE"""),"Cancun")</f>
        <v>Cancun</v>
      </c>
      <c r="O155" s="78" t="b">
        <f>IFERROR(__xludf.DUMMYFUNCTION("""COMPUTED_VALUE"""),TRUE)</f>
        <v>1</v>
      </c>
      <c r="P155" s="80">
        <f>IFERROR(__xludf.DUMMYFUNCTION("""COMPUTED_VALUE"""),0.03680555555555556)</f>
        <v>0.03680555556</v>
      </c>
      <c r="Q155" s="76" t="str">
        <f>IFERROR(__xludf.DUMMYFUNCTION("""COMPUTED_VALUE"""),"Riu")</f>
        <v>Riu</v>
      </c>
      <c r="R155" s="76" t="str">
        <f>IFERROR(__xludf.DUMMYFUNCTION("""COMPUTED_VALUE"""),"Green, Family")</f>
        <v>Green, Family</v>
      </c>
      <c r="S155" s="76" t="str">
        <f>IFERROR(__xludf.DUMMYFUNCTION("""COMPUTED_VALUE"""),"Beach, Kids Club, Pool Slide, Water Feature, Gym, Diving, Watersports Equipment Rentals, Nightclub, Spa, Buffet, Swim Up Bar, Snorkelling, Windsurfing, Evening Entertainment")</f>
        <v>Beach, Kids Club, Pool Slide, Water Feature, Gym, Diving, Watersports Equipment Rentals, Nightclub, Spa, Buffet, Swim Up Bar, Snorkelling, Windsurfing, Evening Entertainment</v>
      </c>
      <c r="T155" s="76"/>
      <c r="U155" s="76" t="str">
        <f>IFERROR(__xludf.DUMMYFUNCTION("""COMPUTED_VALUE"""),"2 Small Double")</f>
        <v>2 Small Double</v>
      </c>
      <c r="V155" s="78" t="b">
        <f>IFERROR(__xludf.DUMMYFUNCTION("""COMPUTED_VALUE"""),FALSE)</f>
        <v>0</v>
      </c>
      <c r="W155" s="78">
        <f>IFERROR(__xludf.DUMMYFUNCTION("""COMPUTED_VALUE"""),460.0)</f>
        <v>460</v>
      </c>
      <c r="X155" s="78">
        <f>IFERROR(__xludf.DUMMYFUNCTION("""COMPUTED_VALUE"""),2006.0)</f>
        <v>2006</v>
      </c>
      <c r="Y155" s="78">
        <f>IFERROR(__xludf.DUMMYFUNCTION("""COMPUTED_VALUE"""),2019.0)</f>
        <v>2019</v>
      </c>
      <c r="Z155" s="81">
        <f>IFERROR(__xludf.DUMMYFUNCTION("""COMPUTED_VALUE"""),3.0)</f>
        <v>3</v>
      </c>
    </row>
    <row r="156">
      <c r="A156" s="65" t="str">
        <f>IFERROR(__xludf.DUMMYFUNCTION("""COMPUTED_VALUE"""),"Hidden Beach Au Naturel Resort by Karisma (Clothing optional)")</f>
        <v>Hidden Beach Au Naturel Resort by Karisma (Clothing optional)</v>
      </c>
      <c r="B156" s="66">
        <f>IFERROR(__xludf.DUMMYFUNCTION("""COMPUTED_VALUE"""),91.0)</f>
        <v>91</v>
      </c>
      <c r="C156" s="67" t="str">
        <f>IFERROR(__xludf.DUMMYFUNCTION("""COMPUTED_VALUE"""),"Adults Only")</f>
        <v>Adults Only</v>
      </c>
      <c r="D156" s="79">
        <f>IFERROR(__xludf.DUMMYFUNCTION("""COMPUTED_VALUE"""),6300.0)</f>
        <v>6300</v>
      </c>
      <c r="E156" s="79">
        <f>IFERROR(__xludf.DUMMYFUNCTION("""COMPUTED_VALUE"""),8700.61437)</f>
        <v>8700.61437</v>
      </c>
      <c r="F156" s="69">
        <f>IFERROR(__xludf.DUMMYFUNCTION("""COMPUTED_VALUE"""),1.75)</f>
        <v>1.75</v>
      </c>
      <c r="G156" s="78"/>
      <c r="H156" s="74">
        <f>IFERROR(__xludf.DUMMYFUNCTION("""COMPUTED_VALUE"""),7.0)</f>
        <v>7</v>
      </c>
      <c r="I156" s="78"/>
      <c r="J156" s="78">
        <f>IFERROR(__xludf.DUMMYFUNCTION("""COMPUTED_VALUE"""),4.5)</f>
        <v>4.5</v>
      </c>
      <c r="K156" s="76" t="str">
        <f>IFERROR(__xludf.DUMMYFUNCTION("""COMPUTED_VALUE"""),"Clothing Optional")</f>
        <v>Clothing Optional</v>
      </c>
      <c r="L156" s="76" t="str">
        <f>IFERROR(__xludf.DUMMYFUNCTION("""COMPUTED_VALUE"""),"Mexico")</f>
        <v>Mexico</v>
      </c>
      <c r="M156" s="76" t="str">
        <f>IFERROR(__xludf.DUMMYFUNCTION("""COMPUTED_VALUE"""),"El Dorado")</f>
        <v>El Dorado</v>
      </c>
      <c r="N156" s="76" t="str">
        <f>IFERROR(__xludf.DUMMYFUNCTION("""COMPUTED_VALUE"""),"Cancun")</f>
        <v>Cancun</v>
      </c>
      <c r="O156" s="78" t="b">
        <f>IFERROR(__xludf.DUMMYFUNCTION("""COMPUTED_VALUE"""),TRUE)</f>
        <v>1</v>
      </c>
      <c r="P156" s="80">
        <f>IFERROR(__xludf.DUMMYFUNCTION("""COMPUTED_VALUE"""),0.04513888888888889)</f>
        <v>0.04513888889</v>
      </c>
      <c r="Q156" s="76" t="str">
        <f>IFERROR(__xludf.DUMMYFUNCTION("""COMPUTED_VALUE"""),"Karisma")</f>
        <v>Karisma</v>
      </c>
      <c r="R156" s="76" t="str">
        <f>IFERROR(__xludf.DUMMYFUNCTION("""COMPUTED_VALUE"""),"Luxury")</f>
        <v>Luxury</v>
      </c>
      <c r="S156" s="76" t="str">
        <f>IFERROR(__xludf.DUMMYFUNCTION("""COMPUTED_VALUE"""),"Beach, Swim Out/Plunge Pool Rooms, Heated Pool, Gym, Swim Up Bar, Wifi (Free), Buffet, Evening Entertainment, Nightclub, Spa")</f>
        <v>Beach, Swim Out/Plunge Pool Rooms, Heated Pool, Gym, Swim Up Bar, Wifi (Free), Buffet, Evening Entertainment, Nightclub, Spa</v>
      </c>
      <c r="T156" s="76"/>
      <c r="U156" s="76"/>
      <c r="V156" s="78" t="b">
        <f>IFERROR(__xludf.DUMMYFUNCTION("""COMPUTED_VALUE"""),FALSE)</f>
        <v>0</v>
      </c>
      <c r="W156" s="78">
        <f>IFERROR(__xludf.DUMMYFUNCTION("""COMPUTED_VALUE"""),43.0)</f>
        <v>43</v>
      </c>
      <c r="X156" s="78">
        <f>IFERROR(__xludf.DUMMYFUNCTION("""COMPUTED_VALUE"""),2002.0)</f>
        <v>2002</v>
      </c>
      <c r="Y156" s="74">
        <f>IFERROR(__xludf.DUMMYFUNCTION("""COMPUTED_VALUE"""),2012.0)</f>
        <v>2012</v>
      </c>
      <c r="Z156" s="81">
        <f>IFERROR(__xludf.DUMMYFUNCTION("""COMPUTED_VALUE"""),2.0)</f>
        <v>2</v>
      </c>
    </row>
    <row r="157">
      <c r="A157" s="65" t="str">
        <f>IFERROR(__xludf.DUMMYFUNCTION("""COMPUTED_VALUE"""),"Club Med Ixtapa Pacific")</f>
        <v>Club Med Ixtapa Pacific</v>
      </c>
      <c r="B157" s="66">
        <f>IFERROR(__xludf.DUMMYFUNCTION("""COMPUTED_VALUE"""),91.0)</f>
        <v>91</v>
      </c>
      <c r="C157" s="67" t="str">
        <f>IFERROR(__xludf.DUMMYFUNCTION("""COMPUTED_VALUE"""),"Family")</f>
        <v>Family</v>
      </c>
      <c r="D157" s="79">
        <f>IFERROR(__xludf.DUMMYFUNCTION("""COMPUTED_VALUE"""),6682.86)</f>
        <v>6682.86</v>
      </c>
      <c r="E157" s="79">
        <f>IFERROR(__xludf.DUMMYFUNCTION("""COMPUTED_VALUE"""),9229.363134713998)</f>
        <v>9229.363135</v>
      </c>
      <c r="F157" s="69">
        <f>IFERROR(__xludf.DUMMYFUNCTION("""COMPUTED_VALUE"""),1.65)</f>
        <v>1.65</v>
      </c>
      <c r="G157" s="78"/>
      <c r="H157" s="78">
        <f>IFERROR(__xludf.DUMMYFUNCTION("""COMPUTED_VALUE"""),7.0)</f>
        <v>7</v>
      </c>
      <c r="I157" s="78"/>
      <c r="J157" s="78">
        <f>IFERROR(__xludf.DUMMYFUNCTION("""COMPUTED_VALUE"""),4.0)</f>
        <v>4</v>
      </c>
      <c r="K157" s="76"/>
      <c r="L157" s="76" t="str">
        <f>IFERROR(__xludf.DUMMYFUNCTION("""COMPUTED_VALUE"""),"Mexico")</f>
        <v>Mexico</v>
      </c>
      <c r="M157" s="76" t="str">
        <f>IFERROR(__xludf.DUMMYFUNCTION("""COMPUTED_VALUE"""),"Ixtapa")</f>
        <v>Ixtapa</v>
      </c>
      <c r="N157" s="87" t="str">
        <f>IFERROR(__xludf.DUMMYFUNCTION("""COMPUTED_VALUE"""),"Ixtapa-Zihuatanejo")</f>
        <v>Ixtapa-Zihuatanejo</v>
      </c>
      <c r="O157" s="78" t="b">
        <f>IFERROR(__xludf.DUMMYFUNCTION("""COMPUTED_VALUE"""),TRUE)</f>
        <v>1</v>
      </c>
      <c r="P157" s="80">
        <f>IFERROR(__xludf.DUMMYFUNCTION("""COMPUTED_VALUE"""),0.021527777777777778)</f>
        <v>0.02152777778</v>
      </c>
      <c r="Q157" s="76" t="str">
        <f>IFERROR(__xludf.DUMMYFUNCTION("""COMPUTED_VALUE"""),"Club Med")</f>
        <v>Club Med</v>
      </c>
      <c r="R157" s="76" t="str">
        <f>IFERROR(__xludf.DUMMYFUNCTION("""COMPUTED_VALUE"""),"Family, Charming")</f>
        <v>Family, Charming</v>
      </c>
      <c r="S157" s="76" t="str">
        <f>IFERROR(__xludf.DUMMYFUNCTION("""COMPUTED_VALUE"""),"Beach, Family Suite, 2 Bedroom Suites, Kids Club, Teen Club, Kids Club for Under 4, Gym, Buffet, Snorkelling, Evening Entertainment, Babysitting, Diving, Tennis, Fishing, Nightclub, Spa")</f>
        <v>Beach, Family Suite, 2 Bedroom Suites, Kids Club, Teen Club, Kids Club for Under 4, Gym, Buffet, Snorkelling, Evening Entertainment, Babysitting, Diving, Tennis, Fishing, Nightclub, Spa</v>
      </c>
      <c r="T157" s="76" t="str">
        <f>IFERROR(__xludf.DUMMYFUNCTION("""COMPUTED_VALUE"""),"Can't Book Two Rooms")</f>
        <v>Can't Book Two Rooms</v>
      </c>
      <c r="U157" s="76" t="str">
        <f>IFERROR(__xludf.DUMMYFUNCTION("""COMPUTED_VALUE"""),"2 Bedrooms")</f>
        <v>2 Bedrooms</v>
      </c>
      <c r="V157" s="78" t="b">
        <f>IFERROR(__xludf.DUMMYFUNCTION("""COMPUTED_VALUE"""),FALSE)</f>
        <v>0</v>
      </c>
      <c r="W157" s="78">
        <f>IFERROR(__xludf.DUMMYFUNCTION("""COMPUTED_VALUE"""),300.0)</f>
        <v>300</v>
      </c>
      <c r="X157" s="78"/>
      <c r="Y157" s="74"/>
      <c r="Z157" s="75">
        <f>IFERROR(__xludf.DUMMYFUNCTION("""COMPUTED_VALUE"""),3.0)</f>
        <v>3</v>
      </c>
    </row>
    <row r="158">
      <c r="A158" s="65" t="str">
        <f>IFERROR(__xludf.DUMMYFUNCTION("""COMPUTED_VALUE"""),"Montecristo Estates Luxury Villas")</f>
        <v>Montecristo Estates Luxury Villas</v>
      </c>
      <c r="B158" s="66">
        <f>IFERROR(__xludf.DUMMYFUNCTION("""COMPUTED_VALUE"""),91.0)</f>
        <v>91</v>
      </c>
      <c r="C158" s="67" t="str">
        <f>IFERROR(__xludf.DUMMYFUNCTION("""COMPUTED_VALUE"""),"Family")</f>
        <v>Family</v>
      </c>
      <c r="D158" s="79">
        <f>IFERROR(__xludf.DUMMYFUNCTION("""COMPUTED_VALUE"""),8836.24)</f>
        <v>8836.24</v>
      </c>
      <c r="E158" s="79">
        <f>IFERROR(__xludf.DUMMYFUNCTION("""COMPUTED_VALUE"""),12203.288368375997)</f>
        <v>12203.28837</v>
      </c>
      <c r="F158" s="69">
        <f>IFERROR(__xludf.DUMMYFUNCTION("""COMPUTED_VALUE"""),1.24)</f>
        <v>1.24</v>
      </c>
      <c r="G158" s="78"/>
      <c r="H158" s="74">
        <f>IFERROR(__xludf.DUMMYFUNCTION("""COMPUTED_VALUE"""),8.0)</f>
        <v>8</v>
      </c>
      <c r="I158" s="78"/>
      <c r="J158" s="78">
        <f>IFERROR(__xludf.DUMMYFUNCTION("""COMPUTED_VALUE"""),5.0)</f>
        <v>5</v>
      </c>
      <c r="K158" s="71"/>
      <c r="L158" s="76" t="str">
        <f>IFERROR(__xludf.DUMMYFUNCTION("""COMPUTED_VALUE"""),"Mexico")</f>
        <v>Mexico</v>
      </c>
      <c r="M158" s="76" t="str">
        <f>IFERROR(__xludf.DUMMYFUNCTION("""COMPUTED_VALUE"""),"Cabo San Lucas")</f>
        <v>Cabo San Lucas</v>
      </c>
      <c r="N158" s="76" t="str">
        <f>IFERROR(__xludf.DUMMYFUNCTION("""COMPUTED_VALUE"""),"Los Cabos")</f>
        <v>Los Cabos</v>
      </c>
      <c r="O158" s="78" t="b">
        <f>IFERROR(__xludf.DUMMYFUNCTION("""COMPUTED_VALUE"""),TRUE)</f>
        <v>1</v>
      </c>
      <c r="P158" s="80">
        <f>IFERROR(__xludf.DUMMYFUNCTION("""COMPUTED_VALUE"""),0.03125)</f>
        <v>0.03125</v>
      </c>
      <c r="Q158" s="71" t="str">
        <f>IFERROR(__xludf.DUMMYFUNCTION("""COMPUTED_VALUE"""),"Pueblo Bonito")</f>
        <v>Pueblo Bonito</v>
      </c>
      <c r="R158" s="76" t="str">
        <f>IFERROR(__xludf.DUMMYFUNCTION("""COMPUTED_VALUE"""),"Quiet, Family")</f>
        <v>Quiet, Family</v>
      </c>
      <c r="S158" s="76" t="str">
        <f>IFERROR(__xludf.DUMMYFUNCTION("""COMPUTED_VALUE"""),"Beach, Swim Out/Plunge Pool Rooms, Family Suite, 2 Bedroom Suites, Kids Club, Heated Pool, Gym, Golf Course, Room Service, Tennis, Fishing, Spa, Wifi (Free), Diving, Adult Pool, Buffet, Swim Up Bar")</f>
        <v>Beach, Swim Out/Plunge Pool Rooms, Family Suite, 2 Bedroom Suites, Kids Club, Heated Pool, Gym, Golf Course, Room Service, Tennis, Fishing, Spa, Wifi (Free), Diving, Adult Pool, Buffet, Swim Up Bar</v>
      </c>
      <c r="T158" s="76"/>
      <c r="U158" s="76" t="str">
        <f>IFERROR(__xludf.DUMMYFUNCTION("""COMPUTED_VALUE"""),"3 Bedrooms")</f>
        <v>3 Bedrooms</v>
      </c>
      <c r="V158" s="78" t="b">
        <f>IFERROR(__xludf.DUMMYFUNCTION("""COMPUTED_VALUE"""),FALSE)</f>
        <v>0</v>
      </c>
      <c r="W158" s="78">
        <f>IFERROR(__xludf.DUMMYFUNCTION("""COMPUTED_VALUE"""),132.0)</f>
        <v>132</v>
      </c>
      <c r="X158" s="74"/>
      <c r="Y158" s="78"/>
      <c r="Z158" s="81">
        <f>IFERROR(__xludf.DUMMYFUNCTION("""COMPUTED_VALUE"""),2.0)</f>
        <v>2</v>
      </c>
    </row>
    <row r="159">
      <c r="A159" s="65" t="str">
        <f>IFERROR(__xludf.DUMMYFUNCTION("""COMPUTED_VALUE"""),"Majestic Elegance Punta Cana")</f>
        <v>Majestic Elegance Punta Cana</v>
      </c>
      <c r="B159" s="66">
        <f>IFERROR(__xludf.DUMMYFUNCTION("""COMPUTED_VALUE"""),90.8)</f>
        <v>90.8</v>
      </c>
      <c r="C159" s="67" t="str">
        <f>IFERROR(__xludf.DUMMYFUNCTION("""COMPUTED_VALUE"""),"Family")</f>
        <v>Family</v>
      </c>
      <c r="D159" s="79">
        <f>IFERROR(__xludf.DUMMYFUNCTION("""COMPUTED_VALUE"""),3797.5)</f>
        <v>3797.5</v>
      </c>
      <c r="E159" s="79">
        <f>IFERROR(__xludf.DUMMYFUNCTION("""COMPUTED_VALUE"""),5244.53699525)</f>
        <v>5244.536995</v>
      </c>
      <c r="F159" s="69">
        <f>IFERROR(__xludf.DUMMYFUNCTION("""COMPUTED_VALUE"""),2.84)</f>
        <v>2.84</v>
      </c>
      <c r="G159" s="78"/>
      <c r="H159" s="78">
        <f>IFERROR(__xludf.DUMMYFUNCTION("""COMPUTED_VALUE"""),8.0)</f>
        <v>8</v>
      </c>
      <c r="I159" s="78"/>
      <c r="J159" s="78">
        <f>IFERROR(__xludf.DUMMYFUNCTION("""COMPUTED_VALUE"""),5.0)</f>
        <v>5</v>
      </c>
      <c r="K159" s="71"/>
      <c r="L159" s="76" t="str">
        <f>IFERROR(__xludf.DUMMYFUNCTION("""COMPUTED_VALUE"""),"Dominican Republic")</f>
        <v>Dominican Republic</v>
      </c>
      <c r="M159" s="76" t="str">
        <f>IFERROR(__xludf.DUMMYFUNCTION("""COMPUTED_VALUE"""),"Bavaro")</f>
        <v>Bavaro</v>
      </c>
      <c r="N159" s="76" t="str">
        <f>IFERROR(__xludf.DUMMYFUNCTION("""COMPUTED_VALUE"""),"Punta Cana")</f>
        <v>Punta Cana</v>
      </c>
      <c r="O159" s="78" t="b">
        <f>IFERROR(__xludf.DUMMYFUNCTION("""COMPUTED_VALUE"""),TRUE)</f>
        <v>1</v>
      </c>
      <c r="P159" s="80">
        <f>IFERROR(__xludf.DUMMYFUNCTION("""COMPUTED_VALUE"""),0.018055555555555554)</f>
        <v>0.01805555556</v>
      </c>
      <c r="Q159" s="76" t="str">
        <f>IFERROR(__xludf.DUMMYFUNCTION("""COMPUTED_VALUE"""),"Majestic Resorts")</f>
        <v>Majestic Resorts</v>
      </c>
      <c r="R159" s="76" t="str">
        <f>IFERROR(__xludf.DUMMYFUNCTION("""COMPUTED_VALUE"""),"Value, Romantic")</f>
        <v>Value, Romantic</v>
      </c>
      <c r="S159" s="76" t="str">
        <f>IFERROR(__xludf.DUMMYFUNCTION("""COMPUTED_VALUE"""),"Beach, Great Food, Swim Out/Plunge Pool Rooms, Adults Only Rooms, Teen Club, Kids Waterpark, Pool Slide, Water Feature, Gym, Buffet, Tennis, Kids Club, Spa, Babysitting, Adult Pool, Room Service, Swim Up Bar, Snorkelling, Evening Entertainment, Nightclub")</f>
        <v>Beach, Great Food, Swim Out/Plunge Pool Rooms, Adults Only Rooms, Teen Club, Kids Waterpark, Pool Slide, Water Feature, Gym, Buffet, Tennis, Kids Club, Spa, Babysitting, Adult Pool, Room Service, Swim Up Bar, Snorkelling, Evening Entertainment, Nightclub</v>
      </c>
      <c r="T159" s="76"/>
      <c r="U159" s="76" t="str">
        <f>IFERROR(__xludf.DUMMYFUNCTION("""COMPUTED_VALUE"""),"1 King or 2 Double")</f>
        <v>1 King or 2 Double</v>
      </c>
      <c r="V159" s="78" t="b">
        <f>IFERROR(__xludf.DUMMYFUNCTION("""COMPUTED_VALUE"""),FALSE)</f>
        <v>0</v>
      </c>
      <c r="W159" s="78">
        <f>IFERROR(__xludf.DUMMYFUNCTION("""COMPUTED_VALUE"""),597.0)</f>
        <v>597</v>
      </c>
      <c r="X159" s="74">
        <f>IFERROR(__xludf.DUMMYFUNCTION("""COMPUTED_VALUE"""),2008.0)</f>
        <v>2008</v>
      </c>
      <c r="Y159" s="74"/>
      <c r="Z159" s="81">
        <f>IFERROR(__xludf.DUMMYFUNCTION("""COMPUTED_VALUE"""),4.0)</f>
        <v>4</v>
      </c>
    </row>
    <row r="160">
      <c r="A160" s="65" t="str">
        <f>IFERROR(__xludf.DUMMYFUNCTION("""COMPUTED_VALUE"""),"Paradisus Playa del Carmen - Riviera Maya")</f>
        <v>Paradisus Playa del Carmen - Riviera Maya</v>
      </c>
      <c r="B160" s="66">
        <f>IFERROR(__xludf.DUMMYFUNCTION("""COMPUTED_VALUE"""),90.8)</f>
        <v>90.8</v>
      </c>
      <c r="C160" s="67" t="str">
        <f>IFERROR(__xludf.DUMMYFUNCTION("""COMPUTED_VALUE"""),"Family")</f>
        <v>Family</v>
      </c>
      <c r="D160" s="79">
        <f>IFERROR(__xludf.DUMMYFUNCTION("""COMPUTED_VALUE"""),5607.0)</f>
        <v>5607</v>
      </c>
      <c r="E160" s="79">
        <f>IFERROR(__xludf.DUMMYFUNCTION("""COMPUTED_VALUE"""),7743.546789299999)</f>
        <v>7743.546789</v>
      </c>
      <c r="F160" s="69">
        <f>IFERROR(__xludf.DUMMYFUNCTION("""COMPUTED_VALUE"""),1.93)</f>
        <v>1.93</v>
      </c>
      <c r="G160" s="78"/>
      <c r="H160" s="78">
        <f>IFERROR(__xludf.DUMMYFUNCTION("""COMPUTED_VALUE"""),9.0)</f>
        <v>9</v>
      </c>
      <c r="I160" s="78"/>
      <c r="J160" s="78">
        <f>IFERROR(__xludf.DUMMYFUNCTION("""COMPUTED_VALUE"""),5.0)</f>
        <v>5</v>
      </c>
      <c r="K160" s="76"/>
      <c r="L160" s="76" t="str">
        <f>IFERROR(__xludf.DUMMYFUNCTION("""COMPUTED_VALUE"""),"Mexico")</f>
        <v>Mexico</v>
      </c>
      <c r="M160" s="76" t="str">
        <f>IFERROR(__xludf.DUMMYFUNCTION("""COMPUTED_VALUE"""),"Playa del Carmen")</f>
        <v>Playa del Carmen</v>
      </c>
      <c r="N160" s="76" t="str">
        <f>IFERROR(__xludf.DUMMYFUNCTION("""COMPUTED_VALUE"""),"Cancun")</f>
        <v>Cancun</v>
      </c>
      <c r="O160" s="78" t="b">
        <f>IFERROR(__xludf.DUMMYFUNCTION("""COMPUTED_VALUE"""),TRUE)</f>
        <v>1</v>
      </c>
      <c r="P160" s="80">
        <f>IFERROR(__xludf.DUMMYFUNCTION("""COMPUTED_VALUE"""),0.027777777777777776)</f>
        <v>0.02777777778</v>
      </c>
      <c r="Q160" s="76" t="str">
        <f>IFERROR(__xludf.DUMMYFUNCTION("""COMPUTED_VALUE"""),"Melia")</f>
        <v>Melia</v>
      </c>
      <c r="R160" s="76" t="str">
        <f>IFERROR(__xludf.DUMMYFUNCTION("""COMPUTED_VALUE"""),"Family")</f>
        <v>Family</v>
      </c>
      <c r="S160" s="76" t="str">
        <f>IFERROR(__xludf.DUMMYFUNCTION("""COMPUTED_VALUE"""),"Beach, Swim Out/Plunge Pool Rooms, Adults Only Rooms, Family Suite, 2 Bedroom Suites, Kids Club, Kids Waterpark, Pool Slide, Water Feature, Kids Club for Under 4, Diving, Buffet, Watersports Equipment Rentals, Wifi (Free), Babysitting, Room Service, Swim "&amp;"Up Bar, Evening Entertainment, Nightclub, Spa")</f>
        <v>Beach, Swim Out/Plunge Pool Rooms, Adults Only Rooms, Family Suite, 2 Bedroom Suites, Kids Club, Kids Waterpark, Pool Slide, Water Feature, Kids Club for Under 4, Diving, Buffet, Watersports Equipment Rentals, Wifi (Free), Babysitting, Room Service, Swim Up Bar, Evening Entertainment, Nightclub, Spa</v>
      </c>
      <c r="T160" s="76"/>
      <c r="U160" s="76" t="str">
        <f>IFERROR(__xludf.DUMMYFUNCTION("""COMPUTED_VALUE"""),"1 King or 2 Double")</f>
        <v>1 King or 2 Double</v>
      </c>
      <c r="V160" s="78" t="b">
        <f>IFERROR(__xludf.DUMMYFUNCTION("""COMPUTED_VALUE"""),FALSE)</f>
        <v>0</v>
      </c>
      <c r="W160" s="78">
        <f>IFERROR(__xludf.DUMMYFUNCTION("""COMPUTED_VALUE"""),510.0)</f>
        <v>510</v>
      </c>
      <c r="X160" s="78">
        <f>IFERROR(__xludf.DUMMYFUNCTION("""COMPUTED_VALUE"""),2011.0)</f>
        <v>2011</v>
      </c>
      <c r="Y160" s="78"/>
      <c r="Z160" s="81">
        <f>IFERROR(__xludf.DUMMYFUNCTION("""COMPUTED_VALUE"""),4.0)</f>
        <v>4</v>
      </c>
    </row>
    <row r="161">
      <c r="A161" s="65" t="str">
        <f>IFERROR(__xludf.DUMMYFUNCTION("""COMPUTED_VALUE"""),"Live Aqua Punta Cana")</f>
        <v>Live Aqua Punta Cana</v>
      </c>
      <c r="B161" s="66">
        <f>IFERROR(__xludf.DUMMYFUNCTION("""COMPUTED_VALUE"""),90.8)</f>
        <v>90.8</v>
      </c>
      <c r="C161" s="67" t="str">
        <f>IFERROR(__xludf.DUMMYFUNCTION("""COMPUTED_VALUE"""),"Adults Only")</f>
        <v>Adults Only</v>
      </c>
      <c r="D161" s="79">
        <f>IFERROR(__xludf.DUMMYFUNCTION("""COMPUTED_VALUE"""),8078.0)</f>
        <v>8078</v>
      </c>
      <c r="E161" s="79">
        <f>IFERROR(__xludf.DUMMYFUNCTION("""COMPUTED_VALUE"""),11156.1210922)</f>
        <v>11156.12109</v>
      </c>
      <c r="F161" s="69">
        <f>IFERROR(__xludf.DUMMYFUNCTION("""COMPUTED_VALUE"""),1.34)</f>
        <v>1.34</v>
      </c>
      <c r="G161" s="78"/>
      <c r="H161" s="78" t="str">
        <f>IFERROR(__xludf.DUMMYFUNCTION("""COMPUTED_VALUE"""),"NYR")</f>
        <v>NYR</v>
      </c>
      <c r="I161" s="78"/>
      <c r="J161" s="78">
        <f>IFERROR(__xludf.DUMMYFUNCTION("""COMPUTED_VALUE"""),5.0)</f>
        <v>5</v>
      </c>
      <c r="K161" s="76"/>
      <c r="L161" s="76" t="str">
        <f>IFERROR(__xludf.DUMMYFUNCTION("""COMPUTED_VALUE"""),"Dominican Republic")</f>
        <v>Dominican Republic</v>
      </c>
      <c r="M161" s="76" t="str">
        <f>IFERROR(__xludf.DUMMYFUNCTION("""COMPUTED_VALUE"""),"Uvero Alto")</f>
        <v>Uvero Alto</v>
      </c>
      <c r="N161" s="76" t="str">
        <f>IFERROR(__xludf.DUMMYFUNCTION("""COMPUTED_VALUE"""),"Punta Cana")</f>
        <v>Punta Cana</v>
      </c>
      <c r="O161" s="78" t="b">
        <f>IFERROR(__xludf.DUMMYFUNCTION("""COMPUTED_VALUE"""),TRUE)</f>
        <v>1</v>
      </c>
      <c r="P161" s="80">
        <f>IFERROR(__xludf.DUMMYFUNCTION("""COMPUTED_VALUE"""),0.025694444444444443)</f>
        <v>0.02569444444</v>
      </c>
      <c r="Q161" s="76" t="str">
        <f>IFERROR(__xludf.DUMMYFUNCTION("""COMPUTED_VALUE"""),"Fiesta Americana Travelty")</f>
        <v>Fiesta Americana Travelty</v>
      </c>
      <c r="R161" s="76" t="str">
        <f>IFERROR(__xludf.DUMMYFUNCTION("""COMPUTED_VALUE"""),"Business, Ocean View")</f>
        <v>Business, Ocean View</v>
      </c>
      <c r="S161" s="76" t="str">
        <f>IFERROR(__xludf.DUMMYFUNCTION("""COMPUTED_VALUE"""),"Beach, Swim Out/Plunge Pool Rooms, Gym, Room Service, Evening Entertainment, Nightclub, Wifi (Free), Buffet, Swim Up Bar, Spa")</f>
        <v>Beach, Swim Out/Plunge Pool Rooms, Gym, Room Service, Evening Entertainment, Nightclub, Wifi (Free), Buffet, Swim Up Bar, Spa</v>
      </c>
      <c r="T161" s="76"/>
      <c r="U161" s="76"/>
      <c r="V161" s="78" t="b">
        <f>IFERROR(__xludf.DUMMYFUNCTION("""COMPUTED_VALUE"""),FALSE)</f>
        <v>0</v>
      </c>
      <c r="W161" s="78">
        <f>IFERROR(__xludf.DUMMYFUNCTION("""COMPUTED_VALUE"""),347.0)</f>
        <v>347</v>
      </c>
      <c r="X161" s="78">
        <f>IFERROR(__xludf.DUMMYFUNCTION("""COMPUTED_VALUE"""),2019.0)</f>
        <v>2019</v>
      </c>
      <c r="Y161" s="74"/>
      <c r="Z161" s="81"/>
    </row>
    <row r="162">
      <c r="A162" s="65" t="str">
        <f>IFERROR(__xludf.DUMMYFUNCTION("""COMPUTED_VALUE"""),"Catalonia Royal La Romana - Adults Only")</f>
        <v>Catalonia Royal La Romana - Adults Only</v>
      </c>
      <c r="B162" s="66">
        <f>IFERROR(__xludf.DUMMYFUNCTION("""COMPUTED_VALUE"""),90.7)</f>
        <v>90.7</v>
      </c>
      <c r="C162" s="67" t="str">
        <f>IFERROR(__xludf.DUMMYFUNCTION("""COMPUTED_VALUE"""),"Adults Only")</f>
        <v>Adults Only</v>
      </c>
      <c r="D162" s="85">
        <f>IFERROR(__xludf.DUMMYFUNCTION("""COMPUTED_VALUE"""),2776.41)</f>
        <v>2776.41</v>
      </c>
      <c r="E162" s="79">
        <f>IFERROR(__xludf.DUMMYFUNCTION("""COMPUTED_VALUE"""),3834.360752858999)</f>
        <v>3834.360753</v>
      </c>
      <c r="F162" s="69">
        <f>IFERROR(__xludf.DUMMYFUNCTION("""COMPUTED_VALUE"""),3.85)</f>
        <v>3.85</v>
      </c>
      <c r="G162" s="78"/>
      <c r="H162" s="78"/>
      <c r="I162" s="78"/>
      <c r="J162" s="78">
        <f>IFERROR(__xludf.DUMMYFUNCTION("""COMPUTED_VALUE"""),5.0)</f>
        <v>5</v>
      </c>
      <c r="K162" s="76"/>
      <c r="L162" s="76" t="str">
        <f>IFERROR(__xludf.DUMMYFUNCTION("""COMPUTED_VALUE"""),"Dominican Republic")</f>
        <v>Dominican Republic</v>
      </c>
      <c r="M162" s="76" t="str">
        <f>IFERROR(__xludf.DUMMYFUNCTION("""COMPUTED_VALUE"""),"Dominicus")</f>
        <v>Dominicus</v>
      </c>
      <c r="N162" s="76" t="str">
        <f>IFERROR(__xludf.DUMMYFUNCTION("""COMPUTED_VALUE"""),"Punta Cana")</f>
        <v>Punta Cana</v>
      </c>
      <c r="O162" s="78" t="b">
        <f>IFERROR(__xludf.DUMMYFUNCTION("""COMPUTED_VALUE"""),TRUE)</f>
        <v>1</v>
      </c>
      <c r="P162" s="80">
        <f>IFERROR(__xludf.DUMMYFUNCTION("""COMPUTED_VALUE"""),0.03611111111111111)</f>
        <v>0.03611111111</v>
      </c>
      <c r="Q162" s="76" t="str">
        <f>IFERROR(__xludf.DUMMYFUNCTION("""COMPUTED_VALUE"""),"Hoteles Catalonia")</f>
        <v>Hoteles Catalonia</v>
      </c>
      <c r="R162" s="76" t="str">
        <f>IFERROR(__xludf.DUMMYFUNCTION("""COMPUTED_VALUE"""),"Trendy, Romantic")</f>
        <v>Trendy, Romantic</v>
      </c>
      <c r="S162" s="76" t="str">
        <f>IFERROR(__xludf.DUMMYFUNCTION("""COMPUTED_VALUE"""),"Beach, Swim Out/Plunge Pool Rooms, Gym, Tennis, Wifi (Free), Buffet, Swim Up Bar, Evening Entertainment, Spa")</f>
        <v>Beach, Swim Out/Plunge Pool Rooms, Gym, Tennis, Wifi (Free), Buffet, Swim Up Bar, Evening Entertainment, Spa</v>
      </c>
      <c r="T162" s="76"/>
      <c r="U162" s="76"/>
      <c r="V162" s="78" t="b">
        <f>IFERROR(__xludf.DUMMYFUNCTION("""COMPUTED_VALUE"""),FALSE)</f>
        <v>0</v>
      </c>
      <c r="W162" s="78"/>
      <c r="X162" s="74"/>
      <c r="Y162" s="74"/>
      <c r="Z162" s="75"/>
    </row>
    <row r="163">
      <c r="A163" s="65" t="str">
        <f>IFERROR(__xludf.DUMMYFUNCTION("""COMPUTED_VALUE"""),"Catalonia Royal Tulum")</f>
        <v>Catalonia Royal Tulum</v>
      </c>
      <c r="B163" s="66">
        <f>IFERROR(__xludf.DUMMYFUNCTION("""COMPUTED_VALUE"""),90.7)</f>
        <v>90.7</v>
      </c>
      <c r="C163" s="67" t="str">
        <f>IFERROR(__xludf.DUMMYFUNCTION("""COMPUTED_VALUE"""),"Adults Only")</f>
        <v>Adults Only</v>
      </c>
      <c r="D163" s="79">
        <f>IFERROR(__xludf.DUMMYFUNCTION("""COMPUTED_VALUE"""),2825.55)</f>
        <v>2825.55</v>
      </c>
      <c r="E163" s="79">
        <f>IFERROR(__xludf.DUMMYFUNCTION("""COMPUTED_VALUE"""),3902.225544945)</f>
        <v>3902.225545</v>
      </c>
      <c r="F163" s="86">
        <f>IFERROR(__xludf.DUMMYFUNCTION("""COMPUTED_VALUE"""),3.79)</f>
        <v>3.79</v>
      </c>
      <c r="G163" s="78"/>
      <c r="H163" s="78">
        <f>IFERROR(__xludf.DUMMYFUNCTION("""COMPUTED_VALUE"""),6.0)</f>
        <v>6</v>
      </c>
      <c r="I163" s="78"/>
      <c r="J163" s="78">
        <f>IFERROR(__xludf.DUMMYFUNCTION("""COMPUTED_VALUE"""),5.0)</f>
        <v>5</v>
      </c>
      <c r="K163" s="76"/>
      <c r="L163" s="76" t="str">
        <f>IFERROR(__xludf.DUMMYFUNCTION("""COMPUTED_VALUE"""),"Mexico")</f>
        <v>Mexico</v>
      </c>
      <c r="M163" s="76" t="str">
        <f>IFERROR(__xludf.DUMMYFUNCTION("""COMPUTED_VALUE"""),"Xpu-Ha")</f>
        <v>Xpu-Ha</v>
      </c>
      <c r="N163" s="72" t="str">
        <f>IFERROR(__xludf.DUMMYFUNCTION("""COMPUTED_VALUE"""),"Cancun")</f>
        <v>Cancun</v>
      </c>
      <c r="O163" s="78" t="b">
        <f>IFERROR(__xludf.DUMMYFUNCTION("""COMPUTED_VALUE"""),TRUE)</f>
        <v>1</v>
      </c>
      <c r="P163" s="80">
        <f>IFERROR(__xludf.DUMMYFUNCTION("""COMPUTED_VALUE"""),0.04513888888888889)</f>
        <v>0.04513888889</v>
      </c>
      <c r="Q163" s="76"/>
      <c r="R163" s="76" t="str">
        <f>IFERROR(__xludf.DUMMYFUNCTION("""COMPUTED_VALUE"""),"Green, Romantic")</f>
        <v>Green, Romantic</v>
      </c>
      <c r="S163" s="71" t="str">
        <f>IFERROR(__xludf.DUMMYFUNCTION("""COMPUTED_VALUE"""),"Beach, Great Beach, Gym, Diving, Buffet, Evening Entertainment, Nightclub, Spa, Fishing")</f>
        <v>Beach, Great Beach, Gym, Diving, Buffet, Evening Entertainment, Nightclub, Spa, Fishing</v>
      </c>
      <c r="T163" s="71"/>
      <c r="U163" s="71"/>
      <c r="V163" s="78" t="b">
        <f>IFERROR(__xludf.DUMMYFUNCTION("""COMPUTED_VALUE"""),FALSE)</f>
        <v>0</v>
      </c>
      <c r="W163" s="78">
        <f>IFERROR(__xludf.DUMMYFUNCTION("""COMPUTED_VALUE"""),288.0)</f>
        <v>288</v>
      </c>
      <c r="X163" s="78">
        <f>IFERROR(__xludf.DUMMYFUNCTION("""COMPUTED_VALUE"""),2000.0)</f>
        <v>2000</v>
      </c>
      <c r="Y163" s="78">
        <f>IFERROR(__xludf.DUMMYFUNCTION("""COMPUTED_VALUE"""),2004.0)</f>
        <v>2004</v>
      </c>
      <c r="Z163" s="81">
        <f>IFERROR(__xludf.DUMMYFUNCTION("""COMPUTED_VALUE"""),3.0)</f>
        <v>3</v>
      </c>
    </row>
    <row r="164">
      <c r="A164" s="65" t="str">
        <f>IFERROR(__xludf.DUMMYFUNCTION("""COMPUTED_VALUE"""),"The Royal Haciendas All Suites Resort &amp; Spa")</f>
        <v>The Royal Haciendas All Suites Resort &amp; Spa</v>
      </c>
      <c r="B164" s="66">
        <f>IFERROR(__xludf.DUMMYFUNCTION("""COMPUTED_VALUE"""),90.7)</f>
        <v>90.7</v>
      </c>
      <c r="C164" s="67" t="str">
        <f>IFERROR(__xludf.DUMMYFUNCTION("""COMPUTED_VALUE"""),"Family")</f>
        <v>Family</v>
      </c>
      <c r="D164" s="79">
        <f>IFERROR(__xludf.DUMMYFUNCTION("""COMPUTED_VALUE"""),3518.06)</f>
        <v>3518.06</v>
      </c>
      <c r="E164" s="79">
        <f>IFERROR(__xludf.DUMMYFUNCTION("""COMPUTED_VALUE"""),4858.616411194)</f>
        <v>4858.616411</v>
      </c>
      <c r="F164" s="69">
        <f>IFERROR(__xludf.DUMMYFUNCTION("""COMPUTED_VALUE"""),3.04)</f>
        <v>3.04</v>
      </c>
      <c r="G164" s="78"/>
      <c r="H164" s="78">
        <f>IFERROR(__xludf.DUMMYFUNCTION("""COMPUTED_VALUE"""),6.0)</f>
        <v>6</v>
      </c>
      <c r="I164" s="78"/>
      <c r="J164" s="78">
        <f>IFERROR(__xludf.DUMMYFUNCTION("""COMPUTED_VALUE"""),4.5)</f>
        <v>4.5</v>
      </c>
      <c r="K164" s="71"/>
      <c r="L164" s="76" t="str">
        <f>IFERROR(__xludf.DUMMYFUNCTION("""COMPUTED_VALUE"""),"Mexico")</f>
        <v>Mexico</v>
      </c>
      <c r="M164" s="76" t="str">
        <f>IFERROR(__xludf.DUMMYFUNCTION("""COMPUTED_VALUE"""),"Playa del Carmen")</f>
        <v>Playa del Carmen</v>
      </c>
      <c r="N164" s="76" t="str">
        <f>IFERROR(__xludf.DUMMYFUNCTION("""COMPUTED_VALUE"""),"Cancun")</f>
        <v>Cancun</v>
      </c>
      <c r="O164" s="78" t="b">
        <f>IFERROR(__xludf.DUMMYFUNCTION("""COMPUTED_VALUE"""),TRUE)</f>
        <v>1</v>
      </c>
      <c r="P164" s="80">
        <f>IFERROR(__xludf.DUMMYFUNCTION("""COMPUTED_VALUE"""),0.03125)</f>
        <v>0.03125</v>
      </c>
      <c r="Q164" s="76"/>
      <c r="R164" s="76" t="str">
        <f>IFERROR(__xludf.DUMMYFUNCTION("""COMPUTED_VALUE"""),"Great View, Green")</f>
        <v>Great View, Green</v>
      </c>
      <c r="S164" s="76" t="str">
        <f>IFERROR(__xludf.DUMMYFUNCTION("""COMPUTED_VALUE"""),"Beach, Family Suite, 2 Bedroom Suites, Kids Club, Teen Club, Kids Waterpark, Pool Slide, Water Feature, Heated Pool, Gym, Swim Up Bar, Diving, Snorkelling, Nightclub, Spa, Wifi (Free), Buffet, Tennis, Evening Entertainment")</f>
        <v>Beach, Family Suite, 2 Bedroom Suites, Kids Club, Teen Club, Kids Waterpark, Pool Slide, Water Feature, Heated Pool, Gym, Swim Up Bar, Diving, Snorkelling, Nightclub, Spa, Wifi (Free), Buffet, Tennis, Evening Entertainment</v>
      </c>
      <c r="T164" s="76"/>
      <c r="U164" s="76" t="str">
        <f>IFERROR(__xludf.DUMMYFUNCTION("""COMPUTED_VALUE"""),"2 Double")</f>
        <v>2 Double</v>
      </c>
      <c r="V164" s="78" t="b">
        <f>IFERROR(__xludf.DUMMYFUNCTION("""COMPUTED_VALUE"""),FALSE)</f>
        <v>0</v>
      </c>
      <c r="W164" s="78">
        <f>IFERROR(__xludf.DUMMYFUNCTION("""COMPUTED_VALUE"""),207.0)</f>
        <v>207</v>
      </c>
      <c r="X164" s="78"/>
      <c r="Y164" s="78"/>
      <c r="Z164" s="81"/>
    </row>
    <row r="165">
      <c r="A165" s="65" t="str">
        <f>IFERROR(__xludf.DUMMYFUNCTION("""COMPUTED_VALUE"""),"Iberostar Selection Paraiso Lindo")</f>
        <v>Iberostar Selection Paraiso Lindo</v>
      </c>
      <c r="B165" s="66">
        <f>IFERROR(__xludf.DUMMYFUNCTION("""COMPUTED_VALUE"""),90.7)</f>
        <v>90.7</v>
      </c>
      <c r="C165" s="67" t="str">
        <f>IFERROR(__xludf.DUMMYFUNCTION("""COMPUTED_VALUE"""),"Family")</f>
        <v>Family</v>
      </c>
      <c r="D165" s="79">
        <f>IFERROR(__xludf.DUMMYFUNCTION("""COMPUTED_VALUE"""),4753.98)</f>
        <v>4753.98</v>
      </c>
      <c r="E165" s="79">
        <f>IFERROR(__xludf.DUMMYFUNCTION("""COMPUTED_VALUE"""),6565.483603601999)</f>
        <v>6565.483604</v>
      </c>
      <c r="F165" s="69">
        <f>IFERROR(__xludf.DUMMYFUNCTION("""COMPUTED_VALUE"""),2.25)</f>
        <v>2.25</v>
      </c>
      <c r="G165" s="78"/>
      <c r="H165" s="78">
        <f>IFERROR(__xludf.DUMMYFUNCTION("""COMPUTED_VALUE"""),7.0)</f>
        <v>7</v>
      </c>
      <c r="I165" s="78"/>
      <c r="J165" s="78">
        <f>IFERROR(__xludf.DUMMYFUNCTION("""COMPUTED_VALUE"""),5.0)</f>
        <v>5</v>
      </c>
      <c r="K165" s="71"/>
      <c r="L165" s="76" t="str">
        <f>IFERROR(__xludf.DUMMYFUNCTION("""COMPUTED_VALUE"""),"Mexico")</f>
        <v>Mexico</v>
      </c>
      <c r="M165" s="76" t="str">
        <f>IFERROR(__xludf.DUMMYFUNCTION("""COMPUTED_VALUE"""),"Playa Paraiso")</f>
        <v>Playa Paraiso</v>
      </c>
      <c r="N165" s="76" t="str">
        <f>IFERROR(__xludf.DUMMYFUNCTION("""COMPUTED_VALUE"""),"Cancun")</f>
        <v>Cancun</v>
      </c>
      <c r="O165" s="78" t="b">
        <f>IFERROR(__xludf.DUMMYFUNCTION("""COMPUTED_VALUE"""),TRUE)</f>
        <v>1</v>
      </c>
      <c r="P165" s="80">
        <f>IFERROR(__xludf.DUMMYFUNCTION("""COMPUTED_VALUE"""),0.020833333333333332)</f>
        <v>0.02083333333</v>
      </c>
      <c r="Q165" s="76" t="str">
        <f>IFERROR(__xludf.DUMMYFUNCTION("""COMPUTED_VALUE"""),"IHG")</f>
        <v>IHG</v>
      </c>
      <c r="R165" s="76" t="str">
        <f>IFERROR(__xludf.DUMMYFUNCTION("""COMPUTED_VALUE"""),"Family")</f>
        <v>Family</v>
      </c>
      <c r="S165" s="76" t="str">
        <f>IFERROR(__xludf.DUMMYFUNCTION("""COMPUTED_VALUE"""),"Beach, Family Suite, 2 Bedroom Suites, Kids Club, Teen Club, Lazy River, Kids Waterpark, Big Waterslides, Gym, Diving, Swim Up Bar, Evening Entertainment, Spa, Babysitting, Buffet, Golf Course")</f>
        <v>Beach, Family Suite, 2 Bedroom Suites, Kids Club, Teen Club, Lazy River, Kids Waterpark, Big Waterslides, Gym, Diving, Swim Up Bar, Evening Entertainment, Spa, Babysitting, Buffet, Golf Course</v>
      </c>
      <c r="T165" s="76" t="str">
        <f>IFERROR(__xludf.DUMMYFUNCTION("""COMPUTED_VALUE"""),"Yes")</f>
        <v>Yes</v>
      </c>
      <c r="U165" s="76" t="str">
        <f>IFERROR(__xludf.DUMMYFUNCTION("""COMPUTED_VALUE"""),"1 King or 2 Double")</f>
        <v>1 King or 2 Double</v>
      </c>
      <c r="V165" s="78" t="b">
        <f>IFERROR(__xludf.DUMMYFUNCTION("""COMPUTED_VALUE"""),FALSE)</f>
        <v>0</v>
      </c>
      <c r="W165" s="78"/>
      <c r="X165" s="78"/>
      <c r="Y165" s="74"/>
      <c r="Z165" s="81">
        <f>IFERROR(__xludf.DUMMYFUNCTION("""COMPUTED_VALUE"""),3.0)</f>
        <v>3</v>
      </c>
    </row>
    <row r="166">
      <c r="A166" s="65" t="str">
        <f>IFERROR(__xludf.DUMMYFUNCTION("""COMPUTED_VALUE"""),"Majestic Elegance Costa Mujeres")</f>
        <v>Majestic Elegance Costa Mujeres</v>
      </c>
      <c r="B166" s="66">
        <f>IFERROR(__xludf.DUMMYFUNCTION("""COMPUTED_VALUE"""),90.7)</f>
        <v>90.7</v>
      </c>
      <c r="C166" s="67" t="str">
        <f>IFERROR(__xludf.DUMMYFUNCTION("""COMPUTED_VALUE"""),"Family")</f>
        <v>Family</v>
      </c>
      <c r="D166" s="79">
        <f>IFERROR(__xludf.DUMMYFUNCTION("""COMPUTED_VALUE"""),4936.82)</f>
        <v>4936.82</v>
      </c>
      <c r="E166" s="79">
        <f>IFERROR(__xludf.DUMMYFUNCTION("""COMPUTED_VALUE"""),6817.994767317999)</f>
        <v>6817.994767</v>
      </c>
      <c r="F166" s="69">
        <f>IFERROR(__xludf.DUMMYFUNCTION("""COMPUTED_VALUE"""),2.17)</f>
        <v>2.17</v>
      </c>
      <c r="G166" s="78"/>
      <c r="H166" s="78">
        <f>IFERROR(__xludf.DUMMYFUNCTION("""COMPUTED_VALUE"""),8.0)</f>
        <v>8</v>
      </c>
      <c r="I166" s="78"/>
      <c r="J166" s="78">
        <f>IFERROR(__xludf.DUMMYFUNCTION("""COMPUTED_VALUE"""),5.0)</f>
        <v>5</v>
      </c>
      <c r="K166" s="71"/>
      <c r="L166" s="76" t="str">
        <f>IFERROR(__xludf.DUMMYFUNCTION("""COMPUTED_VALUE"""),"Mexico")</f>
        <v>Mexico</v>
      </c>
      <c r="M166" s="76" t="str">
        <f>IFERROR(__xludf.DUMMYFUNCTION("""COMPUTED_VALUE"""),"Playa Mujeres")</f>
        <v>Playa Mujeres</v>
      </c>
      <c r="N166" s="76" t="str">
        <f>IFERROR(__xludf.DUMMYFUNCTION("""COMPUTED_VALUE"""),"Cancun")</f>
        <v>Cancun</v>
      </c>
      <c r="O166" s="78" t="b">
        <f>IFERROR(__xludf.DUMMYFUNCTION("""COMPUTED_VALUE"""),TRUE)</f>
        <v>1</v>
      </c>
      <c r="P166" s="80">
        <f>IFERROR(__xludf.DUMMYFUNCTION("""COMPUTED_VALUE"""),0.035416666666666666)</f>
        <v>0.03541666667</v>
      </c>
      <c r="Q166" s="76" t="str">
        <f>IFERROR(__xludf.DUMMYFUNCTION("""COMPUTED_VALUE"""),"Majestic Resorts")</f>
        <v>Majestic Resorts</v>
      </c>
      <c r="R166" s="76" t="str">
        <f>IFERROR(__xludf.DUMMYFUNCTION("""COMPUTED_VALUE"""),"Trendy, Family")</f>
        <v>Trendy, Family</v>
      </c>
      <c r="S166" s="76" t="str">
        <f>IFERROR(__xludf.DUMMYFUNCTION("""COMPUTED_VALUE"""),"Beach, Swim Out/Plunge Pool Rooms, Adults Only Rooms, Kids Club, Teen Club, Gym, Swim Up Bar, Wifi (Free), Babysitting, Buffet, Evening Entertainment, Nightclub, Spa")</f>
        <v>Beach, Swim Out/Plunge Pool Rooms, Adults Only Rooms, Kids Club, Teen Club, Gym, Swim Up Bar, Wifi (Free), Babysitting, Buffet, Evening Entertainment, Nightclub, Spa</v>
      </c>
      <c r="T166" s="76"/>
      <c r="U166" s="76" t="str">
        <f>IFERROR(__xludf.DUMMYFUNCTION("""COMPUTED_VALUE"""),"1 King or 2 Double")</f>
        <v>1 King or 2 Double</v>
      </c>
      <c r="V166" s="78" t="b">
        <f>IFERROR(__xludf.DUMMYFUNCTION("""COMPUTED_VALUE"""),FALSE)</f>
        <v>0</v>
      </c>
      <c r="W166" s="78">
        <f>IFERROR(__xludf.DUMMYFUNCTION("""COMPUTED_VALUE"""),570.0)</f>
        <v>570</v>
      </c>
      <c r="X166" s="78">
        <f>IFERROR(__xludf.DUMMYFUNCTION("""COMPUTED_VALUE"""),2019.0)</f>
        <v>2019</v>
      </c>
      <c r="Y166" s="78"/>
      <c r="Z166" s="81">
        <f>IFERROR(__xludf.DUMMYFUNCTION("""COMPUTED_VALUE"""),5.0)</f>
        <v>5</v>
      </c>
    </row>
    <row r="167">
      <c r="A167" s="65" t="str">
        <f>IFERROR(__xludf.DUMMYFUNCTION("""COMPUTED_VALUE"""),"Pueblo Bonito Blanco Los Cabos Beach Resort")</f>
        <v>Pueblo Bonito Blanco Los Cabos Beach Resort</v>
      </c>
      <c r="B167" s="66">
        <f>IFERROR(__xludf.DUMMYFUNCTION("""COMPUTED_VALUE"""),90.7)</f>
        <v>90.7</v>
      </c>
      <c r="C167" s="67" t="str">
        <f>IFERROR(__xludf.DUMMYFUNCTION("""COMPUTED_VALUE"""),"Family")</f>
        <v>Family</v>
      </c>
      <c r="D167" s="79">
        <f>IFERROR(__xludf.DUMMYFUNCTION("""COMPUTED_VALUE"""),5527.2)</f>
        <v>5527.2</v>
      </c>
      <c r="E167" s="79">
        <f>IFERROR(__xludf.DUMMYFUNCTION("""COMPUTED_VALUE"""),7633.339007279998)</f>
        <v>7633.339007</v>
      </c>
      <c r="F167" s="69">
        <f>IFERROR(__xludf.DUMMYFUNCTION("""COMPUTED_VALUE"""),1.94)</f>
        <v>1.94</v>
      </c>
      <c r="G167" s="70">
        <f>IFERROR(__xludf.DUMMYFUNCTION("""COMPUTED_VALUE"""),3.0)</f>
        <v>3</v>
      </c>
      <c r="H167" s="70">
        <f>IFERROR(__xludf.DUMMYFUNCTION("""COMPUTED_VALUE"""),6.0)</f>
        <v>6</v>
      </c>
      <c r="I167" s="70"/>
      <c r="J167" s="78">
        <f>IFERROR(__xludf.DUMMYFUNCTION("""COMPUTED_VALUE"""),5.0)</f>
        <v>5</v>
      </c>
      <c r="K167" s="76"/>
      <c r="L167" s="76" t="str">
        <f>IFERROR(__xludf.DUMMYFUNCTION("""COMPUTED_VALUE"""),"Mexico")</f>
        <v>Mexico</v>
      </c>
      <c r="M167" s="76" t="str">
        <f>IFERROR(__xludf.DUMMYFUNCTION("""COMPUTED_VALUE"""),"Cabo San Lucas")</f>
        <v>Cabo San Lucas</v>
      </c>
      <c r="N167" s="76" t="str">
        <f>IFERROR(__xludf.DUMMYFUNCTION("""COMPUTED_VALUE"""),"Los Cabos")</f>
        <v>Los Cabos</v>
      </c>
      <c r="O167" s="78" t="b">
        <f>IFERROR(__xludf.DUMMYFUNCTION("""COMPUTED_VALUE"""),TRUE)</f>
        <v>1</v>
      </c>
      <c r="P167" s="80">
        <f>IFERROR(__xludf.DUMMYFUNCTION("""COMPUTED_VALUE"""),0.025694444444444443)</f>
        <v>0.02569444444</v>
      </c>
      <c r="Q167" s="76" t="str">
        <f>IFERROR(__xludf.DUMMYFUNCTION("""COMPUTED_VALUE"""),"Pueblo Bonito")</f>
        <v>Pueblo Bonito</v>
      </c>
      <c r="R167" s="71" t="str">
        <f>IFERROR(__xludf.DUMMYFUNCTION("""COMPUTED_VALUE"""),"Bay View, Family")</f>
        <v>Bay View, Family</v>
      </c>
      <c r="S167" s="76" t="str">
        <f>IFERROR(__xludf.DUMMYFUNCTION("""COMPUTED_VALUE"""),"Beach, Lazy River, Heated Pool, Gym, Diving, Buffet, Evening Entertainment, Spa, Babysitting, Snorkelling, Fishing, Kids Club")</f>
        <v>Beach, Lazy River, Heated Pool, Gym, Diving, Buffet, Evening Entertainment, Spa, Babysitting, Snorkelling, Fishing, Kids Club</v>
      </c>
      <c r="T167" s="76"/>
      <c r="U167" s="76" t="str">
        <f>IFERROR(__xludf.DUMMYFUNCTION("""COMPUTED_VALUE"""),"2 Double")</f>
        <v>2 Double</v>
      </c>
      <c r="V167" s="70" t="b">
        <f>IFERROR(__xludf.DUMMYFUNCTION("""COMPUTED_VALUE"""),FALSE)</f>
        <v>0</v>
      </c>
      <c r="W167" s="70">
        <f>IFERROR(__xludf.DUMMYFUNCTION("""COMPUTED_VALUE"""),148.0)</f>
        <v>148</v>
      </c>
      <c r="X167" s="70">
        <f>IFERROR(__xludf.DUMMYFUNCTION("""COMPUTED_VALUE"""),1991.0)</f>
        <v>1991</v>
      </c>
      <c r="Y167" s="70">
        <f>IFERROR(__xludf.DUMMYFUNCTION("""COMPUTED_VALUE"""),1999.0)</f>
        <v>1999</v>
      </c>
      <c r="Z167" s="83">
        <f>IFERROR(__xludf.DUMMYFUNCTION("""COMPUTED_VALUE"""),5.0)</f>
        <v>5</v>
      </c>
    </row>
    <row r="168">
      <c r="A168" s="65" t="str">
        <f>IFERROR(__xludf.DUMMYFUNCTION("""COMPUTED_VALUE"""),"The Explorean Cozumel")</f>
        <v>The Explorean Cozumel</v>
      </c>
      <c r="B168" s="66">
        <f>IFERROR(__xludf.DUMMYFUNCTION("""COMPUTED_VALUE"""),90.7)</f>
        <v>90.7</v>
      </c>
      <c r="C168" s="67" t="str">
        <f>IFERROR(__xludf.DUMMYFUNCTION("""COMPUTED_VALUE"""),"Family")</f>
        <v>Family</v>
      </c>
      <c r="D168" s="85">
        <f>IFERROR(__xludf.DUMMYFUNCTION("""COMPUTED_VALUE"""),6217.29)</f>
        <v>6217.29</v>
      </c>
      <c r="E168" s="79">
        <f>IFERROR(__xludf.DUMMYFUNCTION("""COMPUTED_VALUE"""),8586.387732771)</f>
        <v>8586.387733</v>
      </c>
      <c r="F168" s="69">
        <f>IFERROR(__xludf.DUMMYFUNCTION("""COMPUTED_VALUE"""),1.72)</f>
        <v>1.72</v>
      </c>
      <c r="G168" s="70"/>
      <c r="H168" s="70">
        <f>IFERROR(__xludf.DUMMYFUNCTION("""COMPUTED_VALUE"""),7.0)</f>
        <v>7</v>
      </c>
      <c r="I168" s="70"/>
      <c r="J168" s="78">
        <f>IFERROR(__xludf.DUMMYFUNCTION("""COMPUTED_VALUE"""),4.0)</f>
        <v>4</v>
      </c>
      <c r="K168" s="71"/>
      <c r="L168" s="76" t="str">
        <f>IFERROR(__xludf.DUMMYFUNCTION("""COMPUTED_VALUE"""),"Mexico")</f>
        <v>Mexico</v>
      </c>
      <c r="M168" s="76" t="str">
        <f>IFERROR(__xludf.DUMMYFUNCTION("""COMPUTED_VALUE"""),"Cozumel")</f>
        <v>Cozumel</v>
      </c>
      <c r="N168" s="76" t="str">
        <f>IFERROR(__xludf.DUMMYFUNCTION("""COMPUTED_VALUE"""),"Cozumel")</f>
        <v>Cozumel</v>
      </c>
      <c r="O168" s="78" t="b">
        <f>IFERROR(__xludf.DUMMYFUNCTION("""COMPUTED_VALUE"""),TRUE)</f>
        <v>1</v>
      </c>
      <c r="P168" s="80">
        <f>IFERROR(__xludf.DUMMYFUNCTION("""COMPUTED_VALUE"""),0.013194444444444444)</f>
        <v>0.01319444444</v>
      </c>
      <c r="Q168" s="76" t="str">
        <f>IFERROR(__xludf.DUMMYFUNCTION("""COMPUTED_VALUE"""),"Fiesta Americana Travelty")</f>
        <v>Fiesta Americana Travelty</v>
      </c>
      <c r="R168" s="71"/>
      <c r="S168" s="76" t="str">
        <f>IFERROR(__xludf.DUMMYFUNCTION("""COMPUTED_VALUE"""),"Kids Club, Heated Pool, Gym, Snorkelling, Evening Entertainment, Spa, Wifi (Free), Bicycles Available, Buffet, Diving")</f>
        <v>Kids Club, Heated Pool, Gym, Snorkelling, Evening Entertainment, Spa, Wifi (Free), Bicycles Available, Buffet, Diving</v>
      </c>
      <c r="T168" s="76"/>
      <c r="U168" s="76" t="str">
        <f>IFERROR(__xludf.DUMMYFUNCTION("""COMPUTED_VALUE"""),"2 Double")</f>
        <v>2 Double</v>
      </c>
      <c r="V168" s="70" t="b">
        <f>IFERROR(__xludf.DUMMYFUNCTION("""COMPUTED_VALUE"""),FALSE)</f>
        <v>0</v>
      </c>
      <c r="W168" s="70">
        <f>IFERROR(__xludf.DUMMYFUNCTION("""COMPUTED_VALUE"""),56.0)</f>
        <v>56</v>
      </c>
      <c r="X168" s="70">
        <f>IFERROR(__xludf.DUMMYFUNCTION("""COMPUTED_VALUE"""),2014.0)</f>
        <v>2014</v>
      </c>
      <c r="Y168" s="70"/>
      <c r="Z168" s="83">
        <f>IFERROR(__xludf.DUMMYFUNCTION("""COMPUTED_VALUE"""),2.0)</f>
        <v>2</v>
      </c>
    </row>
    <row r="169">
      <c r="A169" s="65" t="str">
        <f>IFERROR(__xludf.DUMMYFUNCTION("""COMPUTED_VALUE"""),"Waves Hotel &amp; Spa by Elegant Hotels - All-Inclusive")</f>
        <v>Waves Hotel &amp; Spa by Elegant Hotels - All-Inclusive</v>
      </c>
      <c r="B169" s="66">
        <f>IFERROR(__xludf.DUMMYFUNCTION("""COMPUTED_VALUE"""),90.7)</f>
        <v>90.7</v>
      </c>
      <c r="C169" s="67" t="str">
        <f>IFERROR(__xludf.DUMMYFUNCTION("""COMPUTED_VALUE"""),"Family")</f>
        <v>Family</v>
      </c>
      <c r="D169" s="85">
        <f>IFERROR(__xludf.DUMMYFUNCTION("""COMPUTED_VALUE"""),8181.0)</f>
        <v>8181</v>
      </c>
      <c r="E169" s="79">
        <f>IFERROR(__xludf.DUMMYFUNCTION("""COMPUTED_VALUE"""),11298.369231899998)</f>
        <v>11298.36923</v>
      </c>
      <c r="F169" s="69">
        <f>IFERROR(__xludf.DUMMYFUNCTION("""COMPUTED_VALUE"""),1.31)</f>
        <v>1.31</v>
      </c>
      <c r="G169" s="78">
        <f>IFERROR(__xludf.DUMMYFUNCTION("""COMPUTED_VALUE"""),3.0)</f>
        <v>3</v>
      </c>
      <c r="H169" s="78">
        <f>IFERROR(__xludf.DUMMYFUNCTION("""COMPUTED_VALUE"""),7.0)</f>
        <v>7</v>
      </c>
      <c r="I169" s="78"/>
      <c r="J169" s="78">
        <f>IFERROR(__xludf.DUMMYFUNCTION("""COMPUTED_VALUE"""),4.0)</f>
        <v>4</v>
      </c>
      <c r="K169" s="76"/>
      <c r="L169" s="76" t="str">
        <f>IFERROR(__xludf.DUMMYFUNCTION("""COMPUTED_VALUE"""),"Barbados")</f>
        <v>Barbados</v>
      </c>
      <c r="M169" s="76" t="str">
        <f>IFERROR(__xludf.DUMMYFUNCTION("""COMPUTED_VALUE"""),"Barbados")</f>
        <v>Barbados</v>
      </c>
      <c r="N169" s="76" t="str">
        <f>IFERROR(__xludf.DUMMYFUNCTION("""COMPUTED_VALUE"""),"Grantley Adams")</f>
        <v>Grantley Adams</v>
      </c>
      <c r="O169" s="78" t="b">
        <f>IFERROR(__xludf.DUMMYFUNCTION("""COMPUTED_VALUE"""),TRUE)</f>
        <v>1</v>
      </c>
      <c r="P169" s="80">
        <f>IFERROR(__xludf.DUMMYFUNCTION("""COMPUTED_VALUE"""),0.02013888888888889)</f>
        <v>0.02013888889</v>
      </c>
      <c r="Q169" s="76" t="str">
        <f>IFERROR(__xludf.DUMMYFUNCTION("""COMPUTED_VALUE"""),"Marriott")</f>
        <v>Marriott</v>
      </c>
      <c r="R169" s="76" t="str">
        <f>IFERROR(__xludf.DUMMYFUNCTION("""COMPUTED_VALUE"""),"Quiet, Bay View")</f>
        <v>Quiet, Bay View</v>
      </c>
      <c r="S169" s="76" t="str">
        <f>IFERROR(__xludf.DUMMYFUNCTION("""COMPUTED_VALUE"""),"Beach, Gym, Yoga Classes, Adult Pool, Room Service, Watersports Equipment Rentals, Evening Entertainment, Buffet, Snorkelling, Spa")</f>
        <v>Beach, Gym, Yoga Classes, Adult Pool, Room Service, Watersports Equipment Rentals, Evening Entertainment, Buffet, Snorkelling, Spa</v>
      </c>
      <c r="T169" s="76"/>
      <c r="U169" s="76" t="str">
        <f>IFERROR(__xludf.DUMMYFUNCTION("""COMPUTED_VALUE"""),"1 King and 1 Sofa Bed")</f>
        <v>1 King and 1 Sofa Bed</v>
      </c>
      <c r="V169" s="78" t="b">
        <f>IFERROR(__xludf.DUMMYFUNCTION("""COMPUTED_VALUE"""),FALSE)</f>
        <v>0</v>
      </c>
      <c r="W169" s="78">
        <f>IFERROR(__xludf.DUMMYFUNCTION("""COMPUTED_VALUE"""),70.0)</f>
        <v>70</v>
      </c>
      <c r="X169" s="78">
        <f>IFERROR(__xludf.DUMMYFUNCTION("""COMPUTED_VALUE"""),1994.0)</f>
        <v>1994</v>
      </c>
      <c r="Y169" s="78">
        <f>IFERROR(__xludf.DUMMYFUNCTION("""COMPUTED_VALUE"""),2016.0)</f>
        <v>2016</v>
      </c>
      <c r="Z169" s="81">
        <f>IFERROR(__xludf.DUMMYFUNCTION("""COMPUTED_VALUE"""),3.0)</f>
        <v>3</v>
      </c>
    </row>
    <row r="170">
      <c r="A170" s="65" t="str">
        <f>IFERROR(__xludf.DUMMYFUNCTION("""COMPUTED_VALUE"""),"O2 Beach Club &amp; Spa")</f>
        <v>O2 Beach Club &amp; Spa</v>
      </c>
      <c r="B170" s="66">
        <f>IFERROR(__xludf.DUMMYFUNCTION("""COMPUTED_VALUE"""),90.7)</f>
        <v>90.7</v>
      </c>
      <c r="C170" s="67" t="str">
        <f>IFERROR(__xludf.DUMMYFUNCTION("""COMPUTED_VALUE"""),"Family")</f>
        <v>Family</v>
      </c>
      <c r="D170" s="85">
        <f>IFERROR(__xludf.DUMMYFUNCTION("""COMPUTED_VALUE"""),15513.4)</f>
        <v>15513.4</v>
      </c>
      <c r="E170" s="79">
        <f>IFERROR(__xludf.DUMMYFUNCTION("""COMPUTED_VALUE"""),21424.779518659998)</f>
        <v>21424.77952</v>
      </c>
      <c r="F170" s="69">
        <f>IFERROR(__xludf.DUMMYFUNCTION("""COMPUTED_VALUE"""),0.69)</f>
        <v>0.69</v>
      </c>
      <c r="G170" s="78"/>
      <c r="H170" s="74" t="str">
        <f>IFERROR(__xludf.DUMMYFUNCTION("""COMPUTED_VALUE"""),"NYR")</f>
        <v>NYR</v>
      </c>
      <c r="I170" s="78"/>
      <c r="J170" s="78">
        <f>IFERROR(__xludf.DUMMYFUNCTION("""COMPUTED_VALUE"""),5.0)</f>
        <v>5</v>
      </c>
      <c r="K170" s="76"/>
      <c r="L170" s="76" t="str">
        <f>IFERROR(__xludf.DUMMYFUNCTION("""COMPUTED_VALUE"""),"Barbados")</f>
        <v>Barbados</v>
      </c>
      <c r="M170" s="76" t="str">
        <f>IFERROR(__xludf.DUMMYFUNCTION("""COMPUTED_VALUE"""),"Barbados")</f>
        <v>Barbados</v>
      </c>
      <c r="N170" s="76" t="str">
        <f>IFERROR(__xludf.DUMMYFUNCTION("""COMPUTED_VALUE"""),"Grantley Adams")</f>
        <v>Grantley Adams</v>
      </c>
      <c r="O170" s="78" t="b">
        <f>IFERROR(__xludf.DUMMYFUNCTION("""COMPUTED_VALUE"""),TRUE)</f>
        <v>1</v>
      </c>
      <c r="P170" s="80">
        <f>IFERROR(__xludf.DUMMYFUNCTION("""COMPUTED_VALUE"""),0.009722222222222222)</f>
        <v>0.009722222222</v>
      </c>
      <c r="Q170" s="76"/>
      <c r="R170" s="76" t="str">
        <f>IFERROR(__xludf.DUMMYFUNCTION("""COMPUTED_VALUE"""),"Charming, Romantic")</f>
        <v>Charming, Romantic</v>
      </c>
      <c r="S170" s="76" t="str">
        <f>IFERROR(__xludf.DUMMYFUNCTION("""COMPUTED_VALUE"""),"Beach, Family Suite, 2 Bedroom Suites, Gym, Buffet, Swim Up Bar, Snorkelling, Evening Entertainment, Spa, Wifi (Free), Babysitting, Yoga Classes, Adult Pool")</f>
        <v>Beach, Family Suite, 2 Bedroom Suites, Gym, Buffet, Swim Up Bar, Snorkelling, Evening Entertainment, Spa, Wifi (Free), Babysitting, Yoga Classes, Adult Pool</v>
      </c>
      <c r="T170" s="76"/>
      <c r="U170" s="76" t="str">
        <f>IFERROR(__xludf.DUMMYFUNCTION("""COMPUTED_VALUE"""),"1 King and Sofa Bed or 2 Queen")</f>
        <v>1 King and Sofa Bed or 2 Queen</v>
      </c>
      <c r="V170" s="74" t="b">
        <f>IFERROR(__xludf.DUMMYFUNCTION("""COMPUTED_VALUE"""),TRUE)</f>
        <v>1</v>
      </c>
      <c r="W170" s="74">
        <f>IFERROR(__xludf.DUMMYFUNCTION("""COMPUTED_VALUE"""),130.0)</f>
        <v>130</v>
      </c>
      <c r="X170" s="74">
        <f>IFERROR(__xludf.DUMMYFUNCTION("""COMPUTED_VALUE"""),2011.0)</f>
        <v>2011</v>
      </c>
      <c r="Y170" s="74">
        <f>IFERROR(__xludf.DUMMYFUNCTION("""COMPUTED_VALUE"""),2021.0)</f>
        <v>2021</v>
      </c>
      <c r="Z170" s="75">
        <f>IFERROR(__xludf.DUMMYFUNCTION("""COMPUTED_VALUE"""),7.0)</f>
        <v>7</v>
      </c>
    </row>
    <row r="171">
      <c r="A171" s="65" t="str">
        <f>IFERROR(__xludf.DUMMYFUNCTION("""COMPUTED_VALUE"""),"Hilton La Romana, An All Inclusive Adult Only Resort")</f>
        <v>Hilton La Romana, An All Inclusive Adult Only Resort</v>
      </c>
      <c r="B171" s="66">
        <f>IFERROR(__xludf.DUMMYFUNCTION("""COMPUTED_VALUE"""),90.5)</f>
        <v>90.5</v>
      </c>
      <c r="C171" s="67" t="str">
        <f>IFERROR(__xludf.DUMMYFUNCTION("""COMPUTED_VALUE"""),"Adults Only")</f>
        <v>Adults Only</v>
      </c>
      <c r="D171" s="79">
        <f>IFERROR(__xludf.DUMMYFUNCTION("""COMPUTED_VALUE"""),4039.14)</f>
        <v>4039.14</v>
      </c>
      <c r="E171" s="79">
        <f>IFERROR(__xludf.DUMMYFUNCTION("""COMPUTED_VALUE"""),5578.253893085999)</f>
        <v>5578.253893</v>
      </c>
      <c r="F171" s="69">
        <f>IFERROR(__xludf.DUMMYFUNCTION("""COMPUTED_VALUE"""),2.6)</f>
        <v>2.6</v>
      </c>
      <c r="G171" s="78"/>
      <c r="H171" s="78">
        <f>IFERROR(__xludf.DUMMYFUNCTION("""COMPUTED_VALUE"""),8.0)</f>
        <v>8</v>
      </c>
      <c r="I171" s="78"/>
      <c r="J171" s="78">
        <f>IFERROR(__xludf.DUMMYFUNCTION("""COMPUTED_VALUE"""),5.0)</f>
        <v>5</v>
      </c>
      <c r="K171" s="76"/>
      <c r="L171" s="76" t="str">
        <f>IFERROR(__xludf.DUMMYFUNCTION("""COMPUTED_VALUE"""),"Dominican Republic")</f>
        <v>Dominican Republic</v>
      </c>
      <c r="M171" s="76" t="str">
        <f>IFERROR(__xludf.DUMMYFUNCTION("""COMPUTED_VALUE"""),"Bayahibe")</f>
        <v>Bayahibe</v>
      </c>
      <c r="N171" s="76" t="str">
        <f>IFERROR(__xludf.DUMMYFUNCTION("""COMPUTED_VALUE"""),"Punta Cana")</f>
        <v>Punta Cana</v>
      </c>
      <c r="O171" s="78" t="b">
        <f>IFERROR(__xludf.DUMMYFUNCTION("""COMPUTED_VALUE"""),TRUE)</f>
        <v>1</v>
      </c>
      <c r="P171" s="80">
        <f>IFERROR(__xludf.DUMMYFUNCTION("""COMPUTED_VALUE"""),0.035416666666666666)</f>
        <v>0.03541666667</v>
      </c>
      <c r="Q171" s="76" t="str">
        <f>IFERROR(__xludf.DUMMYFUNCTION("""COMPUTED_VALUE"""),"Hilton")</f>
        <v>Hilton</v>
      </c>
      <c r="R171" s="76" t="str">
        <f>IFERROR(__xludf.DUMMYFUNCTION("""COMPUTED_VALUE"""),"Great View, Family")</f>
        <v>Great View, Family</v>
      </c>
      <c r="S171" s="76" t="str">
        <f>IFERROR(__xludf.DUMMYFUNCTION("""COMPUTED_VALUE"""),"Beach, Swim Out/Plunge Pool Rooms, Gym, Buffet, Casino, Snorkelling, Evening Entertainment, Nightclub, Room Service, Diving, Tennis, Fishing, Spa")</f>
        <v>Beach, Swim Out/Plunge Pool Rooms, Gym, Buffet, Casino, Snorkelling, Evening Entertainment, Nightclub, Room Service, Diving, Tennis, Fishing, Spa</v>
      </c>
      <c r="T171" s="76"/>
      <c r="U171" s="76"/>
      <c r="V171" s="78" t="b">
        <f>IFERROR(__xludf.DUMMYFUNCTION("""COMPUTED_VALUE"""),FALSE)</f>
        <v>0</v>
      </c>
      <c r="W171" s="78">
        <f>IFERROR(__xludf.DUMMYFUNCTION("""COMPUTED_VALUE"""),356.0)</f>
        <v>356</v>
      </c>
      <c r="X171" s="74">
        <f>IFERROR(__xludf.DUMMYFUNCTION("""COMPUTED_VALUE"""),1997.0)</f>
        <v>1997</v>
      </c>
      <c r="Y171" s="74">
        <f>IFERROR(__xludf.DUMMYFUNCTION("""COMPUTED_VALUE"""),2019.0)</f>
        <v>2019</v>
      </c>
      <c r="Z171" s="81">
        <f>IFERROR(__xludf.DUMMYFUNCTION("""COMPUTED_VALUE"""),4.0)</f>
        <v>4</v>
      </c>
    </row>
    <row r="172">
      <c r="A172" s="65" t="str">
        <f>IFERROR(__xludf.DUMMYFUNCTION("""COMPUTED_VALUE"""),"TRS Cap Cana Waterfront &amp; Marina Hotel")</f>
        <v>TRS Cap Cana Waterfront &amp; Marina Hotel</v>
      </c>
      <c r="B172" s="66">
        <f>IFERROR(__xludf.DUMMYFUNCTION("""COMPUTED_VALUE"""),90.3)</f>
        <v>90.3</v>
      </c>
      <c r="C172" s="67" t="str">
        <f>IFERROR(__xludf.DUMMYFUNCTION("""COMPUTED_VALUE"""),"Adults Only")</f>
        <v>Adults Only</v>
      </c>
      <c r="D172" s="85">
        <f>IFERROR(__xludf.DUMMYFUNCTION("""COMPUTED_VALUE"""),2766.49)</f>
        <v>2766.49</v>
      </c>
      <c r="E172" s="79">
        <f>IFERROR(__xludf.DUMMYFUNCTION("""COMPUTED_VALUE"""),3820.6607378509993)</f>
        <v>3820.660738</v>
      </c>
      <c r="F172" s="69">
        <f>IFERROR(__xludf.DUMMYFUNCTION("""COMPUTED_VALUE"""),3.72)</f>
        <v>3.72</v>
      </c>
      <c r="G172" s="78"/>
      <c r="H172" s="78">
        <f>IFERROR(__xludf.DUMMYFUNCTION("""COMPUTED_VALUE"""),7.0)</f>
        <v>7</v>
      </c>
      <c r="I172" s="78"/>
      <c r="J172" s="78">
        <f>IFERROR(__xludf.DUMMYFUNCTION("""COMPUTED_VALUE"""),5.0)</f>
        <v>5</v>
      </c>
      <c r="K172" s="76"/>
      <c r="L172" s="76" t="str">
        <f>IFERROR(__xludf.DUMMYFUNCTION("""COMPUTED_VALUE"""),"Dominican Republic")</f>
        <v>Dominican Republic</v>
      </c>
      <c r="M172" s="76" t="str">
        <f>IFERROR(__xludf.DUMMYFUNCTION("""COMPUTED_VALUE"""),"Cap Cana")</f>
        <v>Cap Cana</v>
      </c>
      <c r="N172" s="76" t="str">
        <f>IFERROR(__xludf.DUMMYFUNCTION("""COMPUTED_VALUE"""),"Punta Cana")</f>
        <v>Punta Cana</v>
      </c>
      <c r="O172" s="78" t="b">
        <f>IFERROR(__xludf.DUMMYFUNCTION("""COMPUTED_VALUE"""),TRUE)</f>
        <v>1</v>
      </c>
      <c r="P172" s="80">
        <f>IFERROR(__xludf.DUMMYFUNCTION("""COMPUTED_VALUE"""),0.008333333333333333)</f>
        <v>0.008333333333</v>
      </c>
      <c r="Q172" s="76" t="str">
        <f>IFERROR(__xludf.DUMMYFUNCTION("""COMPUTED_VALUE"""),"Wyndham Hotels")</f>
        <v>Wyndham Hotels</v>
      </c>
      <c r="R172" s="76" t="str">
        <f>IFERROR(__xludf.DUMMYFUNCTION("""COMPUTED_VALUE"""),"Trendy, Charming")</f>
        <v>Trendy, Charming</v>
      </c>
      <c r="S172" s="76" t="str">
        <f>IFERROR(__xludf.DUMMYFUNCTION("""COMPUTED_VALUE"""),"Beach, Swim Out/Plunge Pool Rooms, Gym, Buffet, Swim Up Bar, Fishing, Yoga Classes, Room Service, Evening Entertainment, Spa")</f>
        <v>Beach, Swim Out/Plunge Pool Rooms, Gym, Buffet, Swim Up Bar, Fishing, Yoga Classes, Room Service, Evening Entertainment, Spa</v>
      </c>
      <c r="T172" s="76"/>
      <c r="U172" s="76"/>
      <c r="V172" s="74" t="b">
        <f>IFERROR(__xludf.DUMMYFUNCTION("""COMPUTED_VALUE"""),FALSE)</f>
        <v>0</v>
      </c>
      <c r="W172" s="74">
        <f>IFERROR(__xludf.DUMMYFUNCTION("""COMPUTED_VALUE"""),115.0)</f>
        <v>115</v>
      </c>
      <c r="X172" s="74">
        <f>IFERROR(__xludf.DUMMYFUNCTION("""COMPUTED_VALUE"""),2015.0)</f>
        <v>2015</v>
      </c>
      <c r="Y172" s="74"/>
      <c r="Z172" s="75">
        <f>IFERROR(__xludf.DUMMYFUNCTION("""COMPUTED_VALUE"""),3.0)</f>
        <v>3</v>
      </c>
    </row>
    <row r="173">
      <c r="A173" s="65" t="str">
        <f>IFERROR(__xludf.DUMMYFUNCTION("""COMPUTED_VALUE"""),"Blue Diamond Luxury Boutique Hotel")</f>
        <v>Blue Diamond Luxury Boutique Hotel</v>
      </c>
      <c r="B173" s="66">
        <f>IFERROR(__xludf.DUMMYFUNCTION("""COMPUTED_VALUE"""),90.3)</f>
        <v>90.3</v>
      </c>
      <c r="C173" s="67" t="str">
        <f>IFERROR(__xludf.DUMMYFUNCTION("""COMPUTED_VALUE"""),"Adults Only")</f>
        <v>Adults Only</v>
      </c>
      <c r="D173" s="85">
        <f>IFERROR(__xludf.DUMMYFUNCTION("""COMPUTED_VALUE"""),2972.74)</f>
        <v>2972.74</v>
      </c>
      <c r="E173" s="79">
        <f>IFERROR(__xludf.DUMMYFUNCTION("""COMPUTED_VALUE"""),4105.502279725999)</f>
        <v>4105.50228</v>
      </c>
      <c r="F173" s="69">
        <f>IFERROR(__xludf.DUMMYFUNCTION("""COMPUTED_VALUE"""),3.46)</f>
        <v>3.46</v>
      </c>
      <c r="G173" s="78"/>
      <c r="H173" s="78">
        <f>IFERROR(__xludf.DUMMYFUNCTION("""COMPUTED_VALUE"""),8.0)</f>
        <v>8</v>
      </c>
      <c r="I173" s="78"/>
      <c r="J173" s="78">
        <f>IFERROR(__xludf.DUMMYFUNCTION("""COMPUTED_VALUE"""),5.0)</f>
        <v>5</v>
      </c>
      <c r="K173" s="76"/>
      <c r="L173" s="76" t="str">
        <f>IFERROR(__xludf.DUMMYFUNCTION("""COMPUTED_VALUE"""),"Mexico")</f>
        <v>Mexico</v>
      </c>
      <c r="M173" s="76" t="str">
        <f>IFERROR(__xludf.DUMMYFUNCTION("""COMPUTED_VALUE"""),"Playa del Carmen")</f>
        <v>Playa del Carmen</v>
      </c>
      <c r="N173" s="76" t="str">
        <f>IFERROR(__xludf.DUMMYFUNCTION("""COMPUTED_VALUE"""),"Cancun")</f>
        <v>Cancun</v>
      </c>
      <c r="O173" s="78" t="b">
        <f>IFERROR(__xludf.DUMMYFUNCTION("""COMPUTED_VALUE"""),TRUE)</f>
        <v>1</v>
      </c>
      <c r="P173" s="80">
        <f>IFERROR(__xludf.DUMMYFUNCTION("""COMPUTED_VALUE"""),0.027777777777777776)</f>
        <v>0.02777777778</v>
      </c>
      <c r="Q173" s="76"/>
      <c r="R173" s="76" t="str">
        <f>IFERROR(__xludf.DUMMYFUNCTION("""COMPUTED_VALUE"""),"Lagoon View, River View")</f>
        <v>Lagoon View, River View</v>
      </c>
      <c r="S173" s="76" t="str">
        <f>IFERROR(__xludf.DUMMYFUNCTION("""COMPUTED_VALUE"""),"Beach, Gym, Bicycles Available, Room Service, Snorkelling, Wifi (Free), Diving, Spa")</f>
        <v>Beach, Gym, Bicycles Available, Room Service, Snorkelling, Wifi (Free), Diving, Spa</v>
      </c>
      <c r="T173" s="76"/>
      <c r="U173" s="76"/>
      <c r="V173" s="74" t="b">
        <f>IFERROR(__xludf.DUMMYFUNCTION("""COMPUTED_VALUE"""),FALSE)</f>
        <v>0</v>
      </c>
      <c r="W173" s="74">
        <f>IFERROR(__xludf.DUMMYFUNCTION("""COMPUTED_VALUE"""),128.0)</f>
        <v>128</v>
      </c>
      <c r="X173" s="74">
        <f>IFERROR(__xludf.DUMMYFUNCTION("""COMPUTED_VALUE"""),1963.0)</f>
        <v>1963</v>
      </c>
      <c r="Y173" s="74">
        <f>IFERROR(__xludf.DUMMYFUNCTION("""COMPUTED_VALUE"""),2012.0)</f>
        <v>2012</v>
      </c>
      <c r="Z173" s="75">
        <f>IFERROR(__xludf.DUMMYFUNCTION("""COMPUTED_VALUE"""),2.0)</f>
        <v>2</v>
      </c>
    </row>
    <row r="174">
      <c r="A174" s="65" t="str">
        <f>IFERROR(__xludf.DUMMYFUNCTION("""COMPUTED_VALUE"""),"Hotel Riu Palace Jamaica")</f>
        <v>Hotel Riu Palace Jamaica</v>
      </c>
      <c r="B174" s="66">
        <f>IFERROR(__xludf.DUMMYFUNCTION("""COMPUTED_VALUE"""),90.3)</f>
        <v>90.3</v>
      </c>
      <c r="C174" s="67" t="str">
        <f>IFERROR(__xludf.DUMMYFUNCTION("""COMPUTED_VALUE"""),"Adults Only")</f>
        <v>Adults Only</v>
      </c>
      <c r="D174" s="79">
        <f>IFERROR(__xludf.DUMMYFUNCTION("""COMPUTED_VALUE"""),3778.04)</f>
        <v>3778.04</v>
      </c>
      <c r="E174" s="79">
        <f>IFERROR(__xludf.DUMMYFUNCTION("""COMPUTED_VALUE"""),5217.661764195999)</f>
        <v>5217.661764</v>
      </c>
      <c r="F174" s="69">
        <f>IFERROR(__xludf.DUMMYFUNCTION("""COMPUTED_VALUE"""),2.73)</f>
        <v>2.73</v>
      </c>
      <c r="G174" s="78"/>
      <c r="H174" s="78">
        <f>IFERROR(__xludf.DUMMYFUNCTION("""COMPUTED_VALUE"""),7.0)</f>
        <v>7</v>
      </c>
      <c r="I174" s="78"/>
      <c r="J174" s="78">
        <f>IFERROR(__xludf.DUMMYFUNCTION("""COMPUTED_VALUE"""),5.0)</f>
        <v>5</v>
      </c>
      <c r="K174" s="76"/>
      <c r="L174" s="76" t="str">
        <f>IFERROR(__xludf.DUMMYFUNCTION("""COMPUTED_VALUE"""),"Jamaica")</f>
        <v>Jamaica</v>
      </c>
      <c r="M174" s="76" t="str">
        <f>IFERROR(__xludf.DUMMYFUNCTION("""COMPUTED_VALUE"""),"Montego Bay")</f>
        <v>Montego Bay</v>
      </c>
      <c r="N174" s="76" t="str">
        <f>IFERROR(__xludf.DUMMYFUNCTION("""COMPUTED_VALUE"""),"Sangster")</f>
        <v>Sangster</v>
      </c>
      <c r="O174" s="78" t="b">
        <f>IFERROR(__xludf.DUMMYFUNCTION("""COMPUTED_VALUE"""),TRUE)</f>
        <v>1</v>
      </c>
      <c r="P174" s="80">
        <f>IFERROR(__xludf.DUMMYFUNCTION("""COMPUTED_VALUE"""),0.004861111111111111)</f>
        <v>0.004861111111</v>
      </c>
      <c r="Q174" s="76" t="str">
        <f>IFERROR(__xludf.DUMMYFUNCTION("""COMPUTED_VALUE"""),"Riu")</f>
        <v>Riu</v>
      </c>
      <c r="R174" s="76" t="str">
        <f>IFERROR(__xludf.DUMMYFUNCTION("""COMPUTED_VALUE"""),"Modern, Trendy")</f>
        <v>Modern, Trendy</v>
      </c>
      <c r="S174" s="76" t="str">
        <f>IFERROR(__xludf.DUMMYFUNCTION("""COMPUTED_VALUE"""),"Beach, Great for Parties, Buffet, Diving, Watersports Equipment Rentals, Evening Entertainment, Gym, Swim Up Bar, Snorkelling, Windsurfing, Nightclub")</f>
        <v>Beach, Great for Parties, Buffet, Diving, Watersports Equipment Rentals, Evening Entertainment, Gym, Swim Up Bar, Snorkelling, Windsurfing, Nightclub</v>
      </c>
      <c r="T174" s="76"/>
      <c r="U174" s="76"/>
      <c r="V174" s="78" t="b">
        <f>IFERROR(__xludf.DUMMYFUNCTION("""COMPUTED_VALUE"""),FALSE)</f>
        <v>0</v>
      </c>
      <c r="W174" s="78">
        <f>IFERROR(__xludf.DUMMYFUNCTION("""COMPUTED_VALUE"""),238.0)</f>
        <v>238</v>
      </c>
      <c r="X174" s="78">
        <f>IFERROR(__xludf.DUMMYFUNCTION("""COMPUTED_VALUE"""),2008.0)</f>
        <v>2008</v>
      </c>
      <c r="Y174" s="74">
        <f>IFERROR(__xludf.DUMMYFUNCTION("""COMPUTED_VALUE"""),2013.0)</f>
        <v>2013</v>
      </c>
      <c r="Z174" s="81">
        <f>IFERROR(__xludf.DUMMYFUNCTION("""COMPUTED_VALUE"""),4.0)</f>
        <v>4</v>
      </c>
    </row>
    <row r="175">
      <c r="A175" s="65" t="str">
        <f>IFERROR(__xludf.DUMMYFUNCTION("""COMPUTED_VALUE"""),"Marival Distinct Luxury Residences &amp; World Spa")</f>
        <v>Marival Distinct Luxury Residences &amp; World Spa</v>
      </c>
      <c r="B175" s="66">
        <f>IFERROR(__xludf.DUMMYFUNCTION("""COMPUTED_VALUE"""),90.3)</f>
        <v>90.3</v>
      </c>
      <c r="C175" s="67" t="str">
        <f>IFERROR(__xludf.DUMMYFUNCTION("""COMPUTED_VALUE"""),"Family")</f>
        <v>Family</v>
      </c>
      <c r="D175" s="79">
        <f>IFERROR(__xludf.DUMMYFUNCTION("""COMPUTED_VALUE"""),5267.0)</f>
        <v>5267</v>
      </c>
      <c r="E175" s="79">
        <f>IFERROR(__xludf.DUMMYFUNCTION("""COMPUTED_VALUE"""),7273.989823299999)</f>
        <v>7273.989823</v>
      </c>
      <c r="F175" s="69">
        <f>IFERROR(__xludf.DUMMYFUNCTION("""COMPUTED_VALUE"""),1.96)</f>
        <v>1.96</v>
      </c>
      <c r="G175" s="78"/>
      <c r="H175" s="74">
        <f>IFERROR(__xludf.DUMMYFUNCTION("""COMPUTED_VALUE"""),7.0)</f>
        <v>7</v>
      </c>
      <c r="I175" s="78"/>
      <c r="J175" s="78">
        <f>IFERROR(__xludf.DUMMYFUNCTION("""COMPUTED_VALUE"""),4.0)</f>
        <v>4</v>
      </c>
      <c r="K175" s="71"/>
      <c r="L175" s="76" t="str">
        <f>IFERROR(__xludf.DUMMYFUNCTION("""COMPUTED_VALUE"""),"Mexico")</f>
        <v>Mexico</v>
      </c>
      <c r="M175" s="76" t="str">
        <f>IFERROR(__xludf.DUMMYFUNCTION("""COMPUTED_VALUE"""),"Nuevo Vallarta")</f>
        <v>Nuevo Vallarta</v>
      </c>
      <c r="N175" s="76" t="str">
        <f>IFERROR(__xludf.DUMMYFUNCTION("""COMPUTED_VALUE"""),"Ordaz")</f>
        <v>Ordaz</v>
      </c>
      <c r="O175" s="78" t="b">
        <f>IFERROR(__xludf.DUMMYFUNCTION("""COMPUTED_VALUE"""),TRUE)</f>
        <v>1</v>
      </c>
      <c r="P175" s="80">
        <f>IFERROR(__xludf.DUMMYFUNCTION("""COMPUTED_VALUE"""),0.013888888888888888)</f>
        <v>0.01388888889</v>
      </c>
      <c r="Q175" s="76" t="str">
        <f>IFERROR(__xludf.DUMMYFUNCTION("""COMPUTED_VALUE"""),"Marival Resorts")</f>
        <v>Marival Resorts</v>
      </c>
      <c r="R175" s="76" t="str">
        <f>IFERROR(__xludf.DUMMYFUNCTION("""COMPUTED_VALUE"""),"Family, Modern")</f>
        <v>Family, Modern</v>
      </c>
      <c r="S175" s="76" t="str">
        <f>IFERROR(__xludf.DUMMYFUNCTION("""COMPUTED_VALUE"""),"Beach, Swim Out/Plunge Pool Rooms, Family Suite, 2 Bedroom Suites, Kids Club, Teen Club, Lazy River, Kids Waterpark, Pool Slide, Water Feature, Heated Pool, Gym, Diving, Wifi (Paid), Buffet, Fishing, Nightclub, Babysitting, Room Service, Tennis, Evening E"&amp;"ntertainment, Spa")</f>
        <v>Beach, Swim Out/Plunge Pool Rooms, Family Suite, 2 Bedroom Suites, Kids Club, Teen Club, Lazy River, Kids Waterpark, Pool Slide, Water Feature, Heated Pool, Gym, Diving, Wifi (Paid), Buffet, Fishing, Nightclub, Babysitting, Room Service, Tennis, Evening Entertainment, Spa</v>
      </c>
      <c r="T175" s="76"/>
      <c r="U175" s="76" t="str">
        <f>IFERROR(__xludf.DUMMYFUNCTION("""COMPUTED_VALUE"""),"1 King and 1 Sofa Bed")</f>
        <v>1 King and 1 Sofa Bed</v>
      </c>
      <c r="V175" s="74" t="b">
        <f>IFERROR(__xludf.DUMMYFUNCTION("""COMPUTED_VALUE"""),FALSE)</f>
        <v>0</v>
      </c>
      <c r="W175" s="74">
        <f>IFERROR(__xludf.DUMMYFUNCTION("""COMPUTED_VALUE"""),162.0)</f>
        <v>162</v>
      </c>
      <c r="X175" s="74">
        <f>IFERROR(__xludf.DUMMYFUNCTION("""COMPUTED_VALUE"""),2009.0)</f>
        <v>2009</v>
      </c>
      <c r="Y175" s="74"/>
      <c r="Z175" s="75">
        <f>IFERROR(__xludf.DUMMYFUNCTION("""COMPUTED_VALUE"""),6.0)</f>
        <v>6</v>
      </c>
    </row>
    <row r="176">
      <c r="A176" s="65" t="str">
        <f>IFERROR(__xludf.DUMMYFUNCTION("""COMPUTED_VALUE"""),"Princess Grand Jamaica")</f>
        <v>Princess Grand Jamaica</v>
      </c>
      <c r="B176" s="66">
        <f>IFERROR(__xludf.DUMMYFUNCTION("""COMPUTED_VALUE"""),90.3)</f>
        <v>90.3</v>
      </c>
      <c r="C176" s="67" t="str">
        <f>IFERROR(__xludf.DUMMYFUNCTION("""COMPUTED_VALUE"""),"Family")</f>
        <v>Family</v>
      </c>
      <c r="D176" s="79">
        <f>IFERROR(__xludf.DUMMYFUNCTION("""COMPUTED_VALUE"""),5831.0)</f>
        <v>5831</v>
      </c>
      <c r="E176" s="79">
        <f>IFERROR(__xludf.DUMMYFUNCTION("""COMPUTED_VALUE"""),8052.901966899999)</f>
        <v>8052.901967</v>
      </c>
      <c r="F176" s="69">
        <f>IFERROR(__xludf.DUMMYFUNCTION("""COMPUTED_VALUE"""),1.77)</f>
        <v>1.77</v>
      </c>
      <c r="G176" s="78"/>
      <c r="H176" s="78" t="str">
        <f>IFERROR(__xludf.DUMMYFUNCTION("""COMPUTED_VALUE"""),"NYR")</f>
        <v>NYR</v>
      </c>
      <c r="I176" s="78"/>
      <c r="J176" s="78"/>
      <c r="K176" s="76"/>
      <c r="L176" s="76" t="str">
        <f>IFERROR(__xludf.DUMMYFUNCTION("""COMPUTED_VALUE"""),"Jamaica")</f>
        <v>Jamaica</v>
      </c>
      <c r="M176" s="76" t="str">
        <f>IFERROR(__xludf.DUMMYFUNCTION("""COMPUTED_VALUE"""),"Green Island")</f>
        <v>Green Island</v>
      </c>
      <c r="N176" s="76" t="str">
        <f>IFERROR(__xludf.DUMMYFUNCTION("""COMPUTED_VALUE"""),"Sangster")</f>
        <v>Sangster</v>
      </c>
      <c r="O176" s="78" t="b">
        <f>IFERROR(__xludf.DUMMYFUNCTION("""COMPUTED_VALUE"""),TRUE)</f>
        <v>1</v>
      </c>
      <c r="P176" s="80">
        <f>IFERROR(__xludf.DUMMYFUNCTION("""COMPUTED_VALUE"""),0.044444444444444446)</f>
        <v>0.04444444444</v>
      </c>
      <c r="Q176" s="76" t="str">
        <f>IFERROR(__xludf.DUMMYFUNCTION("""COMPUTED_VALUE"""),"Princess Hotels")</f>
        <v>Princess Hotels</v>
      </c>
      <c r="R176" s="76"/>
      <c r="S176" s="76" t="str">
        <f>IFERROR(__xludf.DUMMYFUNCTION("""COMPUTED_VALUE"""),"Beach, Swim Out/Plunge Pool Rooms, Family Suite, 2 Bedroom Suites, Kids Waterpark, Big Waterslides, Kids Club, Gym, Swim Up Bar, Evening Entertainment, Wifi (Free), Babysitting, Yoga Classes, Buffet, Nightclub, Spa")</f>
        <v>Beach, Swim Out/Plunge Pool Rooms, Family Suite, 2 Bedroom Suites, Kids Waterpark, Big Waterslides, Kids Club, Gym, Swim Up Bar, Evening Entertainment, Wifi (Free), Babysitting, Yoga Classes, Buffet, Nightclub, Spa</v>
      </c>
      <c r="T176" s="76" t="str">
        <f>IFERROR(__xludf.DUMMYFUNCTION("""COMPUTED_VALUE"""),"Can't Book Two Rooms")</f>
        <v>Can't Book Two Rooms</v>
      </c>
      <c r="U176" s="76" t="str">
        <f>IFERROR(__xludf.DUMMYFUNCTION("""COMPUTED_VALUE"""),"2 Queen")</f>
        <v>2 Queen</v>
      </c>
      <c r="V176" s="78" t="b">
        <f>IFERROR(__xludf.DUMMYFUNCTION("""COMPUTED_VALUE"""),FALSE)</f>
        <v>0</v>
      </c>
      <c r="W176" s="78">
        <f>IFERROR(__xludf.DUMMYFUNCTION("""COMPUTED_VALUE"""),590.0)</f>
        <v>590</v>
      </c>
      <c r="X176" s="78">
        <f>IFERROR(__xludf.DUMMYFUNCTION("""COMPUTED_VALUE"""),2024.0)</f>
        <v>2024</v>
      </c>
      <c r="Y176" s="78"/>
      <c r="Z176" s="81">
        <f>IFERROR(__xludf.DUMMYFUNCTION("""COMPUTED_VALUE"""),4.0)</f>
        <v>4</v>
      </c>
    </row>
    <row r="177">
      <c r="A177" s="65" t="str">
        <f>IFERROR(__xludf.DUMMYFUNCTION("""COMPUTED_VALUE"""),"Villa La Estancia Beach Resort &amp; Spa Riviera Nayarit")</f>
        <v>Villa La Estancia Beach Resort &amp; Spa Riviera Nayarit</v>
      </c>
      <c r="B177" s="66">
        <f>IFERROR(__xludf.DUMMYFUNCTION("""COMPUTED_VALUE"""),90.3)</f>
        <v>90.3</v>
      </c>
      <c r="C177" s="67" t="str">
        <f>IFERROR(__xludf.DUMMYFUNCTION("""COMPUTED_VALUE"""),"Family")</f>
        <v>Family</v>
      </c>
      <c r="D177" s="79">
        <f>IFERROR(__xludf.DUMMYFUNCTION("""COMPUTED_VALUE"""),6123.0)</f>
        <v>6123</v>
      </c>
      <c r="E177" s="79">
        <f>IFERROR(__xludf.DUMMYFUNCTION("""COMPUTED_VALUE"""),8456.1685377)</f>
        <v>8456.168538</v>
      </c>
      <c r="F177" s="69">
        <f>IFERROR(__xludf.DUMMYFUNCTION("""COMPUTED_VALUE"""),1.68)</f>
        <v>1.68</v>
      </c>
      <c r="G177" s="78">
        <f>IFERROR(__xludf.DUMMYFUNCTION("""COMPUTED_VALUE"""),4.0)</f>
        <v>4</v>
      </c>
      <c r="H177" s="78">
        <f>IFERROR(__xludf.DUMMYFUNCTION("""COMPUTED_VALUE"""),7.0)</f>
        <v>7</v>
      </c>
      <c r="I177" s="78"/>
      <c r="J177" s="78">
        <f>IFERROR(__xludf.DUMMYFUNCTION("""COMPUTED_VALUE"""),5.0)</f>
        <v>5</v>
      </c>
      <c r="K177" s="76"/>
      <c r="L177" s="76" t="str">
        <f>IFERROR(__xludf.DUMMYFUNCTION("""COMPUTED_VALUE"""),"Mexico")</f>
        <v>Mexico</v>
      </c>
      <c r="M177" s="76" t="str">
        <f>IFERROR(__xludf.DUMMYFUNCTION("""COMPUTED_VALUE"""),"Flamingos")</f>
        <v>Flamingos</v>
      </c>
      <c r="N177" s="76" t="str">
        <f>IFERROR(__xludf.DUMMYFUNCTION("""COMPUTED_VALUE"""),"Ordaz")</f>
        <v>Ordaz</v>
      </c>
      <c r="O177" s="78" t="b">
        <f>IFERROR(__xludf.DUMMYFUNCTION("""COMPUTED_VALUE"""),TRUE)</f>
        <v>1</v>
      </c>
      <c r="P177" s="80">
        <f>IFERROR(__xludf.DUMMYFUNCTION("""COMPUTED_VALUE"""),0.017361111111111112)</f>
        <v>0.01736111111</v>
      </c>
      <c r="Q177" s="76" t="str">
        <f>IFERROR(__xludf.DUMMYFUNCTION("""COMPUTED_VALUE"""),"The Villa Group")</f>
        <v>The Villa Group</v>
      </c>
      <c r="R177" s="76" t="str">
        <f>IFERROR(__xludf.DUMMYFUNCTION("""COMPUTED_VALUE"""),"Family, Ocean View")</f>
        <v>Family, Ocean View</v>
      </c>
      <c r="S177" s="76" t="str">
        <f>IFERROR(__xludf.DUMMYFUNCTION("""COMPUTED_VALUE"""),"Beach, Family Suite, 2 Bedroom Suites, Kids Club, Heated Pool, Gym, Diving, Swim Up Bar, Tennis, Babysitting, Spa")</f>
        <v>Beach, Family Suite, 2 Bedroom Suites, Kids Club, Heated Pool, Gym, Diving, Swim Up Bar, Tennis, Babysitting, Spa</v>
      </c>
      <c r="T177" s="76"/>
      <c r="U177" s="76" t="str">
        <f>IFERROR(__xludf.DUMMYFUNCTION("""COMPUTED_VALUE"""),"2 Queen")</f>
        <v>2 Queen</v>
      </c>
      <c r="V177" s="74" t="b">
        <f>IFERROR(__xludf.DUMMYFUNCTION("""COMPUTED_VALUE"""),TRUE)</f>
        <v>1</v>
      </c>
      <c r="W177" s="74">
        <f>IFERROR(__xludf.DUMMYFUNCTION("""COMPUTED_VALUE"""),245.0)</f>
        <v>245</v>
      </c>
      <c r="X177" s="74">
        <f>IFERROR(__xludf.DUMMYFUNCTION("""COMPUTED_VALUE"""),2007.0)</f>
        <v>2007</v>
      </c>
      <c r="Y177" s="74"/>
      <c r="Z177" s="75">
        <f>IFERROR(__xludf.DUMMYFUNCTION("""COMPUTED_VALUE"""),10.0)</f>
        <v>10</v>
      </c>
    </row>
    <row r="178">
      <c r="A178" s="65" t="str">
        <f>IFERROR(__xludf.DUMMYFUNCTION("""COMPUTED_VALUE"""),"Pueblo Bonito Emerald Bay Resort &amp; Spa")</f>
        <v>Pueblo Bonito Emerald Bay Resort &amp; Spa</v>
      </c>
      <c r="B178" s="66">
        <f>IFERROR(__xludf.DUMMYFUNCTION("""COMPUTED_VALUE"""),90.3)</f>
        <v>90.3</v>
      </c>
      <c r="C178" s="67" t="str">
        <f>IFERROR(__xludf.DUMMYFUNCTION("""COMPUTED_VALUE"""),"Family")</f>
        <v>Family</v>
      </c>
      <c r="D178" s="79">
        <f>IFERROR(__xludf.DUMMYFUNCTION("""COMPUTED_VALUE"""),6527.15)</f>
        <v>6527.15</v>
      </c>
      <c r="E178" s="79">
        <f>IFERROR(__xludf.DUMMYFUNCTION("""COMPUTED_VALUE"""),9014.319854784999)</f>
        <v>9014.319855</v>
      </c>
      <c r="F178" s="69">
        <f>IFERROR(__xludf.DUMMYFUNCTION("""COMPUTED_VALUE"""),1.58)</f>
        <v>1.58</v>
      </c>
      <c r="G178" s="78">
        <f>IFERROR(__xludf.DUMMYFUNCTION("""COMPUTED_VALUE"""),4.0)</f>
        <v>4</v>
      </c>
      <c r="H178" s="78">
        <f>IFERROR(__xludf.DUMMYFUNCTION("""COMPUTED_VALUE"""),6.0)</f>
        <v>6</v>
      </c>
      <c r="I178" s="78"/>
      <c r="J178" s="78">
        <f>IFERROR(__xludf.DUMMYFUNCTION("""COMPUTED_VALUE"""),5.0)</f>
        <v>5</v>
      </c>
      <c r="K178" s="76"/>
      <c r="L178" s="76" t="str">
        <f>IFERROR(__xludf.DUMMYFUNCTION("""COMPUTED_VALUE"""),"Mexico")</f>
        <v>Mexico</v>
      </c>
      <c r="M178" s="76" t="str">
        <f>IFERROR(__xludf.DUMMYFUNCTION("""COMPUTED_VALUE"""),"Mazatlan")</f>
        <v>Mazatlan</v>
      </c>
      <c r="N178" s="76" t="str">
        <f>IFERROR(__xludf.DUMMYFUNCTION("""COMPUTED_VALUE"""),"Mazatlan")</f>
        <v>Mazatlan</v>
      </c>
      <c r="O178" s="78" t="b">
        <f>IFERROR(__xludf.DUMMYFUNCTION("""COMPUTED_VALUE"""),FALSE)</f>
        <v>0</v>
      </c>
      <c r="P178" s="80">
        <f>IFERROR(__xludf.DUMMYFUNCTION("""COMPUTED_VALUE"""),0.02638888888888889)</f>
        <v>0.02638888889</v>
      </c>
      <c r="Q178" s="76" t="str">
        <f>IFERROR(__xludf.DUMMYFUNCTION("""COMPUTED_VALUE"""),"Pueblo Bonito")</f>
        <v>Pueblo Bonito</v>
      </c>
      <c r="R178" s="76" t="str">
        <f>IFERROR(__xludf.DUMMYFUNCTION("""COMPUTED_VALUE"""),"Bay View, Business")</f>
        <v>Bay View, Business</v>
      </c>
      <c r="S178" s="76" t="str">
        <f>IFERROR(__xludf.DUMMYFUNCTION("""COMPUTED_VALUE"""),"Beach, Kids Club, Heated Pool, Gym, Tennis, Adult Pool, Room Service, Spa, Yoga Classes, Buffet, Swim Up Bar")</f>
        <v>Beach, Kids Club, Heated Pool, Gym, Tennis, Adult Pool, Room Service, Spa, Yoga Classes, Buffet, Swim Up Bar</v>
      </c>
      <c r="T178" s="76"/>
      <c r="U178" s="76" t="str">
        <f>IFERROR(__xludf.DUMMYFUNCTION("""COMPUTED_VALUE"""),"2 Double")</f>
        <v>2 Double</v>
      </c>
      <c r="V178" s="78" t="b">
        <f>IFERROR(__xludf.DUMMYFUNCTION("""COMPUTED_VALUE"""),FALSE)</f>
        <v>0</v>
      </c>
      <c r="W178" s="78">
        <f>IFERROR(__xludf.DUMMYFUNCTION("""COMPUTED_VALUE"""),378.0)</f>
        <v>378</v>
      </c>
      <c r="X178" s="78">
        <f>IFERROR(__xludf.DUMMYFUNCTION("""COMPUTED_VALUE"""),2001.0)</f>
        <v>2001</v>
      </c>
      <c r="Y178" s="74"/>
      <c r="Z178" s="81">
        <f>IFERROR(__xludf.DUMMYFUNCTION("""COMPUTED_VALUE"""),4.0)</f>
        <v>4</v>
      </c>
    </row>
    <row r="179">
      <c r="A179" s="65" t="str">
        <f>IFERROR(__xludf.DUMMYFUNCTION("""COMPUTED_VALUE"""),"Pueblo Bonito Sunset Beach Golf and Spa Resort")</f>
        <v>Pueblo Bonito Sunset Beach Golf and Spa Resort</v>
      </c>
      <c r="B179" s="66">
        <f>IFERROR(__xludf.DUMMYFUNCTION("""COMPUTED_VALUE"""),90.3)</f>
        <v>90.3</v>
      </c>
      <c r="C179" s="67" t="str">
        <f>IFERROR(__xludf.DUMMYFUNCTION("""COMPUTED_VALUE"""),"Family")</f>
        <v>Family</v>
      </c>
      <c r="D179" s="79">
        <f>IFERROR(__xludf.DUMMYFUNCTION("""COMPUTED_VALUE"""),7016.8)</f>
        <v>7016.8</v>
      </c>
      <c r="E179" s="79">
        <f>IFERROR(__xludf.DUMMYFUNCTION("""COMPUTED_VALUE"""),9690.550938319999)</f>
        <v>9690.550938</v>
      </c>
      <c r="F179" s="69">
        <f>IFERROR(__xludf.DUMMYFUNCTION("""COMPUTED_VALUE"""),1.47)</f>
        <v>1.47</v>
      </c>
      <c r="G179" s="78">
        <f>IFERROR(__xludf.DUMMYFUNCTION("""COMPUTED_VALUE"""),4.0)</f>
        <v>4</v>
      </c>
      <c r="H179" s="74">
        <f>IFERROR(__xludf.DUMMYFUNCTION("""COMPUTED_VALUE"""),7.0)</f>
        <v>7</v>
      </c>
      <c r="I179" s="78"/>
      <c r="J179" s="78">
        <f>IFERROR(__xludf.DUMMYFUNCTION("""COMPUTED_VALUE"""),5.0)</f>
        <v>5</v>
      </c>
      <c r="K179" s="76"/>
      <c r="L179" s="76" t="str">
        <f>IFERROR(__xludf.DUMMYFUNCTION("""COMPUTED_VALUE"""),"Mexico")</f>
        <v>Mexico</v>
      </c>
      <c r="M179" s="76" t="str">
        <f>IFERROR(__xludf.DUMMYFUNCTION("""COMPUTED_VALUE"""),"Los Cabos")</f>
        <v>Los Cabos</v>
      </c>
      <c r="N179" s="76" t="str">
        <f>IFERROR(__xludf.DUMMYFUNCTION("""COMPUTED_VALUE"""),"Los Cabos")</f>
        <v>Los Cabos</v>
      </c>
      <c r="O179" s="78" t="b">
        <f>IFERROR(__xludf.DUMMYFUNCTION("""COMPUTED_VALUE"""),TRUE)</f>
        <v>1</v>
      </c>
      <c r="P179" s="80">
        <f>IFERROR(__xludf.DUMMYFUNCTION("""COMPUTED_VALUE"""),0.03125)</f>
        <v>0.03125</v>
      </c>
      <c r="Q179" s="76" t="str">
        <f>IFERROR(__xludf.DUMMYFUNCTION("""COMPUTED_VALUE"""),"Pueblo Bonito")</f>
        <v>Pueblo Bonito</v>
      </c>
      <c r="R179" s="76" t="str">
        <f>IFERROR(__xludf.DUMMYFUNCTION("""COMPUTED_VALUE"""),"Great View, Green")</f>
        <v>Great View, Green</v>
      </c>
      <c r="S179" s="76" t="str">
        <f>IFERROR(__xludf.DUMMYFUNCTION("""COMPUTED_VALUE"""),"Beach, Kids Club, Teen Club, Arcade, Heated Pool, Gym, Bicycles Available, Yoga Classes, Adult Pool, Buffet, Swim Up Bar, Golf Course, Tennis, Spa, Babysitting, Wifi (Paid), Room Service, Hiking, Fishing, Nightclub")</f>
        <v>Beach, Kids Club, Teen Club, Arcade, Heated Pool, Gym, Bicycles Available, Yoga Classes, Adult Pool, Buffet, Swim Up Bar, Golf Course, Tennis, Spa, Babysitting, Wifi (Paid), Room Service, Hiking, Fishing, Nightclub</v>
      </c>
      <c r="T179" s="76"/>
      <c r="U179" s="76" t="str">
        <f>IFERROR(__xludf.DUMMYFUNCTION("""COMPUTED_VALUE"""),"1 King or 2 Queen")</f>
        <v>1 King or 2 Queen</v>
      </c>
      <c r="V179" s="74" t="b">
        <f>IFERROR(__xludf.DUMMYFUNCTION("""COMPUTED_VALUE"""),FALSE)</f>
        <v>0</v>
      </c>
      <c r="W179" s="74">
        <f>IFERROR(__xludf.DUMMYFUNCTION("""COMPUTED_VALUE"""),749.0)</f>
        <v>749</v>
      </c>
      <c r="X179" s="74">
        <f>IFERROR(__xludf.DUMMYFUNCTION("""COMPUTED_VALUE"""),2002.0)</f>
        <v>2002</v>
      </c>
      <c r="Y179" s="74"/>
      <c r="Z179" s="75">
        <f>IFERROR(__xludf.DUMMYFUNCTION("""COMPUTED_VALUE"""),9.0)</f>
        <v>9</v>
      </c>
    </row>
    <row r="180">
      <c r="A180" s="65" t="str">
        <f>IFERROR(__xludf.DUMMYFUNCTION("""COMPUTED_VALUE"""),"Secrets Playa Blanca in Costa Mujueres")</f>
        <v>Secrets Playa Blanca in Costa Mujueres</v>
      </c>
      <c r="B180" s="66">
        <f>IFERROR(__xludf.DUMMYFUNCTION("""COMPUTED_VALUE"""),90.3)</f>
        <v>90.3</v>
      </c>
      <c r="C180" s="67" t="str">
        <f>IFERROR(__xludf.DUMMYFUNCTION("""COMPUTED_VALUE"""),"Adults Only")</f>
        <v>Adults Only</v>
      </c>
      <c r="D180" s="79">
        <f>IFERROR(__xludf.DUMMYFUNCTION("""COMPUTED_VALUE"""),7063.0)</f>
        <v>7063</v>
      </c>
      <c r="E180" s="79">
        <f>IFERROR(__xludf.DUMMYFUNCTION("""COMPUTED_VALUE"""),9754.355443699998)</f>
        <v>9754.355444</v>
      </c>
      <c r="F180" s="69">
        <f>IFERROR(__xludf.DUMMYFUNCTION("""COMPUTED_VALUE"""),1.46)</f>
        <v>1.46</v>
      </c>
      <c r="G180" s="78"/>
      <c r="H180" s="78"/>
      <c r="I180" s="78" t="str">
        <f>IFERROR(__xludf.DUMMYFUNCTION("""COMPUTED_VALUE"""),"D")</f>
        <v>D</v>
      </c>
      <c r="J180" s="78">
        <f>IFERROR(__xludf.DUMMYFUNCTION("""COMPUTED_VALUE"""),5.0)</f>
        <v>5</v>
      </c>
      <c r="K180" s="76"/>
      <c r="L180" s="76" t="str">
        <f>IFERROR(__xludf.DUMMYFUNCTION("""COMPUTED_VALUE"""),"Mexico")</f>
        <v>Mexico</v>
      </c>
      <c r="M180" s="76" t="str">
        <f>IFERROR(__xludf.DUMMYFUNCTION("""COMPUTED_VALUE"""),"Costa Mujeres")</f>
        <v>Costa Mujeres</v>
      </c>
      <c r="N180" s="76" t="str">
        <f>IFERROR(__xludf.DUMMYFUNCTION("""COMPUTED_VALUE"""),"Cancun")</f>
        <v>Cancun</v>
      </c>
      <c r="O180" s="78" t="b">
        <f>IFERROR(__xludf.DUMMYFUNCTION("""COMPUTED_VALUE"""),TRUE)</f>
        <v>1</v>
      </c>
      <c r="P180" s="80">
        <f>IFERROR(__xludf.DUMMYFUNCTION("""COMPUTED_VALUE"""),0.029166666666666667)</f>
        <v>0.02916666667</v>
      </c>
      <c r="Q180" s="76" t="str">
        <f>IFERROR(__xludf.DUMMYFUNCTION("""COMPUTED_VALUE"""),"Hyatt")</f>
        <v>Hyatt</v>
      </c>
      <c r="R180" s="76"/>
      <c r="S180" s="76" t="str">
        <f>IFERROR(__xludf.DUMMYFUNCTION("""COMPUTED_VALUE"""),"Beach, Great Food, Swim Out/Plunge Pool Rooms, Wifi (Free), Evening Entertainment, Spa, Gym, Buffet")</f>
        <v>Beach, Great Food, Swim Out/Plunge Pool Rooms, Wifi (Free), Evening Entertainment, Spa, Gym, Buffet</v>
      </c>
      <c r="T180" s="76"/>
      <c r="U180" s="76"/>
      <c r="V180" s="78" t="b">
        <f>IFERROR(__xludf.DUMMYFUNCTION("""COMPUTED_VALUE"""),FALSE)</f>
        <v>0</v>
      </c>
      <c r="W180" s="78"/>
      <c r="X180" s="78"/>
      <c r="Y180" s="74"/>
      <c r="Z180" s="81"/>
    </row>
    <row r="181">
      <c r="A181" s="65" t="str">
        <f>IFERROR(__xludf.DUMMYFUNCTION("""COMPUTED_VALUE"""),"The Westin Reserva Conchal, an All-Inclusive Golf Resort &amp; Spa")</f>
        <v>The Westin Reserva Conchal, an All-Inclusive Golf Resort &amp; Spa</v>
      </c>
      <c r="B181" s="66">
        <f>IFERROR(__xludf.DUMMYFUNCTION("""COMPUTED_VALUE"""),90.3)</f>
        <v>90.3</v>
      </c>
      <c r="C181" s="67" t="str">
        <f>IFERROR(__xludf.DUMMYFUNCTION("""COMPUTED_VALUE"""),"Family")</f>
        <v>Family</v>
      </c>
      <c r="D181" s="79">
        <f>IFERROR(__xludf.DUMMYFUNCTION("""COMPUTED_VALUE"""),8169.14)</f>
        <v>8169.14</v>
      </c>
      <c r="E181" s="79">
        <f>IFERROR(__xludf.DUMMYFUNCTION("""COMPUTED_VALUE"""),11281.989980085998)</f>
        <v>11281.98998</v>
      </c>
      <c r="F181" s="69">
        <f>IFERROR(__xludf.DUMMYFUNCTION("""COMPUTED_VALUE"""),1.26)</f>
        <v>1.26</v>
      </c>
      <c r="G181" s="78">
        <f>IFERROR(__xludf.DUMMYFUNCTION("""COMPUTED_VALUE"""),4.0)</f>
        <v>4</v>
      </c>
      <c r="H181" s="78">
        <f>IFERROR(__xludf.DUMMYFUNCTION("""COMPUTED_VALUE"""),7.0)</f>
        <v>7</v>
      </c>
      <c r="I181" s="78"/>
      <c r="J181" s="78">
        <f>IFERROR(__xludf.DUMMYFUNCTION("""COMPUTED_VALUE"""),4.5)</f>
        <v>4.5</v>
      </c>
      <c r="K181" s="76"/>
      <c r="L181" s="76" t="str">
        <f>IFERROR(__xludf.DUMMYFUNCTION("""COMPUTED_VALUE"""),"Costa Rica")</f>
        <v>Costa Rica</v>
      </c>
      <c r="M181" s="76" t="str">
        <f>IFERROR(__xludf.DUMMYFUNCTION("""COMPUTED_VALUE"""),"Brasilito")</f>
        <v>Brasilito</v>
      </c>
      <c r="N181" s="76" t="str">
        <f>IFERROR(__xludf.DUMMYFUNCTION("""COMPUTED_VALUE"""),"Liberia")</f>
        <v>Liberia</v>
      </c>
      <c r="O181" s="78" t="b">
        <f>IFERROR(__xludf.DUMMYFUNCTION("""COMPUTED_VALUE"""),TRUE)</f>
        <v>1</v>
      </c>
      <c r="P181" s="80">
        <f>IFERROR(__xludf.DUMMYFUNCTION("""COMPUTED_VALUE"""),0.04861111111111111)</f>
        <v>0.04861111111</v>
      </c>
      <c r="Q181" s="76" t="str">
        <f>IFERROR(__xludf.DUMMYFUNCTION("""COMPUTED_VALUE"""),"Marriott")</f>
        <v>Marriott</v>
      </c>
      <c r="R181" s="76"/>
      <c r="S181" s="76" t="str">
        <f>IFERROR(__xludf.DUMMYFUNCTION("""COMPUTED_VALUE"""),"Beach, Adults Only Rooms, Family Suite, 2 Bedroom Suites, Kids Club, Pool Slide, Water Feature, Gym, Bicycles Available, Wifi (Paid), Buffet, Golf Course, Snorkelling, Watersports Equipment Rentals, Evening Entertainment, Spa, Yoga Classes, Adult Pool, Ro"&amp;"om Service, Diving, Horseback Riding, Tennis, Fishing, Nightclub")</f>
        <v>Beach, Adults Only Rooms, Family Suite, 2 Bedroom Suites, Kids Club, Pool Slide, Water Feature, Gym, Bicycles Available, Wifi (Paid), Buffet, Golf Course, Snorkelling, Watersports Equipment Rentals, Evening Entertainment, Spa, Yoga Classes, Adult Pool, Room Service, Diving, Horseback Riding, Tennis, Fishing, Nightclub</v>
      </c>
      <c r="T181" s="76"/>
      <c r="U181" s="76" t="str">
        <f>IFERROR(__xludf.DUMMYFUNCTION("""COMPUTED_VALUE"""),"1 King or 2 Double")</f>
        <v>1 King or 2 Double</v>
      </c>
      <c r="V181" s="78" t="b">
        <f>IFERROR(__xludf.DUMMYFUNCTION("""COMPUTED_VALUE"""),FALSE)</f>
        <v>0</v>
      </c>
      <c r="W181" s="78">
        <f>IFERROR(__xludf.DUMMYFUNCTION("""COMPUTED_VALUE"""),406.0)</f>
        <v>406</v>
      </c>
      <c r="X181" s="78">
        <f>IFERROR(__xludf.DUMMYFUNCTION("""COMPUTED_VALUE"""),1996.0)</f>
        <v>1996</v>
      </c>
      <c r="Y181" s="74">
        <f>IFERROR(__xludf.DUMMYFUNCTION("""COMPUTED_VALUE"""),2019.0)</f>
        <v>2019</v>
      </c>
      <c r="Z181" s="81">
        <f>IFERROR(__xludf.DUMMYFUNCTION("""COMPUTED_VALUE"""),2.0)</f>
        <v>2</v>
      </c>
    </row>
    <row r="182">
      <c r="A182" s="65" t="str">
        <f>IFERROR(__xludf.DUMMYFUNCTION("""COMPUTED_VALUE"""),"Sugar Bay Barbados")</f>
        <v>Sugar Bay Barbados</v>
      </c>
      <c r="B182" s="66">
        <f>IFERROR(__xludf.DUMMYFUNCTION("""COMPUTED_VALUE"""),90.3)</f>
        <v>90.3</v>
      </c>
      <c r="C182" s="67" t="str">
        <f>IFERROR(__xludf.DUMMYFUNCTION("""COMPUTED_VALUE"""),"Family")</f>
        <v>Family</v>
      </c>
      <c r="D182" s="85">
        <f>IFERROR(__xludf.DUMMYFUNCTION("""COMPUTED_VALUE"""),10587.36)</f>
        <v>10587.36</v>
      </c>
      <c r="E182" s="79">
        <f>IFERROR(__xludf.DUMMYFUNCTION("""COMPUTED_VALUE"""),14621.672469263998)</f>
        <v>14621.67247</v>
      </c>
      <c r="F182" s="69">
        <f>IFERROR(__xludf.DUMMYFUNCTION("""COMPUTED_VALUE"""),0.97)</f>
        <v>0.97</v>
      </c>
      <c r="G182" s="78">
        <f>IFERROR(__xludf.DUMMYFUNCTION("""COMPUTED_VALUE"""),3.0)</f>
        <v>3</v>
      </c>
      <c r="H182" s="78">
        <f>IFERROR(__xludf.DUMMYFUNCTION("""COMPUTED_VALUE"""),4.0)</f>
        <v>4</v>
      </c>
      <c r="I182" s="78"/>
      <c r="J182" s="78">
        <f>IFERROR(__xludf.DUMMYFUNCTION("""COMPUTED_VALUE"""),4.0)</f>
        <v>4</v>
      </c>
      <c r="K182" s="71"/>
      <c r="L182" s="76" t="str">
        <f>IFERROR(__xludf.DUMMYFUNCTION("""COMPUTED_VALUE"""),"Barbados")</f>
        <v>Barbados</v>
      </c>
      <c r="M182" s="76" t="str">
        <f>IFERROR(__xludf.DUMMYFUNCTION("""COMPUTED_VALUE"""),"Barbados")</f>
        <v>Barbados</v>
      </c>
      <c r="N182" s="72" t="str">
        <f>IFERROR(__xludf.DUMMYFUNCTION("""COMPUTED_VALUE"""),"Grantley Adams")</f>
        <v>Grantley Adams</v>
      </c>
      <c r="O182" s="74" t="b">
        <f>IFERROR(__xludf.DUMMYFUNCTION("""COMPUTED_VALUE"""),TRUE)</f>
        <v>1</v>
      </c>
      <c r="P182" s="73">
        <f>IFERROR(__xludf.DUMMYFUNCTION("""COMPUTED_VALUE"""),0.015277777777777777)</f>
        <v>0.01527777778</v>
      </c>
      <c r="Q182" s="72"/>
      <c r="R182" s="76" t="str">
        <f>IFERROR(__xludf.DUMMYFUNCTION("""COMPUTED_VALUE"""),"Ocean View")</f>
        <v>Ocean View</v>
      </c>
      <c r="S182" s="76" t="str">
        <f>IFERROR(__xludf.DUMMYFUNCTION("""COMPUTED_VALUE"""),"Beach, Family Suite, 2 Bedroom Suites, Kids Club, Teen Club, Arcade, Gym, Diving, Yoga Classes, Swim Up Bar, Watersports Equipment Rentals, Evening Entertainment, Spa, Wifi (Free), Babysitting, Buffet, Snorkelling")</f>
        <v>Beach, Family Suite, 2 Bedroom Suites, Kids Club, Teen Club, Arcade, Gym, Diving, Yoga Classes, Swim Up Bar, Watersports Equipment Rentals, Evening Entertainment, Spa, Wifi (Free), Babysitting, Buffet, Snorkelling</v>
      </c>
      <c r="T182" s="76" t="str">
        <f>IFERROR(__xludf.DUMMYFUNCTION("""COMPUTED_VALUE"""),"Can't Book Two Rooms")</f>
        <v>Can't Book Two Rooms</v>
      </c>
      <c r="U182" s="76" t="str">
        <f>IFERROR(__xludf.DUMMYFUNCTION("""COMPUTED_VALUE"""),"1 King and 1 Sofa Bed")</f>
        <v>1 King and 1 Sofa Bed</v>
      </c>
      <c r="V182" s="78" t="b">
        <f>IFERROR(__xludf.DUMMYFUNCTION("""COMPUTED_VALUE"""),FALSE)</f>
        <v>0</v>
      </c>
      <c r="W182" s="78">
        <f>IFERROR(__xludf.DUMMYFUNCTION("""COMPUTED_VALUE"""),138.0)</f>
        <v>138</v>
      </c>
      <c r="X182" s="78">
        <f>IFERROR(__xludf.DUMMYFUNCTION("""COMPUTED_VALUE"""),1971.0)</f>
        <v>1971</v>
      </c>
      <c r="Y182" s="78">
        <f>IFERROR(__xludf.DUMMYFUNCTION("""COMPUTED_VALUE"""),2015.0)</f>
        <v>2015</v>
      </c>
      <c r="Z182" s="75">
        <f>IFERROR(__xludf.DUMMYFUNCTION("""COMPUTED_VALUE"""),3.0)</f>
        <v>3</v>
      </c>
    </row>
    <row r="183">
      <c r="A183" s="65" t="str">
        <f>IFERROR(__xludf.DUMMYFUNCTION("""COMPUTED_VALUE"""),"Impression Isla Mujeres by Secrets")</f>
        <v>Impression Isla Mujeres by Secrets</v>
      </c>
      <c r="B183" s="66">
        <f>IFERROR(__xludf.DUMMYFUNCTION("""COMPUTED_VALUE"""),90.3)</f>
        <v>90.3</v>
      </c>
      <c r="C183" s="67" t="str">
        <f>IFERROR(__xludf.DUMMYFUNCTION("""COMPUTED_VALUE"""),"Adults Only")</f>
        <v>Adults Only</v>
      </c>
      <c r="D183" s="79">
        <f>IFERROR(__xludf.DUMMYFUNCTION("""COMPUTED_VALUE"""),11242.0)</f>
        <v>11242</v>
      </c>
      <c r="E183" s="79">
        <f>IFERROR(__xludf.DUMMYFUNCTION("""COMPUTED_VALUE"""),15525.762975799998)</f>
        <v>15525.76298</v>
      </c>
      <c r="F183" s="69">
        <f>IFERROR(__xludf.DUMMYFUNCTION("""COMPUTED_VALUE"""),0.92)</f>
        <v>0.92</v>
      </c>
      <c r="G183" s="78"/>
      <c r="H183" s="78" t="str">
        <f>IFERROR(__xludf.DUMMYFUNCTION("""COMPUTED_VALUE"""),"NYR")</f>
        <v>NYR</v>
      </c>
      <c r="I183" s="78" t="str">
        <f>IFERROR(__xludf.DUMMYFUNCTION("""COMPUTED_VALUE"""),"F")</f>
        <v>F</v>
      </c>
      <c r="J183" s="78">
        <f>IFERROR(__xludf.DUMMYFUNCTION("""COMPUTED_VALUE"""),5.0)</f>
        <v>5</v>
      </c>
      <c r="K183" s="71"/>
      <c r="L183" s="76" t="str">
        <f>IFERROR(__xludf.DUMMYFUNCTION("""COMPUTED_VALUE"""),"Mexico")</f>
        <v>Mexico</v>
      </c>
      <c r="M183" s="71" t="str">
        <f>IFERROR(__xludf.DUMMYFUNCTION("""COMPUTED_VALUE"""),"Isla Mujeres")</f>
        <v>Isla Mujeres</v>
      </c>
      <c r="N183" s="71" t="str">
        <f>IFERROR(__xludf.DUMMYFUNCTION("""COMPUTED_VALUE"""),"Cancun")</f>
        <v>Cancun</v>
      </c>
      <c r="O183" s="78" t="b">
        <f>IFERROR(__xludf.DUMMYFUNCTION("""COMPUTED_VALUE"""),TRUE)</f>
        <v>1</v>
      </c>
      <c r="P183" s="80">
        <f>IFERROR(__xludf.DUMMYFUNCTION("""COMPUTED_VALUE"""),0.05625)</f>
        <v>0.05625</v>
      </c>
      <c r="Q183" s="76" t="str">
        <f>IFERROR(__xludf.DUMMYFUNCTION("""COMPUTED_VALUE"""),"Hyatt")</f>
        <v>Hyatt</v>
      </c>
      <c r="R183" s="76"/>
      <c r="S183" s="76" t="str">
        <f>IFERROR(__xludf.DUMMYFUNCTION("""COMPUTED_VALUE"""),"Great Food, Wifi (Free), Beach, Swim Up Bar, Snorkelling, Evening Entertainment, Spa, Gym, Yoga Classes, Room Service, Diving")</f>
        <v>Great Food, Wifi (Free), Beach, Swim Up Bar, Snorkelling, Evening Entertainment, Spa, Gym, Yoga Classes, Room Service, Diving</v>
      </c>
      <c r="T183" s="76"/>
      <c r="U183" s="76"/>
      <c r="V183" s="78" t="b">
        <f>IFERROR(__xludf.DUMMYFUNCTION("""COMPUTED_VALUE"""),FALSE)</f>
        <v>0</v>
      </c>
      <c r="W183" s="78">
        <f>IFERROR(__xludf.DUMMYFUNCTION("""COMPUTED_VALUE"""),125.0)</f>
        <v>125</v>
      </c>
      <c r="X183" s="78">
        <f>IFERROR(__xludf.DUMMYFUNCTION("""COMPUTED_VALUE"""),2023.0)</f>
        <v>2023</v>
      </c>
      <c r="Y183" s="78"/>
      <c r="Z183" s="81"/>
    </row>
    <row r="184">
      <c r="A184" s="65" t="str">
        <f>IFERROR(__xludf.DUMMYFUNCTION("""COMPUTED_VALUE"""),"Carlisle Bay Antigua")</f>
        <v>Carlisle Bay Antigua</v>
      </c>
      <c r="B184" s="66">
        <f>IFERROR(__xludf.DUMMYFUNCTION("""COMPUTED_VALUE"""),90.3)</f>
        <v>90.3</v>
      </c>
      <c r="C184" s="67" t="str">
        <f>IFERROR(__xludf.DUMMYFUNCTION("""COMPUTED_VALUE"""),"Family")</f>
        <v>Family</v>
      </c>
      <c r="D184" s="85">
        <f>IFERROR(__xludf.DUMMYFUNCTION("""COMPUTED_VALUE"""),11396.98)</f>
        <v>11396.98</v>
      </c>
      <c r="E184" s="79">
        <f>IFERROR(__xludf.DUMMYFUNCTION("""COMPUTED_VALUE"""),15739.798089301998)</f>
        <v>15739.79809</v>
      </c>
      <c r="F184" s="69">
        <f>IFERROR(__xludf.DUMMYFUNCTION("""COMPUTED_VALUE"""),0.9)</f>
        <v>0.9</v>
      </c>
      <c r="G184" s="78"/>
      <c r="H184" s="74">
        <f>IFERROR(__xludf.DUMMYFUNCTION("""COMPUTED_VALUE"""),9.0)</f>
        <v>9</v>
      </c>
      <c r="I184" s="78"/>
      <c r="J184" s="78">
        <f>IFERROR(__xludf.DUMMYFUNCTION("""COMPUTED_VALUE"""),5.0)</f>
        <v>5</v>
      </c>
      <c r="K184" s="76"/>
      <c r="L184" s="76" t="str">
        <f>IFERROR(__xludf.DUMMYFUNCTION("""COMPUTED_VALUE"""),"Antigua")</f>
        <v>Antigua</v>
      </c>
      <c r="M184" s="76" t="str">
        <f>IFERROR(__xludf.DUMMYFUNCTION("""COMPUTED_VALUE"""),"Saint Mary's")</f>
        <v>Saint Mary's</v>
      </c>
      <c r="N184" s="76" t="str">
        <f>IFERROR(__xludf.DUMMYFUNCTION("""COMPUTED_VALUE"""),"V.C. Bird")</f>
        <v>V.C. Bird</v>
      </c>
      <c r="O184" s="78" t="b">
        <f>IFERROR(__xludf.DUMMYFUNCTION("""COMPUTED_VALUE"""),TRUE)</f>
        <v>1</v>
      </c>
      <c r="P184" s="80">
        <f>IFERROR(__xludf.DUMMYFUNCTION("""COMPUTED_VALUE"""),0.024305555555555556)</f>
        <v>0.02430555556</v>
      </c>
      <c r="Q184" s="76"/>
      <c r="R184" s="76" t="str">
        <f>IFERROR(__xludf.DUMMYFUNCTION("""COMPUTED_VALUE"""),"Family, Modern")</f>
        <v>Family, Modern</v>
      </c>
      <c r="S184" s="76" t="str">
        <f>IFERROR(__xludf.DUMMYFUNCTION("""COMPUTED_VALUE"""),"Beach, Family Suite, 2 Bedroom Suites, Kids Club, Gym, Yoga Classes, Buffet, Snorkelling, Windsurfing, Spa, Wifi (Free), Room Service, Diving, Tennis, Babysitting")</f>
        <v>Beach, Family Suite, 2 Bedroom Suites, Kids Club, Gym, Yoga Classes, Buffet, Snorkelling, Windsurfing, Spa, Wifi (Free), Room Service, Diving, Tennis, Babysitting</v>
      </c>
      <c r="T184" s="76" t="str">
        <f>IFERROR(__xludf.DUMMYFUNCTION("""COMPUTED_VALUE"""),"Can't Book Two Rooms")</f>
        <v>Can't Book Two Rooms</v>
      </c>
      <c r="U184" s="76" t="str">
        <f>IFERROR(__xludf.DUMMYFUNCTION("""COMPUTED_VALUE"""),"1 King and 2 Twin")</f>
        <v>1 King and 2 Twin</v>
      </c>
      <c r="V184" s="74" t="b">
        <f>IFERROR(__xludf.DUMMYFUNCTION("""COMPUTED_VALUE"""),FALSE)</f>
        <v>0</v>
      </c>
      <c r="W184" s="74">
        <f>IFERROR(__xludf.DUMMYFUNCTION("""COMPUTED_VALUE"""),82.0)</f>
        <v>82</v>
      </c>
      <c r="X184" s="74">
        <f>IFERROR(__xludf.DUMMYFUNCTION("""COMPUTED_VALUE"""),2003.0)</f>
        <v>2003</v>
      </c>
      <c r="Y184" s="74">
        <f>IFERROR(__xludf.DUMMYFUNCTION("""COMPUTED_VALUE"""),2018.0)</f>
        <v>2018</v>
      </c>
      <c r="Z184" s="75">
        <f>IFERROR(__xludf.DUMMYFUNCTION("""COMPUTED_VALUE"""),3.0)</f>
        <v>3</v>
      </c>
    </row>
    <row r="185">
      <c r="A185" s="65" t="str">
        <f>IFERROR(__xludf.DUMMYFUNCTION("""COMPUTED_VALUE"""),"Laluna Boutique Hotel &amp; Villas (12+)")</f>
        <v>Laluna Boutique Hotel &amp; Villas (12+)</v>
      </c>
      <c r="B185" s="66">
        <f>IFERROR(__xludf.DUMMYFUNCTION("""COMPUTED_VALUE"""),90.3)</f>
        <v>90.3</v>
      </c>
      <c r="C185" s="67" t="str">
        <f>IFERROR(__xludf.DUMMYFUNCTION("""COMPUTED_VALUE"""),"Family")</f>
        <v>Family</v>
      </c>
      <c r="D185" s="79">
        <f>IFERROR(__xludf.DUMMYFUNCTION("""COMPUTED_VALUE"""),27350.4)</f>
        <v>27350.4</v>
      </c>
      <c r="E185" s="79">
        <f>IFERROR(__xludf.DUMMYFUNCTION("""COMPUTED_VALUE"""),37772.267184959994)</f>
        <v>37772.26718</v>
      </c>
      <c r="F185" s="69">
        <f>IFERROR(__xludf.DUMMYFUNCTION("""COMPUTED_VALUE"""),0.38)</f>
        <v>0.38</v>
      </c>
      <c r="G185" s="78"/>
      <c r="H185" s="78">
        <f>IFERROR(__xludf.DUMMYFUNCTION("""COMPUTED_VALUE"""),7.0)</f>
        <v>7</v>
      </c>
      <c r="I185" s="78"/>
      <c r="J185" s="78">
        <f>IFERROR(__xludf.DUMMYFUNCTION("""COMPUTED_VALUE"""),4.0)</f>
        <v>4</v>
      </c>
      <c r="K185" s="76" t="str">
        <f>IFERROR(__xludf.DUMMYFUNCTION("""COMPUTED_VALUE"""),"Children 12+")</f>
        <v>Children 12+</v>
      </c>
      <c r="L185" s="76" t="str">
        <f>IFERROR(__xludf.DUMMYFUNCTION("""COMPUTED_VALUE"""),"Grenada")</f>
        <v>Grenada</v>
      </c>
      <c r="M185" s="76" t="str">
        <f>IFERROR(__xludf.DUMMYFUNCTION("""COMPUTED_VALUE"""),"Morne Rouge")</f>
        <v>Morne Rouge</v>
      </c>
      <c r="N185" s="76" t="str">
        <f>IFERROR(__xludf.DUMMYFUNCTION("""COMPUTED_VALUE"""),"Point Saline")</f>
        <v>Point Saline</v>
      </c>
      <c r="O185" s="78" t="b">
        <f>IFERROR(__xludf.DUMMYFUNCTION("""COMPUTED_VALUE"""),FALSE)</f>
        <v>0</v>
      </c>
      <c r="P185" s="80">
        <f>IFERROR(__xludf.DUMMYFUNCTION("""COMPUTED_VALUE"""),0.005555555555555556)</f>
        <v>0.005555555556</v>
      </c>
      <c r="Q185" s="76" t="str">
        <f>IFERROR(__xludf.DUMMYFUNCTION("""COMPUTED_VALUE"""),"Design Hotels")</f>
        <v>Design Hotels</v>
      </c>
      <c r="R185" s="76" t="str">
        <f>IFERROR(__xludf.DUMMYFUNCTION("""COMPUTED_VALUE"""),"Luxury, Great View")</f>
        <v>Luxury, Great View</v>
      </c>
      <c r="S185" s="76" t="str">
        <f>IFERROR(__xludf.DUMMYFUNCTION("""COMPUTED_VALUE"""),"Beach, Swim Out/Plunge Pool Rooms, Family Suite, 2 Bedroom Suites, Gym, Yoga Classes, Hiking, Watersports Equipment Rentals, Evening Entertainment, Wifi (Free), Room Service, Diving, Snorkelling, Fishing, Spa")</f>
        <v>Beach, Swim Out/Plunge Pool Rooms, Family Suite, 2 Bedroom Suites, Gym, Yoga Classes, Hiking, Watersports Equipment Rentals, Evening Entertainment, Wifi (Free), Room Service, Diving, Snorkelling, Fishing, Spa</v>
      </c>
      <c r="T185" s="76"/>
      <c r="U185" s="76"/>
      <c r="V185" s="78" t="b">
        <f>IFERROR(__xludf.DUMMYFUNCTION("""COMPUTED_VALUE"""),FALSE)</f>
        <v>0</v>
      </c>
      <c r="W185" s="78">
        <f>IFERROR(__xludf.DUMMYFUNCTION("""COMPUTED_VALUE"""),16.0)</f>
        <v>16</v>
      </c>
      <c r="X185" s="78">
        <f>IFERROR(__xludf.DUMMYFUNCTION("""COMPUTED_VALUE"""),2000.0)</f>
        <v>2000</v>
      </c>
      <c r="Y185" s="78">
        <f>IFERROR(__xludf.DUMMYFUNCTION("""COMPUTED_VALUE"""),2018.0)</f>
        <v>2018</v>
      </c>
      <c r="Z185" s="81"/>
    </row>
    <row r="186">
      <c r="A186" s="65" t="str">
        <f>IFERROR(__xludf.DUMMYFUNCTION("""COMPUTED_VALUE"""),"Iberostar Selection Holguin")</f>
        <v>Iberostar Selection Holguin</v>
      </c>
      <c r="B186" s="66">
        <f>IFERROR(__xludf.DUMMYFUNCTION("""COMPUTED_VALUE"""),90.0)</f>
        <v>90</v>
      </c>
      <c r="C186" s="67" t="str">
        <f>IFERROR(__xludf.DUMMYFUNCTION("""COMPUTED_VALUE"""),"Family")</f>
        <v>Family</v>
      </c>
      <c r="D186" s="79">
        <f>IFERROR(__xludf.DUMMYFUNCTION("""COMPUTED_VALUE"""),2006.01)</f>
        <v>2006.01</v>
      </c>
      <c r="E186" s="79">
        <f>IFERROR(__xludf.DUMMYFUNCTION("""COMPUTED_VALUE"""),2770.399909899)</f>
        <v>2770.39991</v>
      </c>
      <c r="F186" s="69">
        <f>IFERROR(__xludf.DUMMYFUNCTION("""COMPUTED_VALUE"""),4.99)</f>
        <v>4.99</v>
      </c>
      <c r="G186" s="78"/>
      <c r="H186" s="74" t="str">
        <f>IFERROR(__xludf.DUMMYFUNCTION("""COMPUTED_VALUE"""),"NYR")</f>
        <v>NYR</v>
      </c>
      <c r="I186" s="78"/>
      <c r="J186" s="78">
        <f>IFERROR(__xludf.DUMMYFUNCTION("""COMPUTED_VALUE"""),5.0)</f>
        <v>5</v>
      </c>
      <c r="K186" s="71"/>
      <c r="L186" s="76" t="str">
        <f>IFERROR(__xludf.DUMMYFUNCTION("""COMPUTED_VALUE"""),"Cuba")</f>
        <v>Cuba</v>
      </c>
      <c r="M186" s="76" t="str">
        <f>IFERROR(__xludf.DUMMYFUNCTION("""COMPUTED_VALUE"""),"Holguin")</f>
        <v>Holguin</v>
      </c>
      <c r="N186" s="76" t="str">
        <f>IFERROR(__xludf.DUMMYFUNCTION("""COMPUTED_VALUE"""),"Holguin")</f>
        <v>Holguin</v>
      </c>
      <c r="O186" s="78" t="b">
        <f>IFERROR(__xludf.DUMMYFUNCTION("""COMPUTED_VALUE"""),TRUE)</f>
        <v>1</v>
      </c>
      <c r="P186" s="80">
        <f>IFERROR(__xludf.DUMMYFUNCTION("""COMPUTED_VALUE"""),0.041666666666666664)</f>
        <v>0.04166666667</v>
      </c>
      <c r="Q186" s="76" t="str">
        <f>IFERROR(__xludf.DUMMYFUNCTION("""COMPUTED_VALUE"""),"IHG")</f>
        <v>IHG</v>
      </c>
      <c r="R186" s="76" t="str">
        <f>IFERROR(__xludf.DUMMYFUNCTION("""COMPUTED_VALUE"""),"Trendy, Great View")</f>
        <v>Trendy, Great View</v>
      </c>
      <c r="S186" s="76" t="str">
        <f>IFERROR(__xludf.DUMMYFUNCTION("""COMPUTED_VALUE"""),"Beach, Family Suite, 2 Bedroom Suites, Kids Club, Kids Waterpark, Gym, Archery, Yoga Classes, Swim Up Bar, Tennis, Evening Entertainment, Wifi (Paid), Babysitting, Buffet, Snorkelling, Nightclub, Spa")</f>
        <v>Beach, Family Suite, 2 Bedroom Suites, Kids Club, Kids Waterpark, Gym, Archery, Yoga Classes, Swim Up Bar, Tennis, Evening Entertainment, Wifi (Paid), Babysitting, Buffet, Snorkelling, Nightclub, Spa</v>
      </c>
      <c r="T186" s="76" t="str">
        <f>IFERROR(__xludf.DUMMYFUNCTION("""COMPUTED_VALUE"""),"Yes")</f>
        <v>Yes</v>
      </c>
      <c r="U186" s="76" t="str">
        <f>IFERROR(__xludf.DUMMYFUNCTION("""COMPUTED_VALUE"""),"2 Double")</f>
        <v>2 Double</v>
      </c>
      <c r="V186" s="78" t="b">
        <f>IFERROR(__xludf.DUMMYFUNCTION("""COMPUTED_VALUE"""),FALSE)</f>
        <v>0</v>
      </c>
      <c r="W186" s="78"/>
      <c r="X186" s="78">
        <f>IFERROR(__xludf.DUMMYFUNCTION("""COMPUTED_VALUE"""),2018.0)</f>
        <v>2018</v>
      </c>
      <c r="Y186" s="74"/>
      <c r="Z186" s="81"/>
    </row>
    <row r="187">
      <c r="A187" s="65" t="str">
        <f>IFERROR(__xludf.DUMMYFUNCTION("""COMPUTED_VALUE"""),"Bahia Principe Luxury Sian Ka'an")</f>
        <v>Bahia Principe Luxury Sian Ka'an</v>
      </c>
      <c r="B187" s="66">
        <f>IFERROR(__xludf.DUMMYFUNCTION("""COMPUTED_VALUE"""),90.0)</f>
        <v>90</v>
      </c>
      <c r="C187" s="67" t="str">
        <f>IFERROR(__xludf.DUMMYFUNCTION("""COMPUTED_VALUE"""),"Adults Only")</f>
        <v>Adults Only</v>
      </c>
      <c r="D187" s="79">
        <f>IFERROR(__xludf.DUMMYFUNCTION("""COMPUTED_VALUE"""),2403.24)</f>
        <v>2403.24</v>
      </c>
      <c r="E187" s="79">
        <f>IFERROR(__xludf.DUMMYFUNCTION("""COMPUTED_VALUE"""),3318.9943616759992)</f>
        <v>3318.994362</v>
      </c>
      <c r="F187" s="69">
        <f>IFERROR(__xludf.DUMMYFUNCTION("""COMPUTED_VALUE"""),4.16)</f>
        <v>4.16</v>
      </c>
      <c r="G187" s="78"/>
      <c r="H187" s="74">
        <f>IFERROR(__xludf.DUMMYFUNCTION("""COMPUTED_VALUE"""),7.0)</f>
        <v>7</v>
      </c>
      <c r="I187" s="78"/>
      <c r="J187" s="78">
        <f>IFERROR(__xludf.DUMMYFUNCTION("""COMPUTED_VALUE"""),5.0)</f>
        <v>5</v>
      </c>
      <c r="K187" s="76"/>
      <c r="L187" s="76" t="str">
        <f>IFERROR(__xludf.DUMMYFUNCTION("""COMPUTED_VALUE"""),"Mexico")</f>
        <v>Mexico</v>
      </c>
      <c r="M187" s="76" t="str">
        <f>IFERROR(__xludf.DUMMYFUNCTION("""COMPUTED_VALUE"""),"Akumal")</f>
        <v>Akumal</v>
      </c>
      <c r="N187" s="76" t="str">
        <f>IFERROR(__xludf.DUMMYFUNCTION("""COMPUTED_VALUE"""),"Cancun")</f>
        <v>Cancun</v>
      </c>
      <c r="O187" s="78" t="b">
        <f>IFERROR(__xludf.DUMMYFUNCTION("""COMPUTED_VALUE"""),TRUE)</f>
        <v>1</v>
      </c>
      <c r="P187" s="80">
        <f>IFERROR(__xludf.DUMMYFUNCTION("""COMPUTED_VALUE"""),0.04791666666666667)</f>
        <v>0.04791666667</v>
      </c>
      <c r="Q187" s="76" t="str">
        <f>IFERROR(__xludf.DUMMYFUNCTION("""COMPUTED_VALUE"""),"Bahia Principe")</f>
        <v>Bahia Principe</v>
      </c>
      <c r="R187" s="76" t="str">
        <f>IFERROR(__xludf.DUMMYFUNCTION("""COMPUTED_VALUE"""),"Romantic, Quiet")</f>
        <v>Romantic, Quiet</v>
      </c>
      <c r="S187" s="76" t="str">
        <f>IFERROR(__xludf.DUMMYFUNCTION("""COMPUTED_VALUE"""),"Beach, Gym, Golf Course, Buffet, Tennis, Evening Entertainment, Casino, Nightclub, Spa")</f>
        <v>Beach, Gym, Golf Course, Buffet, Tennis, Evening Entertainment, Casino, Nightclub, Spa</v>
      </c>
      <c r="T187" s="76"/>
      <c r="U187" s="76"/>
      <c r="V187" s="74" t="b">
        <f>IFERROR(__xludf.DUMMYFUNCTION("""COMPUTED_VALUE"""),FALSE)</f>
        <v>0</v>
      </c>
      <c r="W187" s="74">
        <f>IFERROR(__xludf.DUMMYFUNCTION("""COMPUTED_VALUE"""),420.0)</f>
        <v>420</v>
      </c>
      <c r="X187" s="74">
        <f>IFERROR(__xludf.DUMMYFUNCTION("""COMPUTED_VALUE"""),2010.0)</f>
        <v>2010</v>
      </c>
      <c r="Y187" s="74"/>
      <c r="Z187" s="75">
        <f>IFERROR(__xludf.DUMMYFUNCTION("""COMPUTED_VALUE"""),3.0)</f>
        <v>3</v>
      </c>
    </row>
    <row r="188">
      <c r="A188" s="65" t="str">
        <f>IFERROR(__xludf.DUMMYFUNCTION("""COMPUTED_VALUE"""),"Sol Caribe Beach")</f>
        <v>Sol Caribe Beach</v>
      </c>
      <c r="B188" s="66">
        <f>IFERROR(__xludf.DUMMYFUNCTION("""COMPUTED_VALUE"""),90.0)</f>
        <v>90</v>
      </c>
      <c r="C188" s="67" t="str">
        <f>IFERROR(__xludf.DUMMYFUNCTION("""COMPUTED_VALUE"""),"Family")</f>
        <v>Family</v>
      </c>
      <c r="D188" s="68">
        <f>IFERROR(__xludf.DUMMYFUNCTION("""COMPUTED_VALUE"""),2457.0)</f>
        <v>2457</v>
      </c>
      <c r="E188" s="79">
        <f>IFERROR(__xludf.DUMMYFUNCTION("""COMPUTED_VALUE"""),3393.2396042999994)</f>
        <v>3393.239604</v>
      </c>
      <c r="F188" s="69">
        <f>IFERROR(__xludf.DUMMYFUNCTION("""COMPUTED_VALUE"""),4.07)</f>
        <v>4.07</v>
      </c>
      <c r="G188" s="78"/>
      <c r="H188" s="78" t="str">
        <f>IFERROR(__xludf.DUMMYFUNCTION("""COMPUTED_VALUE"""),"NYR")</f>
        <v>NYR</v>
      </c>
      <c r="I188" s="78"/>
      <c r="J188" s="78">
        <f>IFERROR(__xludf.DUMMYFUNCTION("""COMPUTED_VALUE"""),4.0)</f>
        <v>4</v>
      </c>
      <c r="K188" s="76"/>
      <c r="L188" s="76" t="str">
        <f>IFERROR(__xludf.DUMMYFUNCTION("""COMPUTED_VALUE"""),"Cuba")</f>
        <v>Cuba</v>
      </c>
      <c r="M188" s="76" t="str">
        <f>IFERROR(__xludf.DUMMYFUNCTION("""COMPUTED_VALUE"""),"Varadero")</f>
        <v>Varadero</v>
      </c>
      <c r="N188" s="76" t="str">
        <f>IFERROR(__xludf.DUMMYFUNCTION("""COMPUTED_VALUE"""),"Varadero")</f>
        <v>Varadero</v>
      </c>
      <c r="O188" s="78" t="b">
        <f>IFERROR(__xludf.DUMMYFUNCTION("""COMPUTED_VALUE"""),TRUE)</f>
        <v>1</v>
      </c>
      <c r="P188" s="80">
        <f>IFERROR(__xludf.DUMMYFUNCTION("""COMPUTED_VALUE"""),0.01875)</f>
        <v>0.01875</v>
      </c>
      <c r="Q188" s="76" t="str">
        <f>IFERROR(__xludf.DUMMYFUNCTION("""COMPUTED_VALUE"""),"Melia")</f>
        <v>Melia</v>
      </c>
      <c r="R188" s="76"/>
      <c r="S188" s="71" t="str">
        <f>IFERROR(__xludf.DUMMYFUNCTION("""COMPUTED_VALUE"""),"Beach, Great Beach, Family Suite, 2 Bedroom Suites, Kids Club, Gym, Snorkelling, Watersports Equipment Rentals, Evening Entertainment, Babysitting, Buffet")</f>
        <v>Beach, Great Beach, Family Suite, 2 Bedroom Suites, Kids Club, Gym, Snorkelling, Watersports Equipment Rentals, Evening Entertainment, Babysitting, Buffet</v>
      </c>
      <c r="T188" s="71"/>
      <c r="U188" s="76" t="str">
        <f>IFERROR(__xludf.DUMMYFUNCTION("""COMPUTED_VALUE"""),"2 Double")</f>
        <v>2 Double</v>
      </c>
      <c r="V188" s="78" t="b">
        <f>IFERROR(__xludf.DUMMYFUNCTION("""COMPUTED_VALUE"""),FALSE)</f>
        <v>0</v>
      </c>
      <c r="W188" s="78">
        <f>IFERROR(__xludf.DUMMYFUNCTION("""COMPUTED_VALUE"""),393.0)</f>
        <v>393</v>
      </c>
      <c r="X188" s="78">
        <f>IFERROR(__xludf.DUMMYFUNCTION("""COMPUTED_VALUE"""),2023.0)</f>
        <v>2023</v>
      </c>
      <c r="Y188" s="78"/>
      <c r="Z188" s="81">
        <f>IFERROR(__xludf.DUMMYFUNCTION("""COMPUTED_VALUE"""),5.0)</f>
        <v>5</v>
      </c>
    </row>
    <row r="189">
      <c r="A189" s="65" t="str">
        <f>IFERROR(__xludf.DUMMYFUNCTION("""COMPUTED_VALUE"""),"Ocean Maya Royale")</f>
        <v>Ocean Maya Royale</v>
      </c>
      <c r="B189" s="66">
        <f>IFERROR(__xludf.DUMMYFUNCTION("""COMPUTED_VALUE"""),90.0)</f>
        <v>90</v>
      </c>
      <c r="C189" s="67" t="str">
        <f>IFERROR(__xludf.DUMMYFUNCTION("""COMPUTED_VALUE"""),"Adults Only")</f>
        <v>Adults Only</v>
      </c>
      <c r="D189" s="68">
        <f>IFERROR(__xludf.DUMMYFUNCTION("""COMPUTED_VALUE"""),2620.4)</f>
        <v>2620.4</v>
      </c>
      <c r="E189" s="68">
        <f>IFERROR(__xludf.DUMMYFUNCTION("""COMPUTED_VALUE"""),3618.9031579599996)</f>
        <v>3618.903158</v>
      </c>
      <c r="F189" s="69">
        <f>IFERROR(__xludf.DUMMYFUNCTION("""COMPUTED_VALUE"""),3.82)</f>
        <v>3.82</v>
      </c>
      <c r="G189" s="70"/>
      <c r="H189" s="70">
        <f>IFERROR(__xludf.DUMMYFUNCTION("""COMPUTED_VALUE"""),6.0)</f>
        <v>6</v>
      </c>
      <c r="I189" s="70"/>
      <c r="J189" s="70">
        <f>IFERROR(__xludf.DUMMYFUNCTION("""COMPUTED_VALUE"""),5.0)</f>
        <v>5</v>
      </c>
      <c r="K189" s="76"/>
      <c r="L189" s="76" t="str">
        <f>IFERROR(__xludf.DUMMYFUNCTION("""COMPUTED_VALUE"""),"Mexico")</f>
        <v>Mexico</v>
      </c>
      <c r="M189" s="71" t="str">
        <f>IFERROR(__xludf.DUMMYFUNCTION("""COMPUTED_VALUE"""),"Playa del Carmen")</f>
        <v>Playa del Carmen</v>
      </c>
      <c r="N189" s="71" t="str">
        <f>IFERROR(__xludf.DUMMYFUNCTION("""COMPUTED_VALUE"""),"Cancun")</f>
        <v>Cancun</v>
      </c>
      <c r="O189" s="70" t="b">
        <f>IFERROR(__xludf.DUMMYFUNCTION("""COMPUTED_VALUE"""),TRUE)</f>
        <v>1</v>
      </c>
      <c r="P189" s="73">
        <f>IFERROR(__xludf.DUMMYFUNCTION("""COMPUTED_VALUE"""),0.025694444444444443)</f>
        <v>0.02569444444</v>
      </c>
      <c r="Q189" s="76" t="str">
        <f>IFERROR(__xludf.DUMMYFUNCTION("""COMPUTED_VALUE"""),"H10 Hotels")</f>
        <v>H10 Hotels</v>
      </c>
      <c r="R189" s="76" t="str">
        <f>IFERROR(__xludf.DUMMYFUNCTION("""COMPUTED_VALUE"""),"Green, Bay View")</f>
        <v>Green, Bay View</v>
      </c>
      <c r="S189" s="71" t="str">
        <f>IFERROR(__xludf.DUMMYFUNCTION("""COMPUTED_VALUE"""),"Beach, Gym, Diving, Buffet, Swim Up Bar, Tennis, Fishing, Nightclub, Wifi (Free), Evening Entertainment, Spa")</f>
        <v>Beach, Gym, Diving, Buffet, Swim Up Bar, Tennis, Fishing, Nightclub, Wifi (Free), Evening Entertainment, Spa</v>
      </c>
      <c r="T189" s="71"/>
      <c r="U189" s="71"/>
      <c r="V189" s="70" t="b">
        <f>IFERROR(__xludf.DUMMYFUNCTION("""COMPUTED_VALUE"""),FALSE)</f>
        <v>0</v>
      </c>
      <c r="W189" s="70">
        <f>IFERROR(__xludf.DUMMYFUNCTION("""COMPUTED_VALUE"""),320.0)</f>
        <v>320</v>
      </c>
      <c r="X189" s="70">
        <f>IFERROR(__xludf.DUMMYFUNCTION("""COMPUTED_VALUE"""),2003.0)</f>
        <v>2003</v>
      </c>
      <c r="Y189" s="70">
        <f>IFERROR(__xludf.DUMMYFUNCTION("""COMPUTED_VALUE"""),2010.0)</f>
        <v>2010</v>
      </c>
      <c r="Z189" s="83">
        <f>IFERROR(__xludf.DUMMYFUNCTION("""COMPUTED_VALUE"""),3.0)</f>
        <v>3</v>
      </c>
    </row>
    <row r="190">
      <c r="A190" s="65" t="str">
        <f>IFERROR(__xludf.DUMMYFUNCTION("""COMPUTED_VALUE"""),"Hilton Playa del Carmen, an All-Inclusive Adult Only Resort")</f>
        <v>Hilton Playa del Carmen, an All-Inclusive Adult Only Resort</v>
      </c>
      <c r="B190" s="66">
        <f>IFERROR(__xludf.DUMMYFUNCTION("""COMPUTED_VALUE"""),90.0)</f>
        <v>90</v>
      </c>
      <c r="C190" s="67" t="str">
        <f>IFERROR(__xludf.DUMMYFUNCTION("""COMPUTED_VALUE"""),"Adults Only")</f>
        <v>Adults Only</v>
      </c>
      <c r="D190" s="79">
        <f>IFERROR(__xludf.DUMMYFUNCTION("""COMPUTED_VALUE"""),2744.0)</f>
        <v>2744</v>
      </c>
      <c r="E190" s="79">
        <f>IFERROR(__xludf.DUMMYFUNCTION("""COMPUTED_VALUE"""),3789.6009255999998)</f>
        <v>3789.600926</v>
      </c>
      <c r="F190" s="69">
        <f>IFERROR(__xludf.DUMMYFUNCTION("""COMPUTED_VALUE"""),3.64)</f>
        <v>3.64</v>
      </c>
      <c r="G190" s="78">
        <f>IFERROR(__xludf.DUMMYFUNCTION("""COMPUTED_VALUE"""),4.0)</f>
        <v>4</v>
      </c>
      <c r="H190" s="78">
        <f>IFERROR(__xludf.DUMMYFUNCTION("""COMPUTED_VALUE"""),8.0)</f>
        <v>8</v>
      </c>
      <c r="I190" s="78"/>
      <c r="J190" s="78">
        <f>IFERROR(__xludf.DUMMYFUNCTION("""COMPUTED_VALUE"""),5.0)</f>
        <v>5</v>
      </c>
      <c r="K190" s="76"/>
      <c r="L190" s="76" t="str">
        <f>IFERROR(__xludf.DUMMYFUNCTION("""COMPUTED_VALUE"""),"Mexico")</f>
        <v>Mexico</v>
      </c>
      <c r="M190" s="76" t="str">
        <f>IFERROR(__xludf.DUMMYFUNCTION("""COMPUTED_VALUE"""),"Playa del Carmen")</f>
        <v>Playa del Carmen</v>
      </c>
      <c r="N190" s="76" t="str">
        <f>IFERROR(__xludf.DUMMYFUNCTION("""COMPUTED_VALUE"""),"Cancun")</f>
        <v>Cancun</v>
      </c>
      <c r="O190" s="78" t="b">
        <f>IFERROR(__xludf.DUMMYFUNCTION("""COMPUTED_VALUE"""),TRUE)</f>
        <v>1</v>
      </c>
      <c r="P190" s="80">
        <f>IFERROR(__xludf.DUMMYFUNCTION("""COMPUTED_VALUE"""),0.03263888888888889)</f>
        <v>0.03263888889</v>
      </c>
      <c r="Q190" s="76" t="str">
        <f>IFERROR(__xludf.DUMMYFUNCTION("""COMPUTED_VALUE"""),"Hilton")</f>
        <v>Hilton</v>
      </c>
      <c r="R190" s="76" t="str">
        <f>IFERROR(__xludf.DUMMYFUNCTION("""COMPUTED_VALUE"""),"Ocean View, Centrally Located")</f>
        <v>Ocean View, Centrally Located</v>
      </c>
      <c r="S190" s="76" t="str">
        <f>IFERROR(__xludf.DUMMYFUNCTION("""COMPUTED_VALUE"""),"Beach, Swim Out/Plunge Pool Rooms, Great for Parties, Heated Pool, Gym, Yoga Classes, Room Service, Swim Up Bar, Tennis, Evening Entertainment, Wifi (Free), Buffet, Nightclub, Spa")</f>
        <v>Beach, Swim Out/Plunge Pool Rooms, Great for Parties, Heated Pool, Gym, Yoga Classes, Room Service, Swim Up Bar, Tennis, Evening Entertainment, Wifi (Free), Buffet, Nightclub, Spa</v>
      </c>
      <c r="T190" s="76"/>
      <c r="U190" s="76"/>
      <c r="V190" s="78" t="b">
        <f>IFERROR(__xludf.DUMMYFUNCTION("""COMPUTED_VALUE"""),FALSE)</f>
        <v>0</v>
      </c>
      <c r="W190" s="78">
        <f>IFERROR(__xludf.DUMMYFUNCTION("""COMPUTED_VALUE"""),524.0)</f>
        <v>524</v>
      </c>
      <c r="X190" s="78">
        <f>IFERROR(__xludf.DUMMYFUNCTION("""COMPUTED_VALUE"""),2004.0)</f>
        <v>2004</v>
      </c>
      <c r="Y190" s="74">
        <f>IFERROR(__xludf.DUMMYFUNCTION("""COMPUTED_VALUE"""),2019.0)</f>
        <v>2019</v>
      </c>
      <c r="Z190" s="81">
        <f>IFERROR(__xludf.DUMMYFUNCTION("""COMPUTED_VALUE"""),3.0)</f>
        <v>3</v>
      </c>
    </row>
    <row r="191">
      <c r="A191" s="65" t="str">
        <f>IFERROR(__xludf.DUMMYFUNCTION("""COMPUTED_VALUE"""),"Marriott Puerto Vallarta Resort &amp; Spa")</f>
        <v>Marriott Puerto Vallarta Resort &amp; Spa</v>
      </c>
      <c r="B191" s="66">
        <f>IFERROR(__xludf.DUMMYFUNCTION("""COMPUTED_VALUE"""),90.0)</f>
        <v>90</v>
      </c>
      <c r="C191" s="67" t="str">
        <f>IFERROR(__xludf.DUMMYFUNCTION("""COMPUTED_VALUE"""),"Family")</f>
        <v>Family</v>
      </c>
      <c r="D191" s="79">
        <f>IFERROR(__xludf.DUMMYFUNCTION("""COMPUTED_VALUE"""),2832.2)</f>
        <v>2832.2</v>
      </c>
      <c r="E191" s="79">
        <f>IFERROR(__xludf.DUMMYFUNCTION("""COMPUTED_VALUE"""),3911.4095267799994)</f>
        <v>3911.409527</v>
      </c>
      <c r="F191" s="69">
        <f>IFERROR(__xludf.DUMMYFUNCTION("""COMPUTED_VALUE"""),3.53)</f>
        <v>3.53</v>
      </c>
      <c r="G191" s="78">
        <f>IFERROR(__xludf.DUMMYFUNCTION("""COMPUTED_VALUE"""),4.0)</f>
        <v>4</v>
      </c>
      <c r="H191" s="74">
        <f>IFERROR(__xludf.DUMMYFUNCTION("""COMPUTED_VALUE"""),8.0)</f>
        <v>8</v>
      </c>
      <c r="I191" s="78"/>
      <c r="J191" s="78">
        <f>IFERROR(__xludf.DUMMYFUNCTION("""COMPUTED_VALUE"""),4.5)</f>
        <v>4.5</v>
      </c>
      <c r="K191" s="76"/>
      <c r="L191" s="76" t="str">
        <f>IFERROR(__xludf.DUMMYFUNCTION("""COMPUTED_VALUE"""),"Mexico")</f>
        <v>Mexico</v>
      </c>
      <c r="M191" s="76" t="str">
        <f>IFERROR(__xludf.DUMMYFUNCTION("""COMPUTED_VALUE"""),"Puerto Vallarta")</f>
        <v>Puerto Vallarta</v>
      </c>
      <c r="N191" s="76" t="str">
        <f>IFERROR(__xludf.DUMMYFUNCTION("""COMPUTED_VALUE"""),"Ordaz")</f>
        <v>Ordaz</v>
      </c>
      <c r="O191" s="78" t="b">
        <f>IFERROR(__xludf.DUMMYFUNCTION("""COMPUTED_VALUE"""),TRUE)</f>
        <v>1</v>
      </c>
      <c r="P191" s="80">
        <f>IFERROR(__xludf.DUMMYFUNCTION("""COMPUTED_VALUE"""),0.004166666666666667)</f>
        <v>0.004166666667</v>
      </c>
      <c r="Q191" s="76" t="str">
        <f>IFERROR(__xludf.DUMMYFUNCTION("""COMPUTED_VALUE"""),"Marriott")</f>
        <v>Marriott</v>
      </c>
      <c r="R191" s="76" t="str">
        <f>IFERROR(__xludf.DUMMYFUNCTION("""COMPUTED_VALUE"""),"Value, Business")</f>
        <v>Value, Business</v>
      </c>
      <c r="S191" s="76" t="str">
        <f>IFERROR(__xludf.DUMMYFUNCTION("""COMPUTED_VALUE"""),"Beach, Kids Club, Kids Waterpark, Pool Slide, Water Feature, Heated Pool, Gym, Bicycles Available, Wifi (Paid), Buffet, Swim Up Bar, Tennis, Babysitting, Room Service, Watersports Equipment Rentals, Spa")</f>
        <v>Beach, Kids Club, Kids Waterpark, Pool Slide, Water Feature, Heated Pool, Gym, Bicycles Available, Wifi (Paid), Buffet, Swim Up Bar, Tennis, Babysitting, Room Service, Watersports Equipment Rentals, Spa</v>
      </c>
      <c r="T191" s="76"/>
      <c r="U191" s="76" t="str">
        <f>IFERROR(__xludf.DUMMYFUNCTION("""COMPUTED_VALUE"""),"1 King or 2 Double")</f>
        <v>1 King or 2 Double</v>
      </c>
      <c r="V191" s="74" t="b">
        <f>IFERROR(__xludf.DUMMYFUNCTION("""COMPUTED_VALUE"""),TRUE)</f>
        <v>1</v>
      </c>
      <c r="W191" s="74">
        <f>IFERROR(__xludf.DUMMYFUNCTION("""COMPUTED_VALUE"""),433.0)</f>
        <v>433</v>
      </c>
      <c r="X191" s="74">
        <f>IFERROR(__xludf.DUMMYFUNCTION("""COMPUTED_VALUE"""),1990.0)</f>
        <v>1990</v>
      </c>
      <c r="Y191" s="74">
        <f>IFERROR(__xludf.DUMMYFUNCTION("""COMPUTED_VALUE"""),2018.0)</f>
        <v>2018</v>
      </c>
      <c r="Z191" s="75">
        <f>IFERROR(__xludf.DUMMYFUNCTION("""COMPUTED_VALUE"""),9.0)</f>
        <v>9</v>
      </c>
    </row>
    <row r="192">
      <c r="A192" s="65" t="str">
        <f>IFERROR(__xludf.DUMMYFUNCTION("""COMPUTED_VALUE"""),"Hotel Riu Palace Las Americas")</f>
        <v>Hotel Riu Palace Las Americas</v>
      </c>
      <c r="B192" s="66">
        <f>IFERROR(__xludf.DUMMYFUNCTION("""COMPUTED_VALUE"""),90.0)</f>
        <v>90</v>
      </c>
      <c r="C192" s="67" t="str">
        <f>IFERROR(__xludf.DUMMYFUNCTION("""COMPUTED_VALUE"""),"Adults Only")</f>
        <v>Adults Only</v>
      </c>
      <c r="D192" s="79">
        <f>IFERROR(__xludf.DUMMYFUNCTION("""COMPUTED_VALUE"""),3096.8)</f>
        <v>3096.8</v>
      </c>
      <c r="E192" s="79">
        <f>IFERROR(__xludf.DUMMYFUNCTION("""COMPUTED_VALUE"""),4276.83533032)</f>
        <v>4276.83533</v>
      </c>
      <c r="F192" s="69">
        <f>IFERROR(__xludf.DUMMYFUNCTION("""COMPUTED_VALUE"""),3.23)</f>
        <v>3.23</v>
      </c>
      <c r="G192" s="70"/>
      <c r="H192" s="78">
        <f>IFERROR(__xludf.DUMMYFUNCTION("""COMPUTED_VALUE"""),8.0)</f>
        <v>8</v>
      </c>
      <c r="I192" s="78"/>
      <c r="J192" s="78">
        <f>IFERROR(__xludf.DUMMYFUNCTION("""COMPUTED_VALUE"""),5.0)</f>
        <v>5</v>
      </c>
      <c r="K192" s="76"/>
      <c r="L192" s="76" t="str">
        <f>IFERROR(__xludf.DUMMYFUNCTION("""COMPUTED_VALUE"""),"Mexico")</f>
        <v>Mexico</v>
      </c>
      <c r="M192" s="76" t="str">
        <f>IFERROR(__xludf.DUMMYFUNCTION("""COMPUTED_VALUE"""),"Cancun")</f>
        <v>Cancun</v>
      </c>
      <c r="N192" s="76" t="str">
        <f>IFERROR(__xludf.DUMMYFUNCTION("""COMPUTED_VALUE"""),"Cancun")</f>
        <v>Cancun</v>
      </c>
      <c r="O192" s="78" t="b">
        <f>IFERROR(__xludf.DUMMYFUNCTION("""COMPUTED_VALUE"""),TRUE)</f>
        <v>1</v>
      </c>
      <c r="P192" s="80">
        <f>IFERROR(__xludf.DUMMYFUNCTION("""COMPUTED_VALUE"""),0.020833333333333332)</f>
        <v>0.02083333333</v>
      </c>
      <c r="Q192" s="76" t="str">
        <f>IFERROR(__xludf.DUMMYFUNCTION("""COMPUTED_VALUE"""),"Riu")</f>
        <v>Riu</v>
      </c>
      <c r="R192" s="76" t="str">
        <f>IFERROR(__xludf.DUMMYFUNCTION("""COMPUTED_VALUE"""),"Classic, Bay View")</f>
        <v>Classic, Bay View</v>
      </c>
      <c r="S192" s="76" t="str">
        <f>IFERROR(__xludf.DUMMYFUNCTION("""COMPUTED_VALUE"""),"Beach, Great for Parties, Gym, Diving, Buffet, Swim Up Bar, Snorkelling, Fishing, Spa, Evening Entertainment")</f>
        <v>Beach, Great for Parties, Gym, Diving, Buffet, Swim Up Bar, Snorkelling, Fishing, Spa, Evening Entertainment</v>
      </c>
      <c r="T192" s="76"/>
      <c r="U192" s="76"/>
      <c r="V192" s="78" t="b">
        <f>IFERROR(__xludf.DUMMYFUNCTION("""COMPUTED_VALUE"""),TRUE)</f>
        <v>1</v>
      </c>
      <c r="W192" s="78">
        <f>IFERROR(__xludf.DUMMYFUNCTION("""COMPUTED_VALUE"""),372.0)</f>
        <v>372</v>
      </c>
      <c r="X192" s="78">
        <f>IFERROR(__xludf.DUMMYFUNCTION("""COMPUTED_VALUE"""),2004.0)</f>
        <v>2004</v>
      </c>
      <c r="Y192" s="78">
        <f>IFERROR(__xludf.DUMMYFUNCTION("""COMPUTED_VALUE"""),2016.0)</f>
        <v>2016</v>
      </c>
      <c r="Z192" s="81">
        <f>IFERROR(__xludf.DUMMYFUNCTION("""COMPUTED_VALUE"""),8.0)</f>
        <v>8</v>
      </c>
    </row>
    <row r="193">
      <c r="A193" s="65" t="str">
        <f>IFERROR(__xludf.DUMMYFUNCTION("""COMPUTED_VALUE"""),"Iberostar Waves Quetzal")</f>
        <v>Iberostar Waves Quetzal</v>
      </c>
      <c r="B193" s="66">
        <f>IFERROR(__xludf.DUMMYFUNCTION("""COMPUTED_VALUE"""),90.0)</f>
        <v>90</v>
      </c>
      <c r="C193" s="67" t="str">
        <f>IFERROR(__xludf.DUMMYFUNCTION("""COMPUTED_VALUE"""),"Family")</f>
        <v>Family</v>
      </c>
      <c r="D193" s="79">
        <f>IFERROR(__xludf.DUMMYFUNCTION("""COMPUTED_VALUE"""),3889.62)</f>
        <v>3889.62</v>
      </c>
      <c r="E193" s="79">
        <f>IFERROR(__xludf.DUMMYFUNCTION("""COMPUTED_VALUE"""),5371.759312037999)</f>
        <v>5371.759312</v>
      </c>
      <c r="F193" s="69">
        <f>IFERROR(__xludf.DUMMYFUNCTION("""COMPUTED_VALUE"""),2.57)</f>
        <v>2.57</v>
      </c>
      <c r="G193" s="78"/>
      <c r="H193" s="78">
        <f>IFERROR(__xludf.DUMMYFUNCTION("""COMPUTED_VALUE"""),6.0)</f>
        <v>6</v>
      </c>
      <c r="I193" s="78"/>
      <c r="J193" s="78">
        <f>IFERROR(__xludf.DUMMYFUNCTION("""COMPUTED_VALUE"""),5.0)</f>
        <v>5</v>
      </c>
      <c r="K193" s="71"/>
      <c r="L193" s="76" t="str">
        <f>IFERROR(__xludf.DUMMYFUNCTION("""COMPUTED_VALUE"""),"Mexico")</f>
        <v>Mexico</v>
      </c>
      <c r="M193" s="76" t="str">
        <f>IFERROR(__xludf.DUMMYFUNCTION("""COMPUTED_VALUE"""),"Playa del Carmen")</f>
        <v>Playa del Carmen</v>
      </c>
      <c r="N193" s="76" t="str">
        <f>IFERROR(__xludf.DUMMYFUNCTION("""COMPUTED_VALUE"""),"Cancun")</f>
        <v>Cancun</v>
      </c>
      <c r="O193" s="78" t="b">
        <f>IFERROR(__xludf.DUMMYFUNCTION("""COMPUTED_VALUE"""),TRUE)</f>
        <v>1</v>
      </c>
      <c r="P193" s="80">
        <f>IFERROR(__xludf.DUMMYFUNCTION("""COMPUTED_VALUE"""),0.03888888888888889)</f>
        <v>0.03888888889</v>
      </c>
      <c r="Q193" s="76" t="str">
        <f>IFERROR(__xludf.DUMMYFUNCTION("""COMPUTED_VALUE"""),"IHG")</f>
        <v>IHG</v>
      </c>
      <c r="R193" s="76" t="str">
        <f>IFERROR(__xludf.DUMMYFUNCTION("""COMPUTED_VALUE"""),"Family, Bay View")</f>
        <v>Family, Bay View</v>
      </c>
      <c r="S193" s="76" t="str">
        <f>IFERROR(__xludf.DUMMYFUNCTION("""COMPUTED_VALUE"""),"Beach, Family Suite, 2 Bedroom Suites, Kids Club, Teen Club, Kids Waterpark, Gym, Diving, Buffet, Swim Up Bar, Tennis, Spa, Wifi (Free), Babysitting, Evening Entertainment")</f>
        <v>Beach, Family Suite, 2 Bedroom Suites, Kids Club, Teen Club, Kids Waterpark, Gym, Diving, Buffet, Swim Up Bar, Tennis, Spa, Wifi (Free), Babysitting, Evening Entertainment</v>
      </c>
      <c r="T193" s="76" t="str">
        <f>IFERROR(__xludf.DUMMYFUNCTION("""COMPUTED_VALUE"""),"Yes")</f>
        <v>Yes</v>
      </c>
      <c r="U193" s="76" t="str">
        <f>IFERROR(__xludf.DUMMYFUNCTION("""COMPUTED_VALUE"""),"1 King or 2 Double")</f>
        <v>1 King or 2 Double</v>
      </c>
      <c r="V193" s="78" t="b">
        <f>IFERROR(__xludf.DUMMYFUNCTION("""COMPUTED_VALUE"""),FALSE)</f>
        <v>0</v>
      </c>
      <c r="W193" s="78"/>
      <c r="X193" s="78"/>
      <c r="Y193" s="74"/>
      <c r="Z193" s="81"/>
    </row>
    <row r="194">
      <c r="A194" s="65" t="str">
        <f>IFERROR(__xludf.DUMMYFUNCTION("""COMPUTED_VALUE"""),"Iberostar Waves Tucán")</f>
        <v>Iberostar Waves Tucán</v>
      </c>
      <c r="B194" s="66">
        <f>IFERROR(__xludf.DUMMYFUNCTION("""COMPUTED_VALUE"""),90.0)</f>
        <v>90</v>
      </c>
      <c r="C194" s="67" t="str">
        <f>IFERROR(__xludf.DUMMYFUNCTION("""COMPUTED_VALUE"""),"Family")</f>
        <v>Family</v>
      </c>
      <c r="D194" s="79">
        <f>IFERROR(__xludf.DUMMYFUNCTION("""COMPUTED_VALUE"""),3889.62)</f>
        <v>3889.62</v>
      </c>
      <c r="E194" s="79">
        <f>IFERROR(__xludf.DUMMYFUNCTION("""COMPUTED_VALUE"""),5371.759312037999)</f>
        <v>5371.759312</v>
      </c>
      <c r="F194" s="69">
        <f>IFERROR(__xludf.DUMMYFUNCTION("""COMPUTED_VALUE"""),2.57)</f>
        <v>2.57</v>
      </c>
      <c r="G194" s="78"/>
      <c r="H194" s="78">
        <f>IFERROR(__xludf.DUMMYFUNCTION("""COMPUTED_VALUE"""),6.0)</f>
        <v>6</v>
      </c>
      <c r="I194" s="78"/>
      <c r="J194" s="78">
        <f>IFERROR(__xludf.DUMMYFUNCTION("""COMPUTED_VALUE"""),5.0)</f>
        <v>5</v>
      </c>
      <c r="K194" s="71"/>
      <c r="L194" s="76" t="str">
        <f>IFERROR(__xludf.DUMMYFUNCTION("""COMPUTED_VALUE"""),"Mexico")</f>
        <v>Mexico</v>
      </c>
      <c r="M194" s="76" t="str">
        <f>IFERROR(__xludf.DUMMYFUNCTION("""COMPUTED_VALUE"""),"Playa del Carmen")</f>
        <v>Playa del Carmen</v>
      </c>
      <c r="N194" s="76" t="str">
        <f>IFERROR(__xludf.DUMMYFUNCTION("""COMPUTED_VALUE"""),"Cancun")</f>
        <v>Cancun</v>
      </c>
      <c r="O194" s="78" t="b">
        <f>IFERROR(__xludf.DUMMYFUNCTION("""COMPUTED_VALUE"""),TRUE)</f>
        <v>1</v>
      </c>
      <c r="P194" s="80">
        <f>IFERROR(__xludf.DUMMYFUNCTION("""COMPUTED_VALUE"""),0.03888888888888889)</f>
        <v>0.03888888889</v>
      </c>
      <c r="Q194" s="71" t="str">
        <f>IFERROR(__xludf.DUMMYFUNCTION("""COMPUTED_VALUE"""),"IHG")</f>
        <v>IHG</v>
      </c>
      <c r="R194" s="76" t="str">
        <f>IFERROR(__xludf.DUMMYFUNCTION("""COMPUTED_VALUE"""),"Park View, Family")</f>
        <v>Park View, Family</v>
      </c>
      <c r="S194" s="76" t="str">
        <f>IFERROR(__xludf.DUMMYFUNCTION("""COMPUTED_VALUE"""),"Beach, Family Suite, 2 Bedroom Suites, Kids Club, Teen Club, Kids Waterpark, Gym, Diving, Evening Entertainment, Babysitting, Buffet, Swim Up Bar, Tennis, Spa")</f>
        <v>Beach, Family Suite, 2 Bedroom Suites, Kids Club, Teen Club, Kids Waterpark, Gym, Diving, Evening Entertainment, Babysitting, Buffet, Swim Up Bar, Tennis, Spa</v>
      </c>
      <c r="T194" s="76" t="str">
        <f>IFERROR(__xludf.DUMMYFUNCTION("""COMPUTED_VALUE"""),"Yes")</f>
        <v>Yes</v>
      </c>
      <c r="U194" s="76" t="str">
        <f>IFERROR(__xludf.DUMMYFUNCTION("""COMPUTED_VALUE"""),"1 King or 2 Double")</f>
        <v>1 King or 2 Double</v>
      </c>
      <c r="V194" s="78" t="b">
        <f>IFERROR(__xludf.DUMMYFUNCTION("""COMPUTED_VALUE"""),FALSE)</f>
        <v>0</v>
      </c>
      <c r="W194" s="78"/>
      <c r="X194" s="78"/>
      <c r="Y194" s="78"/>
      <c r="Z194" s="81"/>
    </row>
    <row r="195">
      <c r="A195" s="65" t="str">
        <f>IFERROR(__xludf.DUMMYFUNCTION("""COMPUTED_VALUE"""),"TRS Coral Hotel")</f>
        <v>TRS Coral Hotel</v>
      </c>
      <c r="B195" s="66">
        <f>IFERROR(__xludf.DUMMYFUNCTION("""COMPUTED_VALUE"""),90.0)</f>
        <v>90</v>
      </c>
      <c r="C195" s="67" t="str">
        <f>IFERROR(__xludf.DUMMYFUNCTION("""COMPUTED_VALUE"""),"Adults Only")</f>
        <v>Adults Only</v>
      </c>
      <c r="D195" s="79">
        <f>IFERROR(__xludf.DUMMYFUNCTION("""COMPUTED_VALUE"""),4277.0)</f>
        <v>4277</v>
      </c>
      <c r="E195" s="79">
        <f>IFERROR(__xludf.DUMMYFUNCTION("""COMPUTED_VALUE"""),5906.7504223)</f>
        <v>5906.750422</v>
      </c>
      <c r="F195" s="69">
        <f>IFERROR(__xludf.DUMMYFUNCTION("""COMPUTED_VALUE"""),2.34)</f>
        <v>2.34</v>
      </c>
      <c r="G195" s="78"/>
      <c r="H195" s="78">
        <f>IFERROR(__xludf.DUMMYFUNCTION("""COMPUTED_VALUE"""),7.0)</f>
        <v>7</v>
      </c>
      <c r="I195" s="78"/>
      <c r="J195" s="78">
        <f>IFERROR(__xludf.DUMMYFUNCTION("""COMPUTED_VALUE"""),5.0)</f>
        <v>5</v>
      </c>
      <c r="K195" s="71"/>
      <c r="L195" s="76" t="str">
        <f>IFERROR(__xludf.DUMMYFUNCTION("""COMPUTED_VALUE"""),"Mexico")</f>
        <v>Mexico</v>
      </c>
      <c r="M195" s="76" t="str">
        <f>IFERROR(__xludf.DUMMYFUNCTION("""COMPUTED_VALUE"""),"Playa Mujeres")</f>
        <v>Playa Mujeres</v>
      </c>
      <c r="N195" s="76" t="str">
        <f>IFERROR(__xludf.DUMMYFUNCTION("""COMPUTED_VALUE"""),"Cancun")</f>
        <v>Cancun</v>
      </c>
      <c r="O195" s="78" t="b">
        <f>IFERROR(__xludf.DUMMYFUNCTION("""COMPUTED_VALUE"""),TRUE)</f>
        <v>1</v>
      </c>
      <c r="P195" s="80">
        <f>IFERROR(__xludf.DUMMYFUNCTION("""COMPUTED_VALUE"""),0.027777777777777776)</f>
        <v>0.02777777778</v>
      </c>
      <c r="Q195" s="76" t="str">
        <f>IFERROR(__xludf.DUMMYFUNCTION("""COMPUTED_VALUE"""),"Wyndham Hotels")</f>
        <v>Wyndham Hotels</v>
      </c>
      <c r="R195" s="76" t="str">
        <f>IFERROR(__xludf.DUMMYFUNCTION("""COMPUTED_VALUE"""),"Business, Trendy")</f>
        <v>Business, Trendy</v>
      </c>
      <c r="S195" s="76" t="str">
        <f>IFERROR(__xludf.DUMMYFUNCTION("""COMPUTED_VALUE"""),"Beach, Great Food, Swim Out/Plunge Pool Rooms, Heated Pool, Gym, Tennis, Room Service, Nightclub, Spa, Wifi (Free), Buffet, Swim Up Bar, Evening Entertainment")</f>
        <v>Beach, Great Food, Swim Out/Plunge Pool Rooms, Heated Pool, Gym, Tennis, Room Service, Nightclub, Spa, Wifi (Free), Buffet, Swim Up Bar, Evening Entertainment</v>
      </c>
      <c r="T195" s="76"/>
      <c r="U195" s="76"/>
      <c r="V195" s="78" t="b">
        <f>IFERROR(__xludf.DUMMYFUNCTION("""COMPUTED_VALUE"""),FALSE)</f>
        <v>0</v>
      </c>
      <c r="W195" s="78">
        <f>IFERROR(__xludf.DUMMYFUNCTION("""COMPUTED_VALUE"""),469.0)</f>
        <v>469</v>
      </c>
      <c r="X195" s="78">
        <f>IFERROR(__xludf.DUMMYFUNCTION("""COMPUTED_VALUE"""),2018.0)</f>
        <v>2018</v>
      </c>
      <c r="Y195" s="78"/>
      <c r="Z195" s="81"/>
    </row>
    <row r="196">
      <c r="A196" s="65" t="str">
        <f>IFERROR(__xludf.DUMMYFUNCTION("""COMPUTED_VALUE"""),"Charela Inn")</f>
        <v>Charela Inn</v>
      </c>
      <c r="B196" s="66">
        <f>IFERROR(__xludf.DUMMYFUNCTION("""COMPUTED_VALUE"""),90.0)</f>
        <v>90</v>
      </c>
      <c r="C196" s="67" t="str">
        <f>IFERROR(__xludf.DUMMYFUNCTION("""COMPUTED_VALUE"""),"Family")</f>
        <v>Family</v>
      </c>
      <c r="D196" s="79">
        <f>IFERROR(__xludf.DUMMYFUNCTION("""COMPUTED_VALUE"""),4350.5)</f>
        <v>4350.5</v>
      </c>
      <c r="E196" s="79">
        <f>IFERROR(__xludf.DUMMYFUNCTION("""COMPUTED_VALUE"""),6008.257589949999)</f>
        <v>6008.25759</v>
      </c>
      <c r="F196" s="69">
        <f>IFERROR(__xludf.DUMMYFUNCTION("""COMPUTED_VALUE"""),2.3)</f>
        <v>2.3</v>
      </c>
      <c r="G196" s="78"/>
      <c r="H196" s="78">
        <f>IFERROR(__xludf.DUMMYFUNCTION("""COMPUTED_VALUE"""),4.0)</f>
        <v>4</v>
      </c>
      <c r="I196" s="78"/>
      <c r="J196" s="78">
        <f>IFERROR(__xludf.DUMMYFUNCTION("""COMPUTED_VALUE"""),3.5)</f>
        <v>3.5</v>
      </c>
      <c r="K196" s="76"/>
      <c r="L196" s="76" t="str">
        <f>IFERROR(__xludf.DUMMYFUNCTION("""COMPUTED_VALUE"""),"Jamaica")</f>
        <v>Jamaica</v>
      </c>
      <c r="M196" s="76" t="str">
        <f>IFERROR(__xludf.DUMMYFUNCTION("""COMPUTED_VALUE"""),"Negril")</f>
        <v>Negril</v>
      </c>
      <c r="N196" s="76" t="str">
        <f>IFERROR(__xludf.DUMMYFUNCTION("""COMPUTED_VALUE"""),"Sangster")</f>
        <v>Sangster</v>
      </c>
      <c r="O196" s="78" t="b">
        <f>IFERROR(__xludf.DUMMYFUNCTION("""COMPUTED_VALUE"""),TRUE)</f>
        <v>1</v>
      </c>
      <c r="P196" s="80">
        <f>IFERROR(__xludf.DUMMYFUNCTION("""COMPUTED_VALUE"""),0.0625)</f>
        <v>0.0625</v>
      </c>
      <c r="Q196" s="76"/>
      <c r="R196" s="76" t="str">
        <f>IFERROR(__xludf.DUMMYFUNCTION("""COMPUTED_VALUE"""),"Mid-Range, Bay View")</f>
        <v>Mid-Range, Bay View</v>
      </c>
      <c r="S196" s="76" t="str">
        <f>IFERROR(__xludf.DUMMYFUNCTION("""COMPUTED_VALUE"""),"Beach, Family Suite, 2 Bedroom Suites, Room Service, Evening Entertainment, Wifi (Free), Snorkelling")</f>
        <v>Beach, Family Suite, 2 Bedroom Suites, Room Service, Evening Entertainment, Wifi (Free), Snorkelling</v>
      </c>
      <c r="T196" s="76" t="str">
        <f>IFERROR(__xludf.DUMMYFUNCTION("""COMPUTED_VALUE"""),"Yes")</f>
        <v>Yes</v>
      </c>
      <c r="U196" s="76" t="str">
        <f>IFERROR(__xludf.DUMMYFUNCTION("""COMPUTED_VALUE"""),"1 King and 1 Bunk Bed")</f>
        <v>1 King and 1 Bunk Bed</v>
      </c>
      <c r="V196" s="78" t="b">
        <f>IFERROR(__xludf.DUMMYFUNCTION("""COMPUTED_VALUE"""),FALSE)</f>
        <v>0</v>
      </c>
      <c r="W196" s="78">
        <f>IFERROR(__xludf.DUMMYFUNCTION("""COMPUTED_VALUE"""),59.0)</f>
        <v>59</v>
      </c>
      <c r="X196" s="78">
        <f>IFERROR(__xludf.DUMMYFUNCTION("""COMPUTED_VALUE"""),1975.0)</f>
        <v>1975</v>
      </c>
      <c r="Y196" s="78">
        <f>IFERROR(__xludf.DUMMYFUNCTION("""COMPUTED_VALUE"""),2018.0)</f>
        <v>2018</v>
      </c>
      <c r="Z196" s="81">
        <f>IFERROR(__xludf.DUMMYFUNCTION("""COMPUTED_VALUE"""),2.0)</f>
        <v>2</v>
      </c>
    </row>
    <row r="197">
      <c r="A197" s="65" t="str">
        <f>IFERROR(__xludf.DUMMYFUNCTION("""COMPUTED_VALUE"""),"Hotel Riu Palace Mexico")</f>
        <v>Hotel Riu Palace Mexico</v>
      </c>
      <c r="B197" s="66">
        <f>IFERROR(__xludf.DUMMYFUNCTION("""COMPUTED_VALUE"""),90.0)</f>
        <v>90</v>
      </c>
      <c r="C197" s="67" t="str">
        <f>IFERROR(__xludf.DUMMYFUNCTION("""COMPUTED_VALUE"""),"Family")</f>
        <v>Family</v>
      </c>
      <c r="D197" s="79">
        <f>IFERROR(__xludf.DUMMYFUNCTION("""COMPUTED_VALUE"""),4384.8)</f>
        <v>4384.8</v>
      </c>
      <c r="E197" s="79">
        <f>IFERROR(__xludf.DUMMYFUNCTION("""COMPUTED_VALUE"""),6055.627601519999)</f>
        <v>6055.627602</v>
      </c>
      <c r="F197" s="69">
        <f>IFERROR(__xludf.DUMMYFUNCTION("""COMPUTED_VALUE"""),2.28)</f>
        <v>2.28</v>
      </c>
      <c r="G197" s="78"/>
      <c r="H197" s="78">
        <f>IFERROR(__xludf.DUMMYFUNCTION("""COMPUTED_VALUE"""),7.0)</f>
        <v>7</v>
      </c>
      <c r="I197" s="78"/>
      <c r="J197" s="78">
        <f>IFERROR(__xludf.DUMMYFUNCTION("""COMPUTED_VALUE"""),5.0)</f>
        <v>5</v>
      </c>
      <c r="K197" s="76"/>
      <c r="L197" s="76" t="str">
        <f>IFERROR(__xludf.DUMMYFUNCTION("""COMPUTED_VALUE"""),"Mexico")</f>
        <v>Mexico</v>
      </c>
      <c r="M197" s="76" t="str">
        <f>IFERROR(__xludf.DUMMYFUNCTION("""COMPUTED_VALUE"""),"Playa del Carmen")</f>
        <v>Playa del Carmen</v>
      </c>
      <c r="N197" s="76" t="str">
        <f>IFERROR(__xludf.DUMMYFUNCTION("""COMPUTED_VALUE"""),"Cancun")</f>
        <v>Cancun</v>
      </c>
      <c r="O197" s="78" t="b">
        <f>IFERROR(__xludf.DUMMYFUNCTION("""COMPUTED_VALUE"""),TRUE)</f>
        <v>1</v>
      </c>
      <c r="P197" s="80">
        <f>IFERROR(__xludf.DUMMYFUNCTION("""COMPUTED_VALUE"""),0.0375)</f>
        <v>0.0375</v>
      </c>
      <c r="Q197" s="76" t="str">
        <f>IFERROR(__xludf.DUMMYFUNCTION("""COMPUTED_VALUE"""),"Riu")</f>
        <v>Riu</v>
      </c>
      <c r="R197" s="76" t="str">
        <f>IFERROR(__xludf.DUMMYFUNCTION("""COMPUTED_VALUE"""),"Green, Family")</f>
        <v>Green, Family</v>
      </c>
      <c r="S197" s="76" t="str">
        <f>IFERROR(__xludf.DUMMYFUNCTION("""COMPUTED_VALUE"""),"Beach, Kids Club, Gym, Diving, Evening Entertainment, Spa, Babysitting, Buffet, Swim Up Bar, Tennis")</f>
        <v>Beach, Kids Club, Gym, Diving, Evening Entertainment, Spa, Babysitting, Buffet, Swim Up Bar, Tennis</v>
      </c>
      <c r="T197" s="76"/>
      <c r="U197" s="76" t="str">
        <f>IFERROR(__xludf.DUMMYFUNCTION("""COMPUTED_VALUE"""),"1 King or 2 Small Double")</f>
        <v>1 King or 2 Small Double</v>
      </c>
      <c r="V197" s="78" t="b">
        <f>IFERROR(__xludf.DUMMYFUNCTION("""COMPUTED_VALUE"""),FALSE)</f>
        <v>0</v>
      </c>
      <c r="W197" s="78">
        <f>IFERROR(__xludf.DUMMYFUNCTION("""COMPUTED_VALUE"""),434.0)</f>
        <v>434</v>
      </c>
      <c r="X197" s="78">
        <f>IFERROR(__xludf.DUMMYFUNCTION("""COMPUTED_VALUE"""),1999.0)</f>
        <v>1999</v>
      </c>
      <c r="Y197" s="74">
        <f>IFERROR(__xludf.DUMMYFUNCTION("""COMPUTED_VALUE"""),2012.0)</f>
        <v>2012</v>
      </c>
      <c r="Z197" s="81">
        <f>IFERROR(__xludf.DUMMYFUNCTION("""COMPUTED_VALUE"""),2.0)</f>
        <v>2</v>
      </c>
    </row>
    <row r="198">
      <c r="A198" s="65" t="str">
        <f>IFERROR(__xludf.DUMMYFUNCTION("""COMPUTED_VALUE"""),"Playa Grande Resort &amp; Grand Spa")</f>
        <v>Playa Grande Resort &amp; Grand Spa</v>
      </c>
      <c r="B198" s="66">
        <f>IFERROR(__xludf.DUMMYFUNCTION("""COMPUTED_VALUE"""),90.0)</f>
        <v>90</v>
      </c>
      <c r="C198" s="67" t="str">
        <f>IFERROR(__xludf.DUMMYFUNCTION("""COMPUTED_VALUE"""),"Family")</f>
        <v>Family</v>
      </c>
      <c r="D198" s="79">
        <f>IFERROR(__xludf.DUMMYFUNCTION("""COMPUTED_VALUE"""),4767.33)</f>
        <v>4767.33</v>
      </c>
      <c r="E198" s="79">
        <f>IFERROR(__xludf.DUMMYFUNCTION("""COMPUTED_VALUE"""),6583.920619766999)</f>
        <v>6583.92062</v>
      </c>
      <c r="F198" s="69">
        <f>IFERROR(__xludf.DUMMYFUNCTION("""COMPUTED_VALUE"""),2.1)</f>
        <v>2.1</v>
      </c>
      <c r="G198" s="78"/>
      <c r="H198" s="78">
        <f>IFERROR(__xludf.DUMMYFUNCTION("""COMPUTED_VALUE"""),4.0)</f>
        <v>4</v>
      </c>
      <c r="I198" s="78"/>
      <c r="J198" s="78">
        <f>IFERROR(__xludf.DUMMYFUNCTION("""COMPUTED_VALUE"""),4.5)</f>
        <v>4.5</v>
      </c>
      <c r="K198" s="71"/>
      <c r="L198" s="76" t="str">
        <f>IFERROR(__xludf.DUMMYFUNCTION("""COMPUTED_VALUE"""),"Mexico")</f>
        <v>Mexico</v>
      </c>
      <c r="M198" s="76" t="str">
        <f>IFERROR(__xludf.DUMMYFUNCTION("""COMPUTED_VALUE"""),"Cabo San Lucas")</f>
        <v>Cabo San Lucas</v>
      </c>
      <c r="N198" s="76" t="str">
        <f>IFERROR(__xludf.DUMMYFUNCTION("""COMPUTED_VALUE"""),"Los Cabos")</f>
        <v>Los Cabos</v>
      </c>
      <c r="O198" s="78" t="b">
        <f>IFERROR(__xludf.DUMMYFUNCTION("""COMPUTED_VALUE"""),TRUE)</f>
        <v>1</v>
      </c>
      <c r="P198" s="80">
        <f>IFERROR(__xludf.DUMMYFUNCTION("""COMPUTED_VALUE"""),0.03125)</f>
        <v>0.03125</v>
      </c>
      <c r="Q198" s="76" t="str">
        <f>IFERROR(__xludf.DUMMYFUNCTION("""COMPUTED_VALUE"""),"Solmar")</f>
        <v>Solmar</v>
      </c>
      <c r="R198" s="76" t="str">
        <f>IFERROR(__xludf.DUMMYFUNCTION("""COMPUTED_VALUE"""),"Family, Value")</f>
        <v>Family, Value</v>
      </c>
      <c r="S198" s="76" t="str">
        <f>IFERROR(__xludf.DUMMYFUNCTION("""COMPUTED_VALUE"""),"Beach, Family Suite, 2 Bedroom Suites, Kids Club, Pool Slide, Water Feature, Heated Pool, Gym, Diving, Room Service, Snorkelling, Fishing, Babysitting, Wifi (Paid), Adult Pool, Buffet, Swim Up Bar, Mini Golf, Tennis, Evening Entertainment, Spa")</f>
        <v>Beach, Family Suite, 2 Bedroom Suites, Kids Club, Pool Slide, Water Feature, Heated Pool, Gym, Diving, Room Service, Snorkelling, Fishing, Babysitting, Wifi (Paid), Adult Pool, Buffet, Swim Up Bar, Mini Golf, Tennis, Evening Entertainment, Spa</v>
      </c>
      <c r="T198" s="76" t="str">
        <f>IFERROR(__xludf.DUMMYFUNCTION("""COMPUTED_VALUE"""),"Can't Book Two Rooms")</f>
        <v>Can't Book Two Rooms</v>
      </c>
      <c r="U198" s="76" t="str">
        <f>IFERROR(__xludf.DUMMYFUNCTION("""COMPUTED_VALUE"""),"1 King and 1 Queen Sofa Bed")</f>
        <v>1 King and 1 Queen Sofa Bed</v>
      </c>
      <c r="V198" s="78" t="b">
        <f>IFERROR(__xludf.DUMMYFUNCTION("""COMPUTED_VALUE"""),TRUE)</f>
        <v>1</v>
      </c>
      <c r="W198" s="78">
        <f>IFERROR(__xludf.DUMMYFUNCTION("""COMPUTED_VALUE"""),260.0)</f>
        <v>260</v>
      </c>
      <c r="X198" s="78">
        <f>IFERROR(__xludf.DUMMYFUNCTION("""COMPUTED_VALUE"""),1998.0)</f>
        <v>1998</v>
      </c>
      <c r="Y198" s="78">
        <f>IFERROR(__xludf.DUMMYFUNCTION("""COMPUTED_VALUE"""),2010.0)</f>
        <v>2010</v>
      </c>
      <c r="Z198" s="81">
        <f>IFERROR(__xludf.DUMMYFUNCTION("""COMPUTED_VALUE"""),6.0)</f>
        <v>6</v>
      </c>
    </row>
    <row r="199">
      <c r="A199" s="65" t="str">
        <f>IFERROR(__xludf.DUMMYFUNCTION("""COMPUTED_VALUE"""),"The Club at Hacienda del Mar")</f>
        <v>The Club at Hacienda del Mar</v>
      </c>
      <c r="B199" s="66">
        <f>IFERROR(__xludf.DUMMYFUNCTION("""COMPUTED_VALUE"""),90.0)</f>
        <v>90</v>
      </c>
      <c r="C199" s="67" t="str">
        <f>IFERROR(__xludf.DUMMYFUNCTION("""COMPUTED_VALUE"""),"Family")</f>
        <v>Family</v>
      </c>
      <c r="D199" s="85">
        <f>IFERROR(__xludf.DUMMYFUNCTION("""COMPUTED_VALUE"""),5017.0)</f>
        <v>5017</v>
      </c>
      <c r="E199" s="79">
        <f>IFERROR(__xludf.DUMMYFUNCTION("""COMPUTED_VALUE"""),6928.727348299999)</f>
        <v>6928.727348</v>
      </c>
      <c r="F199" s="69">
        <f>IFERROR(__xludf.DUMMYFUNCTION("""COMPUTED_VALUE"""),1.99)</f>
        <v>1.99</v>
      </c>
      <c r="G199" s="78"/>
      <c r="H199" s="78">
        <f>IFERROR(__xludf.DUMMYFUNCTION("""COMPUTED_VALUE"""),7.0)</f>
        <v>7</v>
      </c>
      <c r="I199" s="78"/>
      <c r="J199" s="78">
        <f>IFERROR(__xludf.DUMMYFUNCTION("""COMPUTED_VALUE"""),4.0)</f>
        <v>4</v>
      </c>
      <c r="K199" s="76"/>
      <c r="L199" s="76" t="str">
        <f>IFERROR(__xludf.DUMMYFUNCTION("""COMPUTED_VALUE"""),"Mexico")</f>
        <v>Mexico</v>
      </c>
      <c r="M199" s="76" t="str">
        <f>IFERROR(__xludf.DUMMYFUNCTION("""COMPUTED_VALUE"""),"Cabo San Lucas")</f>
        <v>Cabo San Lucas</v>
      </c>
      <c r="N199" s="76" t="str">
        <f>IFERROR(__xludf.DUMMYFUNCTION("""COMPUTED_VALUE"""),"Los Cabos")</f>
        <v>Los Cabos</v>
      </c>
      <c r="O199" s="78" t="b">
        <f>IFERROR(__xludf.DUMMYFUNCTION("""COMPUTED_VALUE"""),TRUE)</f>
        <v>1</v>
      </c>
      <c r="P199" s="80">
        <f>IFERROR(__xludf.DUMMYFUNCTION("""COMPUTED_VALUE"""),0.027083333333333334)</f>
        <v>0.02708333333</v>
      </c>
      <c r="Q199" s="76"/>
      <c r="R199" s="76" t="str">
        <f>IFERROR(__xludf.DUMMYFUNCTION("""COMPUTED_VALUE"""),"Family, Quiet")</f>
        <v>Family, Quiet</v>
      </c>
      <c r="S199" s="76" t="str">
        <f>IFERROR(__xludf.DUMMYFUNCTION("""COMPUTED_VALUE"""),"Beach, Family Suite, 2 Bedroom Suites, Kids Club, Heated Pool, Gym, Golf Course, Room Service, Evening Entertainment, Spa, Babysitting, Yoga Classes, Swim Up Bar, Horseback Riding, Fishing")</f>
        <v>Beach, Family Suite, 2 Bedroom Suites, Kids Club, Heated Pool, Gym, Golf Course, Room Service, Evening Entertainment, Spa, Babysitting, Yoga Classes, Swim Up Bar, Horseback Riding, Fishing</v>
      </c>
      <c r="T199" s="76"/>
      <c r="U199" s="76" t="str">
        <f>IFERROR(__xludf.DUMMYFUNCTION("""COMPUTED_VALUE"""),"2 Queen")</f>
        <v>2 Queen</v>
      </c>
      <c r="V199" s="78" t="b">
        <f>IFERROR(__xludf.DUMMYFUNCTION("""COMPUTED_VALUE"""),FALSE)</f>
        <v>0</v>
      </c>
      <c r="W199" s="78">
        <f>IFERROR(__xludf.DUMMYFUNCTION("""COMPUTED_VALUE"""),137.0)</f>
        <v>137</v>
      </c>
      <c r="X199" s="78">
        <f>IFERROR(__xludf.DUMMYFUNCTION("""COMPUTED_VALUE"""),1995.0)</f>
        <v>1995</v>
      </c>
      <c r="Y199" s="74"/>
      <c r="Z199" s="81">
        <f>IFERROR(__xludf.DUMMYFUNCTION("""COMPUTED_VALUE"""),4.0)</f>
        <v>4</v>
      </c>
    </row>
    <row r="200">
      <c r="A200" s="65" t="str">
        <f>IFERROR(__xludf.DUMMYFUNCTION("""COMPUTED_VALUE"""),"Iberostar Selection Paraiso Maya Suites")</f>
        <v>Iberostar Selection Paraiso Maya Suites</v>
      </c>
      <c r="B200" s="66">
        <f>IFERROR(__xludf.DUMMYFUNCTION("""COMPUTED_VALUE"""),90.0)</f>
        <v>90</v>
      </c>
      <c r="C200" s="67" t="str">
        <f>IFERROR(__xludf.DUMMYFUNCTION("""COMPUTED_VALUE"""),"Family")</f>
        <v>Family</v>
      </c>
      <c r="D200" s="79">
        <f>IFERROR(__xludf.DUMMYFUNCTION("""COMPUTED_VALUE"""),5726.38)</f>
        <v>5726.38</v>
      </c>
      <c r="E200" s="79">
        <f>IFERROR(__xludf.DUMMYFUNCTION("""COMPUTED_VALUE"""),7908.416526361999)</f>
        <v>7908.416526</v>
      </c>
      <c r="F200" s="69">
        <f>IFERROR(__xludf.DUMMYFUNCTION("""COMPUTED_VALUE"""),1.75)</f>
        <v>1.75</v>
      </c>
      <c r="G200" s="78"/>
      <c r="H200" s="78">
        <f>IFERROR(__xludf.DUMMYFUNCTION("""COMPUTED_VALUE"""),6.0)</f>
        <v>6</v>
      </c>
      <c r="I200" s="78"/>
      <c r="J200" s="78">
        <f>IFERROR(__xludf.DUMMYFUNCTION("""COMPUTED_VALUE"""),5.0)</f>
        <v>5</v>
      </c>
      <c r="K200" s="71"/>
      <c r="L200" s="76" t="str">
        <f>IFERROR(__xludf.DUMMYFUNCTION("""COMPUTED_VALUE"""),"Mexico")</f>
        <v>Mexico</v>
      </c>
      <c r="M200" s="76" t="str">
        <f>IFERROR(__xludf.DUMMYFUNCTION("""COMPUTED_VALUE"""),"Playa Paraiso")</f>
        <v>Playa Paraiso</v>
      </c>
      <c r="N200" s="76" t="str">
        <f>IFERROR(__xludf.DUMMYFUNCTION("""COMPUTED_VALUE"""),"Cancun")</f>
        <v>Cancun</v>
      </c>
      <c r="O200" s="78" t="b">
        <f>IFERROR(__xludf.DUMMYFUNCTION("""COMPUTED_VALUE"""),TRUE)</f>
        <v>1</v>
      </c>
      <c r="P200" s="80">
        <f>IFERROR(__xludf.DUMMYFUNCTION("""COMPUTED_VALUE"""),0.04652777777777778)</f>
        <v>0.04652777778</v>
      </c>
      <c r="Q200" s="76" t="str">
        <f>IFERROR(__xludf.DUMMYFUNCTION("""COMPUTED_VALUE"""),"IHG")</f>
        <v>IHG</v>
      </c>
      <c r="R200" s="76" t="str">
        <f>IFERROR(__xludf.DUMMYFUNCTION("""COMPUTED_VALUE"""),"Business, Green")</f>
        <v>Business, Green</v>
      </c>
      <c r="S200" s="76" t="str">
        <f>IFERROR(__xludf.DUMMYFUNCTION("""COMPUTED_VALUE"""),"Beach, Family Suite, 2 Bedroom Suites, Kids Club, Teen Club, Lazy River, Kids Waterpark, Big Waterslides, Gym, Diving, Swim Up Bar, Babysitting, Buffet, Golf Course, Evening Entertainment, Spa")</f>
        <v>Beach, Family Suite, 2 Bedroom Suites, Kids Club, Teen Club, Lazy River, Kids Waterpark, Big Waterslides, Gym, Diving, Swim Up Bar, Babysitting, Buffet, Golf Course, Evening Entertainment, Spa</v>
      </c>
      <c r="T200" s="76" t="str">
        <f>IFERROR(__xludf.DUMMYFUNCTION("""COMPUTED_VALUE"""),"Yes")</f>
        <v>Yes</v>
      </c>
      <c r="U200" s="76" t="str">
        <f>IFERROR(__xludf.DUMMYFUNCTION("""COMPUTED_VALUE"""),"1 King or 2 Double")</f>
        <v>1 King or 2 Double</v>
      </c>
      <c r="V200" s="78" t="b">
        <f>IFERROR(__xludf.DUMMYFUNCTION("""COMPUTED_VALUE"""),FALSE)</f>
        <v>0</v>
      </c>
      <c r="W200" s="78"/>
      <c r="X200" s="78"/>
      <c r="Y200" s="78"/>
      <c r="Z200" s="81"/>
    </row>
    <row r="201">
      <c r="A201" s="65" t="str">
        <f>IFERROR(__xludf.DUMMYFUNCTION("""COMPUTED_VALUE"""),"Generations Riviera Maya Resort")</f>
        <v>Generations Riviera Maya Resort</v>
      </c>
      <c r="B201" s="66">
        <f>IFERROR(__xludf.DUMMYFUNCTION("""COMPUTED_VALUE"""),90.0)</f>
        <v>90</v>
      </c>
      <c r="C201" s="67" t="str">
        <f>IFERROR(__xludf.DUMMYFUNCTION("""COMPUTED_VALUE"""),"Family")</f>
        <v>Family</v>
      </c>
      <c r="D201" s="79">
        <f>IFERROR(__xludf.DUMMYFUNCTION("""COMPUTED_VALUE"""),8219.0)</f>
        <v>8219</v>
      </c>
      <c r="E201" s="79">
        <f>IFERROR(__xludf.DUMMYFUNCTION("""COMPUTED_VALUE"""),11350.849128099999)</f>
        <v>11350.84913</v>
      </c>
      <c r="F201" s="69">
        <f>IFERROR(__xludf.DUMMYFUNCTION("""COMPUTED_VALUE"""),1.22)</f>
        <v>1.22</v>
      </c>
      <c r="G201" s="78">
        <f>IFERROR(__xludf.DUMMYFUNCTION("""COMPUTED_VALUE"""),4.0)</f>
        <v>4</v>
      </c>
      <c r="H201" s="74">
        <f>IFERROR(__xludf.DUMMYFUNCTION("""COMPUTED_VALUE"""),8.0)</f>
        <v>8</v>
      </c>
      <c r="I201" s="78"/>
      <c r="J201" s="78">
        <f>IFERROR(__xludf.DUMMYFUNCTION("""COMPUTED_VALUE"""),4.5)</f>
        <v>4.5</v>
      </c>
      <c r="K201" s="76"/>
      <c r="L201" s="76" t="str">
        <f>IFERROR(__xludf.DUMMYFUNCTION("""COMPUTED_VALUE"""),"Mexico")</f>
        <v>Mexico</v>
      </c>
      <c r="M201" s="76" t="str">
        <f>IFERROR(__xludf.DUMMYFUNCTION("""COMPUTED_VALUE"""),"Riviera Maya")</f>
        <v>Riviera Maya</v>
      </c>
      <c r="N201" s="76" t="str">
        <f>IFERROR(__xludf.DUMMYFUNCTION("""COMPUTED_VALUE"""),"Cancun")</f>
        <v>Cancun</v>
      </c>
      <c r="O201" s="78" t="b">
        <f>IFERROR(__xludf.DUMMYFUNCTION("""COMPUTED_VALUE"""),TRUE)</f>
        <v>1</v>
      </c>
      <c r="P201" s="80">
        <f>IFERROR(__xludf.DUMMYFUNCTION("""COMPUTED_VALUE"""),0.018055555555555554)</f>
        <v>0.01805555556</v>
      </c>
      <c r="Q201" s="76" t="str">
        <f>IFERROR(__xludf.DUMMYFUNCTION("""COMPUTED_VALUE"""),"Lomas Hospitality")</f>
        <v>Lomas Hospitality</v>
      </c>
      <c r="R201" s="76" t="str">
        <f>IFERROR(__xludf.DUMMYFUNCTION("""COMPUTED_VALUE"""),"Modern, Charming")</f>
        <v>Modern, Charming</v>
      </c>
      <c r="S201" s="76" t="str">
        <f>IFERROR(__xludf.DUMMYFUNCTION("""COMPUTED_VALUE"""),"Beach, Swim Out/Plunge Pool Rooms, Family Suite, 2 Bedroom Suites, Kids Club, Lazy River, Gym, Buffet, Swim Up Bar, Spa, Babysitting, Evening Entertainment")</f>
        <v>Beach, Swim Out/Plunge Pool Rooms, Family Suite, 2 Bedroom Suites, Kids Club, Lazy River, Gym, Buffet, Swim Up Bar, Spa, Babysitting, Evening Entertainment</v>
      </c>
      <c r="T201" s="76"/>
      <c r="U201" s="76" t="str">
        <f>IFERROR(__xludf.DUMMYFUNCTION("""COMPUTED_VALUE"""),"1 King and 2 Queen Sofa Bed")</f>
        <v>1 King and 2 Queen Sofa Bed</v>
      </c>
      <c r="V201" s="74" t="b">
        <f>IFERROR(__xludf.DUMMYFUNCTION("""COMPUTED_VALUE"""),FALSE)</f>
        <v>0</v>
      </c>
      <c r="W201" s="74">
        <f>IFERROR(__xludf.DUMMYFUNCTION("""COMPUTED_VALUE"""),162.0)</f>
        <v>162</v>
      </c>
      <c r="X201" s="74">
        <f>IFERROR(__xludf.DUMMYFUNCTION("""COMPUTED_VALUE"""),2013.0)</f>
        <v>2013</v>
      </c>
      <c r="Y201" s="74"/>
      <c r="Z201" s="75">
        <f>IFERROR(__xludf.DUMMYFUNCTION("""COMPUTED_VALUE"""),6.0)</f>
        <v>6</v>
      </c>
    </row>
    <row r="202">
      <c r="A202" s="65" t="str">
        <f>IFERROR(__xludf.DUMMYFUNCTION("""COMPUTED_VALUE"""),"Club Med Punta Cana")</f>
        <v>Club Med Punta Cana</v>
      </c>
      <c r="B202" s="66">
        <f>IFERROR(__xludf.DUMMYFUNCTION("""COMPUTED_VALUE"""),90.0)</f>
        <v>90</v>
      </c>
      <c r="C202" s="67" t="str">
        <f>IFERROR(__xludf.DUMMYFUNCTION("""COMPUTED_VALUE"""),"Family")</f>
        <v>Family</v>
      </c>
      <c r="D202" s="79">
        <f>IFERROR(__xludf.DUMMYFUNCTION("""COMPUTED_VALUE"""),8551.68)</f>
        <v>8551.68</v>
      </c>
      <c r="E202" s="79">
        <f>IFERROR(__xludf.DUMMYFUNCTION("""COMPUTED_VALUE"""),11810.296808832)</f>
        <v>11810.29681</v>
      </c>
      <c r="F202" s="69">
        <f>IFERROR(__xludf.DUMMYFUNCTION("""COMPUTED_VALUE"""),1.17)</f>
        <v>1.17</v>
      </c>
      <c r="G202" s="70"/>
      <c r="H202" s="70">
        <f>IFERROR(__xludf.DUMMYFUNCTION("""COMPUTED_VALUE"""),7.0)</f>
        <v>7</v>
      </c>
      <c r="I202" s="78"/>
      <c r="J202" s="78">
        <f>IFERROR(__xludf.DUMMYFUNCTION("""COMPUTED_VALUE"""),4.0)</f>
        <v>4</v>
      </c>
      <c r="K202" s="71"/>
      <c r="L202" s="76" t="str">
        <f>IFERROR(__xludf.DUMMYFUNCTION("""COMPUTED_VALUE"""),"Dominican Republic")</f>
        <v>Dominican Republic</v>
      </c>
      <c r="M202" s="76" t="str">
        <f>IFERROR(__xludf.DUMMYFUNCTION("""COMPUTED_VALUE"""),"Punta Cana")</f>
        <v>Punta Cana</v>
      </c>
      <c r="N202" s="76" t="str">
        <f>IFERROR(__xludf.DUMMYFUNCTION("""COMPUTED_VALUE"""),"Punta Cana")</f>
        <v>Punta Cana</v>
      </c>
      <c r="O202" s="78" t="b">
        <f>IFERROR(__xludf.DUMMYFUNCTION("""COMPUTED_VALUE"""),TRUE)</f>
        <v>1</v>
      </c>
      <c r="P202" s="80">
        <f>IFERROR(__xludf.DUMMYFUNCTION("""COMPUTED_VALUE"""),0.004861111111111111)</f>
        <v>0.004861111111</v>
      </c>
      <c r="Q202" s="76" t="str">
        <f>IFERROR(__xludf.DUMMYFUNCTION("""COMPUTED_VALUE"""),"Club Med")</f>
        <v>Club Med</v>
      </c>
      <c r="R202" s="76" t="str">
        <f>IFERROR(__xludf.DUMMYFUNCTION("""COMPUTED_VALUE"""),"Green, Bay View")</f>
        <v>Green, Bay View</v>
      </c>
      <c r="S202" s="76" t="str">
        <f>IFERROR(__xludf.DUMMYFUNCTION("""COMPUTED_VALUE"""),"Beach, Family Suite, 2 Bedroom Suites, Kids Club, Teen Club, Kids Waterpark, Kids Club for Under 4, Gym, Buffet, Diving, Tennis, Babysitting, Adult Pool, Mini Golf, Evening Entertainment, Nightclub, Spa")</f>
        <v>Beach, Family Suite, 2 Bedroom Suites, Kids Club, Teen Club, Kids Waterpark, Kids Club for Under 4, Gym, Buffet, Diving, Tennis, Babysitting, Adult Pool, Mini Golf, Evening Entertainment, Nightclub, Spa</v>
      </c>
      <c r="T202" s="76" t="str">
        <f>IFERROR(__xludf.DUMMYFUNCTION("""COMPUTED_VALUE"""),"Can't Book Two Rooms")</f>
        <v>Can't Book Two Rooms</v>
      </c>
      <c r="U202" s="76" t="str">
        <f>IFERROR(__xludf.DUMMYFUNCTION("""COMPUTED_VALUE"""),"1 Queen 2 Twin")</f>
        <v>1 Queen 2 Twin</v>
      </c>
      <c r="V202" s="78" t="b">
        <f>IFERROR(__xludf.DUMMYFUNCTION("""COMPUTED_VALUE"""),FALSE)</f>
        <v>0</v>
      </c>
      <c r="W202" s="78">
        <f>IFERROR(__xludf.DUMMYFUNCTION("""COMPUTED_VALUE"""),631.0)</f>
        <v>631</v>
      </c>
      <c r="X202" s="78">
        <f>IFERROR(__xludf.DUMMYFUNCTION("""COMPUTED_VALUE"""),1981.0)</f>
        <v>1981</v>
      </c>
      <c r="Y202" s="70">
        <f>IFERROR(__xludf.DUMMYFUNCTION("""COMPUTED_VALUE"""),2023.0)</f>
        <v>2023</v>
      </c>
      <c r="Z202" s="81">
        <f>IFERROR(__xludf.DUMMYFUNCTION("""COMPUTED_VALUE"""),3.0)</f>
        <v>3</v>
      </c>
    </row>
    <row r="203">
      <c r="A203" s="65" t="str">
        <f>IFERROR(__xludf.DUMMYFUNCTION("""COMPUTED_VALUE"""),"Secrets Moxche Playa del Carmen")</f>
        <v>Secrets Moxche Playa del Carmen</v>
      </c>
      <c r="B203" s="66">
        <f>IFERROR(__xludf.DUMMYFUNCTION("""COMPUTED_VALUE"""),90.0)</f>
        <v>90</v>
      </c>
      <c r="C203" s="67" t="str">
        <f>IFERROR(__xludf.DUMMYFUNCTION("""COMPUTED_VALUE"""),"Adults Only")</f>
        <v>Adults Only</v>
      </c>
      <c r="D203" s="79">
        <f>IFERROR(__xludf.DUMMYFUNCTION("""COMPUTED_VALUE"""),8652.0)</f>
        <v>8652</v>
      </c>
      <c r="E203" s="79">
        <f>IFERROR(__xludf.DUMMYFUNCTION("""COMPUTED_VALUE"""),11948.843734799999)</f>
        <v>11948.84373</v>
      </c>
      <c r="F203" s="69">
        <f>IFERROR(__xludf.DUMMYFUNCTION("""COMPUTED_VALUE"""),1.16)</f>
        <v>1.16</v>
      </c>
      <c r="G203" s="78">
        <f>IFERROR(__xludf.DUMMYFUNCTION("""COMPUTED_VALUE"""),5.0)</f>
        <v>5</v>
      </c>
      <c r="H203" s="78">
        <f>IFERROR(__xludf.DUMMYFUNCTION("""COMPUTED_VALUE"""),9.0)</f>
        <v>9</v>
      </c>
      <c r="I203" s="78" t="str">
        <f>IFERROR(__xludf.DUMMYFUNCTION("""COMPUTED_VALUE"""),"E")</f>
        <v>E</v>
      </c>
      <c r="J203" s="78">
        <f>IFERROR(__xludf.DUMMYFUNCTION("""COMPUTED_VALUE"""),4.5)</f>
        <v>4.5</v>
      </c>
      <c r="K203" s="76"/>
      <c r="L203" s="76" t="str">
        <f>IFERROR(__xludf.DUMMYFUNCTION("""COMPUTED_VALUE"""),"Mexico")</f>
        <v>Mexico</v>
      </c>
      <c r="M203" s="76" t="str">
        <f>IFERROR(__xludf.DUMMYFUNCTION("""COMPUTED_VALUE"""),"Playa del Carmen")</f>
        <v>Playa del Carmen</v>
      </c>
      <c r="N203" s="76" t="str">
        <f>IFERROR(__xludf.DUMMYFUNCTION("""COMPUTED_VALUE"""),"Cancun")</f>
        <v>Cancun</v>
      </c>
      <c r="O203" s="78" t="b">
        <f>IFERROR(__xludf.DUMMYFUNCTION("""COMPUTED_VALUE"""),TRUE)</f>
        <v>1</v>
      </c>
      <c r="P203" s="80">
        <f>IFERROR(__xludf.DUMMYFUNCTION("""COMPUTED_VALUE"""),0.030555555555555555)</f>
        <v>0.03055555556</v>
      </c>
      <c r="Q203" s="76" t="str">
        <f>IFERROR(__xludf.DUMMYFUNCTION("""COMPUTED_VALUE"""),"Hyatt")</f>
        <v>Hyatt</v>
      </c>
      <c r="R203" s="76" t="str">
        <f>IFERROR(__xludf.DUMMYFUNCTION("""COMPUTED_VALUE"""),"Luxury, Business")</f>
        <v>Luxury, Business</v>
      </c>
      <c r="S203" s="76" t="str">
        <f>IFERROR(__xludf.DUMMYFUNCTION("""COMPUTED_VALUE"""),"Beach, Great Food, Swim Out/Plunge Pool Rooms, Heated Pool, Gym, Buffet, Swim Up Bar, Evening Entertainment, Nightclub, Wifi (Free), Yoga Classes, Room Service, Tennis, Spa")</f>
        <v>Beach, Great Food, Swim Out/Plunge Pool Rooms, Heated Pool, Gym, Buffet, Swim Up Bar, Evening Entertainment, Nightclub, Wifi (Free), Yoga Classes, Room Service, Tennis, Spa</v>
      </c>
      <c r="T203" s="76"/>
      <c r="U203" s="76"/>
      <c r="V203" s="78" t="b">
        <f>IFERROR(__xludf.DUMMYFUNCTION("""COMPUTED_VALUE"""),TRUE)</f>
        <v>1</v>
      </c>
      <c r="W203" s="78">
        <f>IFERROR(__xludf.DUMMYFUNCTION("""COMPUTED_VALUE"""),485.0)</f>
        <v>485</v>
      </c>
      <c r="X203" s="78">
        <f>IFERROR(__xludf.DUMMYFUNCTION("""COMPUTED_VALUE"""),2021.0)</f>
        <v>2021</v>
      </c>
      <c r="Y203" s="78"/>
      <c r="Z203" s="81">
        <f>IFERROR(__xludf.DUMMYFUNCTION("""COMPUTED_VALUE"""),8.0)</f>
        <v>8</v>
      </c>
    </row>
    <row r="204">
      <c r="A204" s="65" t="str">
        <f>IFERROR(__xludf.DUMMYFUNCTION("""COMPUTED_VALUE"""),"Majestic Colonial Punta Cana")</f>
        <v>Majestic Colonial Punta Cana</v>
      </c>
      <c r="B204" s="66">
        <f>IFERROR(__xludf.DUMMYFUNCTION("""COMPUTED_VALUE"""),89.8)</f>
        <v>89.8</v>
      </c>
      <c r="C204" s="67" t="str">
        <f>IFERROR(__xludf.DUMMYFUNCTION("""COMPUTED_VALUE"""),"Family")</f>
        <v>Family</v>
      </c>
      <c r="D204" s="85">
        <f>IFERROR(__xludf.DUMMYFUNCTION("""COMPUTED_VALUE"""),3590.72)</f>
        <v>3590.72</v>
      </c>
      <c r="E204" s="79">
        <f>IFERROR(__xludf.DUMMYFUNCTION("""COMPUTED_VALUE"""),4958.963496927999)</f>
        <v>4958.963497</v>
      </c>
      <c r="F204" s="69">
        <f>IFERROR(__xludf.DUMMYFUNCTION("""COMPUTED_VALUE"""),2.73)</f>
        <v>2.73</v>
      </c>
      <c r="G204" s="70"/>
      <c r="H204" s="70">
        <f>IFERROR(__xludf.DUMMYFUNCTION("""COMPUTED_VALUE"""),8.0)</f>
        <v>8</v>
      </c>
      <c r="I204" s="70"/>
      <c r="J204" s="78">
        <f>IFERROR(__xludf.DUMMYFUNCTION("""COMPUTED_VALUE"""),5.0)</f>
        <v>5</v>
      </c>
      <c r="K204" s="71"/>
      <c r="L204" s="76" t="str">
        <f>IFERROR(__xludf.DUMMYFUNCTION("""COMPUTED_VALUE"""),"Dominican Republic")</f>
        <v>Dominican Republic</v>
      </c>
      <c r="M204" s="76" t="str">
        <f>IFERROR(__xludf.DUMMYFUNCTION("""COMPUTED_VALUE"""),"Bavaro")</f>
        <v>Bavaro</v>
      </c>
      <c r="N204" s="76" t="str">
        <f>IFERROR(__xludf.DUMMYFUNCTION("""COMPUTED_VALUE"""),"Punta Cana")</f>
        <v>Punta Cana</v>
      </c>
      <c r="O204" s="78" t="b">
        <f>IFERROR(__xludf.DUMMYFUNCTION("""COMPUTED_VALUE"""),TRUE)</f>
        <v>1</v>
      </c>
      <c r="P204" s="80">
        <f>IFERROR(__xludf.DUMMYFUNCTION("""COMPUTED_VALUE"""),0.018055555555555554)</f>
        <v>0.01805555556</v>
      </c>
      <c r="Q204" s="76" t="str">
        <f>IFERROR(__xludf.DUMMYFUNCTION("""COMPUTED_VALUE"""),"Majestic Resorts")</f>
        <v>Majestic Resorts</v>
      </c>
      <c r="R204" s="76" t="str">
        <f>IFERROR(__xludf.DUMMYFUNCTION("""COMPUTED_VALUE"""),"Great View, Romantic")</f>
        <v>Great View, Romantic</v>
      </c>
      <c r="S204" s="76" t="str">
        <f>IFERROR(__xludf.DUMMYFUNCTION("""COMPUTED_VALUE"""),"Beach, Swim Out/Plunge Pool Rooms, Adults Only Rooms, Kids Club, Kids Waterpark, Pool Slide, Water Feature, Gym, Casino, Buffet, Tennis, Nightclub, Babysitting, Adult Pool, Swim Up Bar, Diving, Evening Entertainment, Spa")</f>
        <v>Beach, Swim Out/Plunge Pool Rooms, Adults Only Rooms, Kids Club, Kids Waterpark, Pool Slide, Water Feature, Gym, Casino, Buffet, Tennis, Nightclub, Babysitting, Adult Pool, Swim Up Bar, Diving, Evening Entertainment, Spa</v>
      </c>
      <c r="T204" s="76"/>
      <c r="U204" s="76" t="str">
        <f>IFERROR(__xludf.DUMMYFUNCTION("""COMPUTED_VALUE"""),"1 King or 2 Queen")</f>
        <v>1 King or 2 Queen</v>
      </c>
      <c r="V204" s="70" t="b">
        <f>IFERROR(__xludf.DUMMYFUNCTION("""COMPUTED_VALUE"""),FALSE)</f>
        <v>0</v>
      </c>
      <c r="W204" s="70">
        <f>IFERROR(__xludf.DUMMYFUNCTION("""COMPUTED_VALUE"""),658.0)</f>
        <v>658</v>
      </c>
      <c r="X204" s="70">
        <f>IFERROR(__xludf.DUMMYFUNCTION("""COMPUTED_VALUE"""),2005.0)</f>
        <v>2005</v>
      </c>
      <c r="Y204" s="70">
        <f>IFERROR(__xludf.DUMMYFUNCTION("""COMPUTED_VALUE"""),2017.0)</f>
        <v>2017</v>
      </c>
      <c r="Z204" s="83">
        <f>IFERROR(__xludf.DUMMYFUNCTION("""COMPUTED_VALUE"""),4.0)</f>
        <v>4</v>
      </c>
    </row>
    <row r="205">
      <c r="A205" s="65" t="str">
        <f>IFERROR(__xludf.DUMMYFUNCTION("""COMPUTED_VALUE"""),"El Dorado Royale by Karisma")</f>
        <v>El Dorado Royale by Karisma</v>
      </c>
      <c r="B205" s="66">
        <f>IFERROR(__xludf.DUMMYFUNCTION("""COMPUTED_VALUE"""),89.8)</f>
        <v>89.8</v>
      </c>
      <c r="C205" s="67" t="str">
        <f>IFERROR(__xludf.DUMMYFUNCTION("""COMPUTED_VALUE"""),"Adults Only")</f>
        <v>Adults Only</v>
      </c>
      <c r="D205" s="68">
        <f>IFERROR(__xludf.DUMMYFUNCTION("""COMPUTED_VALUE"""),3776.0)</f>
        <v>3776</v>
      </c>
      <c r="E205" s="79">
        <f>IFERROR(__xludf.DUMMYFUNCTION("""COMPUTED_VALUE"""),5214.8444223999995)</f>
        <v>5214.844422</v>
      </c>
      <c r="F205" s="69">
        <f>IFERROR(__xludf.DUMMYFUNCTION("""COMPUTED_VALUE"""),2.6)</f>
        <v>2.6</v>
      </c>
      <c r="G205" s="70"/>
      <c r="H205" s="70">
        <f>IFERROR(__xludf.DUMMYFUNCTION("""COMPUTED_VALUE"""),9.0)</f>
        <v>9</v>
      </c>
      <c r="I205" s="70"/>
      <c r="J205" s="70">
        <f>IFERROR(__xludf.DUMMYFUNCTION("""COMPUTED_VALUE"""),5.0)</f>
        <v>5</v>
      </c>
      <c r="K205" s="76"/>
      <c r="L205" s="76" t="str">
        <f>IFERROR(__xludf.DUMMYFUNCTION("""COMPUTED_VALUE"""),"Mexico")</f>
        <v>Mexico</v>
      </c>
      <c r="M205" s="76" t="str">
        <f>IFERROR(__xludf.DUMMYFUNCTION("""COMPUTED_VALUE"""),"Playa del Carmen")</f>
        <v>Playa del Carmen</v>
      </c>
      <c r="N205" s="76" t="str">
        <f>IFERROR(__xludf.DUMMYFUNCTION("""COMPUTED_VALUE"""),"Cancun")</f>
        <v>Cancun</v>
      </c>
      <c r="O205" s="70" t="b">
        <f>IFERROR(__xludf.DUMMYFUNCTION("""COMPUTED_VALUE"""),TRUE)</f>
        <v>1</v>
      </c>
      <c r="P205" s="73">
        <f>IFERROR(__xludf.DUMMYFUNCTION("""COMPUTED_VALUE"""),0.019444444444444445)</f>
        <v>0.01944444444</v>
      </c>
      <c r="Q205" s="71" t="str">
        <f>IFERROR(__xludf.DUMMYFUNCTION("""COMPUTED_VALUE"""),"Karisma")</f>
        <v>Karisma</v>
      </c>
      <c r="R205" s="71" t="str">
        <f>IFERROR(__xludf.DUMMYFUNCTION("""COMPUTED_VALUE"""),"Bay View, Green")</f>
        <v>Bay View, Green</v>
      </c>
      <c r="S205" s="71" t="str">
        <f>IFERROR(__xludf.DUMMYFUNCTION("""COMPUTED_VALUE"""),"Beach, Great Beach, Swim Out/Plunge Pool Rooms, Gym, Tennis, Lazy River, Room Service, Swim Up Bar, Fishing, Wifi (Free), Buffet, Evening Entertainment, Nightclub, Spa")</f>
        <v>Beach, Great Beach, Swim Out/Plunge Pool Rooms, Gym, Tennis, Lazy River, Room Service, Swim Up Bar, Fishing, Wifi (Free), Buffet, Evening Entertainment, Nightclub, Spa</v>
      </c>
      <c r="T205" s="71"/>
      <c r="U205" s="71"/>
      <c r="V205" s="70" t="b">
        <f>IFERROR(__xludf.DUMMYFUNCTION("""COMPUTED_VALUE"""),FALSE)</f>
        <v>0</v>
      </c>
      <c r="W205" s="70">
        <f>IFERROR(__xludf.DUMMYFUNCTION("""COMPUTED_VALUE"""),478.0)</f>
        <v>478</v>
      </c>
      <c r="X205" s="70">
        <f>IFERROR(__xludf.DUMMYFUNCTION("""COMPUTED_VALUE"""),2000.0)</f>
        <v>2000</v>
      </c>
      <c r="Y205" s="70"/>
      <c r="Z205" s="83">
        <f>IFERROR(__xludf.DUMMYFUNCTION("""COMPUTED_VALUE"""),3.0)</f>
        <v>3</v>
      </c>
    </row>
    <row r="206">
      <c r="A206" s="89" t="str">
        <f>IFERROR(__xludf.DUMMYFUNCTION("""COMPUTED_VALUE"""),"Secrets The Vine Cancun")</f>
        <v>Secrets The Vine Cancun</v>
      </c>
      <c r="B206" s="66">
        <f>IFERROR(__xludf.DUMMYFUNCTION("""COMPUTED_VALUE"""),89.8)</f>
        <v>89.8</v>
      </c>
      <c r="C206" s="78" t="str">
        <f>IFERROR(__xludf.DUMMYFUNCTION("""COMPUTED_VALUE"""),"Adults Only")</f>
        <v>Adults Only</v>
      </c>
      <c r="D206" s="85">
        <f>IFERROR(__xludf.DUMMYFUNCTION("""COMPUTED_VALUE"""),5147.0)</f>
        <v>5147</v>
      </c>
      <c r="E206" s="79">
        <f>IFERROR(__xludf.DUMMYFUNCTION("""COMPUTED_VALUE"""),7108.263835299999)</f>
        <v>7108.263835</v>
      </c>
      <c r="F206" s="69">
        <f>IFERROR(__xludf.DUMMYFUNCTION("""COMPUTED_VALUE"""),1.9)</f>
        <v>1.9</v>
      </c>
      <c r="G206" s="70"/>
      <c r="H206" s="70">
        <f>IFERROR(__xludf.DUMMYFUNCTION("""COMPUTED_VALUE"""),9.0)</f>
        <v>9</v>
      </c>
      <c r="I206" s="70" t="str">
        <f>IFERROR(__xludf.DUMMYFUNCTION("""COMPUTED_VALUE"""),"C")</f>
        <v>C</v>
      </c>
      <c r="J206" s="78">
        <f>IFERROR(__xludf.DUMMYFUNCTION("""COMPUTED_VALUE"""),5.0)</f>
        <v>5</v>
      </c>
      <c r="K206" s="76"/>
      <c r="L206" s="71" t="str">
        <f>IFERROR(__xludf.DUMMYFUNCTION("""COMPUTED_VALUE"""),"Mexico")</f>
        <v>Mexico</v>
      </c>
      <c r="M206" s="76" t="str">
        <f>IFERROR(__xludf.DUMMYFUNCTION("""COMPUTED_VALUE"""),"Cancun")</f>
        <v>Cancun</v>
      </c>
      <c r="N206" s="76" t="str">
        <f>IFERROR(__xludf.DUMMYFUNCTION("""COMPUTED_VALUE"""),"Cancun")</f>
        <v>Cancun</v>
      </c>
      <c r="O206" s="78" t="b">
        <f>IFERROR(__xludf.DUMMYFUNCTION("""COMPUTED_VALUE"""),TRUE)</f>
        <v>1</v>
      </c>
      <c r="P206" s="80">
        <f>IFERROR(__xludf.DUMMYFUNCTION("""COMPUTED_VALUE"""),0.013888888888888888)</f>
        <v>0.01388888889</v>
      </c>
      <c r="Q206" s="76" t="str">
        <f>IFERROR(__xludf.DUMMYFUNCTION("""COMPUTED_VALUE"""),"Hyatt")</f>
        <v>Hyatt</v>
      </c>
      <c r="R206" s="71" t="str">
        <f>IFERROR(__xludf.DUMMYFUNCTION("""COMPUTED_VALUE"""),"Modern, Ocean View")</f>
        <v>Modern, Ocean View</v>
      </c>
      <c r="S206" s="76" t="str">
        <f>IFERROR(__xludf.DUMMYFUNCTION("""COMPUTED_VALUE"""),"Beach, Great Food, Heated Pool, Gym, Diving, Buffet, Evening Entertainment, Nightclub, Wifi (Free), Room Service, Spa")</f>
        <v>Beach, Great Food, Heated Pool, Gym, Diving, Buffet, Evening Entertainment, Nightclub, Wifi (Free), Room Service, Spa</v>
      </c>
      <c r="T206" s="76"/>
      <c r="U206" s="76"/>
      <c r="V206" s="70" t="b">
        <f>IFERROR(__xludf.DUMMYFUNCTION("""COMPUTED_VALUE"""),TRUE)</f>
        <v>1</v>
      </c>
      <c r="W206" s="70">
        <f>IFERROR(__xludf.DUMMYFUNCTION("""COMPUTED_VALUE"""),497.0)</f>
        <v>497</v>
      </c>
      <c r="X206" s="70">
        <f>IFERROR(__xludf.DUMMYFUNCTION("""COMPUTED_VALUE"""),2012.0)</f>
        <v>2012</v>
      </c>
      <c r="Y206" s="70">
        <f>IFERROR(__xludf.DUMMYFUNCTION("""COMPUTED_VALUE"""),2020.0)</f>
        <v>2020</v>
      </c>
      <c r="Z206" s="83">
        <f>IFERROR(__xludf.DUMMYFUNCTION("""COMPUTED_VALUE"""),18.0)</f>
        <v>18</v>
      </c>
    </row>
    <row r="207">
      <c r="A207" s="65" t="str">
        <f>IFERROR(__xludf.DUMMYFUNCTION("""COMPUTED_VALUE"""),"Bahia Principe Luxury Bouganville")</f>
        <v>Bahia Principe Luxury Bouganville</v>
      </c>
      <c r="B207" s="66">
        <f>IFERROR(__xludf.DUMMYFUNCTION("""COMPUTED_VALUE"""),89.7)</f>
        <v>89.7</v>
      </c>
      <c r="C207" s="67" t="str">
        <f>IFERROR(__xludf.DUMMYFUNCTION("""COMPUTED_VALUE"""),"Adults Only")</f>
        <v>Adults Only</v>
      </c>
      <c r="D207" s="79">
        <f>IFERROR(__xludf.DUMMYFUNCTION("""COMPUTED_VALUE"""),2100.84)</f>
        <v>2100.84</v>
      </c>
      <c r="E207" s="79">
        <f>IFERROR(__xludf.DUMMYFUNCTION("""COMPUTED_VALUE"""),2901.3648719159996)</f>
        <v>2901.364872</v>
      </c>
      <c r="F207" s="69">
        <f>IFERROR(__xludf.DUMMYFUNCTION("""COMPUTED_VALUE"""),4.62)</f>
        <v>4.62</v>
      </c>
      <c r="G207" s="78"/>
      <c r="H207" s="78">
        <f>IFERROR(__xludf.DUMMYFUNCTION("""COMPUTED_VALUE"""),7.0)</f>
        <v>7</v>
      </c>
      <c r="I207" s="78"/>
      <c r="J207" s="78">
        <f>IFERROR(__xludf.DUMMYFUNCTION("""COMPUTED_VALUE"""),5.0)</f>
        <v>5</v>
      </c>
      <c r="K207" s="76"/>
      <c r="L207" s="76" t="str">
        <f>IFERROR(__xludf.DUMMYFUNCTION("""COMPUTED_VALUE"""),"Dominican Republic")</f>
        <v>Dominican Republic</v>
      </c>
      <c r="M207" s="76" t="str">
        <f>IFERROR(__xludf.DUMMYFUNCTION("""COMPUTED_VALUE"""),"El Soco")</f>
        <v>El Soco</v>
      </c>
      <c r="N207" s="76" t="str">
        <f>IFERROR(__xludf.DUMMYFUNCTION("""COMPUTED_VALUE"""),"Punta Cana")</f>
        <v>Punta Cana</v>
      </c>
      <c r="O207" s="78" t="b">
        <f>IFERROR(__xludf.DUMMYFUNCTION("""COMPUTED_VALUE"""),TRUE)</f>
        <v>1</v>
      </c>
      <c r="P207" s="80">
        <f>IFERROR(__xludf.DUMMYFUNCTION("""COMPUTED_VALUE"""),0.05277777777777778)</f>
        <v>0.05277777778</v>
      </c>
      <c r="Q207" s="76" t="str">
        <f>IFERROR(__xludf.DUMMYFUNCTION("""COMPUTED_VALUE"""),"Bahia Principe")</f>
        <v>Bahia Principe</v>
      </c>
      <c r="R207" s="76" t="str">
        <f>IFERROR(__xludf.DUMMYFUNCTION("""COMPUTED_VALUE"""),"Modern, Bay View")</f>
        <v>Modern, Bay View</v>
      </c>
      <c r="S207" s="76" t="str">
        <f>IFERROR(__xludf.DUMMYFUNCTION("""COMPUTED_VALUE"""),"Beach, Gym, Casino, Swim Up Bar, Golf Course, Evening Entertainment, Spa, Buffet, Tennis, Nightclub")</f>
        <v>Beach, Gym, Casino, Swim Up Bar, Golf Course, Evening Entertainment, Spa, Buffet, Tennis, Nightclub</v>
      </c>
      <c r="T207" s="76"/>
      <c r="U207" s="76"/>
      <c r="V207" s="78" t="b">
        <f>IFERROR(__xludf.DUMMYFUNCTION("""COMPUTED_VALUE"""),FALSE)</f>
        <v>0</v>
      </c>
      <c r="W207" s="78">
        <f>IFERROR(__xludf.DUMMYFUNCTION("""COMPUTED_VALUE"""),412.0)</f>
        <v>412</v>
      </c>
      <c r="X207" s="78">
        <f>IFERROR(__xludf.DUMMYFUNCTION("""COMPUTED_VALUE"""),2013.0)</f>
        <v>2013</v>
      </c>
      <c r="Y207" s="78"/>
      <c r="Z207" s="81">
        <f>IFERROR(__xludf.DUMMYFUNCTION("""COMPUTED_VALUE"""),3.0)</f>
        <v>3</v>
      </c>
    </row>
    <row r="208">
      <c r="A208" s="65" t="str">
        <f>IFERROR(__xludf.DUMMYFUNCTION("""COMPUTED_VALUE"""),"Barceló Maya Caribe")</f>
        <v>Barceló Maya Caribe</v>
      </c>
      <c r="B208" s="66">
        <f>IFERROR(__xludf.DUMMYFUNCTION("""COMPUTED_VALUE"""),89.7)</f>
        <v>89.7</v>
      </c>
      <c r="C208" s="67" t="str">
        <f>IFERROR(__xludf.DUMMYFUNCTION("""COMPUTED_VALUE"""),"Family")</f>
        <v>Family</v>
      </c>
      <c r="D208" s="85">
        <f>IFERROR(__xludf.DUMMYFUNCTION("""COMPUTED_VALUE"""),3353.0)</f>
        <v>3353</v>
      </c>
      <c r="E208" s="79">
        <f>IFERROR(__xludf.DUMMYFUNCTION("""COMPUTED_VALUE"""),4630.6603147)</f>
        <v>4630.660315</v>
      </c>
      <c r="F208" s="69">
        <f>IFERROR(__xludf.DUMMYFUNCTION("""COMPUTED_VALUE"""),2.89)</f>
        <v>2.89</v>
      </c>
      <c r="G208" s="78"/>
      <c r="H208" s="78">
        <f>IFERROR(__xludf.DUMMYFUNCTION("""COMPUTED_VALUE"""),7.0)</f>
        <v>7</v>
      </c>
      <c r="I208" s="78"/>
      <c r="J208" s="78">
        <f>IFERROR(__xludf.DUMMYFUNCTION("""COMPUTED_VALUE"""),4.5)</f>
        <v>4.5</v>
      </c>
      <c r="K208" s="76"/>
      <c r="L208" s="76" t="str">
        <f>IFERROR(__xludf.DUMMYFUNCTION("""COMPUTED_VALUE"""),"Mexico")</f>
        <v>Mexico</v>
      </c>
      <c r="M208" s="76" t="str">
        <f>IFERROR(__xludf.DUMMYFUNCTION("""COMPUTED_VALUE"""),"Solidaridad")</f>
        <v>Solidaridad</v>
      </c>
      <c r="N208" s="76" t="str">
        <f>IFERROR(__xludf.DUMMYFUNCTION("""COMPUTED_VALUE"""),"Cancun")</f>
        <v>Cancun</v>
      </c>
      <c r="O208" s="78" t="b">
        <f>IFERROR(__xludf.DUMMYFUNCTION("""COMPUTED_VALUE"""),TRUE)</f>
        <v>1</v>
      </c>
      <c r="P208" s="80">
        <f>IFERROR(__xludf.DUMMYFUNCTION("""COMPUTED_VALUE"""),0.04236111111111111)</f>
        <v>0.04236111111</v>
      </c>
      <c r="Q208" s="76" t="str">
        <f>IFERROR(__xludf.DUMMYFUNCTION("""COMPUTED_VALUE"""),"Barcelo")</f>
        <v>Barcelo</v>
      </c>
      <c r="R208" s="76" t="str">
        <f>IFERROR(__xludf.DUMMYFUNCTION("""COMPUTED_VALUE"""),"Green")</f>
        <v>Green</v>
      </c>
      <c r="S208" s="76" t="str">
        <f>IFERROR(__xludf.DUMMYFUNCTION("""COMPUTED_VALUE"""),"Beach, Swim Out/Plunge Pool Rooms, Kids Club, Kids Waterpark, Pool Slide, Water Feature, Flowrider, Gym, Diving, Adult Pool, Swim Up Bar, Snorkelling, Fishing, Spa, Babysitting, Wifi (Paid), Buffet, Mini Golf, Tennis, Evening Entertainment, Nightclub")</f>
        <v>Beach, Swim Out/Plunge Pool Rooms, Kids Club, Kids Waterpark, Pool Slide, Water Feature, Flowrider, Gym, Diving, Adult Pool, Swim Up Bar, Snorkelling, Fishing, Spa, Babysitting, Wifi (Paid), Buffet, Mini Golf, Tennis, Evening Entertainment, Nightclub</v>
      </c>
      <c r="T208" s="76"/>
      <c r="U208" s="76" t="str">
        <f>IFERROR(__xludf.DUMMYFUNCTION("""COMPUTED_VALUE"""),"1 King or 2 Double")</f>
        <v>1 King or 2 Double</v>
      </c>
      <c r="V208" s="78" t="b">
        <f>IFERROR(__xludf.DUMMYFUNCTION("""COMPUTED_VALUE"""),FALSE)</f>
        <v>0</v>
      </c>
      <c r="W208" s="78">
        <f>IFERROR(__xludf.DUMMYFUNCTION("""COMPUTED_VALUE"""),414.0)</f>
        <v>414</v>
      </c>
      <c r="X208" s="78"/>
      <c r="Y208" s="74">
        <f>IFERROR(__xludf.DUMMYFUNCTION("""COMPUTED_VALUE"""),2014.0)</f>
        <v>2014</v>
      </c>
      <c r="Z208" s="75">
        <f>IFERROR(__xludf.DUMMYFUNCTION("""COMPUTED_VALUE"""),3.0)</f>
        <v>3</v>
      </c>
    </row>
    <row r="209">
      <c r="A209" s="65" t="str">
        <f>IFERROR(__xludf.DUMMYFUNCTION("""COMPUTED_VALUE"""),"The Royal Sands All Suites Resort &amp; Spa")</f>
        <v>The Royal Sands All Suites Resort &amp; Spa</v>
      </c>
      <c r="B209" s="66">
        <f>IFERROR(__xludf.DUMMYFUNCTION("""COMPUTED_VALUE"""),89.7)</f>
        <v>89.7</v>
      </c>
      <c r="C209" s="67" t="str">
        <f>IFERROR(__xludf.DUMMYFUNCTION("""COMPUTED_VALUE"""),"Family")</f>
        <v>Family</v>
      </c>
      <c r="D209" s="79">
        <f>IFERROR(__xludf.DUMMYFUNCTION("""COMPUTED_VALUE"""),3430.78)</f>
        <v>3430.78</v>
      </c>
      <c r="E209" s="79">
        <f>IFERROR(__xludf.DUMMYFUNCTION("""COMPUTED_VALUE"""),4738.078375921999)</f>
        <v>4738.078376</v>
      </c>
      <c r="F209" s="69">
        <f>IFERROR(__xludf.DUMMYFUNCTION("""COMPUTED_VALUE"""),2.83)</f>
        <v>2.83</v>
      </c>
      <c r="G209" s="78"/>
      <c r="H209" s="74">
        <f>IFERROR(__xludf.DUMMYFUNCTION("""COMPUTED_VALUE"""),6.0)</f>
        <v>6</v>
      </c>
      <c r="I209" s="78"/>
      <c r="J209" s="78">
        <f>IFERROR(__xludf.DUMMYFUNCTION("""COMPUTED_VALUE"""),5.0)</f>
        <v>5</v>
      </c>
      <c r="K209" s="71"/>
      <c r="L209" s="76" t="str">
        <f>IFERROR(__xludf.DUMMYFUNCTION("""COMPUTED_VALUE"""),"Mexico")</f>
        <v>Mexico</v>
      </c>
      <c r="M209" s="76" t="str">
        <f>IFERROR(__xludf.DUMMYFUNCTION("""COMPUTED_VALUE"""),"Cancun")</f>
        <v>Cancun</v>
      </c>
      <c r="N209" s="76" t="str">
        <f>IFERROR(__xludf.DUMMYFUNCTION("""COMPUTED_VALUE"""),"Cancun")</f>
        <v>Cancun</v>
      </c>
      <c r="O209" s="78" t="b">
        <f>IFERROR(__xludf.DUMMYFUNCTION("""COMPUTED_VALUE"""),TRUE)</f>
        <v>1</v>
      </c>
      <c r="P209" s="80">
        <f>IFERROR(__xludf.DUMMYFUNCTION("""COMPUTED_VALUE"""),0.014583333333333334)</f>
        <v>0.01458333333</v>
      </c>
      <c r="Q209" s="76" t="str">
        <f>IFERROR(__xludf.DUMMYFUNCTION("""COMPUTED_VALUE"""),"Royal Resorts")</f>
        <v>Royal Resorts</v>
      </c>
      <c r="R209" s="71" t="str">
        <f>IFERROR(__xludf.DUMMYFUNCTION("""COMPUTED_VALUE"""),"Value, Great View")</f>
        <v>Value, Great View</v>
      </c>
      <c r="S209" s="76" t="str">
        <f>IFERROR(__xludf.DUMMYFUNCTION("""COMPUTED_VALUE"""),"Beach, Family Suite, 2 Bedroom Suites, Kids Club, Heated Pool, Gym, Tennis, Fishing, Wifi (Free), Babysitting, Buffet, Swim Up Bar, Diving, Snorkelling")</f>
        <v>Beach, Family Suite, 2 Bedroom Suites, Kids Club, Heated Pool, Gym, Tennis, Fishing, Wifi (Free), Babysitting, Buffet, Swim Up Bar, Diving, Snorkelling</v>
      </c>
      <c r="T209" s="76"/>
      <c r="U209" s="76" t="str">
        <f>IFERROR(__xludf.DUMMYFUNCTION("""COMPUTED_VALUE"""),"1 King and 2 Single Murphy")</f>
        <v>1 King and 2 Single Murphy</v>
      </c>
      <c r="V209" s="74" t="b">
        <f>IFERROR(__xludf.DUMMYFUNCTION("""COMPUTED_VALUE"""),TRUE)</f>
        <v>1</v>
      </c>
      <c r="W209" s="74">
        <f>IFERROR(__xludf.DUMMYFUNCTION("""COMPUTED_VALUE"""),340.0)</f>
        <v>340</v>
      </c>
      <c r="X209" s="74">
        <f>IFERROR(__xludf.DUMMYFUNCTION("""COMPUTED_VALUE"""),2000.0)</f>
        <v>2000</v>
      </c>
      <c r="Y209" s="74"/>
      <c r="Z209" s="75">
        <f>IFERROR(__xludf.DUMMYFUNCTION("""COMPUTED_VALUE"""),8.0)</f>
        <v>8</v>
      </c>
    </row>
    <row r="210">
      <c r="A210" s="65" t="str">
        <f>IFERROR(__xludf.DUMMYFUNCTION("""COMPUTED_VALUE"""),"The Fives Oceanfront - Riviera Cancún")</f>
        <v>The Fives Oceanfront - Riviera Cancún</v>
      </c>
      <c r="B210" s="66">
        <f>IFERROR(__xludf.DUMMYFUNCTION("""COMPUTED_VALUE"""),89.7)</f>
        <v>89.7</v>
      </c>
      <c r="C210" s="67" t="str">
        <f>IFERROR(__xludf.DUMMYFUNCTION("""COMPUTED_VALUE"""),"Family")</f>
        <v>Family</v>
      </c>
      <c r="D210" s="79">
        <f>IFERROR(__xludf.DUMMYFUNCTION("""COMPUTED_VALUE"""),3572.0)</f>
        <v>3572</v>
      </c>
      <c r="E210" s="79">
        <f>IFERROR(__xludf.DUMMYFUNCTION("""COMPUTED_VALUE"""),4933.1102427999995)</f>
        <v>4933.110243</v>
      </c>
      <c r="F210" s="69">
        <f>IFERROR(__xludf.DUMMYFUNCTION("""COMPUTED_VALUE"""),2.72)</f>
        <v>2.72</v>
      </c>
      <c r="G210" s="78"/>
      <c r="H210" s="78">
        <f>IFERROR(__xludf.DUMMYFUNCTION("""COMPUTED_VALUE"""),7.0)</f>
        <v>7</v>
      </c>
      <c r="I210" s="78"/>
      <c r="J210" s="78">
        <f>IFERROR(__xludf.DUMMYFUNCTION("""COMPUTED_VALUE"""),4.0)</f>
        <v>4</v>
      </c>
      <c r="K210" s="76"/>
      <c r="L210" s="76" t="str">
        <f>IFERROR(__xludf.DUMMYFUNCTION("""COMPUTED_VALUE"""),"Mexico")</f>
        <v>Mexico</v>
      </c>
      <c r="M210" s="76" t="str">
        <f>IFERROR(__xludf.DUMMYFUNCTION("""COMPUTED_VALUE"""),"Puerto Morelos")</f>
        <v>Puerto Morelos</v>
      </c>
      <c r="N210" s="76" t="str">
        <f>IFERROR(__xludf.DUMMYFUNCTION("""COMPUTED_VALUE"""),"Cancun")</f>
        <v>Cancun</v>
      </c>
      <c r="O210" s="78" t="b">
        <f>IFERROR(__xludf.DUMMYFUNCTION("""COMPUTED_VALUE"""),TRUE)</f>
        <v>1</v>
      </c>
      <c r="P210" s="80">
        <f>IFERROR(__xludf.DUMMYFUNCTION("""COMPUTED_VALUE"""),0.01875)</f>
        <v>0.01875</v>
      </c>
      <c r="Q210" s="76" t="str">
        <f>IFERROR(__xludf.DUMMYFUNCTION("""COMPUTED_VALUE"""),"The Fives Hotels")</f>
        <v>The Fives Hotels</v>
      </c>
      <c r="R210" s="76" t="str">
        <f>IFERROR(__xludf.DUMMYFUNCTION("""COMPUTED_VALUE"""),"Charming, Romantic")</f>
        <v>Charming, Romantic</v>
      </c>
      <c r="S210" s="76" t="str">
        <f>IFERROR(__xludf.DUMMYFUNCTION("""COMPUTED_VALUE"""),"Beach, Swim Out/Plunge Pool Rooms, Family Suite, 2 Bedroom Suites, Gym, Bicycles Available, Diving, Windsurfing, Spa, Wifi (Free), Yoga Classes, Watersports Equipment Rentals, Fishing")</f>
        <v>Beach, Swim Out/Plunge Pool Rooms, Family Suite, 2 Bedroom Suites, Gym, Bicycles Available, Diving, Windsurfing, Spa, Wifi (Free), Yoga Classes, Watersports Equipment Rentals, Fishing</v>
      </c>
      <c r="T210" s="76" t="str">
        <f>IFERROR(__xludf.DUMMYFUNCTION("""COMPUTED_VALUE"""),"Can't Book Two Rooms")</f>
        <v>Can't Book Two Rooms</v>
      </c>
      <c r="U210" s="76" t="str">
        <f>IFERROR(__xludf.DUMMYFUNCTION("""COMPUTED_VALUE"""),"1 King and 1 Sofa Bed")</f>
        <v>1 King and 1 Sofa Bed</v>
      </c>
      <c r="V210" s="78" t="b">
        <f>IFERROR(__xludf.DUMMYFUNCTION("""COMPUTED_VALUE"""),FALSE)</f>
        <v>0</v>
      </c>
      <c r="W210" s="78">
        <f>IFERROR(__xludf.DUMMYFUNCTION("""COMPUTED_VALUE"""),94.0)</f>
        <v>94</v>
      </c>
      <c r="X210" s="78">
        <f>IFERROR(__xludf.DUMMYFUNCTION("""COMPUTED_VALUE"""),2019.0)</f>
        <v>2019</v>
      </c>
      <c r="Y210" s="78"/>
      <c r="Z210" s="81">
        <f>IFERROR(__xludf.DUMMYFUNCTION("""COMPUTED_VALUE"""),7.0)</f>
        <v>7</v>
      </c>
    </row>
    <row r="211">
      <c r="A211" s="65" t="str">
        <f>IFERROR(__xludf.DUMMYFUNCTION("""COMPUTED_VALUE"""),"Couples Swept Away (Couples only)")</f>
        <v>Couples Swept Away (Couples only)</v>
      </c>
      <c r="B211" s="66">
        <f>IFERROR(__xludf.DUMMYFUNCTION("""COMPUTED_VALUE"""),89.7)</f>
        <v>89.7</v>
      </c>
      <c r="C211" s="67" t="str">
        <f>IFERROR(__xludf.DUMMYFUNCTION("""COMPUTED_VALUE"""),"Adults Only")</f>
        <v>Adults Only</v>
      </c>
      <c r="D211" s="85">
        <f>IFERROR(__xludf.DUMMYFUNCTION("""COMPUTED_VALUE"""),3870.0)</f>
        <v>3870</v>
      </c>
      <c r="E211" s="79">
        <f>IFERROR(__xludf.DUMMYFUNCTION("""COMPUTED_VALUE"""),5344.663113)</f>
        <v>5344.663113</v>
      </c>
      <c r="F211" s="69">
        <f>IFERROR(__xludf.DUMMYFUNCTION("""COMPUTED_VALUE"""),2.51)</f>
        <v>2.51</v>
      </c>
      <c r="G211" s="78"/>
      <c r="H211" s="74">
        <f>IFERROR(__xludf.DUMMYFUNCTION("""COMPUTED_VALUE"""),8.0)</f>
        <v>8</v>
      </c>
      <c r="I211" s="78"/>
      <c r="J211" s="78">
        <f>IFERROR(__xludf.DUMMYFUNCTION("""COMPUTED_VALUE"""),5.0)</f>
        <v>5</v>
      </c>
      <c r="K211" s="71" t="str">
        <f>IFERROR(__xludf.DUMMYFUNCTION("""COMPUTED_VALUE"""),"Couples Only")</f>
        <v>Couples Only</v>
      </c>
      <c r="L211" s="76" t="str">
        <f>IFERROR(__xludf.DUMMYFUNCTION("""COMPUTED_VALUE"""),"Jamaica")</f>
        <v>Jamaica</v>
      </c>
      <c r="M211" s="76" t="str">
        <f>IFERROR(__xludf.DUMMYFUNCTION("""COMPUTED_VALUE"""),"Negril")</f>
        <v>Negril</v>
      </c>
      <c r="N211" s="76" t="str">
        <f>IFERROR(__xludf.DUMMYFUNCTION("""COMPUTED_VALUE"""),"Sangster")</f>
        <v>Sangster</v>
      </c>
      <c r="O211" s="78" t="b">
        <f>IFERROR(__xludf.DUMMYFUNCTION("""COMPUTED_VALUE"""),TRUE)</f>
        <v>1</v>
      </c>
      <c r="P211" s="80">
        <f>IFERROR(__xludf.DUMMYFUNCTION("""COMPUTED_VALUE"""),0.05555555555555555)</f>
        <v>0.05555555556</v>
      </c>
      <c r="Q211" s="76" t="str">
        <f>IFERROR(__xludf.DUMMYFUNCTION("""COMPUTED_VALUE"""),"Couples Resorts")</f>
        <v>Couples Resorts</v>
      </c>
      <c r="R211" s="76" t="str">
        <f>IFERROR(__xludf.DUMMYFUNCTION("""COMPUTED_VALUE"""),"Green, Great View")</f>
        <v>Green, Great View</v>
      </c>
      <c r="S211" s="76" t="str">
        <f>IFERROR(__xludf.DUMMYFUNCTION("""COMPUTED_VALUE"""),"Beach, Great Beach, Gym, Fishing, Spa, Yoga Classes, Buffet, Swim Up Bar, Diving, Snorkelling, Tennis, Evening Entertainment, Nightclub")</f>
        <v>Beach, Great Beach, Gym, Fishing, Spa, Yoga Classes, Buffet, Swim Up Bar, Diving, Snorkelling, Tennis, Evening Entertainment, Nightclub</v>
      </c>
      <c r="T211" s="76"/>
      <c r="U211" s="76"/>
      <c r="V211" s="74" t="b">
        <f>IFERROR(__xludf.DUMMYFUNCTION("""COMPUTED_VALUE"""),FALSE)</f>
        <v>0</v>
      </c>
      <c r="W211" s="74">
        <f>IFERROR(__xludf.DUMMYFUNCTION("""COMPUTED_VALUE"""),312.0)</f>
        <v>312</v>
      </c>
      <c r="X211" s="74">
        <f>IFERROR(__xludf.DUMMYFUNCTION("""COMPUTED_VALUE"""),1990.0)</f>
        <v>1990</v>
      </c>
      <c r="Y211" s="74">
        <f>IFERROR(__xludf.DUMMYFUNCTION("""COMPUTED_VALUE"""),2013.0)</f>
        <v>2013</v>
      </c>
      <c r="Z211" s="75">
        <f>IFERROR(__xludf.DUMMYFUNCTION("""COMPUTED_VALUE"""),3.0)</f>
        <v>3</v>
      </c>
    </row>
    <row r="212">
      <c r="A212" s="65" t="str">
        <f>IFERROR(__xludf.DUMMYFUNCTION("""COMPUTED_VALUE"""),"Zel Punta Cana")</f>
        <v>Zel Punta Cana</v>
      </c>
      <c r="B212" s="66">
        <f>IFERROR(__xludf.DUMMYFUNCTION("""COMPUTED_VALUE"""),89.7)</f>
        <v>89.7</v>
      </c>
      <c r="C212" s="67" t="str">
        <f>IFERROR(__xludf.DUMMYFUNCTION("""COMPUTED_VALUE"""),"Family")</f>
        <v>Family</v>
      </c>
      <c r="D212" s="79">
        <f>IFERROR(__xludf.DUMMYFUNCTION("""COMPUTED_VALUE"""),4708.0)</f>
        <v>4708</v>
      </c>
      <c r="E212" s="79">
        <f>IFERROR(__xludf.DUMMYFUNCTION("""COMPUTED_VALUE"""),6501.9829291999995)</f>
        <v>6501.982929</v>
      </c>
      <c r="F212" s="69">
        <f>IFERROR(__xludf.DUMMYFUNCTION("""COMPUTED_VALUE"""),2.06)</f>
        <v>2.06</v>
      </c>
      <c r="G212" s="78"/>
      <c r="H212" s="78" t="str">
        <f>IFERROR(__xludf.DUMMYFUNCTION("""COMPUTED_VALUE"""),"NYR")</f>
        <v>NYR</v>
      </c>
      <c r="I212" s="78"/>
      <c r="J212" s="78">
        <f>IFERROR(__xludf.DUMMYFUNCTION("""COMPUTED_VALUE"""),5.0)</f>
        <v>5</v>
      </c>
      <c r="K212" s="76"/>
      <c r="L212" s="76" t="str">
        <f>IFERROR(__xludf.DUMMYFUNCTION("""COMPUTED_VALUE"""),"Dominican Republic")</f>
        <v>Dominican Republic</v>
      </c>
      <c r="M212" s="76" t="str">
        <f>IFERROR(__xludf.DUMMYFUNCTION("""COMPUTED_VALUE"""),"Bavaro")</f>
        <v>Bavaro</v>
      </c>
      <c r="N212" s="76" t="str">
        <f>IFERROR(__xludf.DUMMYFUNCTION("""COMPUTED_VALUE"""),"Punta Cana")</f>
        <v>Punta Cana</v>
      </c>
      <c r="O212" s="78" t="b">
        <f>IFERROR(__xludf.DUMMYFUNCTION("""COMPUTED_VALUE"""),TRUE)</f>
        <v>1</v>
      </c>
      <c r="P212" s="80">
        <f>IFERROR(__xludf.DUMMYFUNCTION("""COMPUTED_VALUE"""),0.015277777777777777)</f>
        <v>0.01527777778</v>
      </c>
      <c r="Q212" s="76" t="str">
        <f>IFERROR(__xludf.DUMMYFUNCTION("""COMPUTED_VALUE"""),"Melia")</f>
        <v>Melia</v>
      </c>
      <c r="R212" s="76" t="str">
        <f>IFERROR(__xludf.DUMMYFUNCTION("""COMPUTED_VALUE"""),"Modern, Business")</f>
        <v>Modern, Business</v>
      </c>
      <c r="S212" s="76" t="str">
        <f>IFERROR(__xludf.DUMMYFUNCTION("""COMPUTED_VALUE"""),"Beach, Swim Out/Plunge Pool Rooms, Family Suite, 2 Bedroom Suites, Kids Club, Lazy River, Pool Slide, Water Feature, Gym, Casino, Yoga Classes, Golf Course, Watersports Equipment Rentals, Spa, Swim Up Bar, Buffet, Tennis")</f>
        <v>Beach, Swim Out/Plunge Pool Rooms, Family Suite, 2 Bedroom Suites, Kids Club, Lazy River, Pool Slide, Water Feature, Gym, Casino, Yoga Classes, Golf Course, Watersports Equipment Rentals, Spa, Swim Up Bar, Buffet, Tennis</v>
      </c>
      <c r="T212" s="76"/>
      <c r="U212" s="76" t="str">
        <f>IFERROR(__xludf.DUMMYFUNCTION("""COMPUTED_VALUE"""),"1 King or 2 Double")</f>
        <v>1 King or 2 Double</v>
      </c>
      <c r="V212" s="78" t="b">
        <f>IFERROR(__xludf.DUMMYFUNCTION("""COMPUTED_VALUE"""),FALSE)</f>
        <v>0</v>
      </c>
      <c r="W212" s="78">
        <f>IFERROR(__xludf.DUMMYFUNCTION("""COMPUTED_VALUE"""),190.0)</f>
        <v>190</v>
      </c>
      <c r="X212" s="78"/>
      <c r="Y212" s="78">
        <f>IFERROR(__xludf.DUMMYFUNCTION("""COMPUTED_VALUE"""),2024.0)</f>
        <v>2024</v>
      </c>
      <c r="Z212" s="81"/>
    </row>
    <row r="213">
      <c r="A213" s="65" t="str">
        <f>IFERROR(__xludf.DUMMYFUNCTION("""COMPUTED_VALUE"""),"Margaritaville Island Reserve Riviera Maya by Karisma - Adults Only")</f>
        <v>Margaritaville Island Reserve Riviera Maya by Karisma - Adults Only</v>
      </c>
      <c r="B213" s="66">
        <f>IFERROR(__xludf.DUMMYFUNCTION("""COMPUTED_VALUE"""),89.7)</f>
        <v>89.7</v>
      </c>
      <c r="C213" s="67" t="str">
        <f>IFERROR(__xludf.DUMMYFUNCTION("""COMPUTED_VALUE"""),"Adults Only")</f>
        <v>Adults Only</v>
      </c>
      <c r="D213" s="85">
        <f>IFERROR(__xludf.DUMMYFUNCTION("""COMPUTED_VALUE"""),4794.0)</f>
        <v>4794</v>
      </c>
      <c r="E213" s="79">
        <f>IFERROR(__xludf.DUMMYFUNCTION("""COMPUTED_VALUE"""),6620.7532206)</f>
        <v>6620.753221</v>
      </c>
      <c r="F213" s="69">
        <f>IFERROR(__xludf.DUMMYFUNCTION("""COMPUTED_VALUE"""),2.02)</f>
        <v>2.02</v>
      </c>
      <c r="G213" s="78"/>
      <c r="H213" s="78" t="str">
        <f>IFERROR(__xludf.DUMMYFUNCTION("""COMPUTED_VALUE"""),"NYR")</f>
        <v>NYR</v>
      </c>
      <c r="I213" s="78"/>
      <c r="J213" s="78">
        <f>IFERROR(__xludf.DUMMYFUNCTION("""COMPUTED_VALUE"""),4.5)</f>
        <v>4.5</v>
      </c>
      <c r="K213" s="76"/>
      <c r="L213" s="76" t="str">
        <f>IFERROR(__xludf.DUMMYFUNCTION("""COMPUTED_VALUE"""),"Mexico")</f>
        <v>Mexico</v>
      </c>
      <c r="M213" s="76" t="str">
        <f>IFERROR(__xludf.DUMMYFUNCTION("""COMPUTED_VALUE"""),"Puerto Morelos")</f>
        <v>Puerto Morelos</v>
      </c>
      <c r="N213" s="87" t="str">
        <f>IFERROR(__xludf.DUMMYFUNCTION("""COMPUTED_VALUE"""),"Cancun")</f>
        <v>Cancun</v>
      </c>
      <c r="O213" s="78" t="b">
        <f>IFERROR(__xludf.DUMMYFUNCTION("""COMPUTED_VALUE"""),TRUE)</f>
        <v>1</v>
      </c>
      <c r="P213" s="80">
        <f>IFERROR(__xludf.DUMMYFUNCTION("""COMPUTED_VALUE"""),0.014583333333333334)</f>
        <v>0.01458333333</v>
      </c>
      <c r="Q213" s="76" t="str">
        <f>IFERROR(__xludf.DUMMYFUNCTION("""COMPUTED_VALUE"""),"Margaritaville")</f>
        <v>Margaritaville</v>
      </c>
      <c r="R213" s="76" t="str">
        <f>IFERROR(__xludf.DUMMYFUNCTION("""COMPUTED_VALUE"""),"Romantic")</f>
        <v>Romantic</v>
      </c>
      <c r="S213" s="76" t="str">
        <f>IFERROR(__xludf.DUMMYFUNCTION("""COMPUTED_VALUE"""),"Beach, Gym, Buffet, Wifi (Free), Swim Up Bar, Evening Entertainment, Nightclub, Spa")</f>
        <v>Beach, Gym, Buffet, Wifi (Free), Swim Up Bar, Evening Entertainment, Nightclub, Spa</v>
      </c>
      <c r="T213" s="76"/>
      <c r="U213" s="76"/>
      <c r="V213" s="78" t="b">
        <f>IFERROR(__xludf.DUMMYFUNCTION("""COMPUTED_VALUE"""),FALSE)</f>
        <v>0</v>
      </c>
      <c r="W213" s="78">
        <f>IFERROR(__xludf.DUMMYFUNCTION("""COMPUTED_VALUE"""),146.0)</f>
        <v>146</v>
      </c>
      <c r="X213" s="78">
        <f>IFERROR(__xludf.DUMMYFUNCTION("""COMPUTED_VALUE"""),2008.0)</f>
        <v>2008</v>
      </c>
      <c r="Y213" s="78"/>
      <c r="Z213" s="81">
        <f>IFERROR(__xludf.DUMMYFUNCTION("""COMPUTED_VALUE"""),3.0)</f>
        <v>3</v>
      </c>
    </row>
    <row r="214">
      <c r="A214" s="65" t="str">
        <f>IFERROR(__xludf.DUMMYFUNCTION("""COMPUTED_VALUE"""),"Windjammer Landing Villa Beach Resort")</f>
        <v>Windjammer Landing Villa Beach Resort</v>
      </c>
      <c r="B214" s="66">
        <f>IFERROR(__xludf.DUMMYFUNCTION("""COMPUTED_VALUE"""),89.7)</f>
        <v>89.7</v>
      </c>
      <c r="C214" s="67" t="str">
        <f>IFERROR(__xludf.DUMMYFUNCTION("""COMPUTED_VALUE"""),"Family")</f>
        <v>Family</v>
      </c>
      <c r="D214" s="79">
        <f>IFERROR(__xludf.DUMMYFUNCTION("""COMPUTED_VALUE"""),5606.16)</f>
        <v>5606.16</v>
      </c>
      <c r="E214" s="79">
        <f>IFERROR(__xludf.DUMMYFUNCTION("""COMPUTED_VALUE"""),7742.386707383999)</f>
        <v>7742.386707</v>
      </c>
      <c r="F214" s="69">
        <f>IFERROR(__xludf.DUMMYFUNCTION("""COMPUTED_VALUE"""),1.73)</f>
        <v>1.73</v>
      </c>
      <c r="G214" s="78"/>
      <c r="H214" s="78">
        <f>IFERROR(__xludf.DUMMYFUNCTION("""COMPUTED_VALUE"""),9.0)</f>
        <v>9</v>
      </c>
      <c r="I214" s="78"/>
      <c r="J214" s="78"/>
      <c r="K214" s="76"/>
      <c r="L214" s="76" t="str">
        <f>IFERROR(__xludf.DUMMYFUNCTION("""COMPUTED_VALUE"""),"Saint Lucia")</f>
        <v>Saint Lucia</v>
      </c>
      <c r="M214" s="76" t="str">
        <f>IFERROR(__xludf.DUMMYFUNCTION("""COMPUTED_VALUE"""),"St. Lucia")</f>
        <v>St. Lucia</v>
      </c>
      <c r="N214" s="76" t="str">
        <f>IFERROR(__xludf.DUMMYFUNCTION("""COMPUTED_VALUE"""),"Hewanorra")</f>
        <v>Hewanorra</v>
      </c>
      <c r="O214" s="78" t="b">
        <f>IFERROR(__xludf.DUMMYFUNCTION("""COMPUTED_VALUE"""),FALSE)</f>
        <v>0</v>
      </c>
      <c r="P214" s="80">
        <f>IFERROR(__xludf.DUMMYFUNCTION("""COMPUTED_VALUE"""),0.058333333333333334)</f>
        <v>0.05833333333</v>
      </c>
      <c r="Q214" s="76"/>
      <c r="R214" s="76" t="str">
        <f>IFERROR(__xludf.DUMMYFUNCTION("""COMPUTED_VALUE"""),"Family, Romantic")</f>
        <v>Family, Romantic</v>
      </c>
      <c r="S214" s="76" t="str">
        <f>IFERROR(__xludf.DUMMYFUNCTION("""COMPUTED_VALUE"""),"Beach, Swim Out/Plunge Pool Rooms, Family Suite, 2 Bedroom Suites, Kids Club, Teen Club, Gym, Yoga Classes, Hiking, Snorkelling, Watersports Equipment Rentals, Evening Entertainment, Wifi (Free), Babysitting, Room Service, Diving, Horseback Riding, Tennis"&amp;", Windsurfing, Fishing, Spa")</f>
        <v>Beach, Swim Out/Plunge Pool Rooms, Family Suite, 2 Bedroom Suites, Kids Club, Teen Club, Gym, Yoga Classes, Hiking, Snorkelling, Watersports Equipment Rentals, Evening Entertainment, Wifi (Free), Babysitting, Room Service, Diving, Horseback Riding, Tennis, Windsurfing, Fishing, Spa</v>
      </c>
      <c r="T214" s="76"/>
      <c r="U214" s="76" t="str">
        <f>IFERROR(__xludf.DUMMYFUNCTION("""COMPUTED_VALUE"""),"1 King")</f>
        <v>1 King</v>
      </c>
      <c r="V214" s="78" t="b">
        <f>IFERROR(__xludf.DUMMYFUNCTION("""COMPUTED_VALUE"""),FALSE)</f>
        <v>0</v>
      </c>
      <c r="W214" s="78">
        <f>IFERROR(__xludf.DUMMYFUNCTION("""COMPUTED_VALUE"""),175.0)</f>
        <v>175</v>
      </c>
      <c r="X214" s="78">
        <f>IFERROR(__xludf.DUMMYFUNCTION("""COMPUTED_VALUE"""),1989.0)</f>
        <v>1989</v>
      </c>
      <c r="Y214" s="78">
        <f>IFERROR(__xludf.DUMMYFUNCTION("""COMPUTED_VALUE"""),2014.0)</f>
        <v>2014</v>
      </c>
      <c r="Z214" s="81">
        <f>IFERROR(__xludf.DUMMYFUNCTION("""COMPUTED_VALUE"""),1.0)</f>
        <v>1</v>
      </c>
    </row>
    <row r="215">
      <c r="A215" s="65" t="str">
        <f>IFERROR(__xludf.DUMMYFUNCTION("""COMPUTED_VALUE"""),"Sandals South Coast (Couples only)")</f>
        <v>Sandals South Coast (Couples only)</v>
      </c>
      <c r="B215" s="66">
        <f>IFERROR(__xludf.DUMMYFUNCTION("""COMPUTED_VALUE"""),89.7)</f>
        <v>89.7</v>
      </c>
      <c r="C215" s="67" t="str">
        <f>IFERROR(__xludf.DUMMYFUNCTION("""COMPUTED_VALUE"""),"Adults Only")</f>
        <v>Adults Only</v>
      </c>
      <c r="D215" s="79">
        <f>IFERROR(__xludf.DUMMYFUNCTION("""COMPUTED_VALUE"""),6848.1)</f>
        <v>6848.1</v>
      </c>
      <c r="E215" s="79">
        <f>IFERROR(__xludf.DUMMYFUNCTION("""COMPUTED_VALUE"""),9457.56782019)</f>
        <v>9457.56782</v>
      </c>
      <c r="F215" s="69">
        <f>IFERROR(__xludf.DUMMYFUNCTION("""COMPUTED_VALUE"""),1.42)</f>
        <v>1.42</v>
      </c>
      <c r="G215" s="78">
        <f>IFERROR(__xludf.DUMMYFUNCTION("""COMPUTED_VALUE"""),4.0)</f>
        <v>4</v>
      </c>
      <c r="H215" s="74" t="str">
        <f>IFERROR(__xludf.DUMMYFUNCTION("""COMPUTED_VALUE"""),"NYR")</f>
        <v>NYR</v>
      </c>
      <c r="I215" s="78"/>
      <c r="J215" s="78">
        <f>IFERROR(__xludf.DUMMYFUNCTION("""COMPUTED_VALUE"""),5.0)</f>
        <v>5</v>
      </c>
      <c r="K215" s="76" t="str">
        <f>IFERROR(__xludf.DUMMYFUNCTION("""COMPUTED_VALUE"""),"Couples Only")</f>
        <v>Couples Only</v>
      </c>
      <c r="L215" s="76" t="str">
        <f>IFERROR(__xludf.DUMMYFUNCTION("""COMPUTED_VALUE"""),"Jamaica")</f>
        <v>Jamaica</v>
      </c>
      <c r="M215" s="76" t="str">
        <f>IFERROR(__xludf.DUMMYFUNCTION("""COMPUTED_VALUE"""),"White House")</f>
        <v>White House</v>
      </c>
      <c r="N215" s="76" t="str">
        <f>IFERROR(__xludf.DUMMYFUNCTION("""COMPUTED_VALUE"""),"Sangster")</f>
        <v>Sangster</v>
      </c>
      <c r="O215" s="78" t="b">
        <f>IFERROR(__xludf.DUMMYFUNCTION("""COMPUTED_VALUE"""),TRUE)</f>
        <v>1</v>
      </c>
      <c r="P215" s="80">
        <f>IFERROR(__xludf.DUMMYFUNCTION("""COMPUTED_VALUE"""),0.05555555555555555)</f>
        <v>0.05555555556</v>
      </c>
      <c r="Q215" s="76" t="str">
        <f>IFERROR(__xludf.DUMMYFUNCTION("""COMPUTED_VALUE"""),"Sandals")</f>
        <v>Sandals</v>
      </c>
      <c r="R215" s="76" t="str">
        <f>IFERROR(__xludf.DUMMYFUNCTION("""COMPUTED_VALUE"""),"Bay View")</f>
        <v>Bay View</v>
      </c>
      <c r="S215" s="76" t="str">
        <f>IFERROR(__xludf.DUMMYFUNCTION("""COMPUTED_VALUE"""),"Beach, Swim Out/Plunge Pool Rooms, Gym, Diving, Wifi (Paid), Buffet, Evening Entertainment, Spa, Room Service, Swim Up Bar, Tennis, Nightclub")</f>
        <v>Beach, Swim Out/Plunge Pool Rooms, Gym, Diving, Wifi (Paid), Buffet, Evening Entertainment, Spa, Room Service, Swim Up Bar, Tennis, Nightclub</v>
      </c>
      <c r="T215" s="76"/>
      <c r="U215" s="76"/>
      <c r="V215" s="74" t="b">
        <f>IFERROR(__xludf.DUMMYFUNCTION("""COMPUTED_VALUE"""),FALSE)</f>
        <v>0</v>
      </c>
      <c r="W215" s="74">
        <f>IFERROR(__xludf.DUMMYFUNCTION("""COMPUTED_VALUE"""),372.0)</f>
        <v>372</v>
      </c>
      <c r="X215" s="74">
        <f>IFERROR(__xludf.DUMMYFUNCTION("""COMPUTED_VALUE"""),2005.0)</f>
        <v>2005</v>
      </c>
      <c r="Y215" s="74">
        <f>IFERROR(__xludf.DUMMYFUNCTION("""COMPUTED_VALUE"""),2020.0)</f>
        <v>2020</v>
      </c>
      <c r="Z215" s="75"/>
    </row>
    <row r="216">
      <c r="A216" s="65" t="str">
        <f>IFERROR(__xludf.DUMMYFUNCTION("""COMPUTED_VALUE"""),"Treasure Beach by Elegant Hotels - All-Inclusive, Adults Only (Non Refundable)")</f>
        <v>Treasure Beach by Elegant Hotels - All-Inclusive, Adults Only (Non Refundable)</v>
      </c>
      <c r="B216" s="66">
        <f>IFERROR(__xludf.DUMMYFUNCTION("""COMPUTED_VALUE"""),89.7)</f>
        <v>89.7</v>
      </c>
      <c r="C216" s="67" t="str">
        <f>IFERROR(__xludf.DUMMYFUNCTION("""COMPUTED_VALUE"""),"Adults Only")</f>
        <v>Adults Only</v>
      </c>
      <c r="D216" s="79">
        <f>IFERROR(__xludf.DUMMYFUNCTION("""COMPUTED_VALUE"""),7903.0)</f>
        <v>7903</v>
      </c>
      <c r="E216" s="79">
        <f>IFERROR(__xludf.DUMMYFUNCTION("""COMPUTED_VALUE"""),10914.4373597)</f>
        <v>10914.43736</v>
      </c>
      <c r="F216" s="69">
        <f>IFERROR(__xludf.DUMMYFUNCTION("""COMPUTED_VALUE"""),1.23)</f>
        <v>1.23</v>
      </c>
      <c r="G216" s="78"/>
      <c r="H216" s="78" t="str">
        <f>IFERROR(__xludf.DUMMYFUNCTION("""COMPUTED_VALUE"""),"NYR")</f>
        <v>NYR</v>
      </c>
      <c r="I216" s="78"/>
      <c r="J216" s="78">
        <f>IFERROR(__xludf.DUMMYFUNCTION("""COMPUTED_VALUE"""),4.0)</f>
        <v>4</v>
      </c>
      <c r="K216" s="76" t="str">
        <f>IFERROR(__xludf.DUMMYFUNCTION("""COMPUTED_VALUE"""),"Non Refundable")</f>
        <v>Non Refundable</v>
      </c>
      <c r="L216" s="76" t="str">
        <f>IFERROR(__xludf.DUMMYFUNCTION("""COMPUTED_VALUE"""),"Barbados")</f>
        <v>Barbados</v>
      </c>
      <c r="M216" s="76" t="str">
        <f>IFERROR(__xludf.DUMMYFUNCTION("""COMPUTED_VALUE"""),"Saint James Parish")</f>
        <v>Saint James Parish</v>
      </c>
      <c r="N216" s="76" t="str">
        <f>IFERROR(__xludf.DUMMYFUNCTION("""COMPUTED_VALUE"""),"Grantley Adams")</f>
        <v>Grantley Adams</v>
      </c>
      <c r="O216" s="78" t="b">
        <f>IFERROR(__xludf.DUMMYFUNCTION("""COMPUTED_VALUE"""),TRUE)</f>
        <v>1</v>
      </c>
      <c r="P216" s="80">
        <f>IFERROR(__xludf.DUMMYFUNCTION("""COMPUTED_VALUE"""),0.022222222222222223)</f>
        <v>0.02222222222</v>
      </c>
      <c r="Q216" s="76" t="str">
        <f>IFERROR(__xludf.DUMMYFUNCTION("""COMPUTED_VALUE"""),"Marriott")</f>
        <v>Marriott</v>
      </c>
      <c r="R216" s="76" t="str">
        <f>IFERROR(__xludf.DUMMYFUNCTION("""COMPUTED_VALUE"""),"Mid-Range, Boutique")</f>
        <v>Mid-Range, Boutique</v>
      </c>
      <c r="S216" s="76" t="str">
        <f>IFERROR(__xludf.DUMMYFUNCTION("""COMPUTED_VALUE"""),"Beach, Gym, Yoga Classes, Buffet, Snorkelling, Evening Entertainment, Wifi (Free), Room Service, Watersports Equipment Rentals")</f>
        <v>Beach, Gym, Yoga Classes, Buffet, Snorkelling, Evening Entertainment, Wifi (Free), Room Service, Watersports Equipment Rentals</v>
      </c>
      <c r="T216" s="76"/>
      <c r="U216" s="76"/>
      <c r="V216" s="78" t="b">
        <f>IFERROR(__xludf.DUMMYFUNCTION("""COMPUTED_VALUE"""),FALSE)</f>
        <v>0</v>
      </c>
      <c r="W216" s="78">
        <f>IFERROR(__xludf.DUMMYFUNCTION("""COMPUTED_VALUE"""),35.0)</f>
        <v>35</v>
      </c>
      <c r="X216" s="74">
        <f>IFERROR(__xludf.DUMMYFUNCTION("""COMPUTED_VALUE"""),1977.0)</f>
        <v>1977</v>
      </c>
      <c r="Y216" s="74">
        <f>IFERROR(__xludf.DUMMYFUNCTION("""COMPUTED_VALUE"""),2017.0)</f>
        <v>2017</v>
      </c>
      <c r="Z216" s="75">
        <f>IFERROR(__xludf.DUMMYFUNCTION("""COMPUTED_VALUE"""),3.0)</f>
        <v>3</v>
      </c>
    </row>
    <row r="217">
      <c r="A217" s="65" t="str">
        <f>IFERROR(__xludf.DUMMYFUNCTION("""COMPUTED_VALUE"""),"Marriott Cancun, An All-Inclusive Resort")</f>
        <v>Marriott Cancun, An All-Inclusive Resort</v>
      </c>
      <c r="B217" s="66">
        <f>IFERROR(__xludf.DUMMYFUNCTION("""COMPUTED_VALUE"""),89.7)</f>
        <v>89.7</v>
      </c>
      <c r="C217" s="67" t="str">
        <f>IFERROR(__xludf.DUMMYFUNCTION("""COMPUTED_VALUE"""),"Family")</f>
        <v>Family</v>
      </c>
      <c r="D217" s="85">
        <f>IFERROR(__xludf.DUMMYFUNCTION("""COMPUTED_VALUE"""),8707.0)</f>
        <v>8707</v>
      </c>
      <c r="E217" s="79">
        <f>IFERROR(__xludf.DUMMYFUNCTION("""COMPUTED_VALUE"""),12024.801479299998)</f>
        <v>12024.80148</v>
      </c>
      <c r="F217" s="69">
        <f>IFERROR(__xludf.DUMMYFUNCTION("""COMPUTED_VALUE"""),1.11)</f>
        <v>1.11</v>
      </c>
      <c r="G217" s="78"/>
      <c r="H217" s="78" t="str">
        <f>IFERROR(__xludf.DUMMYFUNCTION("""COMPUTED_VALUE"""),"NYR")</f>
        <v>NYR</v>
      </c>
      <c r="I217" s="78"/>
      <c r="J217" s="78">
        <f>IFERROR(__xludf.DUMMYFUNCTION("""COMPUTED_VALUE"""),4.0)</f>
        <v>4</v>
      </c>
      <c r="K217" s="76"/>
      <c r="L217" s="76" t="str">
        <f>IFERROR(__xludf.DUMMYFUNCTION("""COMPUTED_VALUE"""),"Mexico")</f>
        <v>Mexico</v>
      </c>
      <c r="M217" s="76" t="str">
        <f>IFERROR(__xludf.DUMMYFUNCTION("""COMPUTED_VALUE"""),"Cancun")</f>
        <v>Cancun</v>
      </c>
      <c r="N217" s="76" t="str">
        <f>IFERROR(__xludf.DUMMYFUNCTION("""COMPUTED_VALUE"""),"Cancun")</f>
        <v>Cancun</v>
      </c>
      <c r="O217" s="78" t="b">
        <f>IFERROR(__xludf.DUMMYFUNCTION("""COMPUTED_VALUE"""),TRUE)</f>
        <v>1</v>
      </c>
      <c r="P217" s="80">
        <f>IFERROR(__xludf.DUMMYFUNCTION("""COMPUTED_VALUE"""),0.014583333333333334)</f>
        <v>0.01458333333</v>
      </c>
      <c r="Q217" s="76" t="str">
        <f>IFERROR(__xludf.DUMMYFUNCTION("""COMPUTED_VALUE"""),"Marriott")</f>
        <v>Marriott</v>
      </c>
      <c r="R217" s="76" t="str">
        <f>IFERROR(__xludf.DUMMYFUNCTION("""COMPUTED_VALUE"""),"Quiet, Business")</f>
        <v>Quiet, Business</v>
      </c>
      <c r="S217" s="76" t="str">
        <f>IFERROR(__xludf.DUMMYFUNCTION("""COMPUTED_VALUE"""),"Beach, Kids Club, Kids Waterpark, Pool Slide, Water Feature, Arcade, Heated Pool, Gym, Diving, Wifi (Paid), Room Service, Watersports Equipment Rentals, Fishing, Spa, Babysitting, Buffet, Swim Up Bar")</f>
        <v>Beach, Kids Club, Kids Waterpark, Pool Slide, Water Feature, Arcade, Heated Pool, Gym, Diving, Wifi (Paid), Room Service, Watersports Equipment Rentals, Fishing, Spa, Babysitting, Buffet, Swim Up Bar</v>
      </c>
      <c r="T217" s="76"/>
      <c r="U217" s="76" t="str">
        <f>IFERROR(__xludf.DUMMYFUNCTION("""COMPUTED_VALUE"""),"1 King and Sofa Bed or 2 Double")</f>
        <v>1 King and Sofa Bed or 2 Double</v>
      </c>
      <c r="V217" s="78" t="b">
        <f>IFERROR(__xludf.DUMMYFUNCTION("""COMPUTED_VALUE"""),FALSE)</f>
        <v>0</v>
      </c>
      <c r="W217" s="78">
        <f>IFERROR(__xludf.DUMMYFUNCTION("""COMPUTED_VALUE"""),440.0)</f>
        <v>440</v>
      </c>
      <c r="X217" s="78">
        <f>IFERROR(__xludf.DUMMYFUNCTION("""COMPUTED_VALUE"""),1990.0)</f>
        <v>1990</v>
      </c>
      <c r="Y217" s="78">
        <f>IFERROR(__xludf.DUMMYFUNCTION("""COMPUTED_VALUE"""),2024.0)</f>
        <v>2024</v>
      </c>
      <c r="Z217" s="81">
        <f>IFERROR(__xludf.DUMMYFUNCTION("""COMPUTED_VALUE"""),6.0)</f>
        <v>6</v>
      </c>
    </row>
    <row r="218">
      <c r="A218" s="65" t="str">
        <f>IFERROR(__xludf.DUMMYFUNCTION("""COMPUTED_VALUE"""),"Sol Varadero Beach")</f>
        <v>Sol Varadero Beach</v>
      </c>
      <c r="B218" s="66">
        <f>IFERROR(__xludf.DUMMYFUNCTION("""COMPUTED_VALUE"""),89.5)</f>
        <v>89.5</v>
      </c>
      <c r="C218" s="67" t="str">
        <f>IFERROR(__xludf.DUMMYFUNCTION("""COMPUTED_VALUE"""),"Adults Only")</f>
        <v>Adults Only</v>
      </c>
      <c r="D218" s="79">
        <f>IFERROR(__xludf.DUMMYFUNCTION("""COMPUTED_VALUE"""),1421.0)</f>
        <v>1421</v>
      </c>
      <c r="E218" s="79">
        <f>IFERROR(__xludf.DUMMYFUNCTION("""COMPUTED_VALUE"""),1962.4719078999997)</f>
        <v>1962.471908</v>
      </c>
      <c r="F218" s="69">
        <f>IFERROR(__xludf.DUMMYFUNCTION("""COMPUTED_VALUE"""),6.69)</f>
        <v>6.69</v>
      </c>
      <c r="G218" s="70"/>
      <c r="H218" s="78">
        <f>IFERROR(__xludf.DUMMYFUNCTION("""COMPUTED_VALUE"""),4.0)</f>
        <v>4</v>
      </c>
      <c r="I218" s="78"/>
      <c r="J218" s="78">
        <f>IFERROR(__xludf.DUMMYFUNCTION("""COMPUTED_VALUE"""),4.0)</f>
        <v>4</v>
      </c>
      <c r="K218" s="71"/>
      <c r="L218" s="76" t="str">
        <f>IFERROR(__xludf.DUMMYFUNCTION("""COMPUTED_VALUE"""),"Cuba")</f>
        <v>Cuba</v>
      </c>
      <c r="M218" s="76" t="str">
        <f>IFERROR(__xludf.DUMMYFUNCTION("""COMPUTED_VALUE"""),"Varadero")</f>
        <v>Varadero</v>
      </c>
      <c r="N218" s="76" t="str">
        <f>IFERROR(__xludf.DUMMYFUNCTION("""COMPUTED_VALUE"""),"Varadero")</f>
        <v>Varadero</v>
      </c>
      <c r="O218" s="70" t="b">
        <f>IFERROR(__xludf.DUMMYFUNCTION("""COMPUTED_VALUE"""),TRUE)</f>
        <v>1</v>
      </c>
      <c r="P218" s="73">
        <f>IFERROR(__xludf.DUMMYFUNCTION("""COMPUTED_VALUE"""),0.01875)</f>
        <v>0.01875</v>
      </c>
      <c r="Q218" s="71"/>
      <c r="R218" s="76"/>
      <c r="S218" s="76" t="str">
        <f>IFERROR(__xludf.DUMMYFUNCTION("""COMPUTED_VALUE"""),"Beach, Great Beach, Gym, Buffet, Swim Up Bar, Snorkelling, Evening Entertainment, Tennis, Nightclub")</f>
        <v>Beach, Great Beach, Gym, Buffet, Swim Up Bar, Snorkelling, Evening Entertainment, Tennis, Nightclub</v>
      </c>
      <c r="T218" s="76"/>
      <c r="U218" s="76"/>
      <c r="V218" s="78" t="b">
        <f>IFERROR(__xludf.DUMMYFUNCTION("""COMPUTED_VALUE"""),FALSE)</f>
        <v>0</v>
      </c>
      <c r="W218" s="78">
        <f>IFERROR(__xludf.DUMMYFUNCTION("""COMPUTED_VALUE"""),582.0)</f>
        <v>582</v>
      </c>
      <c r="X218" s="78"/>
      <c r="Y218" s="78">
        <f>IFERROR(__xludf.DUMMYFUNCTION("""COMPUTED_VALUE"""),2005.0)</f>
        <v>2005</v>
      </c>
      <c r="Z218" s="81"/>
    </row>
    <row r="219">
      <c r="A219" s="65" t="str">
        <f>IFERROR(__xludf.DUMMYFUNCTION("""COMPUTED_VALUE"""),"Sanctuary at Grand Memories Holguin")</f>
        <v>Sanctuary at Grand Memories Holguin</v>
      </c>
      <c r="B219" s="66">
        <f>IFERROR(__xludf.DUMMYFUNCTION("""COMPUTED_VALUE"""),89.5)</f>
        <v>89.5</v>
      </c>
      <c r="C219" s="67" t="str">
        <f>IFERROR(__xludf.DUMMYFUNCTION("""COMPUTED_VALUE"""),"Adults Only")</f>
        <v>Adults Only</v>
      </c>
      <c r="D219" s="79">
        <f>IFERROR(__xludf.DUMMYFUNCTION("""COMPUTED_VALUE"""),1565.2)</f>
        <v>1565.2</v>
      </c>
      <c r="E219" s="79">
        <f>IFERROR(__xludf.DUMMYFUNCTION("""COMPUTED_VALUE"""),2161.61930348)</f>
        <v>2161.619303</v>
      </c>
      <c r="F219" s="69">
        <f>IFERROR(__xludf.DUMMYFUNCTION("""COMPUTED_VALUE"""),6.07)</f>
        <v>6.07</v>
      </c>
      <c r="G219" s="78"/>
      <c r="H219" s="78"/>
      <c r="I219" s="78"/>
      <c r="J219" s="78">
        <f>IFERROR(__xludf.DUMMYFUNCTION("""COMPUTED_VALUE"""),5.0)</f>
        <v>5</v>
      </c>
      <c r="K219" s="76"/>
      <c r="L219" s="76" t="str">
        <f>IFERROR(__xludf.DUMMYFUNCTION("""COMPUTED_VALUE"""),"Cuba")</f>
        <v>Cuba</v>
      </c>
      <c r="M219" s="76" t="str">
        <f>IFERROR(__xludf.DUMMYFUNCTION("""COMPUTED_VALUE"""),"Holguin")</f>
        <v>Holguin</v>
      </c>
      <c r="N219" s="76" t="str">
        <f>IFERROR(__xludf.DUMMYFUNCTION("""COMPUTED_VALUE"""),"Holguin")</f>
        <v>Holguin</v>
      </c>
      <c r="O219" s="78" t="b">
        <f>IFERROR(__xludf.DUMMYFUNCTION("""COMPUTED_VALUE"""),TRUE)</f>
        <v>1</v>
      </c>
      <c r="P219" s="80">
        <f>IFERROR(__xludf.DUMMYFUNCTION("""COMPUTED_VALUE"""),0.0798611111111111)</f>
        <v>0.07986111111</v>
      </c>
      <c r="Q219" s="76"/>
      <c r="R219" s="76" t="str">
        <f>IFERROR(__xludf.DUMMYFUNCTION("""COMPUTED_VALUE"""),"Business, Ocean View")</f>
        <v>Business, Ocean View</v>
      </c>
      <c r="S219" s="76" t="str">
        <f>IFERROR(__xludf.DUMMYFUNCTION("""COMPUTED_VALUE"""),"Beach, Gym, Yoga Classes, Buffet, Windsurfing, Evening Entertainment, Spa, Wifi (Free), Room Service, Swim Up Bar, Tennis, Nightclub")</f>
        <v>Beach, Gym, Yoga Classes, Buffet, Windsurfing, Evening Entertainment, Spa, Wifi (Free), Room Service, Swim Up Bar, Tennis, Nightclub</v>
      </c>
      <c r="T219" s="76"/>
      <c r="U219" s="76"/>
      <c r="V219" s="78" t="b">
        <f>IFERROR(__xludf.DUMMYFUNCTION("""COMPUTED_VALUE"""),FALSE)</f>
        <v>0</v>
      </c>
      <c r="W219" s="78"/>
      <c r="X219" s="78"/>
      <c r="Y219" s="78"/>
      <c r="Z219" s="81"/>
    </row>
    <row r="220">
      <c r="A220" s="65" t="str">
        <f>IFERROR(__xludf.DUMMYFUNCTION("""COMPUTED_VALUE"""),"Secrets Vallarta Bay Todo Incluido")</f>
        <v>Secrets Vallarta Bay Todo Incluido</v>
      </c>
      <c r="B220" s="66">
        <f>IFERROR(__xludf.DUMMYFUNCTION("""COMPUTED_VALUE"""),89.5)</f>
        <v>89.5</v>
      </c>
      <c r="C220" s="67" t="str">
        <f>IFERROR(__xludf.DUMMYFUNCTION("""COMPUTED_VALUE"""),"Adults Only")</f>
        <v>Adults Only</v>
      </c>
      <c r="D220" s="79">
        <f>IFERROR(__xludf.DUMMYFUNCTION("""COMPUTED_VALUE"""),3600.0)</f>
        <v>3600</v>
      </c>
      <c r="E220" s="79">
        <f>IFERROR(__xludf.DUMMYFUNCTION("""COMPUTED_VALUE"""),4971.77964)</f>
        <v>4971.77964</v>
      </c>
      <c r="F220" s="69">
        <f>IFERROR(__xludf.DUMMYFUNCTION("""COMPUTED_VALUE"""),2.64)</f>
        <v>2.64</v>
      </c>
      <c r="G220" s="78">
        <f>IFERROR(__xludf.DUMMYFUNCTION("""COMPUTED_VALUE"""),4.0)</f>
        <v>4</v>
      </c>
      <c r="H220" s="78">
        <f>IFERROR(__xludf.DUMMYFUNCTION("""COMPUTED_VALUE"""),8.0)</f>
        <v>8</v>
      </c>
      <c r="I220" s="78" t="str">
        <f>IFERROR(__xludf.DUMMYFUNCTION("""COMPUTED_VALUE"""),"C")</f>
        <v>C</v>
      </c>
      <c r="J220" s="78">
        <f>IFERROR(__xludf.DUMMYFUNCTION("""COMPUTED_VALUE"""),5.0)</f>
        <v>5</v>
      </c>
      <c r="K220" s="76"/>
      <c r="L220" s="76" t="str">
        <f>IFERROR(__xludf.DUMMYFUNCTION("""COMPUTED_VALUE"""),"Mexico")</f>
        <v>Mexico</v>
      </c>
      <c r="M220" s="76" t="str">
        <f>IFERROR(__xludf.DUMMYFUNCTION("""COMPUTED_VALUE"""),"Puerto Vallarta")</f>
        <v>Puerto Vallarta</v>
      </c>
      <c r="N220" s="76" t="str">
        <f>IFERROR(__xludf.DUMMYFUNCTION("""COMPUTED_VALUE"""),"Ordaz")</f>
        <v>Ordaz</v>
      </c>
      <c r="O220" s="78" t="b">
        <f>IFERROR(__xludf.DUMMYFUNCTION("""COMPUTED_VALUE"""),TRUE)</f>
        <v>1</v>
      </c>
      <c r="P220" s="80">
        <f>IFERROR(__xludf.DUMMYFUNCTION("""COMPUTED_VALUE"""),0.009027777777777777)</f>
        <v>0.009027777778</v>
      </c>
      <c r="Q220" s="76" t="str">
        <f>IFERROR(__xludf.DUMMYFUNCTION("""COMPUTED_VALUE"""),"Hyatt")</f>
        <v>Hyatt</v>
      </c>
      <c r="R220" s="76" t="str">
        <f>IFERROR(__xludf.DUMMYFUNCTION("""COMPUTED_VALUE"""),"Green, Modern")</f>
        <v>Green, Modern</v>
      </c>
      <c r="S220" s="76" t="str">
        <f>IFERROR(__xludf.DUMMYFUNCTION("""COMPUTED_VALUE"""),"Beach, Great Food, Swim Out/Plunge Pool Rooms, Heated Pool, Gym, Tennis, Buffet, Spa, Wifi (Free), Room Service, Swim Up Bar, Evening Entertainment, Nightclub")</f>
        <v>Beach, Great Food, Swim Out/Plunge Pool Rooms, Heated Pool, Gym, Tennis, Buffet, Spa, Wifi (Free), Room Service, Swim Up Bar, Evening Entertainment, Nightclub</v>
      </c>
      <c r="T220" s="76"/>
      <c r="U220" s="76"/>
      <c r="V220" s="78" t="b">
        <f>IFERROR(__xludf.DUMMYFUNCTION("""COMPUTED_VALUE"""),TRUE)</f>
        <v>1</v>
      </c>
      <c r="W220" s="78">
        <f>IFERROR(__xludf.DUMMYFUNCTION("""COMPUTED_VALUE"""),271.0)</f>
        <v>271</v>
      </c>
      <c r="X220" s="78">
        <f>IFERROR(__xludf.DUMMYFUNCTION("""COMPUTED_VALUE"""),2012.0)</f>
        <v>2012</v>
      </c>
      <c r="Y220" s="78">
        <f>IFERROR(__xludf.DUMMYFUNCTION("""COMPUTED_VALUE"""),2018.0)</f>
        <v>2018</v>
      </c>
      <c r="Z220" s="81">
        <f>IFERROR(__xludf.DUMMYFUNCTION("""COMPUTED_VALUE"""),15.0)</f>
        <v>15</v>
      </c>
    </row>
    <row r="221">
      <c r="A221" s="65" t="str">
        <f>IFERROR(__xludf.DUMMYFUNCTION("""COMPUTED_VALUE"""),"Resorts Hedonism (Hedonism II Resort) (Clothing optional)")</f>
        <v>Resorts Hedonism (Hedonism II Resort) (Clothing optional)</v>
      </c>
      <c r="B221" s="66">
        <f>IFERROR(__xludf.DUMMYFUNCTION("""COMPUTED_VALUE"""),89.5)</f>
        <v>89.5</v>
      </c>
      <c r="C221" s="67" t="str">
        <f>IFERROR(__xludf.DUMMYFUNCTION("""COMPUTED_VALUE"""),"Adults Only")</f>
        <v>Adults Only</v>
      </c>
      <c r="D221" s="79">
        <f>IFERROR(__xludf.DUMMYFUNCTION("""COMPUTED_VALUE"""),4410.0)</f>
        <v>4410</v>
      </c>
      <c r="E221" s="79">
        <f>IFERROR(__xludf.DUMMYFUNCTION("""COMPUTED_VALUE"""),6090.430058999999)</f>
        <v>6090.430059</v>
      </c>
      <c r="F221" s="69">
        <f>IFERROR(__xludf.DUMMYFUNCTION("""COMPUTED_VALUE"""),2.15)</f>
        <v>2.15</v>
      </c>
      <c r="G221" s="78"/>
      <c r="H221" s="78">
        <f>IFERROR(__xludf.DUMMYFUNCTION("""COMPUTED_VALUE"""),6.0)</f>
        <v>6</v>
      </c>
      <c r="I221" s="78"/>
      <c r="J221" s="78">
        <f>IFERROR(__xludf.DUMMYFUNCTION("""COMPUTED_VALUE"""),4.0)</f>
        <v>4</v>
      </c>
      <c r="K221" s="76" t="str">
        <f>IFERROR(__xludf.DUMMYFUNCTION("""COMPUTED_VALUE"""),"Clothing Optional")</f>
        <v>Clothing Optional</v>
      </c>
      <c r="L221" s="76" t="str">
        <f>IFERROR(__xludf.DUMMYFUNCTION("""COMPUTED_VALUE"""),"Jamaica")</f>
        <v>Jamaica</v>
      </c>
      <c r="M221" s="76" t="str">
        <f>IFERROR(__xludf.DUMMYFUNCTION("""COMPUTED_VALUE"""),"Negril")</f>
        <v>Negril</v>
      </c>
      <c r="N221" s="76" t="str">
        <f>IFERROR(__xludf.DUMMYFUNCTION("""COMPUTED_VALUE"""),"Sangster")</f>
        <v>Sangster</v>
      </c>
      <c r="O221" s="78" t="b">
        <f>IFERROR(__xludf.DUMMYFUNCTION("""COMPUTED_VALUE"""),TRUE)</f>
        <v>1</v>
      </c>
      <c r="P221" s="80">
        <f>IFERROR(__xludf.DUMMYFUNCTION("""COMPUTED_VALUE"""),0.05416666666666667)</f>
        <v>0.05416666667</v>
      </c>
      <c r="Q221" s="76"/>
      <c r="R221" s="76" t="str">
        <f>IFERROR(__xludf.DUMMYFUNCTION("""COMPUTED_VALUE"""),"Green, Bay View")</f>
        <v>Green, Bay View</v>
      </c>
      <c r="S221" s="76" t="str">
        <f>IFERROR(__xludf.DUMMYFUNCTION("""COMPUTED_VALUE"""),"Beach, Gym, Yoga Classes, Buffet, Swim Up Bar, Diving, Tennis, Windsurfing, Nightclub, Snorkelling, Watersports Equipment Rentals, Evening Entertainment, Spa")</f>
        <v>Beach, Gym, Yoga Classes, Buffet, Swim Up Bar, Diving, Tennis, Windsurfing, Nightclub, Snorkelling, Watersports Equipment Rentals, Evening Entertainment, Spa</v>
      </c>
      <c r="T221" s="76"/>
      <c r="U221" s="76"/>
      <c r="V221" s="78" t="b">
        <f>IFERROR(__xludf.DUMMYFUNCTION("""COMPUTED_VALUE"""),FALSE)</f>
        <v>0</v>
      </c>
      <c r="W221" s="78">
        <f>IFERROR(__xludf.DUMMYFUNCTION("""COMPUTED_VALUE"""),280.0)</f>
        <v>280</v>
      </c>
      <c r="X221" s="78">
        <f>IFERROR(__xludf.DUMMYFUNCTION("""COMPUTED_VALUE"""),1978.0)</f>
        <v>1978</v>
      </c>
      <c r="Y221" s="74">
        <f>IFERROR(__xludf.DUMMYFUNCTION("""COMPUTED_VALUE"""),2015.0)</f>
        <v>2015</v>
      </c>
      <c r="Z221" s="81">
        <f>IFERROR(__xludf.DUMMYFUNCTION("""COMPUTED_VALUE"""),2.0)</f>
        <v>2</v>
      </c>
    </row>
    <row r="222">
      <c r="A222" s="65" t="str">
        <f>IFERROR(__xludf.DUMMYFUNCTION("""COMPUTED_VALUE"""),"El Dorado Casitas Royale by Karisma")</f>
        <v>El Dorado Casitas Royale by Karisma</v>
      </c>
      <c r="B222" s="66">
        <f>IFERROR(__xludf.DUMMYFUNCTION("""COMPUTED_VALUE"""),89.5)</f>
        <v>89.5</v>
      </c>
      <c r="C222" s="67" t="str">
        <f>IFERROR(__xludf.DUMMYFUNCTION("""COMPUTED_VALUE"""),"Adults Only")</f>
        <v>Adults Only</v>
      </c>
      <c r="D222" s="79">
        <f>IFERROR(__xludf.DUMMYFUNCTION("""COMPUTED_VALUE"""),4682.0)</f>
        <v>4682</v>
      </c>
      <c r="E222" s="79">
        <f>IFERROR(__xludf.DUMMYFUNCTION("""COMPUTED_VALUE"""),6466.075631799999)</f>
        <v>6466.075632</v>
      </c>
      <c r="F222" s="69">
        <f>IFERROR(__xludf.DUMMYFUNCTION("""COMPUTED_VALUE"""),2.03)</f>
        <v>2.03</v>
      </c>
      <c r="G222" s="78"/>
      <c r="H222" s="78">
        <f>IFERROR(__xludf.DUMMYFUNCTION("""COMPUTED_VALUE"""),9.0)</f>
        <v>9</v>
      </c>
      <c r="I222" s="78"/>
      <c r="J222" s="78">
        <f>IFERROR(__xludf.DUMMYFUNCTION("""COMPUTED_VALUE"""),4.5)</f>
        <v>4.5</v>
      </c>
      <c r="K222" s="71"/>
      <c r="L222" s="76" t="str">
        <f>IFERROR(__xludf.DUMMYFUNCTION("""COMPUTED_VALUE"""),"Mexico")</f>
        <v>Mexico</v>
      </c>
      <c r="M222" s="76" t="str">
        <f>IFERROR(__xludf.DUMMYFUNCTION("""COMPUTED_VALUE"""),"Playa del Carmen")</f>
        <v>Playa del Carmen</v>
      </c>
      <c r="N222" s="76" t="str">
        <f>IFERROR(__xludf.DUMMYFUNCTION("""COMPUTED_VALUE"""),"Cancun")</f>
        <v>Cancun</v>
      </c>
      <c r="O222" s="78" t="b">
        <f>IFERROR(__xludf.DUMMYFUNCTION("""COMPUTED_VALUE"""),TRUE)</f>
        <v>1</v>
      </c>
      <c r="P222" s="80">
        <f>IFERROR(__xludf.DUMMYFUNCTION("""COMPUTED_VALUE"""),0.021527777777777778)</f>
        <v>0.02152777778</v>
      </c>
      <c r="Q222" s="76" t="str">
        <f>IFERROR(__xludf.DUMMYFUNCTION("""COMPUTED_VALUE"""),"Karisma")</f>
        <v>Karisma</v>
      </c>
      <c r="R222" s="76" t="str">
        <f>IFERROR(__xludf.DUMMYFUNCTION("""COMPUTED_VALUE"""),"Charming, Modern")</f>
        <v>Charming, Modern</v>
      </c>
      <c r="S222" s="76" t="str">
        <f>IFERROR(__xludf.DUMMYFUNCTION("""COMPUTED_VALUE"""),"Beach, Great Food, Swim Out/Plunge Pool Rooms, Gym, Horseback Riding, Room Service, Swim Up Bar, Tennis, Nightclub, Spa, Lazy River, Buffet")</f>
        <v>Beach, Great Food, Swim Out/Plunge Pool Rooms, Gym, Horseback Riding, Room Service, Swim Up Bar, Tennis, Nightclub, Spa, Lazy River, Buffet</v>
      </c>
      <c r="T222" s="76"/>
      <c r="U222" s="76"/>
      <c r="V222" s="78" t="b">
        <f>IFERROR(__xludf.DUMMYFUNCTION("""COMPUTED_VALUE"""),FALSE)</f>
        <v>0</v>
      </c>
      <c r="W222" s="78">
        <f>IFERROR(__xludf.DUMMYFUNCTION("""COMPUTED_VALUE"""),205.0)</f>
        <v>205</v>
      </c>
      <c r="X222" s="78"/>
      <c r="Y222" s="78"/>
      <c r="Z222" s="75">
        <f>IFERROR(__xludf.DUMMYFUNCTION("""COMPUTED_VALUE"""),2.0)</f>
        <v>2</v>
      </c>
    </row>
    <row r="223">
      <c r="A223" s="65" t="str">
        <f>IFERROR(__xludf.DUMMYFUNCTION("""COMPUTED_VALUE"""),"Hilton La Romana, an All-Inclusive Family Resort")</f>
        <v>Hilton La Romana, an All-Inclusive Family Resort</v>
      </c>
      <c r="B223" s="66">
        <f>IFERROR(__xludf.DUMMYFUNCTION("""COMPUTED_VALUE"""),89.5)</f>
        <v>89.5</v>
      </c>
      <c r="C223" s="67" t="str">
        <f>IFERROR(__xludf.DUMMYFUNCTION("""COMPUTED_VALUE"""),"Family")</f>
        <v>Family</v>
      </c>
      <c r="D223" s="79">
        <f>IFERROR(__xludf.DUMMYFUNCTION("""COMPUTED_VALUE"""),5333.3)</f>
        <v>5333.3</v>
      </c>
      <c r="E223" s="79">
        <f>IFERROR(__xludf.DUMMYFUNCTION("""COMPUTED_VALUE"""),7365.55343167)</f>
        <v>7365.553432</v>
      </c>
      <c r="F223" s="69">
        <f>IFERROR(__xludf.DUMMYFUNCTION("""COMPUTED_VALUE"""),1.78)</f>
        <v>1.78</v>
      </c>
      <c r="G223" s="78"/>
      <c r="H223" s="78">
        <f>IFERROR(__xludf.DUMMYFUNCTION("""COMPUTED_VALUE"""),8.0)</f>
        <v>8</v>
      </c>
      <c r="I223" s="78"/>
      <c r="J223" s="78">
        <f>IFERROR(__xludf.DUMMYFUNCTION("""COMPUTED_VALUE"""),5.0)</f>
        <v>5</v>
      </c>
      <c r="K223" s="71"/>
      <c r="L223" s="76" t="str">
        <f>IFERROR(__xludf.DUMMYFUNCTION("""COMPUTED_VALUE"""),"Dominican Republic")</f>
        <v>Dominican Republic</v>
      </c>
      <c r="M223" s="76" t="str">
        <f>IFERROR(__xludf.DUMMYFUNCTION("""COMPUTED_VALUE"""),"Bayahibe")</f>
        <v>Bayahibe</v>
      </c>
      <c r="N223" s="76" t="str">
        <f>IFERROR(__xludf.DUMMYFUNCTION("""COMPUTED_VALUE"""),"Punta Cana")</f>
        <v>Punta Cana</v>
      </c>
      <c r="O223" s="78" t="b">
        <f>IFERROR(__xludf.DUMMYFUNCTION("""COMPUTED_VALUE"""),TRUE)</f>
        <v>1</v>
      </c>
      <c r="P223" s="80">
        <f>IFERROR(__xludf.DUMMYFUNCTION("""COMPUTED_VALUE"""),0.03333333333333333)</f>
        <v>0.03333333333</v>
      </c>
      <c r="Q223" s="76" t="str">
        <f>IFERROR(__xludf.DUMMYFUNCTION("""COMPUTED_VALUE"""),"Hilton")</f>
        <v>Hilton</v>
      </c>
      <c r="R223" s="71" t="str">
        <f>IFERROR(__xludf.DUMMYFUNCTION("""COMPUTED_VALUE"""),"Romantic, Family")</f>
        <v>Romantic, Family</v>
      </c>
      <c r="S223" s="76" t="str">
        <f>IFERROR(__xludf.DUMMYFUNCTION("""COMPUTED_VALUE"""),"Beach, Swim Out/Plunge Pool Rooms, Kids Club, Teen Club, Lazy River, Kids Waterpark, Pool Slide, Water Feature, Big Waterslides, Gym, Casino, Evening Entertainment, Nightclub, Spa, Wifi (Free), Babysitting, Adult Pool, Buffet, Diving, Pets Allowed")</f>
        <v>Beach, Swim Out/Plunge Pool Rooms, Kids Club, Teen Club, Lazy River, Kids Waterpark, Pool Slide, Water Feature, Big Waterslides, Gym, Casino, Evening Entertainment, Nightclub, Spa, Wifi (Free), Babysitting, Adult Pool, Buffet, Diving, Pets Allowed</v>
      </c>
      <c r="T223" s="76" t="str">
        <f>IFERROR(__xludf.DUMMYFUNCTION("""COMPUTED_VALUE"""),"Can request, $60 per night")</f>
        <v>Can request, $60 per night</v>
      </c>
      <c r="U223" s="76" t="str">
        <f>IFERROR(__xludf.DUMMYFUNCTION("""COMPUTED_VALUE"""),"1 King or 2 Queen")</f>
        <v>1 King or 2 Queen</v>
      </c>
      <c r="V223" s="78" t="b">
        <f>IFERROR(__xludf.DUMMYFUNCTION("""COMPUTED_VALUE"""),FALSE)</f>
        <v>0</v>
      </c>
      <c r="W223" s="78">
        <f>IFERROR(__xludf.DUMMYFUNCTION("""COMPUTED_VALUE"""),418.0)</f>
        <v>418</v>
      </c>
      <c r="X223" s="78">
        <f>IFERROR(__xludf.DUMMYFUNCTION("""COMPUTED_VALUE"""),1997.0)</f>
        <v>1997</v>
      </c>
      <c r="Y223" s="74">
        <f>IFERROR(__xludf.DUMMYFUNCTION("""COMPUTED_VALUE"""),2019.0)</f>
        <v>2019</v>
      </c>
      <c r="Z223" s="81">
        <f>IFERROR(__xludf.DUMMYFUNCTION("""COMPUTED_VALUE"""),3.0)</f>
        <v>3</v>
      </c>
    </row>
    <row r="224">
      <c r="A224" s="65" t="str">
        <f>IFERROR(__xludf.DUMMYFUNCTION("""COMPUTED_VALUE"""),"Secrets Puerto Los Cabos Golf &amp; Spa Resort")</f>
        <v>Secrets Puerto Los Cabos Golf &amp; Spa Resort</v>
      </c>
      <c r="B224" s="66">
        <f>IFERROR(__xludf.DUMMYFUNCTION("""COMPUTED_VALUE"""),89.5)</f>
        <v>89.5</v>
      </c>
      <c r="C224" s="67" t="str">
        <f>IFERROR(__xludf.DUMMYFUNCTION("""COMPUTED_VALUE"""),"Adults Only")</f>
        <v>Adults Only</v>
      </c>
      <c r="D224" s="85">
        <f>IFERROR(__xludf.DUMMYFUNCTION("""COMPUTED_VALUE"""),5677.0)</f>
        <v>5677</v>
      </c>
      <c r="E224" s="79">
        <f>IFERROR(__xludf.DUMMYFUNCTION("""COMPUTED_VALUE"""),7840.220282299999)</f>
        <v>7840.220282</v>
      </c>
      <c r="F224" s="69">
        <f>IFERROR(__xludf.DUMMYFUNCTION("""COMPUTED_VALUE"""),1.67)</f>
        <v>1.67</v>
      </c>
      <c r="G224" s="78">
        <f>IFERROR(__xludf.DUMMYFUNCTION("""COMPUTED_VALUE"""),4.0)</f>
        <v>4</v>
      </c>
      <c r="H224" s="78">
        <f>IFERROR(__xludf.DUMMYFUNCTION("""COMPUTED_VALUE"""),8.0)</f>
        <v>8</v>
      </c>
      <c r="I224" s="78" t="str">
        <f>IFERROR(__xludf.DUMMYFUNCTION("""COMPUTED_VALUE"""),"D")</f>
        <v>D</v>
      </c>
      <c r="J224" s="78">
        <f>IFERROR(__xludf.DUMMYFUNCTION("""COMPUTED_VALUE"""),5.0)</f>
        <v>5</v>
      </c>
      <c r="K224" s="76"/>
      <c r="L224" s="76" t="str">
        <f>IFERROR(__xludf.DUMMYFUNCTION("""COMPUTED_VALUE"""),"Mexico")</f>
        <v>Mexico</v>
      </c>
      <c r="M224" s="76" t="str">
        <f>IFERROR(__xludf.DUMMYFUNCTION("""COMPUTED_VALUE"""),"San Jose del Cabo")</f>
        <v>San Jose del Cabo</v>
      </c>
      <c r="N224" s="76" t="str">
        <f>IFERROR(__xludf.DUMMYFUNCTION("""COMPUTED_VALUE"""),"Los Cabos")</f>
        <v>Los Cabos</v>
      </c>
      <c r="O224" s="78" t="b">
        <f>IFERROR(__xludf.DUMMYFUNCTION("""COMPUTED_VALUE"""),TRUE)</f>
        <v>1</v>
      </c>
      <c r="P224" s="80">
        <f>IFERROR(__xludf.DUMMYFUNCTION("""COMPUTED_VALUE"""),0.022222222222222223)</f>
        <v>0.02222222222</v>
      </c>
      <c r="Q224" s="76" t="str">
        <f>IFERROR(__xludf.DUMMYFUNCTION("""COMPUTED_VALUE"""),"Hyatt")</f>
        <v>Hyatt</v>
      </c>
      <c r="R224" s="76" t="str">
        <f>IFERROR(__xludf.DUMMYFUNCTION("""COMPUTED_VALUE"""),"Green, Bay View")</f>
        <v>Green, Bay View</v>
      </c>
      <c r="S224" s="76" t="str">
        <f>IFERROR(__xludf.DUMMYFUNCTION("""COMPUTED_VALUE"""),"Great Food, Swim Out/Plunge Pool Rooms, Gym, Archery, Yoga Classes, Room Service, Swim Up Bar, Golf Course, Fishing, Nightclub, Spa, Wifi (Free), Buffet, Mini Golf, Evening Entertainment")</f>
        <v>Great Food, Swim Out/Plunge Pool Rooms, Gym, Archery, Yoga Classes, Room Service, Swim Up Bar, Golf Course, Fishing, Nightclub, Spa, Wifi (Free), Buffet, Mini Golf, Evening Entertainment</v>
      </c>
      <c r="T224" s="76"/>
      <c r="U224" s="76"/>
      <c r="V224" s="78" t="b">
        <f>IFERROR(__xludf.DUMMYFUNCTION("""COMPUTED_VALUE"""),FALSE)</f>
        <v>0</v>
      </c>
      <c r="W224" s="78">
        <f>IFERROR(__xludf.DUMMYFUNCTION("""COMPUTED_VALUE"""),500.0)</f>
        <v>500</v>
      </c>
      <c r="X224" s="78">
        <f>IFERROR(__xludf.DUMMYFUNCTION("""COMPUTED_VALUE"""),2013.0)</f>
        <v>2013</v>
      </c>
      <c r="Y224" s="78"/>
      <c r="Z224" s="81">
        <f>IFERROR(__xludf.DUMMYFUNCTION("""COMPUTED_VALUE"""),4.0)</f>
        <v>4</v>
      </c>
    </row>
    <row r="225">
      <c r="A225" s="65" t="str">
        <f>IFERROR(__xludf.DUMMYFUNCTION("""COMPUTED_VALUE"""),"Jewel Grande Montego Bay Resort &amp; Spa")</f>
        <v>Jewel Grande Montego Bay Resort &amp; Spa</v>
      </c>
      <c r="B225" s="66">
        <f>IFERROR(__xludf.DUMMYFUNCTION("""COMPUTED_VALUE"""),89.5)</f>
        <v>89.5</v>
      </c>
      <c r="C225" s="67" t="str">
        <f>IFERROR(__xludf.DUMMYFUNCTION("""COMPUTED_VALUE"""),"Family")</f>
        <v>Family</v>
      </c>
      <c r="D225" s="79">
        <f>IFERROR(__xludf.DUMMYFUNCTION("""COMPUTED_VALUE"""),7974.0)</f>
        <v>7974</v>
      </c>
      <c r="E225" s="79">
        <f>IFERROR(__xludf.DUMMYFUNCTION("""COMPUTED_VALUE"""),11012.491902599999)</f>
        <v>11012.4919</v>
      </c>
      <c r="F225" s="69">
        <f>IFERROR(__xludf.DUMMYFUNCTION("""COMPUTED_VALUE"""),1.19)</f>
        <v>1.19</v>
      </c>
      <c r="G225" s="78"/>
      <c r="H225" s="78">
        <f>IFERROR(__xludf.DUMMYFUNCTION("""COMPUTED_VALUE"""),7.0)</f>
        <v>7</v>
      </c>
      <c r="I225" s="78"/>
      <c r="J225" s="78">
        <f>IFERROR(__xludf.DUMMYFUNCTION("""COMPUTED_VALUE"""),4.0)</f>
        <v>4</v>
      </c>
      <c r="K225" s="76"/>
      <c r="L225" s="76" t="str">
        <f>IFERROR(__xludf.DUMMYFUNCTION("""COMPUTED_VALUE"""),"Jamaica")</f>
        <v>Jamaica</v>
      </c>
      <c r="M225" s="76" t="str">
        <f>IFERROR(__xludf.DUMMYFUNCTION("""COMPUTED_VALUE"""),"Montego Bay")</f>
        <v>Montego Bay</v>
      </c>
      <c r="N225" s="76" t="str">
        <f>IFERROR(__xludf.DUMMYFUNCTION("""COMPUTED_VALUE"""),"Sangster")</f>
        <v>Sangster</v>
      </c>
      <c r="O225" s="78" t="b">
        <f>IFERROR(__xludf.DUMMYFUNCTION("""COMPUTED_VALUE"""),TRUE)</f>
        <v>1</v>
      </c>
      <c r="P225" s="80">
        <f>IFERROR(__xludf.DUMMYFUNCTION("""COMPUTED_VALUE"""),0.009722222222222222)</f>
        <v>0.009722222222</v>
      </c>
      <c r="Q225" s="76" t="str">
        <f>IFERROR(__xludf.DUMMYFUNCTION("""COMPUTED_VALUE"""),"Playa Hotels &amp; Resorts")</f>
        <v>Playa Hotels &amp; Resorts</v>
      </c>
      <c r="R225" s="76" t="str">
        <f>IFERROR(__xludf.DUMMYFUNCTION("""COMPUTED_VALUE"""),"Centrally Located, Family")</f>
        <v>Centrally Located, Family</v>
      </c>
      <c r="S225" s="76" t="str">
        <f>IFERROR(__xludf.DUMMYFUNCTION("""COMPUTED_VALUE"""),"Family Suite, 2 Bedroom Suites, Kids Club, Gym, Room Service, Evening Entertainment, Nightclub, Wifi (Free), Beach, Babysitting, Buffet, Swim Up Bar, Spa")</f>
        <v>Family Suite, 2 Bedroom Suites, Kids Club, Gym, Room Service, Evening Entertainment, Nightclub, Wifi (Free), Beach, Babysitting, Buffet, Swim Up Bar, Spa</v>
      </c>
      <c r="T225" s="76"/>
      <c r="U225" s="76" t="str">
        <f>IFERROR(__xludf.DUMMYFUNCTION("""COMPUTED_VALUE"""),"2 Double")</f>
        <v>2 Double</v>
      </c>
      <c r="V225" s="78" t="b">
        <f>IFERROR(__xludf.DUMMYFUNCTION("""COMPUTED_VALUE"""),TRUE)</f>
        <v>1</v>
      </c>
      <c r="W225" s="78">
        <f>IFERROR(__xludf.DUMMYFUNCTION("""COMPUTED_VALUE"""),217.0)</f>
        <v>217</v>
      </c>
      <c r="X225" s="78"/>
      <c r="Y225" s="78">
        <f>IFERROR(__xludf.DUMMYFUNCTION("""COMPUTED_VALUE"""),2018.0)</f>
        <v>2018</v>
      </c>
      <c r="Z225" s="81"/>
    </row>
    <row r="226">
      <c r="A226" s="65" t="str">
        <f>IFERROR(__xludf.DUMMYFUNCTION("""COMPUTED_VALUE"""),"Hodelpa Garden Suites Golf &amp; Convention Centre")</f>
        <v>Hodelpa Garden Suites Golf &amp; Convention Centre</v>
      </c>
      <c r="B226" s="66">
        <f>IFERROR(__xludf.DUMMYFUNCTION("""COMPUTED_VALUE"""),89.3)</f>
        <v>89.3</v>
      </c>
      <c r="C226" s="67" t="str">
        <f>IFERROR(__xludf.DUMMYFUNCTION("""COMPUTED_VALUE"""),"Family")</f>
        <v>Family</v>
      </c>
      <c r="D226" s="79">
        <f>IFERROR(__xludf.DUMMYFUNCTION("""COMPUTED_VALUE"""),1785.0)</f>
        <v>1785</v>
      </c>
      <c r="E226" s="79">
        <f>IFERROR(__xludf.DUMMYFUNCTION("""COMPUTED_VALUE"""),2465.1740714999996)</f>
        <v>2465.174072</v>
      </c>
      <c r="F226" s="69">
        <f>IFERROR(__xludf.DUMMYFUNCTION("""COMPUTED_VALUE"""),5.21)</f>
        <v>5.21</v>
      </c>
      <c r="G226" s="70"/>
      <c r="H226" s="70">
        <f>IFERROR(__xludf.DUMMYFUNCTION("""COMPUTED_VALUE"""),7.0)</f>
        <v>7</v>
      </c>
      <c r="I226" s="70"/>
      <c r="J226" s="78">
        <f>IFERROR(__xludf.DUMMYFUNCTION("""COMPUTED_VALUE"""),4.0)</f>
        <v>4</v>
      </c>
      <c r="K226" s="71"/>
      <c r="L226" s="76" t="str">
        <f>IFERROR(__xludf.DUMMYFUNCTION("""COMPUTED_VALUE"""),"Dominican Republic")</f>
        <v>Dominican Republic</v>
      </c>
      <c r="M226" s="76" t="str">
        <f>IFERROR(__xludf.DUMMYFUNCTION("""COMPUTED_VALUE"""),"Juan Dolio")</f>
        <v>Juan Dolio</v>
      </c>
      <c r="N226" s="76" t="str">
        <f>IFERROR(__xludf.DUMMYFUNCTION("""COMPUTED_VALUE"""),"Punta Cana")</f>
        <v>Punta Cana</v>
      </c>
      <c r="O226" s="78" t="b">
        <f>IFERROR(__xludf.DUMMYFUNCTION("""COMPUTED_VALUE"""),TRUE)</f>
        <v>1</v>
      </c>
      <c r="P226" s="80">
        <f>IFERROR(__xludf.DUMMYFUNCTION("""COMPUTED_VALUE"""),0.06805555555555555)</f>
        <v>0.06805555556</v>
      </c>
      <c r="Q226" s="76" t="str">
        <f>IFERROR(__xludf.DUMMYFUNCTION("""COMPUTED_VALUE"""),"Hodelpa Hotels")</f>
        <v>Hodelpa Hotels</v>
      </c>
      <c r="R226" s="76" t="str">
        <f>IFERROR(__xludf.DUMMYFUNCTION("""COMPUTED_VALUE"""),"Charming, Family")</f>
        <v>Charming, Family</v>
      </c>
      <c r="S226" s="76" t="str">
        <f>IFERROR(__xludf.DUMMYFUNCTION("""COMPUTED_VALUE"""),"Gym, Room Service, Evening Entertainment, Wifi (Free), Tennis, Buffet, Swim Up Bar")</f>
        <v>Gym, Room Service, Evening Entertainment, Wifi (Free), Tennis, Buffet, Swim Up Bar</v>
      </c>
      <c r="T226" s="76"/>
      <c r="U226" s="76" t="str">
        <f>IFERROR(__xludf.DUMMYFUNCTION("""COMPUTED_VALUE"""),"1 King or 2 Double")</f>
        <v>1 King or 2 Double</v>
      </c>
      <c r="V226" s="70" t="b">
        <f>IFERROR(__xludf.DUMMYFUNCTION("""COMPUTED_VALUE"""),FALSE)</f>
        <v>0</v>
      </c>
      <c r="W226" s="70">
        <f>IFERROR(__xludf.DUMMYFUNCTION("""COMPUTED_VALUE"""),126.0)</f>
        <v>126</v>
      </c>
      <c r="X226" s="70">
        <f>IFERROR(__xludf.DUMMYFUNCTION("""COMPUTED_VALUE"""),1997.0)</f>
        <v>1997</v>
      </c>
      <c r="Y226" s="70">
        <f>IFERROR(__xludf.DUMMYFUNCTION("""COMPUTED_VALUE"""),2011.0)</f>
        <v>2011</v>
      </c>
      <c r="Z226" s="83">
        <f>IFERROR(__xludf.DUMMYFUNCTION("""COMPUTED_VALUE"""),2.0)</f>
        <v>2</v>
      </c>
    </row>
    <row r="227">
      <c r="A227" s="77" t="str">
        <f>IFERROR(__xludf.DUMMYFUNCTION("""COMPUTED_VALUE"""),"Bahia Principe Luxury Ambar")</f>
        <v>Bahia Principe Luxury Ambar</v>
      </c>
      <c r="B227" s="66">
        <f>IFERROR(__xludf.DUMMYFUNCTION("""COMPUTED_VALUE"""),89.3)</f>
        <v>89.3</v>
      </c>
      <c r="C227" s="78" t="str">
        <f>IFERROR(__xludf.DUMMYFUNCTION("""COMPUTED_VALUE"""),"Adults Only")</f>
        <v>Adults Only</v>
      </c>
      <c r="D227" s="68">
        <f>IFERROR(__xludf.DUMMYFUNCTION("""COMPUTED_VALUE"""),2928.66)</f>
        <v>2928.66</v>
      </c>
      <c r="E227" s="68">
        <f>IFERROR(__xludf.DUMMYFUNCTION("""COMPUTED_VALUE"""),4044.6256001339993)</f>
        <v>4044.6256</v>
      </c>
      <c r="F227" s="69">
        <f>IFERROR(__xludf.DUMMYFUNCTION("""COMPUTED_VALUE"""),3.18)</f>
        <v>3.18</v>
      </c>
      <c r="G227" s="74"/>
      <c r="H227" s="74">
        <f>IFERROR(__xludf.DUMMYFUNCTION("""COMPUTED_VALUE"""),7.0)</f>
        <v>7</v>
      </c>
      <c r="I227" s="74"/>
      <c r="J227" s="74">
        <f>IFERROR(__xludf.DUMMYFUNCTION("""COMPUTED_VALUE"""),5.0)</f>
        <v>5</v>
      </c>
      <c r="K227" s="71"/>
      <c r="L227" s="72" t="str">
        <f>IFERROR(__xludf.DUMMYFUNCTION("""COMPUTED_VALUE"""),"Dominican Republic")</f>
        <v>Dominican Republic</v>
      </c>
      <c r="M227" s="72" t="str">
        <f>IFERROR(__xludf.DUMMYFUNCTION("""COMPUTED_VALUE"""),"Punta Cana")</f>
        <v>Punta Cana</v>
      </c>
      <c r="N227" s="72" t="str">
        <f>IFERROR(__xludf.DUMMYFUNCTION("""COMPUTED_VALUE"""),"Punta Cana")</f>
        <v>Punta Cana</v>
      </c>
      <c r="O227" s="74" t="b">
        <f>IFERROR(__xludf.DUMMYFUNCTION("""COMPUTED_VALUE"""),TRUE)</f>
        <v>1</v>
      </c>
      <c r="P227" s="73">
        <f>IFERROR(__xludf.DUMMYFUNCTION("""COMPUTED_VALUE"""),0.01875)</f>
        <v>0.01875</v>
      </c>
      <c r="Q227" s="71" t="str">
        <f>IFERROR(__xludf.DUMMYFUNCTION("""COMPUTED_VALUE"""),"Bahia Principe")</f>
        <v>Bahia Principe</v>
      </c>
      <c r="R227" s="71" t="str">
        <f>IFERROR(__xludf.DUMMYFUNCTION("""COMPUTED_VALUE"""),"Green, Quiet")</f>
        <v>Green, Quiet</v>
      </c>
      <c r="S227" s="72" t="str">
        <f>IFERROR(__xludf.DUMMYFUNCTION("""COMPUTED_VALUE"""),"Beach, Great Food, Swim Out/Plunge Pool Rooms, Gym, Casino, Tennis, Buffet, Swim Up Bar, Diving, Evening Entertainment, Spa")</f>
        <v>Beach, Great Food, Swim Out/Plunge Pool Rooms, Gym, Casino, Tennis, Buffet, Swim Up Bar, Diving, Evening Entertainment, Spa</v>
      </c>
      <c r="T227" s="72"/>
      <c r="U227" s="72"/>
      <c r="V227" s="74" t="b">
        <f>IFERROR(__xludf.DUMMYFUNCTION("""COMPUTED_VALUE"""),FALSE)</f>
        <v>0</v>
      </c>
      <c r="W227" s="74">
        <f>IFERROR(__xludf.DUMMYFUNCTION("""COMPUTED_VALUE"""),528.0)</f>
        <v>528</v>
      </c>
      <c r="X227" s="74">
        <f>IFERROR(__xludf.DUMMYFUNCTION("""COMPUTED_VALUE"""),2006.0)</f>
        <v>2006</v>
      </c>
      <c r="Y227" s="74">
        <f>IFERROR(__xludf.DUMMYFUNCTION("""COMPUTED_VALUE"""),2018.0)</f>
        <v>2018</v>
      </c>
      <c r="Z227" s="75">
        <f>IFERROR(__xludf.DUMMYFUNCTION("""COMPUTED_VALUE"""),3.0)</f>
        <v>3</v>
      </c>
    </row>
    <row r="228">
      <c r="A228" s="77" t="str">
        <f>IFERROR(__xludf.DUMMYFUNCTION("""COMPUTED_VALUE"""),"Barceló Maya Tropical")</f>
        <v>Barceló Maya Tropical</v>
      </c>
      <c r="B228" s="66">
        <f>IFERROR(__xludf.DUMMYFUNCTION("""COMPUTED_VALUE"""),89.3)</f>
        <v>89.3</v>
      </c>
      <c r="C228" s="78" t="str">
        <f>IFERROR(__xludf.DUMMYFUNCTION("""COMPUTED_VALUE"""),"Family")</f>
        <v>Family</v>
      </c>
      <c r="D228" s="68">
        <f>IFERROR(__xludf.DUMMYFUNCTION("""COMPUTED_VALUE"""),3353.0)</f>
        <v>3353</v>
      </c>
      <c r="E228" s="68">
        <f>IFERROR(__xludf.DUMMYFUNCTION("""COMPUTED_VALUE"""),4630.6603147)</f>
        <v>4630.660315</v>
      </c>
      <c r="F228" s="69">
        <f>IFERROR(__xludf.DUMMYFUNCTION("""COMPUTED_VALUE"""),2.77)</f>
        <v>2.77</v>
      </c>
      <c r="G228" s="70"/>
      <c r="H228" s="74">
        <f>IFERROR(__xludf.DUMMYFUNCTION("""COMPUTED_VALUE"""),6.0)</f>
        <v>6</v>
      </c>
      <c r="I228" s="70"/>
      <c r="J228" s="74">
        <f>IFERROR(__xludf.DUMMYFUNCTION("""COMPUTED_VALUE"""),5.0)</f>
        <v>5</v>
      </c>
      <c r="K228" s="71"/>
      <c r="L228" s="72" t="str">
        <f>IFERROR(__xludf.DUMMYFUNCTION("""COMPUTED_VALUE"""),"Mexico")</f>
        <v>Mexico</v>
      </c>
      <c r="M228" s="72" t="str">
        <f>IFERROR(__xludf.DUMMYFUNCTION("""COMPUTED_VALUE"""),"Puerto Aventuras")</f>
        <v>Puerto Aventuras</v>
      </c>
      <c r="N228" s="72" t="str">
        <f>IFERROR(__xludf.DUMMYFUNCTION("""COMPUTED_VALUE"""),"Cancun")</f>
        <v>Cancun</v>
      </c>
      <c r="O228" s="74" t="b">
        <f>IFERROR(__xludf.DUMMYFUNCTION("""COMPUTED_VALUE"""),TRUE)</f>
        <v>1</v>
      </c>
      <c r="P228" s="73">
        <f>IFERROR(__xludf.DUMMYFUNCTION("""COMPUTED_VALUE"""),0.04097222222222222)</f>
        <v>0.04097222222</v>
      </c>
      <c r="Q228" s="76" t="str">
        <f>IFERROR(__xludf.DUMMYFUNCTION("""COMPUTED_VALUE"""),"Barcelo")</f>
        <v>Barcelo</v>
      </c>
      <c r="R228" s="71" t="str">
        <f>IFERROR(__xludf.DUMMYFUNCTION("""COMPUTED_VALUE"""),"Family")</f>
        <v>Family</v>
      </c>
      <c r="S228" s="72" t="str">
        <f>IFERROR(__xludf.DUMMYFUNCTION("""COMPUTED_VALUE"""),"Beach, Kids Club, Kids Waterpark, Pool Slide, Water Feature, Gym, Casino, Swim Up Bar, Diving, Snorkelling, Nightclub, Spa, Babysitting, Wifi (Paid), Buffet, Mini Golf, Tennis, Evening Entertainment")</f>
        <v>Beach, Kids Club, Kids Waterpark, Pool Slide, Water Feature, Gym, Casino, Swim Up Bar, Diving, Snorkelling, Nightclub, Spa, Babysitting, Wifi (Paid), Buffet, Mini Golf, Tennis, Evening Entertainment</v>
      </c>
      <c r="T228" s="72"/>
      <c r="U228" s="72" t="str">
        <f>IFERROR(__xludf.DUMMYFUNCTION("""COMPUTED_VALUE"""),"1 King or 2 Double")</f>
        <v>1 King or 2 Double</v>
      </c>
      <c r="V228" s="74" t="b">
        <f>IFERROR(__xludf.DUMMYFUNCTION("""COMPUTED_VALUE"""),FALSE)</f>
        <v>0</v>
      </c>
      <c r="W228" s="74">
        <f>IFERROR(__xludf.DUMMYFUNCTION("""COMPUTED_VALUE"""),479.0)</f>
        <v>479</v>
      </c>
      <c r="X228" s="74">
        <f>IFERROR(__xludf.DUMMYFUNCTION("""COMPUTED_VALUE"""),1999.0)</f>
        <v>1999</v>
      </c>
      <c r="Y228" s="74"/>
      <c r="Z228" s="75">
        <f>IFERROR(__xludf.DUMMYFUNCTION("""COMPUTED_VALUE"""),3.0)</f>
        <v>3</v>
      </c>
    </row>
    <row r="229">
      <c r="A229" s="65" t="str">
        <f>IFERROR(__xludf.DUMMYFUNCTION("""COMPUTED_VALUE"""),"Heaven At The Hard Rock Hotel Riviera Maya")</f>
        <v>Heaven At The Hard Rock Hotel Riviera Maya</v>
      </c>
      <c r="B229" s="66">
        <f>IFERROR(__xludf.DUMMYFUNCTION("""COMPUTED_VALUE"""),89.3)</f>
        <v>89.3</v>
      </c>
      <c r="C229" s="67" t="str">
        <f>IFERROR(__xludf.DUMMYFUNCTION("""COMPUTED_VALUE"""),"Adults Only")</f>
        <v>Adults Only</v>
      </c>
      <c r="D229" s="79">
        <f>IFERROR(__xludf.DUMMYFUNCTION("""COMPUTED_VALUE"""),3384.45)</f>
        <v>3384.45</v>
      </c>
      <c r="E229" s="79">
        <f>IFERROR(__xludf.DUMMYFUNCTION("""COMPUTED_VALUE"""),4674.094334054999)</f>
        <v>4674.094334</v>
      </c>
      <c r="F229" s="69">
        <f>IFERROR(__xludf.DUMMYFUNCTION("""COMPUTED_VALUE"""),2.75)</f>
        <v>2.75</v>
      </c>
      <c r="G229" s="78"/>
      <c r="H229" s="74">
        <f>IFERROR(__xludf.DUMMYFUNCTION("""COMPUTED_VALUE"""),7.0)</f>
        <v>7</v>
      </c>
      <c r="I229" s="78"/>
      <c r="J229" s="78">
        <f>IFERROR(__xludf.DUMMYFUNCTION("""COMPUTED_VALUE"""),5.0)</f>
        <v>5</v>
      </c>
      <c r="K229" s="76"/>
      <c r="L229" s="76" t="str">
        <f>IFERROR(__xludf.DUMMYFUNCTION("""COMPUTED_VALUE"""),"Mexico")</f>
        <v>Mexico</v>
      </c>
      <c r="M229" s="76" t="str">
        <f>IFERROR(__xludf.DUMMYFUNCTION("""COMPUTED_VALUE"""),"Puerto Aventuras")</f>
        <v>Puerto Aventuras</v>
      </c>
      <c r="N229" s="76" t="str">
        <f>IFERROR(__xludf.DUMMYFUNCTION("""COMPUTED_VALUE"""),"Cancun")</f>
        <v>Cancun</v>
      </c>
      <c r="O229" s="78" t="b">
        <f>IFERROR(__xludf.DUMMYFUNCTION("""COMPUTED_VALUE"""),TRUE)</f>
        <v>1</v>
      </c>
      <c r="P229" s="80">
        <f>IFERROR(__xludf.DUMMYFUNCTION("""COMPUTED_VALUE"""),0.04097222222222222)</f>
        <v>0.04097222222</v>
      </c>
      <c r="Q229" s="76" t="str">
        <f>IFERROR(__xludf.DUMMYFUNCTION("""COMPUTED_VALUE"""),"Hard Rock Hotels")</f>
        <v>Hard Rock Hotels</v>
      </c>
      <c r="R229" s="76" t="str">
        <f>IFERROR(__xludf.DUMMYFUNCTION("""COMPUTED_VALUE"""),"Green, Business")</f>
        <v>Green, Business</v>
      </c>
      <c r="S229" s="76" t="str">
        <f>IFERROR(__xludf.DUMMYFUNCTION("""COMPUTED_VALUE"""),"Beach, Swim Out/Plunge Pool Rooms, Gym, Diving, Room Service, Evening Entertainment, Nightclub, Wifi (Free), Buffet, Swim Up Bar, Tennis, Fishing, Spa")</f>
        <v>Beach, Swim Out/Plunge Pool Rooms, Gym, Diving, Room Service, Evening Entertainment, Nightclub, Wifi (Free), Buffet, Swim Up Bar, Tennis, Fishing, Spa</v>
      </c>
      <c r="T229" s="76"/>
      <c r="U229" s="76"/>
      <c r="V229" s="74" t="b">
        <f>IFERROR(__xludf.DUMMYFUNCTION("""COMPUTED_VALUE"""),FALSE)</f>
        <v>0</v>
      </c>
      <c r="W229" s="74">
        <f>IFERROR(__xludf.DUMMYFUNCTION("""COMPUTED_VALUE"""),1264.0)</f>
        <v>1264</v>
      </c>
      <c r="X229" s="74"/>
      <c r="Y229" s="74">
        <f>IFERROR(__xludf.DUMMYFUNCTION("""COMPUTED_VALUE"""),2023.0)</f>
        <v>2023</v>
      </c>
      <c r="Z229" s="75">
        <f>IFERROR(__xludf.DUMMYFUNCTION("""COMPUTED_VALUE"""),3.0)</f>
        <v>3</v>
      </c>
    </row>
    <row r="230">
      <c r="A230" s="65" t="str">
        <f>IFERROR(__xludf.DUMMYFUNCTION("""COMPUTED_VALUE"""),"The Royal Cancun All Suites Resort")</f>
        <v>The Royal Cancun All Suites Resort</v>
      </c>
      <c r="B230" s="66">
        <f>IFERROR(__xludf.DUMMYFUNCTION("""COMPUTED_VALUE"""),89.3)</f>
        <v>89.3</v>
      </c>
      <c r="C230" s="67" t="str">
        <f>IFERROR(__xludf.DUMMYFUNCTION("""COMPUTED_VALUE"""),"Family")</f>
        <v>Family</v>
      </c>
      <c r="D230" s="79">
        <f>IFERROR(__xludf.DUMMYFUNCTION("""COMPUTED_VALUE"""),3430.78)</f>
        <v>3430.78</v>
      </c>
      <c r="E230" s="79">
        <f>IFERROR(__xludf.DUMMYFUNCTION("""COMPUTED_VALUE"""),4738.078375921999)</f>
        <v>4738.078376</v>
      </c>
      <c r="F230" s="69">
        <f>IFERROR(__xludf.DUMMYFUNCTION("""COMPUTED_VALUE"""),2.71)</f>
        <v>2.71</v>
      </c>
      <c r="G230" s="78"/>
      <c r="H230" s="78">
        <f>IFERROR(__xludf.DUMMYFUNCTION("""COMPUTED_VALUE"""),6.0)</f>
        <v>6</v>
      </c>
      <c r="I230" s="78"/>
      <c r="J230" s="78"/>
      <c r="K230" s="71"/>
      <c r="L230" s="76" t="str">
        <f>IFERROR(__xludf.DUMMYFUNCTION("""COMPUTED_VALUE"""),"Mexico")</f>
        <v>Mexico</v>
      </c>
      <c r="M230" s="76" t="str">
        <f>IFERROR(__xludf.DUMMYFUNCTION("""COMPUTED_VALUE"""),"Cancun")</f>
        <v>Cancun</v>
      </c>
      <c r="N230" s="76" t="str">
        <f>IFERROR(__xludf.DUMMYFUNCTION("""COMPUTED_VALUE"""),"Cancun")</f>
        <v>Cancun</v>
      </c>
      <c r="O230" s="78" t="b">
        <f>IFERROR(__xludf.DUMMYFUNCTION("""COMPUTED_VALUE"""),TRUE)</f>
        <v>1</v>
      </c>
      <c r="P230" s="80">
        <f>IFERROR(__xludf.DUMMYFUNCTION("""COMPUTED_VALUE"""),0.018055555555555554)</f>
        <v>0.01805555556</v>
      </c>
      <c r="Q230" s="71" t="str">
        <f>IFERROR(__xludf.DUMMYFUNCTION("""COMPUTED_VALUE"""),"Royal Resorts")</f>
        <v>Royal Resorts</v>
      </c>
      <c r="R230" s="76" t="str">
        <f>IFERROR(__xludf.DUMMYFUNCTION("""COMPUTED_VALUE"""),"Value, Charming")</f>
        <v>Value, Charming</v>
      </c>
      <c r="S230" s="76" t="str">
        <f>IFERROR(__xludf.DUMMYFUNCTION("""COMPUTED_VALUE"""),"Beach, Family Suite, 2 Bedroom Suites, Kids Club, Heated Pool, Gym, Bicycles Available, Tennis, Wifi (Free), Babysitting, Buffet, Swim Up Bar, Diving, Snorkelling, Fishing")</f>
        <v>Beach, Family Suite, 2 Bedroom Suites, Kids Club, Heated Pool, Gym, Bicycles Available, Tennis, Wifi (Free), Babysitting, Buffet, Swim Up Bar, Diving, Snorkelling, Fishing</v>
      </c>
      <c r="T230" s="76"/>
      <c r="U230" s="76" t="str">
        <f>IFERROR(__xludf.DUMMYFUNCTION("""COMPUTED_VALUE"""),"1 King and 1 Double Murphy and 2 Single")</f>
        <v>1 King and 1 Double Murphy and 2 Single</v>
      </c>
      <c r="V230" s="78" t="b">
        <f>IFERROR(__xludf.DUMMYFUNCTION("""COMPUTED_VALUE"""),FALSE)</f>
        <v>0</v>
      </c>
      <c r="W230" s="78">
        <f>IFERROR(__xludf.DUMMYFUNCTION("""COMPUTED_VALUE"""),201.0)</f>
        <v>201</v>
      </c>
      <c r="X230" s="78">
        <f>IFERROR(__xludf.DUMMYFUNCTION("""COMPUTED_VALUE"""),1990.0)</f>
        <v>1990</v>
      </c>
      <c r="Y230" s="78"/>
      <c r="Z230" s="81"/>
    </row>
    <row r="231">
      <c r="A231" s="65" t="str">
        <f>IFERROR(__xludf.DUMMYFUNCTION("""COMPUTED_VALUE"""),"Ventus Ha' at Marina El Cid Spa &amp; Beach Resort")</f>
        <v>Ventus Ha' at Marina El Cid Spa &amp; Beach Resort</v>
      </c>
      <c r="B231" s="66">
        <f>IFERROR(__xludf.DUMMYFUNCTION("""COMPUTED_VALUE"""),89.3)</f>
        <v>89.3</v>
      </c>
      <c r="C231" s="67" t="str">
        <f>IFERROR(__xludf.DUMMYFUNCTION("""COMPUTED_VALUE"""),"Family")</f>
        <v>Family</v>
      </c>
      <c r="D231" s="79">
        <f>IFERROR(__xludf.DUMMYFUNCTION("""COMPUTED_VALUE"""),3473.57)</f>
        <v>3473.57</v>
      </c>
      <c r="E231" s="79">
        <f>IFERROR(__xludf.DUMMYFUNCTION("""COMPUTED_VALUE"""),4797.173501143)</f>
        <v>4797.173501</v>
      </c>
      <c r="F231" s="69">
        <f>IFERROR(__xludf.DUMMYFUNCTION("""COMPUTED_VALUE"""),2.68)</f>
        <v>2.68</v>
      </c>
      <c r="G231" s="78"/>
      <c r="H231" s="74">
        <f>IFERROR(__xludf.DUMMYFUNCTION("""COMPUTED_VALUE"""),7.0)</f>
        <v>7</v>
      </c>
      <c r="I231" s="78"/>
      <c r="J231" s="78">
        <f>IFERROR(__xludf.DUMMYFUNCTION("""COMPUTED_VALUE"""),4.0)</f>
        <v>4</v>
      </c>
      <c r="K231" s="71"/>
      <c r="L231" s="76" t="str">
        <f>IFERROR(__xludf.DUMMYFUNCTION("""COMPUTED_VALUE"""),"Mexico")</f>
        <v>Mexico</v>
      </c>
      <c r="M231" s="76" t="str">
        <f>IFERROR(__xludf.DUMMYFUNCTION("""COMPUTED_VALUE"""),"Puerto Morelos")</f>
        <v>Puerto Morelos</v>
      </c>
      <c r="N231" s="76" t="str">
        <f>IFERROR(__xludf.DUMMYFUNCTION("""COMPUTED_VALUE"""),"Cancun")</f>
        <v>Cancun</v>
      </c>
      <c r="O231" s="78" t="b">
        <f>IFERROR(__xludf.DUMMYFUNCTION("""COMPUTED_VALUE"""),TRUE)</f>
        <v>1</v>
      </c>
      <c r="P231" s="80">
        <f>IFERROR(__xludf.DUMMYFUNCTION("""COMPUTED_VALUE"""),0.01875)</f>
        <v>0.01875</v>
      </c>
      <c r="Q231" s="76" t="str">
        <f>IFERROR(__xludf.DUMMYFUNCTION("""COMPUTED_VALUE"""),"El Cid Resorts")</f>
        <v>El Cid Resorts</v>
      </c>
      <c r="R231" s="76" t="str">
        <f>IFERROR(__xludf.DUMMYFUNCTION("""COMPUTED_VALUE"""),"Business")</f>
        <v>Business</v>
      </c>
      <c r="S231" s="76" t="str">
        <f>IFERROR(__xludf.DUMMYFUNCTION("""COMPUTED_VALUE"""),"Family Suite, 2 Bedroom Suites, Kids Club, Teen Club, Pool Slide, Water Feature, Gym, Snorkelling, Spa, Wifi (Paid), Bicycles Available, Watersports Equipment Rentals")</f>
        <v>Family Suite, 2 Bedroom Suites, Kids Club, Teen Club, Pool Slide, Water Feature, Gym, Snorkelling, Spa, Wifi (Paid), Bicycles Available, Watersports Equipment Rentals</v>
      </c>
      <c r="T231" s="76"/>
      <c r="U231" s="76" t="str">
        <f>IFERROR(__xludf.DUMMYFUNCTION("""COMPUTED_VALUE"""),"1 King and 1 Queen Murphy")</f>
        <v>1 King and 1 Queen Murphy</v>
      </c>
      <c r="V231" s="78" t="b">
        <f>IFERROR(__xludf.DUMMYFUNCTION("""COMPUTED_VALUE"""),TRUE)</f>
        <v>1</v>
      </c>
      <c r="W231" s="78">
        <f>IFERROR(__xludf.DUMMYFUNCTION("""COMPUTED_VALUE"""),150.0)</f>
        <v>150</v>
      </c>
      <c r="X231" s="74">
        <f>IFERROR(__xludf.DUMMYFUNCTION("""COMPUTED_VALUE"""),2021.0)</f>
        <v>2021</v>
      </c>
      <c r="Y231" s="74"/>
      <c r="Z231" s="75">
        <f>IFERROR(__xludf.DUMMYFUNCTION("""COMPUTED_VALUE"""),5.0)</f>
        <v>5</v>
      </c>
    </row>
    <row r="232">
      <c r="A232" s="82" t="str">
        <f>IFERROR(__xludf.DUMMYFUNCTION("""COMPUTED_VALUE"""),"Sunset Plaza Beach Resort")</f>
        <v>Sunset Plaza Beach Resort</v>
      </c>
      <c r="B232" s="66">
        <f>IFERROR(__xludf.DUMMYFUNCTION("""COMPUTED_VALUE"""),89.3)</f>
        <v>89.3</v>
      </c>
      <c r="C232" s="78" t="str">
        <f>IFERROR(__xludf.DUMMYFUNCTION("""COMPUTED_VALUE"""),"Family")</f>
        <v>Family</v>
      </c>
      <c r="D232" s="79">
        <f>IFERROR(__xludf.DUMMYFUNCTION("""COMPUTED_VALUE"""),3576.12)</f>
        <v>3576.12</v>
      </c>
      <c r="E232" s="68">
        <f>IFERROR(__xludf.DUMMYFUNCTION("""COMPUTED_VALUE"""),4938.800168387999)</f>
        <v>4938.800168</v>
      </c>
      <c r="F232" s="69">
        <f>IFERROR(__xludf.DUMMYFUNCTION("""COMPUTED_VALUE"""),2.6)</f>
        <v>2.6</v>
      </c>
      <c r="G232" s="74">
        <f>IFERROR(__xludf.DUMMYFUNCTION("""COMPUTED_VALUE"""),4.0)</f>
        <v>4</v>
      </c>
      <c r="H232" s="74">
        <f>IFERROR(__xludf.DUMMYFUNCTION("""COMPUTED_VALUE"""),8.0)</f>
        <v>8</v>
      </c>
      <c r="I232" s="74"/>
      <c r="J232" s="74">
        <f>IFERROR(__xludf.DUMMYFUNCTION("""COMPUTED_VALUE"""),4.5)</f>
        <v>4.5</v>
      </c>
      <c r="K232" s="71"/>
      <c r="L232" s="72" t="str">
        <f>IFERROR(__xludf.DUMMYFUNCTION("""COMPUTED_VALUE"""),"Mexico")</f>
        <v>Mexico</v>
      </c>
      <c r="M232" s="72" t="str">
        <f>IFERROR(__xludf.DUMMYFUNCTION("""COMPUTED_VALUE"""),"Puerto Vallarta")</f>
        <v>Puerto Vallarta</v>
      </c>
      <c r="N232" s="71" t="str">
        <f>IFERROR(__xludf.DUMMYFUNCTION("""COMPUTED_VALUE"""),"Ordaz")</f>
        <v>Ordaz</v>
      </c>
      <c r="O232" s="74" t="b">
        <f>IFERROR(__xludf.DUMMYFUNCTION("""COMPUTED_VALUE"""),TRUE)</f>
        <v>1</v>
      </c>
      <c r="P232" s="73">
        <f>IFERROR(__xludf.DUMMYFUNCTION("""COMPUTED_VALUE"""),0.011805555555555555)</f>
        <v>0.01180555556</v>
      </c>
      <c r="Q232" s="76"/>
      <c r="R232" s="76" t="str">
        <f>IFERROR(__xludf.DUMMYFUNCTION("""COMPUTED_VALUE"""),"Value, Modern")</f>
        <v>Value, Modern</v>
      </c>
      <c r="S232" s="76" t="str">
        <f>IFERROR(__xludf.DUMMYFUNCTION("""COMPUTED_VALUE"""),"Beach, Kids Club, Heated Pool, Gym, Horseback Riding, Room Service, Spa, Wifi (Free), Adult Pool, Swim Up Bar, Tennis, Fishing")</f>
        <v>Beach, Kids Club, Heated Pool, Gym, Horseback Riding, Room Service, Spa, Wifi (Free), Adult Pool, Swim Up Bar, Tennis, Fishing</v>
      </c>
      <c r="T232" s="76"/>
      <c r="U232" s="76" t="str">
        <f>IFERROR(__xludf.DUMMYFUNCTION("""COMPUTED_VALUE"""),"2 Queen")</f>
        <v>2 Queen</v>
      </c>
      <c r="V232" s="74" t="b">
        <f>IFERROR(__xludf.DUMMYFUNCTION("""COMPUTED_VALUE"""),TRUE)</f>
        <v>1</v>
      </c>
      <c r="W232" s="74">
        <f>IFERROR(__xludf.DUMMYFUNCTION("""COMPUTED_VALUE"""),100.0)</f>
        <v>100</v>
      </c>
      <c r="X232" s="74"/>
      <c r="Y232" s="74">
        <f>IFERROR(__xludf.DUMMYFUNCTION("""COMPUTED_VALUE"""),2011.0)</f>
        <v>2011</v>
      </c>
      <c r="Z232" s="75">
        <f>IFERROR(__xludf.DUMMYFUNCTION("""COMPUTED_VALUE"""),16.0)</f>
        <v>16</v>
      </c>
    </row>
    <row r="233">
      <c r="A233" s="65" t="str">
        <f>IFERROR(__xludf.DUMMYFUNCTION("""COMPUTED_VALUE"""),"The Westin Porto de Galinhas, an All-Inclusive Resort")</f>
        <v>The Westin Porto de Galinhas, an All-Inclusive Resort</v>
      </c>
      <c r="B233" s="66">
        <f>IFERROR(__xludf.DUMMYFUNCTION("""COMPUTED_VALUE"""),89.3)</f>
        <v>89.3</v>
      </c>
      <c r="C233" s="67" t="str">
        <f>IFERROR(__xludf.DUMMYFUNCTION("""COMPUTED_VALUE"""),"Family")</f>
        <v>Family</v>
      </c>
      <c r="D233" s="79">
        <f>IFERROR(__xludf.DUMMYFUNCTION("""COMPUTED_VALUE"""),3767.73)</f>
        <v>3767.73</v>
      </c>
      <c r="E233" s="79">
        <f>IFERROR(__xludf.DUMMYFUNCTION("""COMPUTED_VALUE"""),5203.423139727)</f>
        <v>5203.42314</v>
      </c>
      <c r="F233" s="69">
        <f>IFERROR(__xludf.DUMMYFUNCTION("""COMPUTED_VALUE"""),2.47)</f>
        <v>2.47</v>
      </c>
      <c r="G233" s="78"/>
      <c r="H233" s="78" t="str">
        <f>IFERROR(__xludf.DUMMYFUNCTION("""COMPUTED_VALUE"""),"NYR")</f>
        <v>NYR</v>
      </c>
      <c r="I233" s="78"/>
      <c r="J233" s="78">
        <f>IFERROR(__xludf.DUMMYFUNCTION("""COMPUTED_VALUE"""),3.5)</f>
        <v>3.5</v>
      </c>
      <c r="K233" s="76"/>
      <c r="L233" s="76" t="str">
        <f>IFERROR(__xludf.DUMMYFUNCTION("""COMPUTED_VALUE"""),"Brazil")</f>
        <v>Brazil</v>
      </c>
      <c r="M233" s="76" t="str">
        <f>IFERROR(__xludf.DUMMYFUNCTION("""COMPUTED_VALUE"""),"Porto de Galinhas")</f>
        <v>Porto de Galinhas</v>
      </c>
      <c r="N233" s="87" t="str">
        <f>IFERROR(__xludf.DUMMYFUNCTION("""COMPUTED_VALUE"""),"Guararapes")</f>
        <v>Guararapes</v>
      </c>
      <c r="O233" s="78" t="b">
        <f>IFERROR(__xludf.DUMMYFUNCTION("""COMPUTED_VALUE"""),FALSE)</f>
        <v>0</v>
      </c>
      <c r="P233" s="80">
        <f>IFERROR(__xludf.DUMMYFUNCTION("""COMPUTED_VALUE"""),0.034027777777777775)</f>
        <v>0.03402777778</v>
      </c>
      <c r="Q233" s="76" t="str">
        <f>IFERROR(__xludf.DUMMYFUNCTION("""COMPUTED_VALUE"""),"Marriott")</f>
        <v>Marriott</v>
      </c>
      <c r="R233" s="76" t="str">
        <f>IFERROR(__xludf.DUMMYFUNCTION("""COMPUTED_VALUE"""),"Business, Charming")</f>
        <v>Business, Charming</v>
      </c>
      <c r="S233" s="76" t="str">
        <f>IFERROR(__xludf.DUMMYFUNCTION("""COMPUTED_VALUE"""),"Beach, Swim Out/Plunge Pool Rooms, Yoga Classes, Hiking, Adult Pool, Buffet, Swim Up Bar, Kids Club, Evening Entertainment")</f>
        <v>Beach, Swim Out/Plunge Pool Rooms, Yoga Classes, Hiking, Adult Pool, Buffet, Swim Up Bar, Kids Club, Evening Entertainment</v>
      </c>
      <c r="T233" s="76"/>
      <c r="U233" s="76" t="str">
        <f>IFERROR(__xludf.DUMMYFUNCTION("""COMPUTED_VALUE"""),"2 Queen")</f>
        <v>2 Queen</v>
      </c>
      <c r="V233" s="78" t="b">
        <f>IFERROR(__xludf.DUMMYFUNCTION("""COMPUTED_VALUE"""),FALSE)</f>
        <v>0</v>
      </c>
      <c r="W233" s="78">
        <f>IFERROR(__xludf.DUMMYFUNCTION("""COMPUTED_VALUE"""),187.0)</f>
        <v>187</v>
      </c>
      <c r="X233" s="78"/>
      <c r="Y233" s="74"/>
      <c r="Z233" s="75"/>
    </row>
    <row r="234">
      <c r="A234" s="65" t="str">
        <f>IFERROR(__xludf.DUMMYFUNCTION("""COMPUTED_VALUE"""),"Hard Rock Hotel Vallarta")</f>
        <v>Hard Rock Hotel Vallarta</v>
      </c>
      <c r="B234" s="66">
        <f>IFERROR(__xludf.DUMMYFUNCTION("""COMPUTED_VALUE"""),89.3)</f>
        <v>89.3</v>
      </c>
      <c r="C234" s="67" t="str">
        <f>IFERROR(__xludf.DUMMYFUNCTION("""COMPUTED_VALUE"""),"Family")</f>
        <v>Family</v>
      </c>
      <c r="D234" s="79">
        <f>IFERROR(__xludf.DUMMYFUNCTION("""COMPUTED_VALUE"""),4339.09)</f>
        <v>4339.09</v>
      </c>
      <c r="E234" s="79">
        <f>IFERROR(__xludf.DUMMYFUNCTION("""COMPUTED_VALUE"""),5992.499810591)</f>
        <v>5992.499811</v>
      </c>
      <c r="F234" s="69">
        <f>IFERROR(__xludf.DUMMYFUNCTION("""COMPUTED_VALUE"""),2.14)</f>
        <v>2.14</v>
      </c>
      <c r="G234" s="78"/>
      <c r="H234" s="78">
        <f>IFERROR(__xludf.DUMMYFUNCTION("""COMPUTED_VALUE"""),8.0)</f>
        <v>8</v>
      </c>
      <c r="I234" s="78"/>
      <c r="J234" s="78">
        <f>IFERROR(__xludf.DUMMYFUNCTION("""COMPUTED_VALUE"""),5.0)</f>
        <v>5</v>
      </c>
      <c r="K234" s="76"/>
      <c r="L234" s="76" t="str">
        <f>IFERROR(__xludf.DUMMYFUNCTION("""COMPUTED_VALUE"""),"Mexico")</f>
        <v>Mexico</v>
      </c>
      <c r="M234" s="76" t="str">
        <f>IFERROR(__xludf.DUMMYFUNCTION("""COMPUTED_VALUE"""),"Nuevo Vallarta")</f>
        <v>Nuevo Vallarta</v>
      </c>
      <c r="N234" s="87" t="str">
        <f>IFERROR(__xludf.DUMMYFUNCTION("""COMPUTED_VALUE"""),"Ordaz")</f>
        <v>Ordaz</v>
      </c>
      <c r="O234" s="78" t="b">
        <f>IFERROR(__xludf.DUMMYFUNCTION("""COMPUTED_VALUE"""),TRUE)</f>
        <v>1</v>
      </c>
      <c r="P234" s="80">
        <f>IFERROR(__xludf.DUMMYFUNCTION("""COMPUTED_VALUE"""),0.014583333333333334)</f>
        <v>0.01458333333</v>
      </c>
      <c r="Q234" s="76" t="str">
        <f>IFERROR(__xludf.DUMMYFUNCTION("""COMPUTED_VALUE"""),"Hard Rock Hotels")</f>
        <v>Hard Rock Hotels</v>
      </c>
      <c r="R234" s="76" t="str">
        <f>IFERROR(__xludf.DUMMYFUNCTION("""COMPUTED_VALUE"""),"Trendy, Great View")</f>
        <v>Trendy, Great View</v>
      </c>
      <c r="S234" s="76" t="str">
        <f>IFERROR(__xludf.DUMMYFUNCTION("""COMPUTED_VALUE"""),"Beach, Family Suite, 2 Bedroom Suites, Kids Club, Teen Club, Pool Slide, Water Feature, Arcade, Heated Pool, Gym, Room Service, Swim Up Bar, Evening Entertainment, Nightclub, Wifi (Free), Babysitting, Fishing, Spa")</f>
        <v>Beach, Family Suite, 2 Bedroom Suites, Kids Club, Teen Club, Pool Slide, Water Feature, Arcade, Heated Pool, Gym, Room Service, Swim Up Bar, Evening Entertainment, Nightclub, Wifi (Free), Babysitting, Fishing, Spa</v>
      </c>
      <c r="T234" s="76"/>
      <c r="U234" s="76" t="str">
        <f>IFERROR(__xludf.DUMMYFUNCTION("""COMPUTED_VALUE"""),"1 King or 2 Double")</f>
        <v>1 King or 2 Double</v>
      </c>
      <c r="V234" s="78" t="b">
        <f>IFERROR(__xludf.DUMMYFUNCTION("""COMPUTED_VALUE"""),FALSE)</f>
        <v>0</v>
      </c>
      <c r="W234" s="78">
        <f>IFERROR(__xludf.DUMMYFUNCTION("""COMPUTED_VALUE"""),348.0)</f>
        <v>348</v>
      </c>
      <c r="X234" s="78">
        <f>IFERROR(__xludf.DUMMYFUNCTION("""COMPUTED_VALUE"""),2002.0)</f>
        <v>2002</v>
      </c>
      <c r="Y234" s="74"/>
      <c r="Z234" s="75">
        <f>IFERROR(__xludf.DUMMYFUNCTION("""COMPUTED_VALUE"""),8.0)</f>
        <v>8</v>
      </c>
    </row>
    <row r="235">
      <c r="A235" s="65" t="str">
        <f>IFERROR(__xludf.DUMMYFUNCTION("""COMPUTED_VALUE"""),"Secrets Papagayo Costa Rica")</f>
        <v>Secrets Papagayo Costa Rica</v>
      </c>
      <c r="B235" s="66">
        <f>IFERROR(__xludf.DUMMYFUNCTION("""COMPUTED_VALUE"""),89.3)</f>
        <v>89.3</v>
      </c>
      <c r="C235" s="67" t="str">
        <f>IFERROR(__xludf.DUMMYFUNCTION("""COMPUTED_VALUE"""),"Adults Only")</f>
        <v>Adults Only</v>
      </c>
      <c r="D235" s="85">
        <f>IFERROR(__xludf.DUMMYFUNCTION("""COMPUTED_VALUE"""),4423.0)</f>
        <v>4423</v>
      </c>
      <c r="E235" s="79">
        <f>IFERROR(__xludf.DUMMYFUNCTION("""COMPUTED_VALUE"""),6108.383707699999)</f>
        <v>6108.383708</v>
      </c>
      <c r="F235" s="69">
        <f>IFERROR(__xludf.DUMMYFUNCTION("""COMPUTED_VALUE"""),2.1)</f>
        <v>2.1</v>
      </c>
      <c r="G235" s="78">
        <f>IFERROR(__xludf.DUMMYFUNCTION("""COMPUTED_VALUE"""),4.0)</f>
        <v>4</v>
      </c>
      <c r="H235" s="78">
        <f>IFERROR(__xludf.DUMMYFUNCTION("""COMPUTED_VALUE"""),9.0)</f>
        <v>9</v>
      </c>
      <c r="I235" s="78" t="str">
        <f>IFERROR(__xludf.DUMMYFUNCTION("""COMPUTED_VALUE"""),"D")</f>
        <v>D</v>
      </c>
      <c r="J235" s="78">
        <f>IFERROR(__xludf.DUMMYFUNCTION("""COMPUTED_VALUE"""),4.5)</f>
        <v>4.5</v>
      </c>
      <c r="K235" s="76"/>
      <c r="L235" s="76" t="str">
        <f>IFERROR(__xludf.DUMMYFUNCTION("""COMPUTED_VALUE"""),"Costa Rica")</f>
        <v>Costa Rica</v>
      </c>
      <c r="M235" s="76" t="str">
        <f>IFERROR(__xludf.DUMMYFUNCTION("""COMPUTED_VALUE"""),"Gulf of Papagayo")</f>
        <v>Gulf of Papagayo</v>
      </c>
      <c r="N235" s="76" t="str">
        <f>IFERROR(__xludf.DUMMYFUNCTION("""COMPUTED_VALUE"""),"Liberia")</f>
        <v>Liberia</v>
      </c>
      <c r="O235" s="78" t="b">
        <f>IFERROR(__xludf.DUMMYFUNCTION("""COMPUTED_VALUE"""),TRUE)</f>
        <v>1</v>
      </c>
      <c r="P235" s="80">
        <f>IFERROR(__xludf.DUMMYFUNCTION("""COMPUTED_VALUE"""),0.01597222222222222)</f>
        <v>0.01597222222</v>
      </c>
      <c r="Q235" s="76" t="str">
        <f>IFERROR(__xludf.DUMMYFUNCTION("""COMPUTED_VALUE"""),"Hyatt")</f>
        <v>Hyatt</v>
      </c>
      <c r="R235" s="76" t="str">
        <f>IFERROR(__xludf.DUMMYFUNCTION("""COMPUTED_VALUE"""),"Mountain View, Romantic")</f>
        <v>Mountain View, Romantic</v>
      </c>
      <c r="S235" s="76" t="str">
        <f>IFERROR(__xludf.DUMMYFUNCTION("""COMPUTED_VALUE"""),"Beach, Great Food, Swim Out/Plunge Pool Rooms, Heated Pool, Gym, Diving, Swim Up Bar, Tennis, Fishing, Buffet, Evening Entertainment, Spa")</f>
        <v>Beach, Great Food, Swim Out/Plunge Pool Rooms, Heated Pool, Gym, Diving, Swim Up Bar, Tennis, Fishing, Buffet, Evening Entertainment, Spa</v>
      </c>
      <c r="T235" s="76"/>
      <c r="U235" s="76"/>
      <c r="V235" s="78" t="b">
        <f>IFERROR(__xludf.DUMMYFUNCTION("""COMPUTED_VALUE"""),FALSE)</f>
        <v>0</v>
      </c>
      <c r="W235" s="78">
        <f>IFERROR(__xludf.DUMMYFUNCTION("""COMPUTED_VALUE"""),202.0)</f>
        <v>202</v>
      </c>
      <c r="X235" s="78"/>
      <c r="Y235" s="78">
        <f>IFERROR(__xludf.DUMMYFUNCTION("""COMPUTED_VALUE"""),2010.0)</f>
        <v>2010</v>
      </c>
      <c r="Z235" s="81">
        <f>IFERROR(__xludf.DUMMYFUNCTION("""COMPUTED_VALUE"""),1.0)</f>
        <v>1</v>
      </c>
    </row>
    <row r="236">
      <c r="A236" s="65" t="str">
        <f>IFERROR(__xludf.DUMMYFUNCTION("""COMPUTED_VALUE"""),"Iberostar Selection Playa Mita")</f>
        <v>Iberostar Selection Playa Mita</v>
      </c>
      <c r="B236" s="66">
        <f>IFERROR(__xludf.DUMMYFUNCTION("""COMPUTED_VALUE"""),89.3)</f>
        <v>89.3</v>
      </c>
      <c r="C236" s="67" t="str">
        <f>IFERROR(__xludf.DUMMYFUNCTION("""COMPUTED_VALUE"""),"Family")</f>
        <v>Family</v>
      </c>
      <c r="D236" s="85">
        <f>IFERROR(__xludf.DUMMYFUNCTION("""COMPUTED_VALUE"""),4531.8)</f>
        <v>4531.8</v>
      </c>
      <c r="E236" s="79">
        <f>IFERROR(__xludf.DUMMYFUNCTION("""COMPUTED_VALUE"""),6258.6419368199995)</f>
        <v>6258.641937</v>
      </c>
      <c r="F236" s="69">
        <f>IFERROR(__xludf.DUMMYFUNCTION("""COMPUTED_VALUE"""),2.05)</f>
        <v>2.05</v>
      </c>
      <c r="G236" s="78"/>
      <c r="H236" s="78">
        <f>IFERROR(__xludf.DUMMYFUNCTION("""COMPUTED_VALUE"""),6.0)</f>
        <v>6</v>
      </c>
      <c r="I236" s="78"/>
      <c r="J236" s="78">
        <f>IFERROR(__xludf.DUMMYFUNCTION("""COMPUTED_VALUE"""),5.0)</f>
        <v>5</v>
      </c>
      <c r="K236" s="76"/>
      <c r="L236" s="76" t="str">
        <f>IFERROR(__xludf.DUMMYFUNCTION("""COMPUTED_VALUE"""),"Mexico")</f>
        <v>Mexico</v>
      </c>
      <c r="M236" s="76" t="str">
        <f>IFERROR(__xludf.DUMMYFUNCTION("""COMPUTED_VALUE"""),"Punta de Mita")</f>
        <v>Punta de Mita</v>
      </c>
      <c r="N236" s="76" t="str">
        <f>IFERROR(__xludf.DUMMYFUNCTION("""COMPUTED_VALUE"""),"Ordaz")</f>
        <v>Ordaz</v>
      </c>
      <c r="O236" s="78" t="b">
        <f>IFERROR(__xludf.DUMMYFUNCTION("""COMPUTED_VALUE"""),TRUE)</f>
        <v>1</v>
      </c>
      <c r="P236" s="80">
        <f>IFERROR(__xludf.DUMMYFUNCTION("""COMPUTED_VALUE"""),0.03611111111111111)</f>
        <v>0.03611111111</v>
      </c>
      <c r="Q236" s="76" t="str">
        <f>IFERROR(__xludf.DUMMYFUNCTION("""COMPUTED_VALUE"""),"IHG")</f>
        <v>IHG</v>
      </c>
      <c r="R236" s="76" t="str">
        <f>IFERROR(__xludf.DUMMYFUNCTION("""COMPUTED_VALUE"""),"Park View, Mountain View")</f>
        <v>Park View, Mountain View</v>
      </c>
      <c r="S236" s="76" t="str">
        <f>IFERROR(__xludf.DUMMYFUNCTION("""COMPUTED_VALUE"""),"Beach, Family Suite, 2 Bedroom Suites, Kids Club, Teen Club, Kids Waterpark, Gym, Diving, Swim Up Bar, Tennis, Nightclub, Wifi (Free), Babysitting, Buffet, Golf Course, Evening Entertainment, Spa")</f>
        <v>Beach, Family Suite, 2 Bedroom Suites, Kids Club, Teen Club, Kids Waterpark, Gym, Diving, Swim Up Bar, Tennis, Nightclub, Wifi (Free), Babysitting, Buffet, Golf Course, Evening Entertainment, Spa</v>
      </c>
      <c r="T236" s="76"/>
      <c r="U236" s="76" t="str">
        <f>IFERROR(__xludf.DUMMYFUNCTION("""COMPUTED_VALUE"""),"1 King or 2 Double")</f>
        <v>1 King or 2 Double</v>
      </c>
      <c r="V236" s="78" t="b">
        <f>IFERROR(__xludf.DUMMYFUNCTION("""COMPUTED_VALUE"""),FALSE)</f>
        <v>0</v>
      </c>
      <c r="W236" s="78">
        <f>IFERROR(__xludf.DUMMYFUNCTION("""COMPUTED_VALUE"""),452.0)</f>
        <v>452</v>
      </c>
      <c r="X236" s="78"/>
      <c r="Y236" s="78"/>
      <c r="Z236" s="81"/>
    </row>
    <row r="237">
      <c r="A237" s="65" t="str">
        <f>IFERROR(__xludf.DUMMYFUNCTION("""COMPUTED_VALUE"""),"Hyatt Ziva Puerto Vallarta")</f>
        <v>Hyatt Ziva Puerto Vallarta</v>
      </c>
      <c r="B237" s="66">
        <f>IFERROR(__xludf.DUMMYFUNCTION("""COMPUTED_VALUE"""),89.3)</f>
        <v>89.3</v>
      </c>
      <c r="C237" s="67" t="str">
        <f>IFERROR(__xludf.DUMMYFUNCTION("""COMPUTED_VALUE"""),"Family")</f>
        <v>Family</v>
      </c>
      <c r="D237" s="79">
        <f>IFERROR(__xludf.DUMMYFUNCTION("""COMPUTED_VALUE"""),4782.05)</f>
        <v>4782.05</v>
      </c>
      <c r="E237" s="79">
        <f>IFERROR(__xludf.DUMMYFUNCTION("""COMPUTED_VALUE"""),6604.249674295)</f>
        <v>6604.249674</v>
      </c>
      <c r="F237" s="86">
        <f>IFERROR(__xludf.DUMMYFUNCTION("""COMPUTED_VALUE"""),1.94)</f>
        <v>1.94</v>
      </c>
      <c r="G237" s="78">
        <f>IFERROR(__xludf.DUMMYFUNCTION("""COMPUTED_VALUE"""),4.0)</f>
        <v>4</v>
      </c>
      <c r="H237" s="78">
        <f>IFERROR(__xludf.DUMMYFUNCTION("""COMPUTED_VALUE"""),8.0)</f>
        <v>8</v>
      </c>
      <c r="I237" s="78" t="str">
        <f>IFERROR(__xludf.DUMMYFUNCTION("""COMPUTED_VALUE"""),"D")</f>
        <v>D</v>
      </c>
      <c r="J237" s="78">
        <f>IFERROR(__xludf.DUMMYFUNCTION("""COMPUTED_VALUE"""),4.5)</f>
        <v>4.5</v>
      </c>
      <c r="K237" s="76"/>
      <c r="L237" s="76" t="str">
        <f>IFERROR(__xludf.DUMMYFUNCTION("""COMPUTED_VALUE"""),"Mexico")</f>
        <v>Mexico</v>
      </c>
      <c r="M237" s="76" t="str">
        <f>IFERROR(__xludf.DUMMYFUNCTION("""COMPUTED_VALUE"""),"Puerto Vallarta")</f>
        <v>Puerto Vallarta</v>
      </c>
      <c r="N237" s="76" t="str">
        <f>IFERROR(__xludf.DUMMYFUNCTION("""COMPUTED_VALUE"""),"Ordaz")</f>
        <v>Ordaz</v>
      </c>
      <c r="O237" s="78" t="b">
        <f>IFERROR(__xludf.DUMMYFUNCTION("""COMPUTED_VALUE"""),TRUE)</f>
        <v>1</v>
      </c>
      <c r="P237" s="80">
        <f>IFERROR(__xludf.DUMMYFUNCTION("""COMPUTED_VALUE"""),0.021527777777777778)</f>
        <v>0.02152777778</v>
      </c>
      <c r="Q237" s="76" t="str">
        <f>IFERROR(__xludf.DUMMYFUNCTION("""COMPUTED_VALUE"""),"Hyatt")</f>
        <v>Hyatt</v>
      </c>
      <c r="R237" s="76" t="str">
        <f>IFERROR(__xludf.DUMMYFUNCTION("""COMPUTED_VALUE"""),"Great View, Family")</f>
        <v>Great View, Family</v>
      </c>
      <c r="S237" s="76" t="str">
        <f>IFERROR(__xludf.DUMMYFUNCTION("""COMPUTED_VALUE"""),"Beach, Swim Out/Plunge Pool Rooms, Adults Only Rooms, Kids Club, Heated Pool, Gym, Diving, Buffet, Swim Up Bar, Tennis, Fishing, Spa, Wifi (Free), Babysitting, Adult Pool, Evening Entertainment")</f>
        <v>Beach, Swim Out/Plunge Pool Rooms, Adults Only Rooms, Kids Club, Heated Pool, Gym, Diving, Buffet, Swim Up Bar, Tennis, Fishing, Spa, Wifi (Free), Babysitting, Adult Pool, Evening Entertainment</v>
      </c>
      <c r="T237" s="76" t="str">
        <f>IFERROR(__xludf.DUMMYFUNCTION("""COMPUTED_VALUE"""),"Can Request")</f>
        <v>Can Request</v>
      </c>
      <c r="U237" s="76" t="str">
        <f>IFERROR(__xludf.DUMMYFUNCTION("""COMPUTED_VALUE"""),"1 King or 2 Double")</f>
        <v>1 King or 2 Double</v>
      </c>
      <c r="V237" s="78" t="b">
        <f>IFERROR(__xludf.DUMMYFUNCTION("""COMPUTED_VALUE"""),TRUE)</f>
        <v>1</v>
      </c>
      <c r="W237" s="78">
        <f>IFERROR(__xludf.DUMMYFUNCTION("""COMPUTED_VALUE"""),335.0)</f>
        <v>335</v>
      </c>
      <c r="X237" s="78">
        <f>IFERROR(__xludf.DUMMYFUNCTION("""COMPUTED_VALUE"""),1969.0)</f>
        <v>1969</v>
      </c>
      <c r="Y237" s="78">
        <f>IFERROR(__xludf.DUMMYFUNCTION("""COMPUTED_VALUE"""),2014.0)</f>
        <v>2014</v>
      </c>
      <c r="Z237" s="81">
        <f>IFERROR(__xludf.DUMMYFUNCTION("""COMPUTED_VALUE"""),11.0)</f>
        <v>11</v>
      </c>
    </row>
    <row r="238">
      <c r="A238" s="65" t="str">
        <f>IFERROR(__xludf.DUMMYFUNCTION("""COMPUTED_VALUE"""),"Breathless Cabo San Lucas Resort &amp; Spa")</f>
        <v>Breathless Cabo San Lucas Resort &amp; Spa</v>
      </c>
      <c r="B238" s="66">
        <f>IFERROR(__xludf.DUMMYFUNCTION("""COMPUTED_VALUE"""),89.3)</f>
        <v>89.3</v>
      </c>
      <c r="C238" s="67" t="str">
        <f>IFERROR(__xludf.DUMMYFUNCTION("""COMPUTED_VALUE"""),"Adults Only")</f>
        <v>Adults Only</v>
      </c>
      <c r="D238" s="85">
        <f>IFERROR(__xludf.DUMMYFUNCTION("""COMPUTED_VALUE"""),4791.0)</f>
        <v>4791</v>
      </c>
      <c r="E238" s="79">
        <f>IFERROR(__xludf.DUMMYFUNCTION("""COMPUTED_VALUE"""),6616.610070899999)</f>
        <v>6616.610071</v>
      </c>
      <c r="F238" s="69">
        <f>IFERROR(__xludf.DUMMYFUNCTION("""COMPUTED_VALUE"""),1.94)</f>
        <v>1.94</v>
      </c>
      <c r="G238" s="78"/>
      <c r="H238" s="78">
        <f>IFERROR(__xludf.DUMMYFUNCTION("""COMPUTED_VALUE"""),7.0)</f>
        <v>7</v>
      </c>
      <c r="I238" s="78" t="str">
        <f>IFERROR(__xludf.DUMMYFUNCTION("""COMPUTED_VALUE"""),"D")</f>
        <v>D</v>
      </c>
      <c r="J238" s="78">
        <f>IFERROR(__xludf.DUMMYFUNCTION("""COMPUTED_VALUE"""),4.5)</f>
        <v>4.5</v>
      </c>
      <c r="K238" s="71"/>
      <c r="L238" s="76" t="str">
        <f>IFERROR(__xludf.DUMMYFUNCTION("""COMPUTED_VALUE"""),"Mexico")</f>
        <v>Mexico</v>
      </c>
      <c r="M238" s="76" t="str">
        <f>IFERROR(__xludf.DUMMYFUNCTION("""COMPUTED_VALUE"""),"Cabo San Lucas")</f>
        <v>Cabo San Lucas</v>
      </c>
      <c r="N238" s="76" t="str">
        <f>IFERROR(__xludf.DUMMYFUNCTION("""COMPUTED_VALUE"""),"Los Cabos")</f>
        <v>Los Cabos</v>
      </c>
      <c r="O238" s="78" t="b">
        <f>IFERROR(__xludf.DUMMYFUNCTION("""COMPUTED_VALUE"""),TRUE)</f>
        <v>1</v>
      </c>
      <c r="P238" s="80">
        <f>IFERROR(__xludf.DUMMYFUNCTION("""COMPUTED_VALUE"""),0.02847222222222222)</f>
        <v>0.02847222222</v>
      </c>
      <c r="Q238" s="76" t="str">
        <f>IFERROR(__xludf.DUMMYFUNCTION("""COMPUTED_VALUE"""),"Hyatt")</f>
        <v>Hyatt</v>
      </c>
      <c r="R238" s="76" t="str">
        <f>IFERROR(__xludf.DUMMYFUNCTION("""COMPUTED_VALUE"""),"Mountain View, Trendy")</f>
        <v>Mountain View, Trendy</v>
      </c>
      <c r="S238" s="76" t="str">
        <f>IFERROR(__xludf.DUMMYFUNCTION("""COMPUTED_VALUE"""),"Beach, Great for Parties, Heated Pool, Gym, Buffet, Fishing, Spa, Wifi (Free), Room Service, Evening Entertainment, Nightclub")</f>
        <v>Beach, Great for Parties, Heated Pool, Gym, Buffet, Fishing, Spa, Wifi (Free), Room Service, Evening Entertainment, Nightclub</v>
      </c>
      <c r="T238" s="76"/>
      <c r="U238" s="76"/>
      <c r="V238" s="78" t="b">
        <f>IFERROR(__xludf.DUMMYFUNCTION("""COMPUTED_VALUE"""),FALSE)</f>
        <v>0</v>
      </c>
      <c r="W238" s="78">
        <f>IFERROR(__xludf.DUMMYFUNCTION("""COMPUTED_VALUE"""),169.0)</f>
        <v>169</v>
      </c>
      <c r="X238" s="78">
        <f>IFERROR(__xludf.DUMMYFUNCTION("""COMPUTED_VALUE"""),2015.0)</f>
        <v>2015</v>
      </c>
      <c r="Y238" s="78"/>
      <c r="Z238" s="81">
        <f>IFERROR(__xludf.DUMMYFUNCTION("""COMPUTED_VALUE"""),5.0)</f>
        <v>5</v>
      </c>
    </row>
    <row r="239">
      <c r="A239" s="65" t="str">
        <f>IFERROR(__xludf.DUMMYFUNCTION("""COMPUTED_VALUE"""),"Mahekal Beach Resort (No TV)")</f>
        <v>Mahekal Beach Resort (No TV)</v>
      </c>
      <c r="B239" s="66">
        <f>IFERROR(__xludf.DUMMYFUNCTION("""COMPUTED_VALUE"""),89.3)</f>
        <v>89.3</v>
      </c>
      <c r="C239" s="67" t="str">
        <f>IFERROR(__xludf.DUMMYFUNCTION("""COMPUTED_VALUE"""),"Family")</f>
        <v>Family</v>
      </c>
      <c r="D239" s="79">
        <f>IFERROR(__xludf.DUMMYFUNCTION("""COMPUTED_VALUE"""),5179.58)</f>
        <v>5179.58</v>
      </c>
      <c r="E239" s="79">
        <f>IFERROR(__xludf.DUMMYFUNCTION("""COMPUTED_VALUE"""),7153.258441041999)</f>
        <v>7153.258441</v>
      </c>
      <c r="F239" s="69">
        <f>IFERROR(__xludf.DUMMYFUNCTION("""COMPUTED_VALUE"""),1.8)</f>
        <v>1.8</v>
      </c>
      <c r="G239" s="78"/>
      <c r="H239" s="78">
        <f>IFERROR(__xludf.DUMMYFUNCTION("""COMPUTED_VALUE"""),7.0)</f>
        <v>7</v>
      </c>
      <c r="I239" s="78"/>
      <c r="J239" s="78">
        <f>IFERROR(__xludf.DUMMYFUNCTION("""COMPUTED_VALUE"""),4.0)</f>
        <v>4</v>
      </c>
      <c r="K239" s="71" t="str">
        <f>IFERROR(__xludf.DUMMYFUNCTION("""COMPUTED_VALUE"""),"No TV")</f>
        <v>No TV</v>
      </c>
      <c r="L239" s="76" t="str">
        <f>IFERROR(__xludf.DUMMYFUNCTION("""COMPUTED_VALUE"""),"Mexico")</f>
        <v>Mexico</v>
      </c>
      <c r="M239" s="76" t="str">
        <f>IFERROR(__xludf.DUMMYFUNCTION("""COMPUTED_VALUE"""),"Playa del Carmen")</f>
        <v>Playa del Carmen</v>
      </c>
      <c r="N239" s="76" t="str">
        <f>IFERROR(__xludf.DUMMYFUNCTION("""COMPUTED_VALUE"""),"Cancun")</f>
        <v>Cancun</v>
      </c>
      <c r="O239" s="78" t="b">
        <f>IFERROR(__xludf.DUMMYFUNCTION("""COMPUTED_VALUE"""),TRUE)</f>
        <v>1</v>
      </c>
      <c r="P239" s="80">
        <f>IFERROR(__xludf.DUMMYFUNCTION("""COMPUTED_VALUE"""),0.029166666666666667)</f>
        <v>0.02916666667</v>
      </c>
      <c r="Q239" s="76"/>
      <c r="R239" s="76" t="str">
        <f>IFERROR(__xludf.DUMMYFUNCTION("""COMPUTED_VALUE"""),"Value, Ocean View")</f>
        <v>Value, Ocean View</v>
      </c>
      <c r="S239" s="76" t="str">
        <f>IFERROR(__xludf.DUMMYFUNCTION("""COMPUTED_VALUE"""),"Beach, Swim Out/Plunge Pool Rooms, Gym, Bicycles Available, Yoga Classes, Buffet, Spa, Babysitting, Room Service, Swim Up Bar, Evening Entertainment, Pets Allowed")</f>
        <v>Beach, Swim Out/Plunge Pool Rooms, Gym, Bicycles Available, Yoga Classes, Buffet, Spa, Babysitting, Room Service, Swim Up Bar, Evening Entertainment, Pets Allowed</v>
      </c>
      <c r="T239" s="76"/>
      <c r="U239" s="76" t="str">
        <f>IFERROR(__xludf.DUMMYFUNCTION("""COMPUTED_VALUE"""),"2 Queen")</f>
        <v>2 Queen</v>
      </c>
      <c r="V239" s="78" t="b">
        <f>IFERROR(__xludf.DUMMYFUNCTION("""COMPUTED_VALUE"""),FALSE)</f>
        <v>0</v>
      </c>
      <c r="W239" s="78">
        <f>IFERROR(__xludf.DUMMYFUNCTION("""COMPUTED_VALUE"""),122.0)</f>
        <v>122</v>
      </c>
      <c r="X239" s="78">
        <f>IFERROR(__xludf.DUMMYFUNCTION("""COMPUTED_VALUE"""),1982.0)</f>
        <v>1982</v>
      </c>
      <c r="Y239" s="78">
        <f>IFERROR(__xludf.DUMMYFUNCTION("""COMPUTED_VALUE"""),2013.0)</f>
        <v>2013</v>
      </c>
      <c r="Z239" s="81">
        <f>IFERROR(__xludf.DUMMYFUNCTION("""COMPUTED_VALUE"""),3.0)</f>
        <v>3</v>
      </c>
    </row>
    <row r="240">
      <c r="A240" s="65" t="str">
        <f>IFERROR(__xludf.DUMMYFUNCTION("""COMPUTED_VALUE"""),"Temptation Cancun Resort")</f>
        <v>Temptation Cancun Resort</v>
      </c>
      <c r="B240" s="66">
        <f>IFERROR(__xludf.DUMMYFUNCTION("""COMPUTED_VALUE"""),89.3)</f>
        <v>89.3</v>
      </c>
      <c r="C240" s="67" t="str">
        <f>IFERROR(__xludf.DUMMYFUNCTION("""COMPUTED_VALUE"""),"Adults Only")</f>
        <v>Adults Only</v>
      </c>
      <c r="D240" s="79">
        <f>IFERROR(__xludf.DUMMYFUNCTION("""COMPUTED_VALUE"""),5489.9)</f>
        <v>5489.9</v>
      </c>
      <c r="E240" s="79">
        <f>IFERROR(__xludf.DUMMYFUNCTION("""COMPUTED_VALUE"""),7581.825846009999)</f>
        <v>7581.825846</v>
      </c>
      <c r="F240" s="69">
        <f>IFERROR(__xludf.DUMMYFUNCTION("""COMPUTED_VALUE"""),1.69)</f>
        <v>1.69</v>
      </c>
      <c r="G240" s="78"/>
      <c r="H240" s="78">
        <f>IFERROR(__xludf.DUMMYFUNCTION("""COMPUTED_VALUE"""),7.0)</f>
        <v>7</v>
      </c>
      <c r="I240" s="78"/>
      <c r="J240" s="78">
        <f>IFERROR(__xludf.DUMMYFUNCTION("""COMPUTED_VALUE"""),4.0)</f>
        <v>4</v>
      </c>
      <c r="K240" s="76" t="str">
        <f>IFERROR(__xludf.DUMMYFUNCTION("""COMPUTED_VALUE"""),"Optional Topless Areas")</f>
        <v>Optional Topless Areas</v>
      </c>
      <c r="L240" s="76" t="str">
        <f>IFERROR(__xludf.DUMMYFUNCTION("""COMPUTED_VALUE"""),"Mexico")</f>
        <v>Mexico</v>
      </c>
      <c r="M240" s="76" t="str">
        <f>IFERROR(__xludf.DUMMYFUNCTION("""COMPUTED_VALUE"""),"Cancun")</f>
        <v>Cancun</v>
      </c>
      <c r="N240" s="76" t="str">
        <f>IFERROR(__xludf.DUMMYFUNCTION("""COMPUTED_VALUE"""),"Cancun")</f>
        <v>Cancun</v>
      </c>
      <c r="O240" s="78" t="b">
        <f>IFERROR(__xludf.DUMMYFUNCTION("""COMPUTED_VALUE"""),TRUE)</f>
        <v>1</v>
      </c>
      <c r="P240" s="80">
        <f>IFERROR(__xludf.DUMMYFUNCTION("""COMPUTED_VALUE"""),0.016666666666666666)</f>
        <v>0.01666666667</v>
      </c>
      <c r="Q240" s="76" t="str">
        <f>IFERROR(__xludf.DUMMYFUNCTION("""COMPUTED_VALUE"""),"Desire")</f>
        <v>Desire</v>
      </c>
      <c r="R240" s="76" t="str">
        <f>IFERROR(__xludf.DUMMYFUNCTION("""COMPUTED_VALUE"""),"Marina View")</f>
        <v>Marina View</v>
      </c>
      <c r="S240" s="76" t="str">
        <f>IFERROR(__xludf.DUMMYFUNCTION("""COMPUTED_VALUE"""),"Beach, Great for Parties, Gym, Windsurfing, Yoga Classes, Room Service, Swim Up Bar, Nightclub, Spa, Buffet, Evening Entertainment")</f>
        <v>Beach, Great for Parties, Gym, Windsurfing, Yoga Classes, Room Service, Swim Up Bar, Nightclub, Spa, Buffet, Evening Entertainment</v>
      </c>
      <c r="T240" s="76"/>
      <c r="U240" s="76"/>
      <c r="V240" s="78" t="b">
        <f>IFERROR(__xludf.DUMMYFUNCTION("""COMPUTED_VALUE"""),FALSE)</f>
        <v>0</v>
      </c>
      <c r="W240" s="78">
        <f>IFERROR(__xludf.DUMMYFUNCTION("""COMPUTED_VALUE"""),430.0)</f>
        <v>430</v>
      </c>
      <c r="X240" s="78">
        <f>IFERROR(__xludf.DUMMYFUNCTION("""COMPUTED_VALUE"""),1974.0)</f>
        <v>1974</v>
      </c>
      <c r="Y240" s="78">
        <f>IFERROR(__xludf.DUMMYFUNCTION("""COMPUTED_VALUE"""),2017.0)</f>
        <v>2017</v>
      </c>
      <c r="Z240" s="81">
        <f>IFERROR(__xludf.DUMMYFUNCTION("""COMPUTED_VALUE"""),3.0)</f>
        <v>3</v>
      </c>
    </row>
    <row r="241">
      <c r="A241" s="65" t="str">
        <f>IFERROR(__xludf.DUMMYFUNCTION("""COMPUTED_VALUE"""),"Turquoize at Hyatt Ziva Cancun")</f>
        <v>Turquoize at Hyatt Ziva Cancun</v>
      </c>
      <c r="B241" s="66">
        <f>IFERROR(__xludf.DUMMYFUNCTION("""COMPUTED_VALUE"""),89.3)</f>
        <v>89.3</v>
      </c>
      <c r="C241" s="67" t="str">
        <f>IFERROR(__xludf.DUMMYFUNCTION("""COMPUTED_VALUE"""),"Adults Only")</f>
        <v>Adults Only</v>
      </c>
      <c r="D241" s="79">
        <f>IFERROR(__xludf.DUMMYFUNCTION("""COMPUTED_VALUE"""),5980.0)</f>
        <v>5980</v>
      </c>
      <c r="E241" s="79">
        <f>IFERROR(__xludf.DUMMYFUNCTION("""COMPUTED_VALUE"""),8258.678402)</f>
        <v>8258.678402</v>
      </c>
      <c r="F241" s="69">
        <f>IFERROR(__xludf.DUMMYFUNCTION("""COMPUTED_VALUE"""),1.56)</f>
        <v>1.56</v>
      </c>
      <c r="G241" s="78">
        <f>IFERROR(__xludf.DUMMYFUNCTION("""COMPUTED_VALUE"""),4.0)</f>
        <v>4</v>
      </c>
      <c r="H241" s="74">
        <f>IFERROR(__xludf.DUMMYFUNCTION("""COMPUTED_VALUE"""),8.0)</f>
        <v>8</v>
      </c>
      <c r="I241" s="78"/>
      <c r="J241" s="78">
        <f>IFERROR(__xludf.DUMMYFUNCTION("""COMPUTED_VALUE"""),5.0)</f>
        <v>5</v>
      </c>
      <c r="K241" s="76"/>
      <c r="L241" s="76" t="str">
        <f>IFERROR(__xludf.DUMMYFUNCTION("""COMPUTED_VALUE"""),"Mexico")</f>
        <v>Mexico</v>
      </c>
      <c r="M241" s="76" t="str">
        <f>IFERROR(__xludf.DUMMYFUNCTION("""COMPUTED_VALUE"""),"Cancun")</f>
        <v>Cancun</v>
      </c>
      <c r="N241" s="76" t="str">
        <f>IFERROR(__xludf.DUMMYFUNCTION("""COMPUTED_VALUE"""),"Cancun")</f>
        <v>Cancun</v>
      </c>
      <c r="O241" s="78" t="b">
        <f>IFERROR(__xludf.DUMMYFUNCTION("""COMPUTED_VALUE"""),TRUE)</f>
        <v>1</v>
      </c>
      <c r="P241" s="80">
        <f>IFERROR(__xludf.DUMMYFUNCTION("""COMPUTED_VALUE"""),0.02013888888888889)</f>
        <v>0.02013888889</v>
      </c>
      <c r="Q241" s="76" t="str">
        <f>IFERROR(__xludf.DUMMYFUNCTION("""COMPUTED_VALUE"""),"Hyatt")</f>
        <v>Hyatt</v>
      </c>
      <c r="R241" s="76" t="str">
        <f>IFERROR(__xludf.DUMMYFUNCTION("""COMPUTED_VALUE"""),"Modern, Romantic")</f>
        <v>Modern, Romantic</v>
      </c>
      <c r="S241" s="76" t="str">
        <f>IFERROR(__xludf.DUMMYFUNCTION("""COMPUTED_VALUE"""),"Beach, Swim Out/Plunge Pool Rooms, Wifi (Free), Spa")</f>
        <v>Beach, Swim Out/Plunge Pool Rooms, Wifi (Free), Spa</v>
      </c>
      <c r="T241" s="76"/>
      <c r="U241" s="76"/>
      <c r="V241" s="74" t="b">
        <f>IFERROR(__xludf.DUMMYFUNCTION("""COMPUTED_VALUE"""),TRUE)</f>
        <v>1</v>
      </c>
      <c r="W241" s="74">
        <f>IFERROR(__xludf.DUMMYFUNCTION("""COMPUTED_VALUE"""),146.0)</f>
        <v>146</v>
      </c>
      <c r="X241" s="74">
        <f>IFERROR(__xludf.DUMMYFUNCTION("""COMPUTED_VALUE"""),2016.0)</f>
        <v>2016</v>
      </c>
      <c r="Y241" s="74"/>
      <c r="Z241" s="75"/>
    </row>
    <row r="242">
      <c r="A242" s="65" t="str">
        <f>IFERROR(__xludf.DUMMYFUNCTION("""COMPUTED_VALUE"""),"Renaissance Wind Creek Aruba Resort")</f>
        <v>Renaissance Wind Creek Aruba Resort</v>
      </c>
      <c r="B242" s="66">
        <f>IFERROR(__xludf.DUMMYFUNCTION("""COMPUTED_VALUE"""),89.3)</f>
        <v>89.3</v>
      </c>
      <c r="C242" s="67" t="str">
        <f>IFERROR(__xludf.DUMMYFUNCTION("""COMPUTED_VALUE"""),"Family")</f>
        <v>Family</v>
      </c>
      <c r="D242" s="79">
        <f>IFERROR(__xludf.DUMMYFUNCTION("""COMPUTED_VALUE"""),9312.28)</f>
        <v>9312.28</v>
      </c>
      <c r="E242" s="79">
        <f>IFERROR(__xludf.DUMMYFUNCTION("""COMPUTED_VALUE"""),12860.723362772)</f>
        <v>12860.72336</v>
      </c>
      <c r="F242" s="69">
        <f>IFERROR(__xludf.DUMMYFUNCTION("""COMPUTED_VALUE"""),1.0)</f>
        <v>1</v>
      </c>
      <c r="G242" s="78">
        <f>IFERROR(__xludf.DUMMYFUNCTION("""COMPUTED_VALUE"""),4.0)</f>
        <v>4</v>
      </c>
      <c r="H242" s="78">
        <f>IFERROR(__xludf.DUMMYFUNCTION("""COMPUTED_VALUE"""),7.0)</f>
        <v>7</v>
      </c>
      <c r="I242" s="78"/>
      <c r="J242" s="78">
        <f>IFERROR(__xludf.DUMMYFUNCTION("""COMPUTED_VALUE"""),4.0)</f>
        <v>4</v>
      </c>
      <c r="K242" s="71"/>
      <c r="L242" s="76" t="str">
        <f>IFERROR(__xludf.DUMMYFUNCTION("""COMPUTED_VALUE"""),"Aruba")</f>
        <v>Aruba</v>
      </c>
      <c r="M242" s="76" t="str">
        <f>IFERROR(__xludf.DUMMYFUNCTION("""COMPUTED_VALUE"""),"Aruba")</f>
        <v>Aruba</v>
      </c>
      <c r="N242" s="76" t="str">
        <f>IFERROR(__xludf.DUMMYFUNCTION("""COMPUTED_VALUE"""),"Reina Beatrix")</f>
        <v>Reina Beatrix</v>
      </c>
      <c r="O242" s="78" t="b">
        <f>IFERROR(__xludf.DUMMYFUNCTION("""COMPUTED_VALUE"""),TRUE)</f>
        <v>1</v>
      </c>
      <c r="P242" s="80">
        <f>IFERROR(__xludf.DUMMYFUNCTION("""COMPUTED_VALUE"""),0.004861111111111111)</f>
        <v>0.004861111111</v>
      </c>
      <c r="Q242" s="76" t="str">
        <f>IFERROR(__xludf.DUMMYFUNCTION("""COMPUTED_VALUE"""),"Marriott")</f>
        <v>Marriott</v>
      </c>
      <c r="R242" s="76" t="str">
        <f>IFERROR(__xludf.DUMMYFUNCTION("""COMPUTED_VALUE"""),"City View, Green")</f>
        <v>City View, Green</v>
      </c>
      <c r="S242" s="76" t="str">
        <f>IFERROR(__xludf.DUMMYFUNCTION("""COMPUTED_VALUE"""),"Beach, Adults Only Rooms, Gym, Casino, Yoga Classes, Buffet, Diving, Fishing, Wifi (Free), Adult Pool, Room Service, Snorkelling, Evening Entertainment, Spa")</f>
        <v>Beach, Adults Only Rooms, Gym, Casino, Yoga Classes, Buffet, Diving, Fishing, Wifi (Free), Adult Pool, Room Service, Snorkelling, Evening Entertainment, Spa</v>
      </c>
      <c r="T242" s="76"/>
      <c r="U242" s="76" t="str">
        <f>IFERROR(__xludf.DUMMYFUNCTION("""COMPUTED_VALUE"""),"1 King or 2 Double")</f>
        <v>1 King or 2 Double</v>
      </c>
      <c r="V242" s="78" t="b">
        <f>IFERROR(__xludf.DUMMYFUNCTION("""COMPUTED_VALUE"""),FALSE)</f>
        <v>0</v>
      </c>
      <c r="W242" s="78">
        <f>IFERROR(__xludf.DUMMYFUNCTION("""COMPUTED_VALUE"""),555.0)</f>
        <v>555</v>
      </c>
      <c r="X242" s="78">
        <f>IFERROR(__xludf.DUMMYFUNCTION("""COMPUTED_VALUE"""),1989.0)</f>
        <v>1989</v>
      </c>
      <c r="Y242" s="78">
        <f>IFERROR(__xludf.DUMMYFUNCTION("""COMPUTED_VALUE"""),2014.0)</f>
        <v>2014</v>
      </c>
      <c r="Z242" s="81">
        <f>IFERROR(__xludf.DUMMYFUNCTION("""COMPUTED_VALUE"""),6.0)</f>
        <v>6</v>
      </c>
    </row>
    <row r="243">
      <c r="A243" s="65" t="str">
        <f>IFERROR(__xludf.DUMMYFUNCTION("""COMPUTED_VALUE"""),"Grand Fiesta Americana Los Cabos All Inclusive Golf &amp; Spa")</f>
        <v>Grand Fiesta Americana Los Cabos All Inclusive Golf &amp; Spa</v>
      </c>
      <c r="B243" s="66">
        <f>IFERROR(__xludf.DUMMYFUNCTION("""COMPUTED_VALUE"""),89.3)</f>
        <v>89.3</v>
      </c>
      <c r="C243" s="67" t="str">
        <f>IFERROR(__xludf.DUMMYFUNCTION("""COMPUTED_VALUE"""),"Family")</f>
        <v>Family</v>
      </c>
      <c r="D243" s="79">
        <f>IFERROR(__xludf.DUMMYFUNCTION("""COMPUTED_VALUE"""),10170.02)</f>
        <v>10170.02</v>
      </c>
      <c r="E243" s="79">
        <f>IFERROR(__xludf.DUMMYFUNCTION("""COMPUTED_VALUE"""),14045.305103997998)</f>
        <v>14045.3051</v>
      </c>
      <c r="F243" s="69">
        <f>IFERROR(__xludf.DUMMYFUNCTION("""COMPUTED_VALUE"""),0.91)</f>
        <v>0.91</v>
      </c>
      <c r="G243" s="78">
        <f>IFERROR(__xludf.DUMMYFUNCTION("""COMPUTED_VALUE"""),4.0)</f>
        <v>4</v>
      </c>
      <c r="H243" s="78">
        <f>IFERROR(__xludf.DUMMYFUNCTION("""COMPUTED_VALUE"""),8.0)</f>
        <v>8</v>
      </c>
      <c r="I243" s="78"/>
      <c r="J243" s="78">
        <f>IFERROR(__xludf.DUMMYFUNCTION("""COMPUTED_VALUE"""),5.0)</f>
        <v>5</v>
      </c>
      <c r="K243" s="76"/>
      <c r="L243" s="76" t="str">
        <f>IFERROR(__xludf.DUMMYFUNCTION("""COMPUTED_VALUE"""),"Mexico")</f>
        <v>Mexico</v>
      </c>
      <c r="M243" s="76" t="str">
        <f>IFERROR(__xludf.DUMMYFUNCTION("""COMPUTED_VALUE"""),"Cabo San Lucas")</f>
        <v>Cabo San Lucas</v>
      </c>
      <c r="N243" s="76" t="str">
        <f>IFERROR(__xludf.DUMMYFUNCTION("""COMPUTED_VALUE"""),"Los Cabos")</f>
        <v>Los Cabos</v>
      </c>
      <c r="O243" s="78" t="b">
        <f>IFERROR(__xludf.DUMMYFUNCTION("""COMPUTED_VALUE"""),TRUE)</f>
        <v>1</v>
      </c>
      <c r="P243" s="80">
        <f>IFERROR(__xludf.DUMMYFUNCTION("""COMPUTED_VALUE"""),0.025)</f>
        <v>0.025</v>
      </c>
      <c r="Q243" s="76" t="str">
        <f>IFERROR(__xludf.DUMMYFUNCTION("""COMPUTED_VALUE"""),"Fiesta Americana Travelty")</f>
        <v>Fiesta Americana Travelty</v>
      </c>
      <c r="R243" s="76" t="str">
        <f>IFERROR(__xludf.DUMMYFUNCTION("""COMPUTED_VALUE"""),"Family, Business")</f>
        <v>Family, Business</v>
      </c>
      <c r="S243" s="76" t="str">
        <f>IFERROR(__xludf.DUMMYFUNCTION("""COMPUTED_VALUE"""),"Beach, Swim Out/Plunge Pool Rooms, Family Suite, 2 Bedroom Suites, Kids Club, Lazy River, Heated Pool, Gym, Archery, Yoga Classes, Adult Pool, Buffet, Swim Up Bar, Snorkelling, Fishing, Nightclub, Babysitting, Room Service, Evening Entertainment")</f>
        <v>Beach, Swim Out/Plunge Pool Rooms, Family Suite, 2 Bedroom Suites, Kids Club, Lazy River, Heated Pool, Gym, Archery, Yoga Classes, Adult Pool, Buffet, Swim Up Bar, Snorkelling, Fishing, Nightclub, Babysitting, Room Service, Evening Entertainment</v>
      </c>
      <c r="T243" s="76"/>
      <c r="U243" s="76" t="str">
        <f>IFERROR(__xludf.DUMMYFUNCTION("""COMPUTED_VALUE"""),"1 King or 2 Double")</f>
        <v>1 King or 2 Double</v>
      </c>
      <c r="V243" s="78" t="b">
        <f>IFERROR(__xludf.DUMMYFUNCTION("""COMPUTED_VALUE"""),FALSE)</f>
        <v>0</v>
      </c>
      <c r="W243" s="78">
        <f>IFERROR(__xludf.DUMMYFUNCTION("""COMPUTED_VALUE"""),248.0)</f>
        <v>248</v>
      </c>
      <c r="X243" s="78">
        <f>IFERROR(__xludf.DUMMYFUNCTION("""COMPUTED_VALUE"""),1999.0)</f>
        <v>1999</v>
      </c>
      <c r="Y243" s="74">
        <f>IFERROR(__xludf.DUMMYFUNCTION("""COMPUTED_VALUE"""),2016.0)</f>
        <v>2016</v>
      </c>
      <c r="Z243" s="81">
        <f>IFERROR(__xludf.DUMMYFUNCTION("""COMPUTED_VALUE"""),8.0)</f>
        <v>8</v>
      </c>
    </row>
    <row r="244">
      <c r="A244" s="65" t="str">
        <f>IFERROR(__xludf.DUMMYFUNCTION("""COMPUTED_VALUE"""),"Binniguenda Huatulco All Inclusive Hotel &amp; Beach Club")</f>
        <v>Binniguenda Huatulco All Inclusive Hotel &amp; Beach Club</v>
      </c>
      <c r="B244" s="66">
        <f>IFERROR(__xludf.DUMMYFUNCTION("""COMPUTED_VALUE"""),89.0)</f>
        <v>89</v>
      </c>
      <c r="C244" s="67" t="str">
        <f>IFERROR(__xludf.DUMMYFUNCTION("""COMPUTED_VALUE"""),"Family")</f>
        <v>Family</v>
      </c>
      <c r="D244" s="79">
        <f>IFERROR(__xludf.DUMMYFUNCTION("""COMPUTED_VALUE"""),1911.5)</f>
        <v>1911.5</v>
      </c>
      <c r="E244" s="79">
        <f>IFERROR(__xludf.DUMMYFUNCTION("""COMPUTED_VALUE"""),2639.8768838499996)</f>
        <v>2639.876884</v>
      </c>
      <c r="F244" s="69">
        <f>IFERROR(__xludf.DUMMYFUNCTION("""COMPUTED_VALUE"""),4.71)</f>
        <v>4.71</v>
      </c>
      <c r="G244" s="78"/>
      <c r="H244" s="78"/>
      <c r="I244" s="78"/>
      <c r="J244" s="78">
        <f>IFERROR(__xludf.DUMMYFUNCTION("""COMPUTED_VALUE"""),4.0)</f>
        <v>4</v>
      </c>
      <c r="K244" s="71"/>
      <c r="L244" s="76" t="str">
        <f>IFERROR(__xludf.DUMMYFUNCTION("""COMPUTED_VALUE"""),"Mexico")</f>
        <v>Mexico</v>
      </c>
      <c r="M244" s="76" t="str">
        <f>IFERROR(__xludf.DUMMYFUNCTION("""COMPUTED_VALUE"""),"Huatulco")</f>
        <v>Huatulco</v>
      </c>
      <c r="N244" s="76" t="str">
        <f>IFERROR(__xludf.DUMMYFUNCTION("""COMPUTED_VALUE"""),"Huatulco")</f>
        <v>Huatulco</v>
      </c>
      <c r="O244" s="78" t="b">
        <f>IFERROR(__xludf.DUMMYFUNCTION("""COMPUTED_VALUE"""),TRUE)</f>
        <v>1</v>
      </c>
      <c r="P244" s="80">
        <f>IFERROR(__xludf.DUMMYFUNCTION("""COMPUTED_VALUE"""),0.013888888888888888)</f>
        <v>0.01388888889</v>
      </c>
      <c r="Q244" s="76"/>
      <c r="R244" s="76" t="str">
        <f>IFERROR(__xludf.DUMMYFUNCTION("""COMPUTED_VALUE"""),"Charming")</f>
        <v>Charming</v>
      </c>
      <c r="S244" s="76" t="str">
        <f>IFERROR(__xludf.DUMMYFUNCTION("""COMPUTED_VALUE"""),"Beach, Family Suite, 2 Bedroom Suites, Gym, Evening Entertainment, Babysitting, Kids Club, Wifi (Free), Buffet, Nightclub")</f>
        <v>Beach, Family Suite, 2 Bedroom Suites, Gym, Evening Entertainment, Babysitting, Kids Club, Wifi (Free), Buffet, Nightclub</v>
      </c>
      <c r="T244" s="76"/>
      <c r="U244" s="76" t="str">
        <f>IFERROR(__xludf.DUMMYFUNCTION("""COMPUTED_VALUE"""),"1 King or 2 Double")</f>
        <v>1 King or 2 Double</v>
      </c>
      <c r="V244" s="78" t="b">
        <f>IFERROR(__xludf.DUMMYFUNCTION("""COMPUTED_VALUE"""),FALSE)</f>
        <v>0</v>
      </c>
      <c r="W244" s="78">
        <f>IFERROR(__xludf.DUMMYFUNCTION("""COMPUTED_VALUE"""),107.0)</f>
        <v>107</v>
      </c>
      <c r="X244" s="78"/>
      <c r="Y244" s="74">
        <f>IFERROR(__xludf.DUMMYFUNCTION("""COMPUTED_VALUE"""),2012.0)</f>
        <v>2012</v>
      </c>
      <c r="Z244" s="75">
        <f>IFERROR(__xludf.DUMMYFUNCTION("""COMPUTED_VALUE"""),3.0)</f>
        <v>3</v>
      </c>
    </row>
    <row r="245">
      <c r="A245" s="65" t="str">
        <f>IFERROR(__xludf.DUMMYFUNCTION("""COMPUTED_VALUE"""),"Hotel Riu Palace Pacifico")</f>
        <v>Hotel Riu Palace Pacifico</v>
      </c>
      <c r="B245" s="66">
        <f>IFERROR(__xludf.DUMMYFUNCTION("""COMPUTED_VALUE"""),89.0)</f>
        <v>89</v>
      </c>
      <c r="C245" s="67" t="str">
        <f>IFERROR(__xludf.DUMMYFUNCTION("""COMPUTED_VALUE"""),"Adults Only")</f>
        <v>Adults Only</v>
      </c>
      <c r="D245" s="79">
        <f>IFERROR(__xludf.DUMMYFUNCTION("""COMPUTED_VALUE"""),2744.0)</f>
        <v>2744</v>
      </c>
      <c r="E245" s="79">
        <f>IFERROR(__xludf.DUMMYFUNCTION("""COMPUTED_VALUE"""),3789.6009255999998)</f>
        <v>3789.600926</v>
      </c>
      <c r="F245" s="69">
        <f>IFERROR(__xludf.DUMMYFUNCTION("""COMPUTED_VALUE"""),3.28)</f>
        <v>3.28</v>
      </c>
      <c r="G245" s="78"/>
      <c r="H245" s="78">
        <f>IFERROR(__xludf.DUMMYFUNCTION("""COMPUTED_VALUE"""),7.0)</f>
        <v>7</v>
      </c>
      <c r="I245" s="78"/>
      <c r="J245" s="78">
        <f>IFERROR(__xludf.DUMMYFUNCTION("""COMPUTED_VALUE"""),5.0)</f>
        <v>5</v>
      </c>
      <c r="K245" s="76"/>
      <c r="L245" s="76" t="str">
        <f>IFERROR(__xludf.DUMMYFUNCTION("""COMPUTED_VALUE"""),"Mexico")</f>
        <v>Mexico</v>
      </c>
      <c r="M245" s="76" t="str">
        <f>IFERROR(__xludf.DUMMYFUNCTION("""COMPUTED_VALUE"""),"Flamingos")</f>
        <v>Flamingos</v>
      </c>
      <c r="N245" s="76" t="str">
        <f>IFERROR(__xludf.DUMMYFUNCTION("""COMPUTED_VALUE"""),"Ordaz")</f>
        <v>Ordaz</v>
      </c>
      <c r="O245" s="78" t="b">
        <f>IFERROR(__xludf.DUMMYFUNCTION("""COMPUTED_VALUE"""),TRUE)</f>
        <v>1</v>
      </c>
      <c r="P245" s="80">
        <f>IFERROR(__xludf.DUMMYFUNCTION("""COMPUTED_VALUE"""),0.018055555555555554)</f>
        <v>0.01805555556</v>
      </c>
      <c r="Q245" s="76" t="str">
        <f>IFERROR(__xludf.DUMMYFUNCTION("""COMPUTED_VALUE"""),"Riu")</f>
        <v>Riu</v>
      </c>
      <c r="R245" s="76" t="str">
        <f>IFERROR(__xludf.DUMMYFUNCTION("""COMPUTED_VALUE"""),"Family, Ocean View")</f>
        <v>Family, Ocean View</v>
      </c>
      <c r="S245" s="76" t="str">
        <f>IFERROR(__xludf.DUMMYFUNCTION("""COMPUTED_VALUE"""),"Beach, Great for Parties, Buffet, Swim Up Bar, Evening Entertainment, Spa")</f>
        <v>Beach, Great for Parties, Buffet, Swim Up Bar, Evening Entertainment, Spa</v>
      </c>
      <c r="T245" s="76"/>
      <c r="U245" s="76"/>
      <c r="V245" s="78" t="b">
        <f>IFERROR(__xludf.DUMMYFUNCTION("""COMPUTED_VALUE"""),TRUE)</f>
        <v>1</v>
      </c>
      <c r="W245" s="78">
        <f>IFERROR(__xludf.DUMMYFUNCTION("""COMPUTED_VALUE"""),445.0)</f>
        <v>445</v>
      </c>
      <c r="X245" s="78">
        <f>IFERROR(__xludf.DUMMYFUNCTION("""COMPUTED_VALUE"""),2008.0)</f>
        <v>2008</v>
      </c>
      <c r="Y245" s="78"/>
      <c r="Z245" s="81">
        <f>IFERROR(__xludf.DUMMYFUNCTION("""COMPUTED_VALUE"""),9.0)</f>
        <v>9</v>
      </c>
    </row>
    <row r="246">
      <c r="A246" s="65" t="str">
        <f>IFERROR(__xludf.DUMMYFUNCTION("""COMPUTED_VALUE"""),"Privilege Aluxes")</f>
        <v>Privilege Aluxes</v>
      </c>
      <c r="B246" s="66">
        <f>IFERROR(__xludf.DUMMYFUNCTION("""COMPUTED_VALUE"""),89.0)</f>
        <v>89</v>
      </c>
      <c r="C246" s="67" t="str">
        <f>IFERROR(__xludf.DUMMYFUNCTION("""COMPUTED_VALUE"""),"Adults Only")</f>
        <v>Adults Only</v>
      </c>
      <c r="D246" s="79">
        <f>IFERROR(__xludf.DUMMYFUNCTION("""COMPUTED_VALUE"""),2768.49)</f>
        <v>2768.49</v>
      </c>
      <c r="E246" s="79">
        <f>IFERROR(__xludf.DUMMYFUNCTION("""COMPUTED_VALUE"""),3823.422837650999)</f>
        <v>3823.422838</v>
      </c>
      <c r="F246" s="69">
        <f>IFERROR(__xludf.DUMMYFUNCTION("""COMPUTED_VALUE"""),3.25)</f>
        <v>3.25</v>
      </c>
      <c r="G246" s="70"/>
      <c r="H246" s="78">
        <f>IFERROR(__xludf.DUMMYFUNCTION("""COMPUTED_VALUE"""),8.0)</f>
        <v>8</v>
      </c>
      <c r="I246" s="78"/>
      <c r="J246" s="78">
        <f>IFERROR(__xludf.DUMMYFUNCTION("""COMPUTED_VALUE"""),5.0)</f>
        <v>5</v>
      </c>
      <c r="K246" s="71"/>
      <c r="L246" s="76" t="str">
        <f>IFERROR(__xludf.DUMMYFUNCTION("""COMPUTED_VALUE"""),"Mexico")</f>
        <v>Mexico</v>
      </c>
      <c r="M246" s="76" t="str">
        <f>IFERROR(__xludf.DUMMYFUNCTION("""COMPUTED_VALUE"""),"Isla Mujeres")</f>
        <v>Isla Mujeres</v>
      </c>
      <c r="N246" s="76" t="str">
        <f>IFERROR(__xludf.DUMMYFUNCTION("""COMPUTED_VALUE"""),"Cancun")</f>
        <v>Cancun</v>
      </c>
      <c r="O246" s="78" t="b">
        <f>IFERROR(__xludf.DUMMYFUNCTION("""COMPUTED_VALUE"""),TRUE)</f>
        <v>1</v>
      </c>
      <c r="P246" s="80">
        <f>IFERROR(__xludf.DUMMYFUNCTION("""COMPUTED_VALUE"""),0.04722222222222222)</f>
        <v>0.04722222222</v>
      </c>
      <c r="Q246" s="76"/>
      <c r="R246" s="76" t="str">
        <f>IFERROR(__xludf.DUMMYFUNCTION("""COMPUTED_VALUE"""),"Green, City View")</f>
        <v>Green, City View</v>
      </c>
      <c r="S246" s="76" t="str">
        <f>IFERROR(__xludf.DUMMYFUNCTION("""COMPUTED_VALUE"""),"Beach, Swim Out/Plunge Pool Rooms, Gym, Diving, Room Service, Wifi (Free), Buffet, Swim Up Bar, Fishing, Spa")</f>
        <v>Beach, Swim Out/Plunge Pool Rooms, Gym, Diving, Room Service, Wifi (Free), Buffet, Swim Up Bar, Fishing, Spa</v>
      </c>
      <c r="T246" s="76"/>
      <c r="U246" s="76"/>
      <c r="V246" s="78" t="b">
        <f>IFERROR(__xludf.DUMMYFUNCTION("""COMPUTED_VALUE"""),TRUE)</f>
        <v>1</v>
      </c>
      <c r="W246" s="78">
        <f>IFERROR(__xludf.DUMMYFUNCTION("""COMPUTED_VALUE"""),124.0)</f>
        <v>124</v>
      </c>
      <c r="X246" s="78"/>
      <c r="Y246" s="74"/>
      <c r="Z246" s="81">
        <f>IFERROR(__xludf.DUMMYFUNCTION("""COMPUTED_VALUE"""),5.0)</f>
        <v>5</v>
      </c>
    </row>
    <row r="247">
      <c r="A247" s="65" t="str">
        <f>IFERROR(__xludf.DUMMYFUNCTION("""COMPUTED_VALUE"""),"Hotel Riu Playacar")</f>
        <v>Hotel Riu Playacar</v>
      </c>
      <c r="B247" s="66">
        <f>IFERROR(__xludf.DUMMYFUNCTION("""COMPUTED_VALUE"""),89.0)</f>
        <v>89</v>
      </c>
      <c r="C247" s="67" t="str">
        <f>IFERROR(__xludf.DUMMYFUNCTION("""COMPUTED_VALUE"""),"Family")</f>
        <v>Family</v>
      </c>
      <c r="D247" s="79">
        <f>IFERROR(__xludf.DUMMYFUNCTION("""COMPUTED_VALUE"""),2822.4)</f>
        <v>2822.4</v>
      </c>
      <c r="E247" s="79">
        <f>IFERROR(__xludf.DUMMYFUNCTION("""COMPUTED_VALUE"""),3897.8752377599994)</f>
        <v>3897.875238</v>
      </c>
      <c r="F247" s="69">
        <f>IFERROR(__xludf.DUMMYFUNCTION("""COMPUTED_VALUE"""),3.19)</f>
        <v>3.19</v>
      </c>
      <c r="G247" s="78"/>
      <c r="H247" s="74">
        <f>IFERROR(__xludf.DUMMYFUNCTION("""COMPUTED_VALUE"""),6.0)</f>
        <v>6</v>
      </c>
      <c r="I247" s="78"/>
      <c r="J247" s="78">
        <f>IFERROR(__xludf.DUMMYFUNCTION("""COMPUTED_VALUE"""),4.5)</f>
        <v>4.5</v>
      </c>
      <c r="K247" s="76"/>
      <c r="L247" s="76" t="str">
        <f>IFERROR(__xludf.DUMMYFUNCTION("""COMPUTED_VALUE"""),"Mexico")</f>
        <v>Mexico</v>
      </c>
      <c r="M247" s="76" t="str">
        <f>IFERROR(__xludf.DUMMYFUNCTION("""COMPUTED_VALUE"""),"Playa del Carmen")</f>
        <v>Playa del Carmen</v>
      </c>
      <c r="N247" s="76" t="str">
        <f>IFERROR(__xludf.DUMMYFUNCTION("""COMPUTED_VALUE"""),"Cancun")</f>
        <v>Cancun</v>
      </c>
      <c r="O247" s="78" t="b">
        <f>IFERROR(__xludf.DUMMYFUNCTION("""COMPUTED_VALUE"""),TRUE)</f>
        <v>1</v>
      </c>
      <c r="P247" s="80">
        <f>IFERROR(__xludf.DUMMYFUNCTION("""COMPUTED_VALUE"""),0.03819444444444445)</f>
        <v>0.03819444444</v>
      </c>
      <c r="Q247" s="76" t="str">
        <f>IFERROR(__xludf.DUMMYFUNCTION("""COMPUTED_VALUE"""),"Riu")</f>
        <v>Riu</v>
      </c>
      <c r="R247" s="76" t="str">
        <f>IFERROR(__xludf.DUMMYFUNCTION("""COMPUTED_VALUE"""),"Family, Residential Neighborhood")</f>
        <v>Family, Residential Neighborhood</v>
      </c>
      <c r="S247" s="76" t="str">
        <f>IFERROR(__xludf.DUMMYFUNCTION("""COMPUTED_VALUE"""),"Beach, Kids Club, Kids Waterpark, Gym, Diving, Wifi (Paid), Spa, Babysitting, Buffet, Swim Up Bar, Evening Entertainment")</f>
        <v>Beach, Kids Club, Kids Waterpark, Gym, Diving, Wifi (Paid), Spa, Babysitting, Buffet, Swim Up Bar, Evening Entertainment</v>
      </c>
      <c r="T247" s="76"/>
      <c r="U247" s="76" t="str">
        <f>IFERROR(__xludf.DUMMYFUNCTION("""COMPUTED_VALUE"""),"1 King or 2 Small Double")</f>
        <v>1 King or 2 Small Double</v>
      </c>
      <c r="V247" s="74" t="b">
        <f>IFERROR(__xludf.DUMMYFUNCTION("""COMPUTED_VALUE"""),FALSE)</f>
        <v>0</v>
      </c>
      <c r="W247" s="74">
        <f>IFERROR(__xludf.DUMMYFUNCTION("""COMPUTED_VALUE"""),396.0)</f>
        <v>396</v>
      </c>
      <c r="X247" s="74">
        <f>IFERROR(__xludf.DUMMYFUNCTION("""COMPUTED_VALUE"""),2000.0)</f>
        <v>2000</v>
      </c>
      <c r="Y247" s="74">
        <f>IFERROR(__xludf.DUMMYFUNCTION("""COMPUTED_VALUE"""),2015.0)</f>
        <v>2015</v>
      </c>
      <c r="Z247" s="75">
        <f>IFERROR(__xludf.DUMMYFUNCTION("""COMPUTED_VALUE"""),3.0)</f>
        <v>3</v>
      </c>
    </row>
    <row r="248">
      <c r="A248" s="77" t="str">
        <f>IFERROR(__xludf.DUMMYFUNCTION("""COMPUTED_VALUE"""),"El Dorado Seaside Suites")</f>
        <v>El Dorado Seaside Suites</v>
      </c>
      <c r="B248" s="66">
        <f>IFERROR(__xludf.DUMMYFUNCTION("""COMPUTED_VALUE"""),89.0)</f>
        <v>89</v>
      </c>
      <c r="C248" s="78" t="str">
        <f>IFERROR(__xludf.DUMMYFUNCTION("""COMPUTED_VALUE"""),"Adults Only")</f>
        <v>Adults Only</v>
      </c>
      <c r="D248" s="68">
        <f>IFERROR(__xludf.DUMMYFUNCTION("""COMPUTED_VALUE"""),2867.0)</f>
        <v>2867</v>
      </c>
      <c r="E248" s="68">
        <f>IFERROR(__xludf.DUMMYFUNCTION("""COMPUTED_VALUE"""),3959.4700632999993)</f>
        <v>3959.470063</v>
      </c>
      <c r="F248" s="69">
        <f>IFERROR(__xludf.DUMMYFUNCTION("""COMPUTED_VALUE"""),3.14)</f>
        <v>3.14</v>
      </c>
      <c r="G248" s="74">
        <f>IFERROR(__xludf.DUMMYFUNCTION("""COMPUTED_VALUE"""),4.0)</f>
        <v>4</v>
      </c>
      <c r="H248" s="74">
        <f>IFERROR(__xludf.DUMMYFUNCTION("""COMPUTED_VALUE"""),7.0)</f>
        <v>7</v>
      </c>
      <c r="I248" s="74"/>
      <c r="J248" s="74">
        <f>IFERROR(__xludf.DUMMYFUNCTION("""COMPUTED_VALUE"""),4.0)</f>
        <v>4</v>
      </c>
      <c r="K248" s="71"/>
      <c r="L248" s="72" t="str">
        <f>IFERROR(__xludf.DUMMYFUNCTION("""COMPUTED_VALUE"""),"Mexico")</f>
        <v>Mexico</v>
      </c>
      <c r="M248" s="72" t="str">
        <f>IFERROR(__xludf.DUMMYFUNCTION("""COMPUTED_VALUE"""),"El Dorado")</f>
        <v>El Dorado</v>
      </c>
      <c r="N248" s="72" t="str">
        <f>IFERROR(__xludf.DUMMYFUNCTION("""COMPUTED_VALUE"""),"Cancun")</f>
        <v>Cancun</v>
      </c>
      <c r="O248" s="74" t="b">
        <f>IFERROR(__xludf.DUMMYFUNCTION("""COMPUTED_VALUE"""),TRUE)</f>
        <v>1</v>
      </c>
      <c r="P248" s="73">
        <f>IFERROR(__xludf.DUMMYFUNCTION("""COMPUTED_VALUE"""),0.044444444444444446)</f>
        <v>0.04444444444</v>
      </c>
      <c r="Q248" s="71"/>
      <c r="R248" s="71" t="str">
        <f>IFERROR(__xludf.DUMMYFUNCTION("""COMPUTED_VALUE"""),"Modern, Ocean View")</f>
        <v>Modern, Ocean View</v>
      </c>
      <c r="S248" s="72" t="str">
        <f>IFERROR(__xludf.DUMMYFUNCTION("""COMPUTED_VALUE"""),"Beach, Swim Out/Plunge Pool Rooms, Gym, Tennis, Wifi (Paid), Swim Up Bar, Evening Entertainment, Buffet, Nightclub, Spa")</f>
        <v>Beach, Swim Out/Plunge Pool Rooms, Gym, Tennis, Wifi (Paid), Swim Up Bar, Evening Entertainment, Buffet, Nightclub, Spa</v>
      </c>
      <c r="T248" s="72"/>
      <c r="U248" s="72"/>
      <c r="V248" s="74" t="b">
        <f>IFERROR(__xludf.DUMMYFUNCTION("""COMPUTED_VALUE"""),TRUE)</f>
        <v>1</v>
      </c>
      <c r="W248" s="74">
        <f>IFERROR(__xludf.DUMMYFUNCTION("""COMPUTED_VALUE"""),568.0)</f>
        <v>568</v>
      </c>
      <c r="X248" s="74">
        <f>IFERROR(__xludf.DUMMYFUNCTION("""COMPUTED_VALUE"""),1994.0)</f>
        <v>1994</v>
      </c>
      <c r="Y248" s="74"/>
      <c r="Z248" s="75">
        <f>IFERROR(__xludf.DUMMYFUNCTION("""COMPUTED_VALUE"""),6.0)</f>
        <v>6</v>
      </c>
    </row>
    <row r="249">
      <c r="A249" s="65" t="str">
        <f>IFERROR(__xludf.DUMMYFUNCTION("""COMPUTED_VALUE"""),"Grand Aston Varadero Beach Resort (11+, Max 2 per room)")</f>
        <v>Grand Aston Varadero Beach Resort (11+, Max 2 per room)</v>
      </c>
      <c r="B249" s="66">
        <f>IFERROR(__xludf.DUMMYFUNCTION("""COMPUTED_VALUE"""),89.0)</f>
        <v>89</v>
      </c>
      <c r="C249" s="67" t="str">
        <f>IFERROR(__xludf.DUMMYFUNCTION("""COMPUTED_VALUE"""),"Family")</f>
        <v>Family</v>
      </c>
      <c r="D249" s="85">
        <f>IFERROR(__xludf.DUMMYFUNCTION("""COMPUTED_VALUE"""),3178.0)</f>
        <v>3178</v>
      </c>
      <c r="E249" s="79">
        <f>IFERROR(__xludf.DUMMYFUNCTION("""COMPUTED_VALUE"""),4388.976582199999)</f>
        <v>4388.976582</v>
      </c>
      <c r="F249" s="69">
        <f>IFERROR(__xludf.DUMMYFUNCTION("""COMPUTED_VALUE"""),2.83)</f>
        <v>2.83</v>
      </c>
      <c r="G249" s="78"/>
      <c r="H249" s="78"/>
      <c r="I249" s="78"/>
      <c r="J249" s="78">
        <f>IFERROR(__xludf.DUMMYFUNCTION("""COMPUTED_VALUE"""),5.0)</f>
        <v>5</v>
      </c>
      <c r="K249" s="71" t="str">
        <f>IFERROR(__xludf.DUMMYFUNCTION("""COMPUTED_VALUE"""),"Children 11+, Max 2 per Room")</f>
        <v>Children 11+, Max 2 per Room</v>
      </c>
      <c r="L249" s="76" t="str">
        <f>IFERROR(__xludf.DUMMYFUNCTION("""COMPUTED_VALUE"""),"Cuba")</f>
        <v>Cuba</v>
      </c>
      <c r="M249" s="76" t="str">
        <f>IFERROR(__xludf.DUMMYFUNCTION("""COMPUTED_VALUE"""),"Varadero")</f>
        <v>Varadero</v>
      </c>
      <c r="N249" s="72" t="str">
        <f>IFERROR(__xludf.DUMMYFUNCTION("""COMPUTED_VALUE"""),"Varadero")</f>
        <v>Varadero</v>
      </c>
      <c r="O249" s="74" t="b">
        <f>IFERROR(__xludf.DUMMYFUNCTION("""COMPUTED_VALUE"""),TRUE)</f>
        <v>1</v>
      </c>
      <c r="P249" s="73">
        <f>IFERROR(__xludf.DUMMYFUNCTION("""COMPUTED_VALUE"""),0.0125)</f>
        <v>0.0125</v>
      </c>
      <c r="Q249" s="72"/>
      <c r="R249" s="71"/>
      <c r="S249" s="76" t="str">
        <f>IFERROR(__xludf.DUMMYFUNCTION("""COMPUTED_VALUE"""),"Beach, Great Beach, Gym, Evening Entertainment, Wifi (Free), Buffet, Nightclub")</f>
        <v>Beach, Great Beach, Gym, Evening Entertainment, Wifi (Free), Buffet, Nightclub</v>
      </c>
      <c r="T249" s="76"/>
      <c r="U249" s="76" t="str">
        <f>IFERROR(__xludf.DUMMYFUNCTION("""COMPUTED_VALUE"""),"1 King or 2 Double")</f>
        <v>1 King or 2 Double</v>
      </c>
      <c r="V249" s="78" t="b">
        <f>IFERROR(__xludf.DUMMYFUNCTION("""COMPUTED_VALUE"""),TRUE)</f>
        <v>1</v>
      </c>
      <c r="W249" s="78"/>
      <c r="X249" s="78"/>
      <c r="Y249" s="78"/>
      <c r="Z249" s="81"/>
    </row>
    <row r="250">
      <c r="A250" s="65" t="str">
        <f>IFERROR(__xludf.DUMMYFUNCTION("""COMPUTED_VALUE"""),"El Dorado Seaside Palms, By Karisma")</f>
        <v>El Dorado Seaside Palms, By Karisma</v>
      </c>
      <c r="B250" s="66">
        <f>IFERROR(__xludf.DUMMYFUNCTION("""COMPUTED_VALUE"""),89.0)</f>
        <v>89</v>
      </c>
      <c r="C250" s="67" t="str">
        <f>IFERROR(__xludf.DUMMYFUNCTION("""COMPUTED_VALUE"""),"Adults Only")</f>
        <v>Adults Only</v>
      </c>
      <c r="D250" s="79">
        <f>IFERROR(__xludf.DUMMYFUNCTION("""COMPUTED_VALUE"""),3467.0)</f>
        <v>3467</v>
      </c>
      <c r="E250" s="79">
        <f>IFERROR(__xludf.DUMMYFUNCTION("""COMPUTED_VALUE"""),4788.100003299999)</f>
        <v>4788.100003</v>
      </c>
      <c r="F250" s="69">
        <f>IFERROR(__xludf.DUMMYFUNCTION("""COMPUTED_VALUE"""),2.6)</f>
        <v>2.6</v>
      </c>
      <c r="G250" s="78"/>
      <c r="H250" s="78">
        <f>IFERROR(__xludf.DUMMYFUNCTION("""COMPUTED_VALUE"""),9.0)</f>
        <v>9</v>
      </c>
      <c r="I250" s="78"/>
      <c r="J250" s="78">
        <f>IFERROR(__xludf.DUMMYFUNCTION("""COMPUTED_VALUE"""),5.0)</f>
        <v>5</v>
      </c>
      <c r="K250" s="76"/>
      <c r="L250" s="76" t="str">
        <f>IFERROR(__xludf.DUMMYFUNCTION("""COMPUTED_VALUE"""),"Mexico")</f>
        <v>Mexico</v>
      </c>
      <c r="M250" s="76" t="str">
        <f>IFERROR(__xludf.DUMMYFUNCTION("""COMPUTED_VALUE"""),"El Dorado")</f>
        <v>El Dorado</v>
      </c>
      <c r="N250" s="87" t="str">
        <f>IFERROR(__xludf.DUMMYFUNCTION("""COMPUTED_VALUE"""),"Cancun")</f>
        <v>Cancun</v>
      </c>
      <c r="O250" s="78" t="b">
        <f>IFERROR(__xludf.DUMMYFUNCTION("""COMPUTED_VALUE"""),TRUE)</f>
        <v>1</v>
      </c>
      <c r="P250" s="80">
        <f>IFERROR(__xludf.DUMMYFUNCTION("""COMPUTED_VALUE"""),0.019444444444444445)</f>
        <v>0.01944444444</v>
      </c>
      <c r="Q250" s="76" t="str">
        <f>IFERROR(__xludf.DUMMYFUNCTION("""COMPUTED_VALUE"""),"Karisma")</f>
        <v>Karisma</v>
      </c>
      <c r="R250" s="76" t="str">
        <f>IFERROR(__xludf.DUMMYFUNCTION("""COMPUTED_VALUE"""),"Bay View")</f>
        <v>Bay View</v>
      </c>
      <c r="S250" s="76" t="str">
        <f>IFERROR(__xludf.DUMMYFUNCTION("""COMPUTED_VALUE"""),"Beach, Swim Out/Plunge Pool Rooms, Gym, Room Service, Watersports Equipment Rentals, Evening Entertainment, Nightclub, Buffet, Swim Up Bar, Tennis, Spa")</f>
        <v>Beach, Swim Out/Plunge Pool Rooms, Gym, Room Service, Watersports Equipment Rentals, Evening Entertainment, Nightclub, Buffet, Swim Up Bar, Tennis, Spa</v>
      </c>
      <c r="T250" s="76"/>
      <c r="U250" s="76"/>
      <c r="V250" s="78" t="b">
        <f>IFERROR(__xludf.DUMMYFUNCTION("""COMPUTED_VALUE"""),FALSE)</f>
        <v>0</v>
      </c>
      <c r="W250" s="78">
        <f>IFERROR(__xludf.DUMMYFUNCTION("""COMPUTED_VALUE"""),380.0)</f>
        <v>380</v>
      </c>
      <c r="X250" s="78">
        <f>IFERROR(__xludf.DUMMYFUNCTION("""COMPUTED_VALUE"""),1994.0)</f>
        <v>1994</v>
      </c>
      <c r="Y250" s="78">
        <f>IFERROR(__xludf.DUMMYFUNCTION("""COMPUTED_VALUE"""),2004.0)</f>
        <v>2004</v>
      </c>
      <c r="Z250" s="75">
        <f>IFERROR(__xludf.DUMMYFUNCTION("""COMPUTED_VALUE"""),7.0)</f>
        <v>7</v>
      </c>
    </row>
    <row r="251">
      <c r="A251" s="65" t="str">
        <f>IFERROR(__xludf.DUMMYFUNCTION("""COMPUTED_VALUE"""),"Paradisus Palma Real Golf &amp; Spa Resort")</f>
        <v>Paradisus Palma Real Golf &amp; Spa Resort</v>
      </c>
      <c r="B251" s="66">
        <f>IFERROR(__xludf.DUMMYFUNCTION("""COMPUTED_VALUE"""),89.0)</f>
        <v>89</v>
      </c>
      <c r="C251" s="67" t="str">
        <f>IFERROR(__xludf.DUMMYFUNCTION("""COMPUTED_VALUE"""),"Family")</f>
        <v>Family</v>
      </c>
      <c r="D251" s="79">
        <f>IFERROR(__xludf.DUMMYFUNCTION("""COMPUTED_VALUE"""),4207.0)</f>
        <v>4207</v>
      </c>
      <c r="E251" s="79">
        <f>IFERROR(__xludf.DUMMYFUNCTION("""COMPUTED_VALUE"""),5810.076929299999)</f>
        <v>5810.076929</v>
      </c>
      <c r="F251" s="69">
        <f>IFERROR(__xludf.DUMMYFUNCTION("""COMPUTED_VALUE"""),2.14)</f>
        <v>2.14</v>
      </c>
      <c r="G251" s="78">
        <f>IFERROR(__xludf.DUMMYFUNCTION("""COMPUTED_VALUE"""),4.0)</f>
        <v>4</v>
      </c>
      <c r="H251" s="78">
        <f>IFERROR(__xludf.DUMMYFUNCTION("""COMPUTED_VALUE"""),8.0)</f>
        <v>8</v>
      </c>
      <c r="I251" s="78"/>
      <c r="J251" s="78">
        <f>IFERROR(__xludf.DUMMYFUNCTION("""COMPUTED_VALUE"""),5.0)</f>
        <v>5</v>
      </c>
      <c r="K251" s="76"/>
      <c r="L251" s="76" t="str">
        <f>IFERROR(__xludf.DUMMYFUNCTION("""COMPUTED_VALUE"""),"Dominican Republic")</f>
        <v>Dominican Republic</v>
      </c>
      <c r="M251" s="76" t="str">
        <f>IFERROR(__xludf.DUMMYFUNCTION("""COMPUTED_VALUE"""),"Bavaro")</f>
        <v>Bavaro</v>
      </c>
      <c r="N251" s="76" t="str">
        <f>IFERROR(__xludf.DUMMYFUNCTION("""COMPUTED_VALUE"""),"Punta Cana")</f>
        <v>Punta Cana</v>
      </c>
      <c r="O251" s="78" t="b">
        <f>IFERROR(__xludf.DUMMYFUNCTION("""COMPUTED_VALUE"""),TRUE)</f>
        <v>1</v>
      </c>
      <c r="P251" s="80">
        <f>IFERROR(__xludf.DUMMYFUNCTION("""COMPUTED_VALUE"""),0.013888888888888888)</f>
        <v>0.01388888889</v>
      </c>
      <c r="Q251" s="76" t="str">
        <f>IFERROR(__xludf.DUMMYFUNCTION("""COMPUTED_VALUE"""),"Melia")</f>
        <v>Melia</v>
      </c>
      <c r="R251" s="76" t="str">
        <f>IFERROR(__xludf.DUMMYFUNCTION("""COMPUTED_VALUE"""),"Bay View, Romantic")</f>
        <v>Bay View, Romantic</v>
      </c>
      <c r="S251" s="76" t="str">
        <f>IFERROR(__xludf.DUMMYFUNCTION("""COMPUTED_VALUE"""),"Beach, Swim Out/Plunge Pool Rooms, Adults Only Rooms, Family Suite, 2 Bedroom Suites, Kids Club, Lazy River, Kids Waterpark, Gym, Diving, Yoga Classes, Room Service, Swim Up Bar, Tennis, Evening Entertainment, Babysitting, Adult Pool, Buffet, Golf Course,"&amp;" Watersports Equipment Rentals, Nightclub, Spa")</f>
        <v>Beach, Swim Out/Plunge Pool Rooms, Adults Only Rooms, Family Suite, 2 Bedroom Suites, Kids Club, Lazy River, Kids Waterpark, Gym, Diving, Yoga Classes, Room Service, Swim Up Bar, Tennis, Evening Entertainment, Babysitting, Adult Pool, Buffet, Golf Course, Watersports Equipment Rentals, Nightclub, Spa</v>
      </c>
      <c r="T251" s="76" t="str">
        <f>IFERROR(__xludf.DUMMYFUNCTION("""COMPUTED_VALUE"""),"Yes")</f>
        <v>Yes</v>
      </c>
      <c r="U251" s="76" t="str">
        <f>IFERROR(__xludf.DUMMYFUNCTION("""COMPUTED_VALUE"""),"1 King or 2 Double")</f>
        <v>1 King or 2 Double</v>
      </c>
      <c r="V251" s="78" t="b">
        <f>IFERROR(__xludf.DUMMYFUNCTION("""COMPUTED_VALUE"""),FALSE)</f>
        <v>0</v>
      </c>
      <c r="W251" s="78">
        <f>IFERROR(__xludf.DUMMYFUNCTION("""COMPUTED_VALUE"""),596.0)</f>
        <v>596</v>
      </c>
      <c r="X251" s="78">
        <f>IFERROR(__xludf.DUMMYFUNCTION("""COMPUTED_VALUE"""),2010.0)</f>
        <v>2010</v>
      </c>
      <c r="Y251" s="78">
        <f>IFERROR(__xludf.DUMMYFUNCTION("""COMPUTED_VALUE"""),2022.0)</f>
        <v>2022</v>
      </c>
      <c r="Z251" s="81">
        <f>IFERROR(__xludf.DUMMYFUNCTION("""COMPUTED_VALUE"""),3.0)</f>
        <v>3</v>
      </c>
    </row>
    <row r="252">
      <c r="A252" s="65" t="str">
        <f>IFERROR(__xludf.DUMMYFUNCTION("""COMPUTED_VALUE"""),"Club Med Columbus - Bahamas")</f>
        <v>Club Med Columbus - Bahamas</v>
      </c>
      <c r="B252" s="66">
        <f>IFERROR(__xludf.DUMMYFUNCTION("""COMPUTED_VALUE"""),89.0)</f>
        <v>89</v>
      </c>
      <c r="C252" s="67" t="str">
        <f>IFERROR(__xludf.DUMMYFUNCTION("""COMPUTED_VALUE"""),"Family")</f>
        <v>Family</v>
      </c>
      <c r="D252" s="79">
        <f>IFERROR(__xludf.DUMMYFUNCTION("""COMPUTED_VALUE"""),4416.1)</f>
        <v>4416.1</v>
      </c>
      <c r="E252" s="79">
        <f>IFERROR(__xludf.DUMMYFUNCTION("""COMPUTED_VALUE"""),6098.85446339)</f>
        <v>6098.854463</v>
      </c>
      <c r="F252" s="69">
        <f>IFERROR(__xludf.DUMMYFUNCTION("""COMPUTED_VALUE"""),2.04)</f>
        <v>2.04</v>
      </c>
      <c r="G252" s="70"/>
      <c r="H252" s="74" t="str">
        <f>IFERROR(__xludf.DUMMYFUNCTION("""COMPUTED_VALUE"""),"NYR")</f>
        <v>NYR</v>
      </c>
      <c r="I252" s="78"/>
      <c r="J252" s="78">
        <f>IFERROR(__xludf.DUMMYFUNCTION("""COMPUTED_VALUE"""),4.0)</f>
        <v>4</v>
      </c>
      <c r="K252" s="71"/>
      <c r="L252" s="76" t="str">
        <f>IFERROR(__xludf.DUMMYFUNCTION("""COMPUTED_VALUE"""),"Bahamas")</f>
        <v>Bahamas</v>
      </c>
      <c r="M252" s="76" t="str">
        <f>IFERROR(__xludf.DUMMYFUNCTION("""COMPUTED_VALUE"""),"San Salvador")</f>
        <v>San Salvador</v>
      </c>
      <c r="N252" s="76" t="str">
        <f>IFERROR(__xludf.DUMMYFUNCTION("""COMPUTED_VALUE"""),"Lynden Pindling")</f>
        <v>Lynden Pindling</v>
      </c>
      <c r="O252" s="78" t="b">
        <f>IFERROR(__xludf.DUMMYFUNCTION("""COMPUTED_VALUE"""),TRUE)</f>
        <v>1</v>
      </c>
      <c r="P252" s="80">
        <f>IFERROR(__xludf.DUMMYFUNCTION("""COMPUTED_VALUE"""),0.009722222222222222)</f>
        <v>0.009722222222</v>
      </c>
      <c r="Q252" s="71" t="str">
        <f>IFERROR(__xludf.DUMMYFUNCTION("""COMPUTED_VALUE"""),"Club Med")</f>
        <v>Club Med</v>
      </c>
      <c r="R252" s="76" t="str">
        <f>IFERROR(__xludf.DUMMYFUNCTION("""COMPUTED_VALUE"""),"Green")</f>
        <v>Green</v>
      </c>
      <c r="S252" s="76" t="str">
        <f>IFERROR(__xludf.DUMMYFUNCTION("""COMPUTED_VALUE"""),"Beach, Teen Club, Kids Club, Kids Club for Under 4, Tennis, Spa, Gym, Bicycles Available, Buffet, Diving, Evening Entertainment, Nightclub")</f>
        <v>Beach, Teen Club, Kids Club, Kids Club for Under 4, Tennis, Spa, Gym, Bicycles Available, Buffet, Diving, Evening Entertainment, Nightclub</v>
      </c>
      <c r="T252" s="76" t="str">
        <f>IFERROR(__xludf.DUMMYFUNCTION("""COMPUTED_VALUE"""),"Yes")</f>
        <v>Yes</v>
      </c>
      <c r="U252" s="76" t="str">
        <f>IFERROR(__xludf.DUMMYFUNCTION("""COMPUTED_VALUE"""),"1 King")</f>
        <v>1 King</v>
      </c>
      <c r="V252" s="78" t="b">
        <f>IFERROR(__xludf.DUMMYFUNCTION("""COMPUTED_VALUE"""),FALSE)</f>
        <v>0</v>
      </c>
      <c r="W252" s="78">
        <f>IFERROR(__xludf.DUMMYFUNCTION("""COMPUTED_VALUE"""),239.0)</f>
        <v>239</v>
      </c>
      <c r="X252" s="74">
        <f>IFERROR(__xludf.DUMMYFUNCTION("""COMPUTED_VALUE"""),1992.0)</f>
        <v>1992</v>
      </c>
      <c r="Y252" s="74">
        <f>IFERROR(__xludf.DUMMYFUNCTION("""COMPUTED_VALUE"""),2022.0)</f>
        <v>2022</v>
      </c>
      <c r="Z252" s="81">
        <f>IFERROR(__xludf.DUMMYFUNCTION("""COMPUTED_VALUE"""),1.0)</f>
        <v>1</v>
      </c>
    </row>
    <row r="253">
      <c r="A253" s="65" t="str">
        <f>IFERROR(__xludf.DUMMYFUNCTION("""COMPUTED_VALUE"""),"Secrets Huatulco Resort &amp; Spa")</f>
        <v>Secrets Huatulco Resort &amp; Spa</v>
      </c>
      <c r="B253" s="66">
        <f>IFERROR(__xludf.DUMMYFUNCTION("""COMPUTED_VALUE"""),89.0)</f>
        <v>89</v>
      </c>
      <c r="C253" s="67" t="str">
        <f>IFERROR(__xludf.DUMMYFUNCTION("""COMPUTED_VALUE"""),"Adults Only")</f>
        <v>Adults Only</v>
      </c>
      <c r="D253" s="79">
        <f>IFERROR(__xludf.DUMMYFUNCTION("""COMPUTED_VALUE"""),4718.0)</f>
        <v>4718</v>
      </c>
      <c r="E253" s="79">
        <f>IFERROR(__xludf.DUMMYFUNCTION("""COMPUTED_VALUE"""),6515.7934282)</f>
        <v>6515.793428</v>
      </c>
      <c r="F253" s="69">
        <f>IFERROR(__xludf.DUMMYFUNCTION("""COMPUTED_VALUE"""),1.91)</f>
        <v>1.91</v>
      </c>
      <c r="G253" s="78"/>
      <c r="H253" s="78">
        <f>IFERROR(__xludf.DUMMYFUNCTION("""COMPUTED_VALUE"""),9.0)</f>
        <v>9</v>
      </c>
      <c r="I253" s="78" t="str">
        <f>IFERROR(__xludf.DUMMYFUNCTION("""COMPUTED_VALUE"""),"B")</f>
        <v>B</v>
      </c>
      <c r="J253" s="78">
        <f>IFERROR(__xludf.DUMMYFUNCTION("""COMPUTED_VALUE"""),4.5)</f>
        <v>4.5</v>
      </c>
      <c r="K253" s="76"/>
      <c r="L253" s="76" t="str">
        <f>IFERROR(__xludf.DUMMYFUNCTION("""COMPUTED_VALUE"""),"Mexico")</f>
        <v>Mexico</v>
      </c>
      <c r="M253" s="76" t="str">
        <f>IFERROR(__xludf.DUMMYFUNCTION("""COMPUTED_VALUE"""),"Huatulco")</f>
        <v>Huatulco</v>
      </c>
      <c r="N253" s="76" t="str">
        <f>IFERROR(__xludf.DUMMYFUNCTION("""COMPUTED_VALUE"""),"Huatulco")</f>
        <v>Huatulco</v>
      </c>
      <c r="O253" s="78" t="b">
        <f>IFERROR(__xludf.DUMMYFUNCTION("""COMPUTED_VALUE"""),TRUE)</f>
        <v>1</v>
      </c>
      <c r="P253" s="80">
        <f>IFERROR(__xludf.DUMMYFUNCTION("""COMPUTED_VALUE"""),0.016666666666666666)</f>
        <v>0.01666666667</v>
      </c>
      <c r="Q253" s="76" t="str">
        <f>IFERROR(__xludf.DUMMYFUNCTION("""COMPUTED_VALUE"""),"Hyatt")</f>
        <v>Hyatt</v>
      </c>
      <c r="R253" s="76" t="str">
        <f>IFERROR(__xludf.DUMMYFUNCTION("""COMPUTED_VALUE"""),"Great View, Trendy")</f>
        <v>Great View, Trendy</v>
      </c>
      <c r="S253" s="76" t="str">
        <f>IFERROR(__xludf.DUMMYFUNCTION("""COMPUTED_VALUE"""),"Beach, Great Food, Swim Out/Plunge Pool Rooms, Gym, Room Service, Swim Up Bar, Nightclub, Spa, Buffet, Snorkelling, Evening Entertainment")</f>
        <v>Beach, Great Food, Swim Out/Plunge Pool Rooms, Gym, Room Service, Swim Up Bar, Nightclub, Spa, Buffet, Snorkelling, Evening Entertainment</v>
      </c>
      <c r="T253" s="76"/>
      <c r="U253" s="76"/>
      <c r="V253" s="78" t="b">
        <f>IFERROR(__xludf.DUMMYFUNCTION("""COMPUTED_VALUE"""),TRUE)</f>
        <v>1</v>
      </c>
      <c r="W253" s="78">
        <f>IFERROR(__xludf.DUMMYFUNCTION("""COMPUTED_VALUE"""),399.0)</f>
        <v>399</v>
      </c>
      <c r="X253" s="78">
        <f>IFERROR(__xludf.DUMMYFUNCTION("""COMPUTED_VALUE"""),2011.0)</f>
        <v>2011</v>
      </c>
      <c r="Y253" s="78"/>
      <c r="Z253" s="81"/>
    </row>
    <row r="254">
      <c r="A254" s="65" t="str">
        <f>IFERROR(__xludf.DUMMYFUNCTION("""COMPUTED_VALUE"""),"Secrets Royal Beach Punta Cana")</f>
        <v>Secrets Royal Beach Punta Cana</v>
      </c>
      <c r="B254" s="66">
        <f>IFERROR(__xludf.DUMMYFUNCTION("""COMPUTED_VALUE"""),89.0)</f>
        <v>89</v>
      </c>
      <c r="C254" s="67" t="str">
        <f>IFERROR(__xludf.DUMMYFUNCTION("""COMPUTED_VALUE"""),"Adults Only")</f>
        <v>Adults Only</v>
      </c>
      <c r="D254" s="79">
        <f>IFERROR(__xludf.DUMMYFUNCTION("""COMPUTED_VALUE"""),4718.0)</f>
        <v>4718</v>
      </c>
      <c r="E254" s="79">
        <f>IFERROR(__xludf.DUMMYFUNCTION("""COMPUTED_VALUE"""),6515.7934282)</f>
        <v>6515.793428</v>
      </c>
      <c r="F254" s="69">
        <f>IFERROR(__xludf.DUMMYFUNCTION("""COMPUTED_VALUE"""),1.91)</f>
        <v>1.91</v>
      </c>
      <c r="G254" s="78">
        <f>IFERROR(__xludf.DUMMYFUNCTION("""COMPUTED_VALUE"""),4.0)</f>
        <v>4</v>
      </c>
      <c r="H254" s="78">
        <f>IFERROR(__xludf.DUMMYFUNCTION("""COMPUTED_VALUE"""),8.0)</f>
        <v>8</v>
      </c>
      <c r="I254" s="78" t="str">
        <f>IFERROR(__xludf.DUMMYFUNCTION("""COMPUTED_VALUE"""),"C")</f>
        <v>C</v>
      </c>
      <c r="J254" s="78">
        <f>IFERROR(__xludf.DUMMYFUNCTION("""COMPUTED_VALUE"""),5.0)</f>
        <v>5</v>
      </c>
      <c r="K254" s="71"/>
      <c r="L254" s="76" t="str">
        <f>IFERROR(__xludf.DUMMYFUNCTION("""COMPUTED_VALUE"""),"Dominican Republic")</f>
        <v>Dominican Republic</v>
      </c>
      <c r="M254" s="76" t="str">
        <f>IFERROR(__xludf.DUMMYFUNCTION("""COMPUTED_VALUE"""),"Punta Cana")</f>
        <v>Punta Cana</v>
      </c>
      <c r="N254" s="76" t="str">
        <f>IFERROR(__xludf.DUMMYFUNCTION("""COMPUTED_VALUE"""),"Punta Cana")</f>
        <v>Punta Cana</v>
      </c>
      <c r="O254" s="78" t="b">
        <f>IFERROR(__xludf.DUMMYFUNCTION("""COMPUTED_VALUE"""),TRUE)</f>
        <v>1</v>
      </c>
      <c r="P254" s="80">
        <f>IFERROR(__xludf.DUMMYFUNCTION("""COMPUTED_VALUE"""),0.017361111111111112)</f>
        <v>0.01736111111</v>
      </c>
      <c r="Q254" s="71" t="str">
        <f>IFERROR(__xludf.DUMMYFUNCTION("""COMPUTED_VALUE"""),"Hyatt")</f>
        <v>Hyatt</v>
      </c>
      <c r="R254" s="76" t="str">
        <f>IFERROR(__xludf.DUMMYFUNCTION("""COMPUTED_VALUE"""),"Value, Green")</f>
        <v>Value, Green</v>
      </c>
      <c r="S254" s="76" t="str">
        <f>IFERROR(__xludf.DUMMYFUNCTION("""COMPUTED_VALUE"""),"Beach, Great Food, Swim Out/Plunge Pool Rooms, Gym, Casino, Lazy River, Buffet, Swim Up Bar, Diving, Tennis, Evening Entertainment, Spa, Room Service, Nightclub")</f>
        <v>Beach, Great Food, Swim Out/Plunge Pool Rooms, Gym, Casino, Lazy River, Buffet, Swim Up Bar, Diving, Tennis, Evening Entertainment, Spa, Room Service, Nightclub</v>
      </c>
      <c r="T254" s="76"/>
      <c r="U254" s="76"/>
      <c r="V254" s="78" t="b">
        <f>IFERROR(__xludf.DUMMYFUNCTION("""COMPUTED_VALUE"""),FALSE)</f>
        <v>0</v>
      </c>
      <c r="W254" s="78">
        <f>IFERROR(__xludf.DUMMYFUNCTION("""COMPUTED_VALUE"""),641.0)</f>
        <v>641</v>
      </c>
      <c r="X254" s="78"/>
      <c r="Y254" s="78">
        <f>IFERROR(__xludf.DUMMYFUNCTION("""COMPUTED_VALUE"""),2020.0)</f>
        <v>2020</v>
      </c>
      <c r="Z254" s="81">
        <f>IFERROR(__xludf.DUMMYFUNCTION("""COMPUTED_VALUE"""),3.0)</f>
        <v>3</v>
      </c>
    </row>
    <row r="255">
      <c r="A255" s="65" t="str">
        <f>IFERROR(__xludf.DUMMYFUNCTION("""COMPUTED_VALUE"""),"S Hotel Montego Bay (Couples only)")</f>
        <v>S Hotel Montego Bay (Couples only)</v>
      </c>
      <c r="B255" s="66">
        <f>IFERROR(__xludf.DUMMYFUNCTION("""COMPUTED_VALUE"""),89.0)</f>
        <v>89</v>
      </c>
      <c r="C255" s="67" t="str">
        <f>IFERROR(__xludf.DUMMYFUNCTION("""COMPUTED_VALUE"""),"Adults Only")</f>
        <v>Adults Only</v>
      </c>
      <c r="D255" s="79">
        <f>IFERROR(__xludf.DUMMYFUNCTION("""COMPUTED_VALUE"""),4889.7)</f>
        <v>4889.7</v>
      </c>
      <c r="E255" s="79">
        <f>IFERROR(__xludf.DUMMYFUNCTION("""COMPUTED_VALUE"""),6752.919696029999)</f>
        <v>6752.919696</v>
      </c>
      <c r="F255" s="69">
        <f>IFERROR(__xludf.DUMMYFUNCTION("""COMPUTED_VALUE"""),1.84)</f>
        <v>1.84</v>
      </c>
      <c r="G255" s="78">
        <f>IFERROR(__xludf.DUMMYFUNCTION("""COMPUTED_VALUE"""),3.0)</f>
        <v>3</v>
      </c>
      <c r="H255" s="78" t="str">
        <f>IFERROR(__xludf.DUMMYFUNCTION("""COMPUTED_VALUE"""),"NYR")</f>
        <v>NYR</v>
      </c>
      <c r="I255" s="78"/>
      <c r="J255" s="78">
        <f>IFERROR(__xludf.DUMMYFUNCTION("""COMPUTED_VALUE"""),4.0)</f>
        <v>4</v>
      </c>
      <c r="K255" s="76" t="str">
        <f>IFERROR(__xludf.DUMMYFUNCTION("""COMPUTED_VALUE"""),"Couples Only")</f>
        <v>Couples Only</v>
      </c>
      <c r="L255" s="76" t="str">
        <f>IFERROR(__xludf.DUMMYFUNCTION("""COMPUTED_VALUE"""),"Jamaica")</f>
        <v>Jamaica</v>
      </c>
      <c r="M255" s="76" t="str">
        <f>IFERROR(__xludf.DUMMYFUNCTION("""COMPUTED_VALUE"""),"Montego Bay")</f>
        <v>Montego Bay</v>
      </c>
      <c r="N255" s="76" t="str">
        <f>IFERROR(__xludf.DUMMYFUNCTION("""COMPUTED_VALUE"""),"Sangster")</f>
        <v>Sangster</v>
      </c>
      <c r="O255" s="78" t="b">
        <f>IFERROR(__xludf.DUMMYFUNCTION("""COMPUTED_VALUE"""),TRUE)</f>
        <v>1</v>
      </c>
      <c r="P255" s="80">
        <f>IFERROR(__xludf.DUMMYFUNCTION("""COMPUTED_VALUE"""),0.002777777777777778)</f>
        <v>0.002777777778</v>
      </c>
      <c r="Q255" s="76"/>
      <c r="R255" s="76" t="str">
        <f>IFERROR(__xludf.DUMMYFUNCTION("""COMPUTED_VALUE"""),"Trendy, Business")</f>
        <v>Trendy, Business</v>
      </c>
      <c r="S255" s="76" t="str">
        <f>IFERROR(__xludf.DUMMYFUNCTION("""COMPUTED_VALUE"""),"Beach, Gym, Snorkelling, Yoga Classes, Evening Entertainment, Wifi (Free), Room Service, Nightclub, Spa")</f>
        <v>Beach, Gym, Snorkelling, Yoga Classes, Evening Entertainment, Wifi (Free), Room Service, Nightclub, Spa</v>
      </c>
      <c r="T255" s="76"/>
      <c r="U255" s="76"/>
      <c r="V255" s="78" t="b">
        <f>IFERROR(__xludf.DUMMYFUNCTION("""COMPUTED_VALUE"""),TRUE)</f>
        <v>1</v>
      </c>
      <c r="W255" s="78">
        <f>IFERROR(__xludf.DUMMYFUNCTION("""COMPUTED_VALUE"""),120.0)</f>
        <v>120</v>
      </c>
      <c r="X255" s="78">
        <f>IFERROR(__xludf.DUMMYFUNCTION("""COMPUTED_VALUE"""),2019.0)</f>
        <v>2019</v>
      </c>
      <c r="Y255" s="78"/>
      <c r="Z255" s="81">
        <f>IFERROR(__xludf.DUMMYFUNCTION("""COMPUTED_VALUE"""),6.0)</f>
        <v>6</v>
      </c>
    </row>
    <row r="256">
      <c r="A256" s="65" t="str">
        <f>IFERROR(__xludf.DUMMYFUNCTION("""COMPUTED_VALUE"""),"Iberostar Waves Cozumel")</f>
        <v>Iberostar Waves Cozumel</v>
      </c>
      <c r="B256" s="66">
        <f>IFERROR(__xludf.DUMMYFUNCTION("""COMPUTED_VALUE"""),89.0)</f>
        <v>89</v>
      </c>
      <c r="C256" s="67" t="str">
        <f>IFERROR(__xludf.DUMMYFUNCTION("""COMPUTED_VALUE"""),"Family")</f>
        <v>Family</v>
      </c>
      <c r="D256" s="79">
        <f>IFERROR(__xludf.DUMMYFUNCTION("""COMPUTED_VALUE"""),5575.34)</f>
        <v>5575.34</v>
      </c>
      <c r="E256" s="79">
        <f>IFERROR(__xludf.DUMMYFUNCTION("""COMPUTED_VALUE"""),7699.822749466)</f>
        <v>7699.822749</v>
      </c>
      <c r="F256" s="69">
        <f>IFERROR(__xludf.DUMMYFUNCTION("""COMPUTED_VALUE"""),1.61)</f>
        <v>1.61</v>
      </c>
      <c r="G256" s="78"/>
      <c r="H256" s="78">
        <f>IFERROR(__xludf.DUMMYFUNCTION("""COMPUTED_VALUE"""),6.0)</f>
        <v>6</v>
      </c>
      <c r="I256" s="78"/>
      <c r="J256" s="78">
        <f>IFERROR(__xludf.DUMMYFUNCTION("""COMPUTED_VALUE"""),5.0)</f>
        <v>5</v>
      </c>
      <c r="K256" s="76"/>
      <c r="L256" s="76" t="str">
        <f>IFERROR(__xludf.DUMMYFUNCTION("""COMPUTED_VALUE"""),"Mexico")</f>
        <v>Mexico</v>
      </c>
      <c r="M256" s="76" t="str">
        <f>IFERROR(__xludf.DUMMYFUNCTION("""COMPUTED_VALUE"""),"Cozumel")</f>
        <v>Cozumel</v>
      </c>
      <c r="N256" s="76" t="str">
        <f>IFERROR(__xludf.DUMMYFUNCTION("""COMPUTED_VALUE"""),"Cozumel")</f>
        <v>Cozumel</v>
      </c>
      <c r="O256" s="78" t="b">
        <f>IFERROR(__xludf.DUMMYFUNCTION("""COMPUTED_VALUE"""),TRUE)</f>
        <v>1</v>
      </c>
      <c r="P256" s="80">
        <f>IFERROR(__xludf.DUMMYFUNCTION("""COMPUTED_VALUE"""),0.01875)</f>
        <v>0.01875</v>
      </c>
      <c r="Q256" s="76" t="str">
        <f>IFERROR(__xludf.DUMMYFUNCTION("""COMPUTED_VALUE"""),"IHG")</f>
        <v>IHG</v>
      </c>
      <c r="R256" s="76" t="str">
        <f>IFERROR(__xludf.DUMMYFUNCTION("""COMPUTED_VALUE"""),"Green, Family")</f>
        <v>Green, Family</v>
      </c>
      <c r="S256" s="76" t="str">
        <f>IFERROR(__xludf.DUMMYFUNCTION("""COMPUTED_VALUE"""),"Beach, Great Food, Family Suite, 2 Bedroom Suites, Kids Club, Gym, Diving, Swim Up Bar, Snorkelling, Evening Entertainment, Spa, Babysitting, Buffet, Tennis")</f>
        <v>Beach, Great Food, Family Suite, 2 Bedroom Suites, Kids Club, Gym, Diving, Swim Up Bar, Snorkelling, Evening Entertainment, Spa, Babysitting, Buffet, Tennis</v>
      </c>
      <c r="T256" s="76" t="str">
        <f>IFERROR(__xludf.DUMMYFUNCTION("""COMPUTED_VALUE"""),"Yes")</f>
        <v>Yes</v>
      </c>
      <c r="U256" s="76" t="str">
        <f>IFERROR(__xludf.DUMMYFUNCTION("""COMPUTED_VALUE"""),"1 King or 2 Double")</f>
        <v>1 King or 2 Double</v>
      </c>
      <c r="V256" s="78" t="b">
        <f>IFERROR(__xludf.DUMMYFUNCTION("""COMPUTED_VALUE"""),FALSE)</f>
        <v>0</v>
      </c>
      <c r="W256" s="78"/>
      <c r="X256" s="74"/>
      <c r="Y256" s="74"/>
      <c r="Z256" s="81"/>
    </row>
    <row r="257">
      <c r="A257" s="65" t="str">
        <f>IFERROR(__xludf.DUMMYFUNCTION("""COMPUTED_VALUE"""),"Garza Blanca Resort &amp; Spa Cancun")</f>
        <v>Garza Blanca Resort &amp; Spa Cancun</v>
      </c>
      <c r="B257" s="66">
        <f>IFERROR(__xludf.DUMMYFUNCTION("""COMPUTED_VALUE"""),89.0)</f>
        <v>89</v>
      </c>
      <c r="C257" s="67" t="str">
        <f>IFERROR(__xludf.DUMMYFUNCTION("""COMPUTED_VALUE"""),"Family")</f>
        <v>Family</v>
      </c>
      <c r="D257" s="79">
        <f>IFERROR(__xludf.DUMMYFUNCTION("""COMPUTED_VALUE"""),5952.0)</f>
        <v>5952</v>
      </c>
      <c r="E257" s="79">
        <f>IFERROR(__xludf.DUMMYFUNCTION("""COMPUTED_VALUE"""),8220.009004799998)</f>
        <v>8220.009005</v>
      </c>
      <c r="F257" s="69">
        <f>IFERROR(__xludf.DUMMYFUNCTION("""COMPUTED_VALUE"""),1.51)</f>
        <v>1.51</v>
      </c>
      <c r="G257" s="78"/>
      <c r="H257" s="78" t="str">
        <f>IFERROR(__xludf.DUMMYFUNCTION("""COMPUTED_VALUE"""),"NYR")</f>
        <v>NYR</v>
      </c>
      <c r="I257" s="78"/>
      <c r="J257" s="78">
        <f>IFERROR(__xludf.DUMMYFUNCTION("""COMPUTED_VALUE"""),5.0)</f>
        <v>5</v>
      </c>
      <c r="K257" s="76"/>
      <c r="L257" s="76" t="str">
        <f>IFERROR(__xludf.DUMMYFUNCTION("""COMPUTED_VALUE"""),"Mexico")</f>
        <v>Mexico</v>
      </c>
      <c r="M257" s="76" t="str">
        <f>IFERROR(__xludf.DUMMYFUNCTION("""COMPUTED_VALUE"""),"Punta Sam")</f>
        <v>Punta Sam</v>
      </c>
      <c r="N257" s="87" t="str">
        <f>IFERROR(__xludf.DUMMYFUNCTION("""COMPUTED_VALUE"""),"Cancun")</f>
        <v>Cancun</v>
      </c>
      <c r="O257" s="78" t="b">
        <f>IFERROR(__xludf.DUMMYFUNCTION("""COMPUTED_VALUE"""),TRUE)</f>
        <v>1</v>
      </c>
      <c r="P257" s="80">
        <f>IFERROR(__xludf.DUMMYFUNCTION("""COMPUTED_VALUE"""),0.022222222222222223)</f>
        <v>0.02222222222</v>
      </c>
      <c r="Q257" s="76" t="str">
        <f>IFERROR(__xludf.DUMMYFUNCTION("""COMPUTED_VALUE"""),"Tafer Hotels &amp; Resorts")</f>
        <v>Tafer Hotels &amp; Resorts</v>
      </c>
      <c r="R257" s="76" t="str">
        <f>IFERROR(__xludf.DUMMYFUNCTION("""COMPUTED_VALUE"""),"Luxury, Ocean View")</f>
        <v>Luxury, Ocean View</v>
      </c>
      <c r="S257" s="76" t="str">
        <f>IFERROR(__xludf.DUMMYFUNCTION("""COMPUTED_VALUE"""),"Beach, Swim Out/Plunge Pool Rooms, Family Suite, 2 Bedroom Suites, Kids Club, Heated Pool, Gym, Snorkelling, Yoga Classes, Room Service, Swim Up Bar, Evening Entertainment, Wifi (Free), Buffet, Spa")</f>
        <v>Beach, Swim Out/Plunge Pool Rooms, Family Suite, 2 Bedroom Suites, Kids Club, Heated Pool, Gym, Snorkelling, Yoga Classes, Room Service, Swim Up Bar, Evening Entertainment, Wifi (Free), Buffet, Spa</v>
      </c>
      <c r="T257" s="76"/>
      <c r="U257" s="76" t="str">
        <f>IFERROR(__xludf.DUMMYFUNCTION("""COMPUTED_VALUE"""),"1 King or 2 Queen")</f>
        <v>1 King or 2 Queen</v>
      </c>
      <c r="V257" s="78" t="b">
        <f>IFERROR(__xludf.DUMMYFUNCTION("""COMPUTED_VALUE"""),TRUE)</f>
        <v>1</v>
      </c>
      <c r="W257" s="78">
        <f>IFERROR(__xludf.DUMMYFUNCTION("""COMPUTED_VALUE"""),452.0)</f>
        <v>452</v>
      </c>
      <c r="X257" s="78">
        <f>IFERROR(__xludf.DUMMYFUNCTION("""COMPUTED_VALUE"""),2020.0)</f>
        <v>2020</v>
      </c>
      <c r="Y257" s="78"/>
      <c r="Z257" s="75">
        <f>IFERROR(__xludf.DUMMYFUNCTION("""COMPUTED_VALUE"""),10.0)</f>
        <v>10</v>
      </c>
    </row>
    <row r="258">
      <c r="A258" s="65" t="str">
        <f>IFERROR(__xludf.DUMMYFUNCTION("""COMPUTED_VALUE"""),"Moon Palace The Grand - Cancún")</f>
        <v>Moon Palace The Grand - Cancún</v>
      </c>
      <c r="B258" s="66">
        <f>IFERROR(__xludf.DUMMYFUNCTION("""COMPUTED_VALUE"""),89.0)</f>
        <v>89</v>
      </c>
      <c r="C258" s="67" t="str">
        <f>IFERROR(__xludf.DUMMYFUNCTION("""COMPUTED_VALUE"""),"Family")</f>
        <v>Family</v>
      </c>
      <c r="D258" s="85">
        <f>IFERROR(__xludf.DUMMYFUNCTION("""COMPUTED_VALUE"""),6970.0)</f>
        <v>6970</v>
      </c>
      <c r="E258" s="79">
        <f>IFERROR(__xludf.DUMMYFUNCTION("""COMPUTED_VALUE"""),9625.917802999998)</f>
        <v>9625.917803</v>
      </c>
      <c r="F258" s="69">
        <f>IFERROR(__xludf.DUMMYFUNCTION("""COMPUTED_VALUE"""),1.29)</f>
        <v>1.29</v>
      </c>
      <c r="G258" s="78"/>
      <c r="H258" s="78">
        <f>IFERROR(__xludf.DUMMYFUNCTION("""COMPUTED_VALUE"""),8.0)</f>
        <v>8</v>
      </c>
      <c r="I258" s="78"/>
      <c r="J258" s="78">
        <f>IFERROR(__xludf.DUMMYFUNCTION("""COMPUTED_VALUE"""),5.0)</f>
        <v>5</v>
      </c>
      <c r="K258" s="76"/>
      <c r="L258" s="76" t="str">
        <f>IFERROR(__xludf.DUMMYFUNCTION("""COMPUTED_VALUE"""),"Mexico")</f>
        <v>Mexico</v>
      </c>
      <c r="M258" s="76" t="str">
        <f>IFERROR(__xludf.DUMMYFUNCTION("""COMPUTED_VALUE"""),"Cancun")</f>
        <v>Cancun</v>
      </c>
      <c r="N258" s="87" t="str">
        <f>IFERROR(__xludf.DUMMYFUNCTION("""COMPUTED_VALUE"""),"Cancun")</f>
        <v>Cancun</v>
      </c>
      <c r="O258" s="78" t="b">
        <f>IFERROR(__xludf.DUMMYFUNCTION("""COMPUTED_VALUE"""),TRUE)</f>
        <v>1</v>
      </c>
      <c r="P258" s="80">
        <f>IFERROR(__xludf.DUMMYFUNCTION("""COMPUTED_VALUE"""),0.009027777777777777)</f>
        <v>0.009027777778</v>
      </c>
      <c r="Q258" s="76" t="str">
        <f>IFERROR(__xludf.DUMMYFUNCTION("""COMPUTED_VALUE"""),"Palace Resorts")</f>
        <v>Palace Resorts</v>
      </c>
      <c r="R258" s="76" t="str">
        <f>IFERROR(__xludf.DUMMYFUNCTION("""COMPUTED_VALUE"""),"Family, Business")</f>
        <v>Family, Business</v>
      </c>
      <c r="S258" s="76" t="str">
        <f>IFERROR(__xludf.DUMMYFUNCTION("""COMPUTED_VALUE"""),"Beach, Swim Out/Plunge Pool Rooms, Family Suite, 2 Bedroom Suites, Kids Club, Teen Club, Lazy River, Kids Waterpark, Pool Slide, Water Feature, Big Waterslides, Arcade, Flowrider, Heated Pool, Gym, Bicycles Available, Swim Up Bar, Golf Course, Evening Ent"&amp;"ertainment, Nightclub, Wifi (Free), Babysitting, Adult Pool, Buffet, Tennis, Spa")</f>
        <v>Beach, Swim Out/Plunge Pool Rooms, Family Suite, 2 Bedroom Suites, Kids Club, Teen Club, Lazy River, Kids Waterpark, Pool Slide, Water Feature, Big Waterslides, Arcade, Flowrider, Heated Pool, Gym, Bicycles Available, Swim Up Bar, Golf Course, Evening Entertainment, Nightclub, Wifi (Free), Babysitting, Adult Pool, Buffet, Tennis, Spa</v>
      </c>
      <c r="T258" s="76" t="str">
        <f>IFERROR(__xludf.DUMMYFUNCTION("""COMPUTED_VALUE"""),"Yes")</f>
        <v>Yes</v>
      </c>
      <c r="U258" s="76" t="str">
        <f>IFERROR(__xludf.DUMMYFUNCTION("""COMPUTED_VALUE"""),"1 King or 2 Double - 1-2 Rollaway Beds avail")</f>
        <v>1 King or 2 Double - 1-2 Rollaway Beds avail</v>
      </c>
      <c r="V258" s="78" t="b">
        <f>IFERROR(__xludf.DUMMYFUNCTION("""COMPUTED_VALUE"""),FALSE)</f>
        <v>0</v>
      </c>
      <c r="W258" s="78">
        <f>IFERROR(__xludf.DUMMYFUNCTION("""COMPUTED_VALUE"""),1300.0)</f>
        <v>1300</v>
      </c>
      <c r="X258" s="78">
        <f>IFERROR(__xludf.DUMMYFUNCTION("""COMPUTED_VALUE"""),2016.0)</f>
        <v>2016</v>
      </c>
      <c r="Y258" s="78"/>
      <c r="Z258" s="75"/>
    </row>
    <row r="259">
      <c r="A259" s="65" t="str">
        <f>IFERROR(__xludf.DUMMYFUNCTION("""COMPUTED_VALUE"""),"The House by Elegant Hotels - All-Inclusive, Adults Only")</f>
        <v>The House by Elegant Hotels - All-Inclusive, Adults Only</v>
      </c>
      <c r="B259" s="66">
        <f>IFERROR(__xludf.DUMMYFUNCTION("""COMPUTED_VALUE"""),89.0)</f>
        <v>89</v>
      </c>
      <c r="C259" s="67" t="str">
        <f>IFERROR(__xludf.DUMMYFUNCTION("""COMPUTED_VALUE"""),"Adults Only")</f>
        <v>Adults Only</v>
      </c>
      <c r="D259" s="85">
        <f>IFERROR(__xludf.DUMMYFUNCTION("""COMPUTED_VALUE"""),8456.0)</f>
        <v>8456</v>
      </c>
      <c r="E259" s="79">
        <f>IFERROR(__xludf.DUMMYFUNCTION("""COMPUTED_VALUE"""),11678.157954399998)</f>
        <v>11678.15795</v>
      </c>
      <c r="F259" s="69">
        <f>IFERROR(__xludf.DUMMYFUNCTION("""COMPUTED_VALUE"""),1.06)</f>
        <v>1.06</v>
      </c>
      <c r="G259" s="78"/>
      <c r="H259" s="74">
        <f>IFERROR(__xludf.DUMMYFUNCTION("""COMPUTED_VALUE"""),8.0)</f>
        <v>8</v>
      </c>
      <c r="I259" s="78"/>
      <c r="J259" s="78">
        <f>IFERROR(__xludf.DUMMYFUNCTION("""COMPUTED_VALUE"""),3.5)</f>
        <v>3.5</v>
      </c>
      <c r="K259" s="76"/>
      <c r="L259" s="76" t="str">
        <f>IFERROR(__xludf.DUMMYFUNCTION("""COMPUTED_VALUE"""),"Barbados")</f>
        <v>Barbados</v>
      </c>
      <c r="M259" s="76" t="str">
        <f>IFERROR(__xludf.DUMMYFUNCTION("""COMPUTED_VALUE"""),"Saint James Parish")</f>
        <v>Saint James Parish</v>
      </c>
      <c r="N259" s="76" t="str">
        <f>IFERROR(__xludf.DUMMYFUNCTION("""COMPUTED_VALUE"""),"Grantley Adams")</f>
        <v>Grantley Adams</v>
      </c>
      <c r="O259" s="78" t="b">
        <f>IFERROR(__xludf.DUMMYFUNCTION("""COMPUTED_VALUE"""),TRUE)</f>
        <v>1</v>
      </c>
      <c r="P259" s="80">
        <f>IFERROR(__xludf.DUMMYFUNCTION("""COMPUTED_VALUE"""),0.02638888888888889)</f>
        <v>0.02638888889</v>
      </c>
      <c r="Q259" s="76" t="str">
        <f>IFERROR(__xludf.DUMMYFUNCTION("""COMPUTED_VALUE"""),"Marriott")</f>
        <v>Marriott</v>
      </c>
      <c r="R259" s="76" t="str">
        <f>IFERROR(__xludf.DUMMYFUNCTION("""COMPUTED_VALUE"""),"Bay View, Quiet")</f>
        <v>Bay View, Quiet</v>
      </c>
      <c r="S259" s="76" t="str">
        <f>IFERROR(__xludf.DUMMYFUNCTION("""COMPUTED_VALUE"""),"Beach, Gym, Yoga Classes, Snorkelling, Wifi (Free), Watersports Equipment Rentals, Spa")</f>
        <v>Beach, Gym, Yoga Classes, Snorkelling, Wifi (Free), Watersports Equipment Rentals, Spa</v>
      </c>
      <c r="T259" s="76"/>
      <c r="U259" s="76"/>
      <c r="V259" s="78" t="b">
        <f>IFERROR(__xludf.DUMMYFUNCTION("""COMPUTED_VALUE"""),FALSE)</f>
        <v>0</v>
      </c>
      <c r="W259" s="78">
        <f>IFERROR(__xludf.DUMMYFUNCTION("""COMPUTED_VALUE"""),34.0)</f>
        <v>34</v>
      </c>
      <c r="X259" s="78">
        <f>IFERROR(__xludf.DUMMYFUNCTION("""COMPUTED_VALUE"""),2001.0)</f>
        <v>2001</v>
      </c>
      <c r="Y259" s="74">
        <f>IFERROR(__xludf.DUMMYFUNCTION("""COMPUTED_VALUE"""),2017.0)</f>
        <v>2017</v>
      </c>
      <c r="Z259" s="75">
        <f>IFERROR(__xludf.DUMMYFUNCTION("""COMPUTED_VALUE"""),3.0)</f>
        <v>3</v>
      </c>
    </row>
    <row r="260">
      <c r="A260" s="65" t="str">
        <f>IFERROR(__xludf.DUMMYFUNCTION("""COMPUTED_VALUE"""),"Royal Hideaway Playacar")</f>
        <v>Royal Hideaway Playacar</v>
      </c>
      <c r="B260" s="66">
        <f>IFERROR(__xludf.DUMMYFUNCTION("""COMPUTED_VALUE"""),88.8)</f>
        <v>88.8</v>
      </c>
      <c r="C260" s="67" t="str">
        <f>IFERROR(__xludf.DUMMYFUNCTION("""COMPUTED_VALUE"""),"Adults Only")</f>
        <v>Adults Only</v>
      </c>
      <c r="D260" s="79">
        <f>IFERROR(__xludf.DUMMYFUNCTION("""COMPUTED_VALUE"""),3867.43)</f>
        <v>3867.43</v>
      </c>
      <c r="E260" s="79">
        <f>IFERROR(__xludf.DUMMYFUNCTION("""COMPUTED_VALUE"""),5341.113814756999)</f>
        <v>5341.113815</v>
      </c>
      <c r="F260" s="69">
        <f>IFERROR(__xludf.DUMMYFUNCTION("""COMPUTED_VALUE"""),2.28)</f>
        <v>2.28</v>
      </c>
      <c r="G260" s="78">
        <f>IFERROR(__xludf.DUMMYFUNCTION("""COMPUTED_VALUE"""),4.0)</f>
        <v>4</v>
      </c>
      <c r="H260" s="74">
        <f>IFERROR(__xludf.DUMMYFUNCTION("""COMPUTED_VALUE"""),9.0)</f>
        <v>9</v>
      </c>
      <c r="I260" s="78"/>
      <c r="J260" s="78">
        <f>IFERROR(__xludf.DUMMYFUNCTION("""COMPUTED_VALUE"""),5.0)</f>
        <v>5</v>
      </c>
      <c r="K260" s="71"/>
      <c r="L260" s="76" t="str">
        <f>IFERROR(__xludf.DUMMYFUNCTION("""COMPUTED_VALUE"""),"Mexico")</f>
        <v>Mexico</v>
      </c>
      <c r="M260" s="76" t="str">
        <f>IFERROR(__xludf.DUMMYFUNCTION("""COMPUTED_VALUE"""),"Playa del Carmen")</f>
        <v>Playa del Carmen</v>
      </c>
      <c r="N260" s="76" t="str">
        <f>IFERROR(__xludf.DUMMYFUNCTION("""COMPUTED_VALUE"""),"Cancun")</f>
        <v>Cancun</v>
      </c>
      <c r="O260" s="78" t="b">
        <f>IFERROR(__xludf.DUMMYFUNCTION("""COMPUTED_VALUE"""),TRUE)</f>
        <v>1</v>
      </c>
      <c r="P260" s="80">
        <f>IFERROR(__xludf.DUMMYFUNCTION("""COMPUTED_VALUE"""),0.03611111111111111)</f>
        <v>0.03611111111</v>
      </c>
      <c r="Q260" s="76" t="str">
        <f>IFERROR(__xludf.DUMMYFUNCTION("""COMPUTED_VALUE"""),"Barcelo")</f>
        <v>Barcelo</v>
      </c>
      <c r="R260" s="76" t="str">
        <f>IFERROR(__xludf.DUMMYFUNCTION("""COMPUTED_VALUE"""),"Romantic, Charming")</f>
        <v>Romantic, Charming</v>
      </c>
      <c r="S260" s="76" t="str">
        <f>IFERROR(__xludf.DUMMYFUNCTION("""COMPUTED_VALUE"""),"Beach, Gym, Snorkelling, Tennis, Evening Entertainment, Spa, Wifi (Free)")</f>
        <v>Beach, Gym, Snorkelling, Tennis, Evening Entertainment, Spa, Wifi (Free)</v>
      </c>
      <c r="T260" s="76"/>
      <c r="U260" s="76"/>
      <c r="V260" s="78" t="b">
        <f>IFERROR(__xludf.DUMMYFUNCTION("""COMPUTED_VALUE"""),FALSE)</f>
        <v>0</v>
      </c>
      <c r="W260" s="78">
        <f>IFERROR(__xludf.DUMMYFUNCTION("""COMPUTED_VALUE"""),201.0)</f>
        <v>201</v>
      </c>
      <c r="X260" s="78">
        <f>IFERROR(__xludf.DUMMYFUNCTION("""COMPUTED_VALUE"""),1999.0)</f>
        <v>1999</v>
      </c>
      <c r="Y260" s="74">
        <f>IFERROR(__xludf.DUMMYFUNCTION("""COMPUTED_VALUE"""),2016.0)</f>
        <v>2016</v>
      </c>
      <c r="Z260" s="75">
        <f>IFERROR(__xludf.DUMMYFUNCTION("""COMPUTED_VALUE"""),3.0)</f>
        <v>3</v>
      </c>
    </row>
    <row r="261">
      <c r="A261" s="77" t="str">
        <f>IFERROR(__xludf.DUMMYFUNCTION("""COMPUTED_VALUE"""),"Villa del Arco Beach Resort &amp; Spa")</f>
        <v>Villa del Arco Beach Resort &amp; Spa</v>
      </c>
      <c r="B261" s="66">
        <f>IFERROR(__xludf.DUMMYFUNCTION("""COMPUTED_VALUE"""),88.8)</f>
        <v>88.8</v>
      </c>
      <c r="C261" s="78" t="str">
        <f>IFERROR(__xludf.DUMMYFUNCTION("""COMPUTED_VALUE"""),"Family")</f>
        <v>Family</v>
      </c>
      <c r="D261" s="68">
        <f>IFERROR(__xludf.DUMMYFUNCTION("""COMPUTED_VALUE"""),4428.0)</f>
        <v>4428</v>
      </c>
      <c r="E261" s="68">
        <f>IFERROR(__xludf.DUMMYFUNCTION("""COMPUTED_VALUE"""),6115.2889571999995)</f>
        <v>6115.288957</v>
      </c>
      <c r="F261" s="69">
        <f>IFERROR(__xludf.DUMMYFUNCTION("""COMPUTED_VALUE"""),1.99)</f>
        <v>1.99</v>
      </c>
      <c r="G261" s="74">
        <f>IFERROR(__xludf.DUMMYFUNCTION("""COMPUTED_VALUE"""),3.0)</f>
        <v>3</v>
      </c>
      <c r="H261" s="74">
        <f>IFERROR(__xludf.DUMMYFUNCTION("""COMPUTED_VALUE"""),6.0)</f>
        <v>6</v>
      </c>
      <c r="I261" s="74"/>
      <c r="J261" s="74">
        <f>IFERROR(__xludf.DUMMYFUNCTION("""COMPUTED_VALUE"""),4.5)</f>
        <v>4.5</v>
      </c>
      <c r="K261" s="76"/>
      <c r="L261" s="76" t="str">
        <f>IFERROR(__xludf.DUMMYFUNCTION("""COMPUTED_VALUE"""),"Mexico")</f>
        <v>Mexico</v>
      </c>
      <c r="M261" s="76" t="str">
        <f>IFERROR(__xludf.DUMMYFUNCTION("""COMPUTED_VALUE"""),"Cabo San Lucas")</f>
        <v>Cabo San Lucas</v>
      </c>
      <c r="N261" s="76" t="str">
        <f>IFERROR(__xludf.DUMMYFUNCTION("""COMPUTED_VALUE"""),"Los Cabos")</f>
        <v>Los Cabos</v>
      </c>
      <c r="O261" s="78" t="b">
        <f>IFERROR(__xludf.DUMMYFUNCTION("""COMPUTED_VALUE"""),TRUE)</f>
        <v>1</v>
      </c>
      <c r="P261" s="80">
        <f>IFERROR(__xludf.DUMMYFUNCTION("""COMPUTED_VALUE"""),0.027777777777777776)</f>
        <v>0.02777777778</v>
      </c>
      <c r="Q261" s="76" t="str">
        <f>IFERROR(__xludf.DUMMYFUNCTION("""COMPUTED_VALUE"""),"The Villa Group")</f>
        <v>The Villa Group</v>
      </c>
      <c r="R261" s="76" t="str">
        <f>IFERROR(__xludf.DUMMYFUNCTION("""COMPUTED_VALUE"""),"Bay View, Harbour View")</f>
        <v>Bay View, Harbour View</v>
      </c>
      <c r="S261" s="76" t="str">
        <f>IFERROR(__xludf.DUMMYFUNCTION("""COMPUTED_VALUE"""),"Beach, Family Suite, 2 Bedroom Suites, Kids Club, Lazy River, Heated Pool, Gym, Diving, Evening Entertainment, Wifi (Free), Babysitting, Fishing, Spa")</f>
        <v>Beach, Family Suite, 2 Bedroom Suites, Kids Club, Lazy River, Heated Pool, Gym, Diving, Evening Entertainment, Wifi (Free), Babysitting, Fishing, Spa</v>
      </c>
      <c r="T261" s="76"/>
      <c r="U261" s="76" t="str">
        <f>IFERROR(__xludf.DUMMYFUNCTION("""COMPUTED_VALUE"""),"1 King or 2 Queen")</f>
        <v>1 King or 2 Queen</v>
      </c>
      <c r="V261" s="78" t="b">
        <f>IFERROR(__xludf.DUMMYFUNCTION("""COMPUTED_VALUE"""),FALSE)</f>
        <v>0</v>
      </c>
      <c r="W261" s="78">
        <f>IFERROR(__xludf.DUMMYFUNCTION("""COMPUTED_VALUE"""),217.0)</f>
        <v>217</v>
      </c>
      <c r="X261" s="74"/>
      <c r="Y261" s="78"/>
      <c r="Z261" s="81">
        <f>IFERROR(__xludf.DUMMYFUNCTION("""COMPUTED_VALUE"""),8.0)</f>
        <v>8</v>
      </c>
    </row>
    <row r="262">
      <c r="A262" s="65" t="str">
        <f>IFERROR(__xludf.DUMMYFUNCTION("""COMPUTED_VALUE"""),"Garza Blanca Resort &amp; Spa Los Cabos")</f>
        <v>Garza Blanca Resort &amp; Spa Los Cabos</v>
      </c>
      <c r="B262" s="66">
        <f>IFERROR(__xludf.DUMMYFUNCTION("""COMPUTED_VALUE"""),88.8)</f>
        <v>88.8</v>
      </c>
      <c r="C262" s="67" t="str">
        <f>IFERROR(__xludf.DUMMYFUNCTION("""COMPUTED_VALUE"""),"Family")</f>
        <v>Family</v>
      </c>
      <c r="D262" s="79">
        <f>IFERROR(__xludf.DUMMYFUNCTION("""COMPUTED_VALUE"""),6497.0)</f>
        <v>6497</v>
      </c>
      <c r="E262" s="79">
        <f>IFERROR(__xludf.DUMMYFUNCTION("""COMPUTED_VALUE"""),8972.6812003)</f>
        <v>8972.6812</v>
      </c>
      <c r="F262" s="86">
        <f>IFERROR(__xludf.DUMMYFUNCTION("""COMPUTED_VALUE"""),1.35)</f>
        <v>1.35</v>
      </c>
      <c r="G262" s="78">
        <f>IFERROR(__xludf.DUMMYFUNCTION("""COMPUTED_VALUE"""),4.0)</f>
        <v>4</v>
      </c>
      <c r="H262" s="78">
        <f>IFERROR(__xludf.DUMMYFUNCTION("""COMPUTED_VALUE"""),8.0)</f>
        <v>8</v>
      </c>
      <c r="I262" s="78"/>
      <c r="J262" s="78">
        <f>IFERROR(__xludf.DUMMYFUNCTION("""COMPUTED_VALUE"""),5.0)</f>
        <v>5</v>
      </c>
      <c r="K262" s="76"/>
      <c r="L262" s="76" t="str">
        <f>IFERROR(__xludf.DUMMYFUNCTION("""COMPUTED_VALUE"""),"Mexico")</f>
        <v>Mexico</v>
      </c>
      <c r="M262" s="76" t="str">
        <f>IFERROR(__xludf.DUMMYFUNCTION("""COMPUTED_VALUE"""),"Cabo San Lucas")</f>
        <v>Cabo San Lucas</v>
      </c>
      <c r="N262" s="72" t="str">
        <f>IFERROR(__xludf.DUMMYFUNCTION("""COMPUTED_VALUE"""),"Los Cabos")</f>
        <v>Los Cabos</v>
      </c>
      <c r="O262" s="78" t="b">
        <f>IFERROR(__xludf.DUMMYFUNCTION("""COMPUTED_VALUE"""),TRUE)</f>
        <v>1</v>
      </c>
      <c r="P262" s="73">
        <f>IFERROR(__xludf.DUMMYFUNCTION("""COMPUTED_VALUE"""),0.02013888888888889)</f>
        <v>0.02013888889</v>
      </c>
      <c r="Q262" s="76" t="str">
        <f>IFERROR(__xludf.DUMMYFUNCTION("""COMPUTED_VALUE"""),"Tafer Hotels &amp; Resorts")</f>
        <v>Tafer Hotels &amp; Resorts</v>
      </c>
      <c r="R262" s="76" t="str">
        <f>IFERROR(__xludf.DUMMYFUNCTION("""COMPUTED_VALUE"""),"Trendy, Business")</f>
        <v>Trendy, Business</v>
      </c>
      <c r="S262" s="71" t="str">
        <f>IFERROR(__xludf.DUMMYFUNCTION("""COMPUTED_VALUE"""),"Beach, Family Suite, 2 Bedroom Suites, Kids Club, Heated Pool, Gym, Bicycles Available, Adult Pool, Swim Up Bar, Horseback Riding, Fishing, Spa, Babysitting, Yoga Classes, Room Service, Diving, Hiking, Tennis")</f>
        <v>Beach, Family Suite, 2 Bedroom Suites, Kids Club, Heated Pool, Gym, Bicycles Available, Adult Pool, Swim Up Bar, Horseback Riding, Fishing, Spa, Babysitting, Yoga Classes, Room Service, Diving, Hiking, Tennis</v>
      </c>
      <c r="T262" s="71"/>
      <c r="U262" s="71" t="str">
        <f>IFERROR(__xludf.DUMMYFUNCTION("""COMPUTED_VALUE"""),"1 King or 2 Queen")</f>
        <v>1 King or 2 Queen</v>
      </c>
      <c r="V262" s="78" t="b">
        <f>IFERROR(__xludf.DUMMYFUNCTION("""COMPUTED_VALUE"""),TRUE)</f>
        <v>1</v>
      </c>
      <c r="W262" s="78">
        <f>IFERROR(__xludf.DUMMYFUNCTION("""COMPUTED_VALUE"""),315.0)</f>
        <v>315</v>
      </c>
      <c r="X262" s="78">
        <f>IFERROR(__xludf.DUMMYFUNCTION("""COMPUTED_VALUE"""),2018.0)</f>
        <v>2018</v>
      </c>
      <c r="Y262" s="78"/>
      <c r="Z262" s="81">
        <f>IFERROR(__xludf.DUMMYFUNCTION("""COMPUTED_VALUE"""),10.0)</f>
        <v>10</v>
      </c>
    </row>
    <row r="263">
      <c r="A263" s="65" t="str">
        <f>IFERROR(__xludf.DUMMYFUNCTION("""COMPUTED_VALUE"""),"Iberostar Selection Rose Hall Suites")</f>
        <v>Iberostar Selection Rose Hall Suites</v>
      </c>
      <c r="B263" s="66">
        <f>IFERROR(__xludf.DUMMYFUNCTION("""COMPUTED_VALUE"""),88.8)</f>
        <v>88.8</v>
      </c>
      <c r="C263" s="67" t="str">
        <f>IFERROR(__xludf.DUMMYFUNCTION("""COMPUTED_VALUE"""),"Family")</f>
        <v>Family</v>
      </c>
      <c r="D263" s="79">
        <f>IFERROR(__xludf.DUMMYFUNCTION("""COMPUTED_VALUE"""),6590.74)</f>
        <v>6590.74</v>
      </c>
      <c r="E263" s="79">
        <f>IFERROR(__xludf.DUMMYFUNCTION("""COMPUTED_VALUE"""),9102.140817925998)</f>
        <v>9102.140818</v>
      </c>
      <c r="F263" s="69">
        <f>IFERROR(__xludf.DUMMYFUNCTION("""COMPUTED_VALUE"""),1.34)</f>
        <v>1.34</v>
      </c>
      <c r="G263" s="78">
        <f>IFERROR(__xludf.DUMMYFUNCTION("""COMPUTED_VALUE"""),4.0)</f>
        <v>4</v>
      </c>
      <c r="H263" s="78">
        <f>IFERROR(__xludf.DUMMYFUNCTION("""COMPUTED_VALUE"""),7.0)</f>
        <v>7</v>
      </c>
      <c r="I263" s="78"/>
      <c r="J263" s="78">
        <f>IFERROR(__xludf.DUMMYFUNCTION("""COMPUTED_VALUE"""),5.0)</f>
        <v>5</v>
      </c>
      <c r="K263" s="71"/>
      <c r="L263" s="76" t="str">
        <f>IFERROR(__xludf.DUMMYFUNCTION("""COMPUTED_VALUE"""),"Jamaica")</f>
        <v>Jamaica</v>
      </c>
      <c r="M263" s="76" t="str">
        <f>IFERROR(__xludf.DUMMYFUNCTION("""COMPUTED_VALUE"""),"Montego Bay")</f>
        <v>Montego Bay</v>
      </c>
      <c r="N263" s="76" t="str">
        <f>IFERROR(__xludf.DUMMYFUNCTION("""COMPUTED_VALUE"""),"Sangster")</f>
        <v>Sangster</v>
      </c>
      <c r="O263" s="78" t="b">
        <f>IFERROR(__xludf.DUMMYFUNCTION("""COMPUTED_VALUE"""),TRUE)</f>
        <v>1</v>
      </c>
      <c r="P263" s="80">
        <f>IFERROR(__xludf.DUMMYFUNCTION("""COMPUTED_VALUE"""),0.015277777777777777)</f>
        <v>0.01527777778</v>
      </c>
      <c r="Q263" s="76" t="str">
        <f>IFERROR(__xludf.DUMMYFUNCTION("""COMPUTED_VALUE"""),"IHG")</f>
        <v>IHG</v>
      </c>
      <c r="R263" s="76" t="str">
        <f>IFERROR(__xludf.DUMMYFUNCTION("""COMPUTED_VALUE"""),"Family")</f>
        <v>Family</v>
      </c>
      <c r="S263" s="76" t="str">
        <f>IFERROR(__xludf.DUMMYFUNCTION("""COMPUTED_VALUE"""),"Beach, Family Suite, 2 Bedroom Suites, Kids Club, Lazy River, Kids Waterpark, Gym, Casino, Buffet, Swim Up Bar, Diving, Evening Entertainment, Nightclub, Babysitting, Tennis, Fishing, Spa")</f>
        <v>Beach, Family Suite, 2 Bedroom Suites, Kids Club, Lazy River, Kids Waterpark, Gym, Casino, Buffet, Swim Up Bar, Diving, Evening Entertainment, Nightclub, Babysitting, Tennis, Fishing, Spa</v>
      </c>
      <c r="T263" s="76" t="str">
        <f>IFERROR(__xludf.DUMMYFUNCTION("""COMPUTED_VALUE"""),"Yes")</f>
        <v>Yes</v>
      </c>
      <c r="U263" s="76" t="str">
        <f>IFERROR(__xludf.DUMMYFUNCTION("""COMPUTED_VALUE"""),"1 King or 2 Double")</f>
        <v>1 King or 2 Double</v>
      </c>
      <c r="V263" s="78" t="b">
        <f>IFERROR(__xludf.DUMMYFUNCTION("""COMPUTED_VALUE"""),FALSE)</f>
        <v>0</v>
      </c>
      <c r="W263" s="78">
        <f>IFERROR(__xludf.DUMMYFUNCTION("""COMPUTED_VALUE"""),319.0)</f>
        <v>319</v>
      </c>
      <c r="X263" s="78"/>
      <c r="Y263" s="78"/>
      <c r="Z263" s="81"/>
    </row>
    <row r="264">
      <c r="A264" s="65" t="str">
        <f>IFERROR(__xludf.DUMMYFUNCTION("""COMPUTED_VALUE"""),"Fiesta Americana Condesa Cancun All Inclusive")</f>
        <v>Fiesta Americana Condesa Cancun All Inclusive</v>
      </c>
      <c r="B264" s="66">
        <f>IFERROR(__xludf.DUMMYFUNCTION("""COMPUTED_VALUE"""),88.8)</f>
        <v>88.8</v>
      </c>
      <c r="C264" s="67" t="str">
        <f>IFERROR(__xludf.DUMMYFUNCTION("""COMPUTED_VALUE"""),"Family")</f>
        <v>Family</v>
      </c>
      <c r="D264" s="79">
        <f>IFERROR(__xludf.DUMMYFUNCTION("""COMPUTED_VALUE"""),8677.07)</f>
        <v>8677.07</v>
      </c>
      <c r="E264" s="79">
        <f>IFERROR(__xludf.DUMMYFUNCTION("""COMPUTED_VALUE"""),11983.466655792998)</f>
        <v>11983.46666</v>
      </c>
      <c r="F264" s="69">
        <f>IFERROR(__xludf.DUMMYFUNCTION("""COMPUTED_VALUE"""),1.01)</f>
        <v>1.01</v>
      </c>
      <c r="G264" s="78">
        <f>IFERROR(__xludf.DUMMYFUNCTION("""COMPUTED_VALUE"""),3.0)</f>
        <v>3</v>
      </c>
      <c r="H264" s="78">
        <f>IFERROR(__xludf.DUMMYFUNCTION("""COMPUTED_VALUE"""),8.0)</f>
        <v>8</v>
      </c>
      <c r="I264" s="78"/>
      <c r="J264" s="78">
        <f>IFERROR(__xludf.DUMMYFUNCTION("""COMPUTED_VALUE"""),3.0)</f>
        <v>3</v>
      </c>
      <c r="K264" s="76"/>
      <c r="L264" s="76" t="str">
        <f>IFERROR(__xludf.DUMMYFUNCTION("""COMPUTED_VALUE"""),"Mexico")</f>
        <v>Mexico</v>
      </c>
      <c r="M264" s="76" t="str">
        <f>IFERROR(__xludf.DUMMYFUNCTION("""COMPUTED_VALUE"""),"Cancun")</f>
        <v>Cancun</v>
      </c>
      <c r="N264" s="76" t="str">
        <f>IFERROR(__xludf.DUMMYFUNCTION("""COMPUTED_VALUE"""),"Cancun")</f>
        <v>Cancun</v>
      </c>
      <c r="O264" s="78" t="b">
        <f>IFERROR(__xludf.DUMMYFUNCTION("""COMPUTED_VALUE"""),TRUE)</f>
        <v>1</v>
      </c>
      <c r="P264" s="80">
        <f>IFERROR(__xludf.DUMMYFUNCTION("""COMPUTED_VALUE"""),0.0125)</f>
        <v>0.0125</v>
      </c>
      <c r="Q264" s="76" t="str">
        <f>IFERROR(__xludf.DUMMYFUNCTION("""COMPUTED_VALUE"""),"Fiesta Americana Travelty")</f>
        <v>Fiesta Americana Travelty</v>
      </c>
      <c r="R264" s="76" t="str">
        <f>IFERROR(__xludf.DUMMYFUNCTION("""COMPUTED_VALUE"""),"Value, Family")</f>
        <v>Value, Family</v>
      </c>
      <c r="S264" s="76" t="str">
        <f>IFERROR(__xludf.DUMMYFUNCTION("""COMPUTED_VALUE"""),"Beach, Swim Out/Plunge Pool Rooms, Family Suite, 2 Bedroom Suites, Kids Club, Kids Waterpark, Pool Slide, Water Feature, Gym, Diving, Buffet, Fishing, Spa, Yoga Classes, Room Service, Swim Up Bar, Evening Entertainment")</f>
        <v>Beach, Swim Out/Plunge Pool Rooms, Family Suite, 2 Bedroom Suites, Kids Club, Kids Waterpark, Pool Slide, Water Feature, Gym, Diving, Buffet, Fishing, Spa, Yoga Classes, Room Service, Swim Up Bar, Evening Entertainment</v>
      </c>
      <c r="T264" s="76"/>
      <c r="U264" s="76" t="str">
        <f>IFERROR(__xludf.DUMMYFUNCTION("""COMPUTED_VALUE"""),"1 King or 2 Double")</f>
        <v>1 King or 2 Double</v>
      </c>
      <c r="V264" s="78" t="b">
        <f>IFERROR(__xludf.DUMMYFUNCTION("""COMPUTED_VALUE"""),FALSE)</f>
        <v>0</v>
      </c>
      <c r="W264" s="78">
        <f>IFERROR(__xludf.DUMMYFUNCTION("""COMPUTED_VALUE"""),507.0)</f>
        <v>507</v>
      </c>
      <c r="X264" s="78">
        <f>IFERROR(__xludf.DUMMYFUNCTION("""COMPUTED_VALUE"""),1989.0)</f>
        <v>1989</v>
      </c>
      <c r="Y264" s="78">
        <f>IFERROR(__xludf.DUMMYFUNCTION("""COMPUTED_VALUE"""),2017.0)</f>
        <v>2017</v>
      </c>
      <c r="Z264" s="81">
        <f>IFERROR(__xludf.DUMMYFUNCTION("""COMPUTED_VALUE"""),8.0)</f>
        <v>8</v>
      </c>
    </row>
    <row r="265">
      <c r="A265" s="65" t="str">
        <f>IFERROR(__xludf.DUMMYFUNCTION("""COMPUTED_VALUE"""),"Princess Senses the Mangrove")</f>
        <v>Princess Senses the Mangrove</v>
      </c>
      <c r="B265" s="66">
        <f>IFERROR(__xludf.DUMMYFUNCTION("""COMPUTED_VALUE"""),88.7)</f>
        <v>88.7</v>
      </c>
      <c r="C265" s="67" t="str">
        <f>IFERROR(__xludf.DUMMYFUNCTION("""COMPUTED_VALUE"""),"Adults Only")</f>
        <v>Adults Only</v>
      </c>
      <c r="D265" s="79">
        <f>IFERROR(__xludf.DUMMYFUNCTION("""COMPUTED_VALUE"""),4144.84)</f>
        <v>4144.84</v>
      </c>
      <c r="E265" s="79">
        <f>IFERROR(__xludf.DUMMYFUNCTION("""COMPUTED_VALUE"""),5724.230867515999)</f>
        <v>5724.230868</v>
      </c>
      <c r="F265" s="69">
        <f>IFERROR(__xludf.DUMMYFUNCTION("""COMPUTED_VALUE"""),2.1)</f>
        <v>2.1</v>
      </c>
      <c r="G265" s="78"/>
      <c r="H265" s="74" t="str">
        <f>IFERROR(__xludf.DUMMYFUNCTION("""COMPUTED_VALUE"""),"NYR")</f>
        <v>NYR</v>
      </c>
      <c r="I265" s="78"/>
      <c r="J265" s="78">
        <f>IFERROR(__xludf.DUMMYFUNCTION("""COMPUTED_VALUE"""),5.0)</f>
        <v>5</v>
      </c>
      <c r="K265" s="76"/>
      <c r="L265" s="76" t="str">
        <f>IFERROR(__xludf.DUMMYFUNCTION("""COMPUTED_VALUE"""),"Jamaica")</f>
        <v>Jamaica</v>
      </c>
      <c r="M265" s="76" t="str">
        <f>IFERROR(__xludf.DUMMYFUNCTION("""COMPUTED_VALUE"""),"Green Island")</f>
        <v>Green Island</v>
      </c>
      <c r="N265" s="76" t="str">
        <f>IFERROR(__xludf.DUMMYFUNCTION("""COMPUTED_VALUE"""),"Sangster")</f>
        <v>Sangster</v>
      </c>
      <c r="O265" s="78" t="b">
        <f>IFERROR(__xludf.DUMMYFUNCTION("""COMPUTED_VALUE"""),TRUE)</f>
        <v>1</v>
      </c>
      <c r="P265" s="80">
        <f>IFERROR(__xludf.DUMMYFUNCTION("""COMPUTED_VALUE"""),0.04583333333333333)</f>
        <v>0.04583333333</v>
      </c>
      <c r="Q265" s="76"/>
      <c r="R265" s="76" t="str">
        <f>IFERROR(__xludf.DUMMYFUNCTION("""COMPUTED_VALUE"""),"Luxury, Mid-Range")</f>
        <v>Luxury, Mid-Range</v>
      </c>
      <c r="S265" s="76" t="str">
        <f>IFERROR(__xludf.DUMMYFUNCTION("""COMPUTED_VALUE"""),"Swim Out/Plunge Pool Rooms, Gym, Yoga Classes, Buffet, Evening Entertainment, Nightclub, Spa, Wifi (Free), Room Service, Swim Up Bar, Snorkelling")</f>
        <v>Swim Out/Plunge Pool Rooms, Gym, Yoga Classes, Buffet, Evening Entertainment, Nightclub, Spa, Wifi (Free), Room Service, Swim Up Bar, Snorkelling</v>
      </c>
      <c r="T265" s="76"/>
      <c r="U265" s="76"/>
      <c r="V265" s="78" t="b">
        <f>IFERROR(__xludf.DUMMYFUNCTION("""COMPUTED_VALUE"""),FALSE)</f>
        <v>0</v>
      </c>
      <c r="W265" s="78">
        <f>IFERROR(__xludf.DUMMYFUNCTION("""COMPUTED_VALUE"""),415.0)</f>
        <v>415</v>
      </c>
      <c r="X265" s="78">
        <f>IFERROR(__xludf.DUMMYFUNCTION("""COMPUTED_VALUE"""),2024.0)</f>
        <v>2024</v>
      </c>
      <c r="Y265" s="78"/>
      <c r="Z265" s="75">
        <f>IFERROR(__xludf.DUMMYFUNCTION("""COMPUTED_VALUE"""),4.0)</f>
        <v>4</v>
      </c>
    </row>
    <row r="266">
      <c r="A266" s="65" t="str">
        <f>IFERROR(__xludf.DUMMYFUNCTION("""COMPUTED_VALUE"""),"Hotel Riu Palace Peninsula")</f>
        <v>Hotel Riu Palace Peninsula</v>
      </c>
      <c r="B266" s="66">
        <f>IFERROR(__xludf.DUMMYFUNCTION("""COMPUTED_VALUE"""),88.7)</f>
        <v>88.7</v>
      </c>
      <c r="C266" s="67" t="str">
        <f>IFERROR(__xludf.DUMMYFUNCTION("""COMPUTED_VALUE"""),"Family")</f>
        <v>Family</v>
      </c>
      <c r="D266" s="79">
        <f>IFERROR(__xludf.DUMMYFUNCTION("""COMPUTED_VALUE"""),4334.4)</f>
        <v>4334.4</v>
      </c>
      <c r="E266" s="79">
        <f>IFERROR(__xludf.DUMMYFUNCTION("""COMPUTED_VALUE"""),5986.022686559999)</f>
        <v>5986.022687</v>
      </c>
      <c r="F266" s="69">
        <f>IFERROR(__xludf.DUMMYFUNCTION("""COMPUTED_VALUE"""),2.01)</f>
        <v>2.01</v>
      </c>
      <c r="G266" s="70"/>
      <c r="H266" s="78">
        <f>IFERROR(__xludf.DUMMYFUNCTION("""COMPUTED_VALUE"""),7.0)</f>
        <v>7</v>
      </c>
      <c r="I266" s="70"/>
      <c r="J266" s="78">
        <f>IFERROR(__xludf.DUMMYFUNCTION("""COMPUTED_VALUE"""),5.0)</f>
        <v>5</v>
      </c>
      <c r="K266" s="76"/>
      <c r="L266" s="76" t="str">
        <f>IFERROR(__xludf.DUMMYFUNCTION("""COMPUTED_VALUE"""),"Mexico")</f>
        <v>Mexico</v>
      </c>
      <c r="M266" s="76" t="str">
        <f>IFERROR(__xludf.DUMMYFUNCTION("""COMPUTED_VALUE"""),"Cancun")</f>
        <v>Cancun</v>
      </c>
      <c r="N266" s="76" t="str">
        <f>IFERROR(__xludf.DUMMYFUNCTION("""COMPUTED_VALUE"""),"Cancun")</f>
        <v>Cancun</v>
      </c>
      <c r="O266" s="78" t="b">
        <f>IFERROR(__xludf.DUMMYFUNCTION("""COMPUTED_VALUE"""),TRUE)</f>
        <v>1</v>
      </c>
      <c r="P266" s="80">
        <f>IFERROR(__xludf.DUMMYFUNCTION("""COMPUTED_VALUE"""),0.019444444444444445)</f>
        <v>0.01944444444</v>
      </c>
      <c r="Q266" s="76" t="str">
        <f>IFERROR(__xludf.DUMMYFUNCTION("""COMPUTED_VALUE"""),"Riu")</f>
        <v>Riu</v>
      </c>
      <c r="R266" s="76" t="str">
        <f>IFERROR(__xludf.DUMMYFUNCTION("""COMPUTED_VALUE"""),"Modern, Bay View")</f>
        <v>Modern, Bay View</v>
      </c>
      <c r="S266" s="76" t="str">
        <f>IFERROR(__xludf.DUMMYFUNCTION("""COMPUTED_VALUE"""),"Beach, Adults Only Rooms, Great for Parties, Kids Club, Gym, Diving, Adult Pool, Buffet, Spa, Babysitting, Swim Up Bar, Evening Entertainment")</f>
        <v>Beach, Adults Only Rooms, Great for Parties, Kids Club, Gym, Diving, Adult Pool, Buffet, Spa, Babysitting, Swim Up Bar, Evening Entertainment</v>
      </c>
      <c r="T266" s="76"/>
      <c r="U266" s="76" t="str">
        <f>IFERROR(__xludf.DUMMYFUNCTION("""COMPUTED_VALUE"""),"1 King or 2 Small Double")</f>
        <v>1 King or 2 Small Double</v>
      </c>
      <c r="V266" s="78" t="b">
        <f>IFERROR(__xludf.DUMMYFUNCTION("""COMPUTED_VALUE"""),TRUE)</f>
        <v>1</v>
      </c>
      <c r="W266" s="78">
        <f>IFERROR(__xludf.DUMMYFUNCTION("""COMPUTED_VALUE"""),562.0)</f>
        <v>562</v>
      </c>
      <c r="X266" s="78">
        <f>IFERROR(__xludf.DUMMYFUNCTION("""COMPUTED_VALUE"""),2012.0)</f>
        <v>2012</v>
      </c>
      <c r="Y266" s="78"/>
      <c r="Z266" s="81">
        <f>IFERROR(__xludf.DUMMYFUNCTION("""COMPUTED_VALUE"""),17.0)</f>
        <v>17</v>
      </c>
    </row>
    <row r="267">
      <c r="A267" s="65" t="str">
        <f>IFERROR(__xludf.DUMMYFUNCTION("""COMPUTED_VALUE"""),"CC Beach Front Papagayo (Non refundable)")</f>
        <v>CC Beach Front Papagayo (Non refundable)</v>
      </c>
      <c r="B267" s="66">
        <f>IFERROR(__xludf.DUMMYFUNCTION("""COMPUTED_VALUE"""),88.7)</f>
        <v>88.7</v>
      </c>
      <c r="C267" s="67" t="str">
        <f>IFERROR(__xludf.DUMMYFUNCTION("""COMPUTED_VALUE"""),"Family")</f>
        <v>Family</v>
      </c>
      <c r="D267" s="79">
        <f>IFERROR(__xludf.DUMMYFUNCTION("""COMPUTED_VALUE"""),4423.93)</f>
        <v>4423.93</v>
      </c>
      <c r="E267" s="79">
        <f>IFERROR(__xludf.DUMMYFUNCTION("""COMPUTED_VALUE"""),6109.668084106999)</f>
        <v>6109.668084</v>
      </c>
      <c r="F267" s="69">
        <f>IFERROR(__xludf.DUMMYFUNCTION("""COMPUTED_VALUE"""),1.97)</f>
        <v>1.97</v>
      </c>
      <c r="G267" s="78"/>
      <c r="H267" s="78" t="str">
        <f>IFERROR(__xludf.DUMMYFUNCTION("""COMPUTED_VALUE"""),"NYR")</f>
        <v>NYR</v>
      </c>
      <c r="I267" s="78"/>
      <c r="J267" s="78">
        <f>IFERROR(__xludf.DUMMYFUNCTION("""COMPUTED_VALUE"""),4.0)</f>
        <v>4</v>
      </c>
      <c r="K267" s="76" t="str">
        <f>IFERROR(__xludf.DUMMYFUNCTION("""COMPUTED_VALUE"""),"Non Refundable")</f>
        <v>Non Refundable</v>
      </c>
      <c r="L267" s="76" t="str">
        <f>IFERROR(__xludf.DUMMYFUNCTION("""COMPUTED_VALUE"""),"Costa Rica")</f>
        <v>Costa Rica</v>
      </c>
      <c r="M267" s="76" t="str">
        <f>IFERROR(__xludf.DUMMYFUNCTION("""COMPUTED_VALUE"""),"Playa Panama")</f>
        <v>Playa Panama</v>
      </c>
      <c r="N267" s="76" t="str">
        <f>IFERROR(__xludf.DUMMYFUNCTION("""COMPUTED_VALUE"""),"Liberia")</f>
        <v>Liberia</v>
      </c>
      <c r="O267" s="78" t="b">
        <f>IFERROR(__xludf.DUMMYFUNCTION("""COMPUTED_VALUE"""),TRUE)</f>
        <v>1</v>
      </c>
      <c r="P267" s="80">
        <f>IFERROR(__xludf.DUMMYFUNCTION("""COMPUTED_VALUE"""),0.015277777777777777)</f>
        <v>0.01527777778</v>
      </c>
      <c r="Q267" s="76"/>
      <c r="R267" s="76" t="str">
        <f>IFERROR(__xludf.DUMMYFUNCTION("""COMPUTED_VALUE"""),"Quiet")</f>
        <v>Quiet</v>
      </c>
      <c r="S267" s="76" t="str">
        <f>IFERROR(__xludf.DUMMYFUNCTION("""COMPUTED_VALUE"""),"Beach, Windsurfing, Pets Allowed, Wifi (Free), Hiking, Watersports Equipment Rentals, Fishing, Spa")</f>
        <v>Beach, Windsurfing, Pets Allowed, Wifi (Free), Hiking, Watersports Equipment Rentals, Fishing, Spa</v>
      </c>
      <c r="T267" s="76"/>
      <c r="U267" s="76" t="str">
        <f>IFERROR(__xludf.DUMMYFUNCTION("""COMPUTED_VALUE"""),"2 Double")</f>
        <v>2 Double</v>
      </c>
      <c r="V267" s="78" t="b">
        <f>IFERROR(__xludf.DUMMYFUNCTION("""COMPUTED_VALUE"""),FALSE)</f>
        <v>0</v>
      </c>
      <c r="W267" s="78">
        <f>IFERROR(__xludf.DUMMYFUNCTION("""COMPUTED_VALUE"""),26.0)</f>
        <v>26</v>
      </c>
      <c r="X267" s="78"/>
      <c r="Y267" s="78"/>
      <c r="Z267" s="81"/>
    </row>
    <row r="268">
      <c r="A268" s="65" t="str">
        <f>IFERROR(__xludf.DUMMYFUNCTION("""COMPUTED_VALUE"""),"Sandals Grande St Lucian (Couples only)")</f>
        <v>Sandals Grande St Lucian (Couples only)</v>
      </c>
      <c r="B268" s="66">
        <f>IFERROR(__xludf.DUMMYFUNCTION("""COMPUTED_VALUE"""),88.7)</f>
        <v>88.7</v>
      </c>
      <c r="C268" s="67" t="str">
        <f>IFERROR(__xludf.DUMMYFUNCTION("""COMPUTED_VALUE"""),"Adults Only")</f>
        <v>Adults Only</v>
      </c>
      <c r="D268" s="79">
        <f>IFERROR(__xludf.DUMMYFUNCTION("""COMPUTED_VALUE"""),6942.0)</f>
        <v>6942</v>
      </c>
      <c r="E268" s="79">
        <f>IFERROR(__xludf.DUMMYFUNCTION("""COMPUTED_VALUE"""),9587.2484058)</f>
        <v>9587.248406</v>
      </c>
      <c r="F268" s="69">
        <f>IFERROR(__xludf.DUMMYFUNCTION("""COMPUTED_VALUE"""),1.25)</f>
        <v>1.25</v>
      </c>
      <c r="G268" s="78">
        <f>IFERROR(__xludf.DUMMYFUNCTION("""COMPUTED_VALUE"""),4.0)</f>
        <v>4</v>
      </c>
      <c r="H268" s="78" t="str">
        <f>IFERROR(__xludf.DUMMYFUNCTION("""COMPUTED_VALUE"""),"NYR")</f>
        <v>NYR</v>
      </c>
      <c r="I268" s="78"/>
      <c r="J268" s="78">
        <f>IFERROR(__xludf.DUMMYFUNCTION("""COMPUTED_VALUE"""),5.0)</f>
        <v>5</v>
      </c>
      <c r="K268" s="76" t="str">
        <f>IFERROR(__xludf.DUMMYFUNCTION("""COMPUTED_VALUE"""),"Couples Only")</f>
        <v>Couples Only</v>
      </c>
      <c r="L268" s="76" t="str">
        <f>IFERROR(__xludf.DUMMYFUNCTION("""COMPUTED_VALUE"""),"Saint Lucia")</f>
        <v>Saint Lucia</v>
      </c>
      <c r="M268" s="76" t="str">
        <f>IFERROR(__xludf.DUMMYFUNCTION("""COMPUTED_VALUE"""),"Gros Islet")</f>
        <v>Gros Islet</v>
      </c>
      <c r="N268" s="76" t="str">
        <f>IFERROR(__xludf.DUMMYFUNCTION("""COMPUTED_VALUE"""),"Hewanorra")</f>
        <v>Hewanorra</v>
      </c>
      <c r="O268" s="78" t="b">
        <f>IFERROR(__xludf.DUMMYFUNCTION("""COMPUTED_VALUE"""),FALSE)</f>
        <v>0</v>
      </c>
      <c r="P268" s="80">
        <f>IFERROR(__xludf.DUMMYFUNCTION("""COMPUTED_VALUE"""),0.06180555555555556)</f>
        <v>0.06180555556</v>
      </c>
      <c r="Q268" s="76" t="str">
        <f>IFERROR(__xludf.DUMMYFUNCTION("""COMPUTED_VALUE"""),"Sandals")</f>
        <v>Sandals</v>
      </c>
      <c r="R268" s="76" t="str">
        <f>IFERROR(__xludf.DUMMYFUNCTION("""COMPUTED_VALUE"""),"Luxury, Romantic")</f>
        <v>Luxury, Romantic</v>
      </c>
      <c r="S268" s="76" t="str">
        <f>IFERROR(__xludf.DUMMYFUNCTION("""COMPUTED_VALUE"""),"Beach, Great Beach, Swim Out/Plunge Pool Rooms, Gym, Diving, Room Service, Tennis, Nightclub, Wifi (Free), Buffet, Swim Up Bar, Snorkelling, Evening Entertainment, Spa")</f>
        <v>Beach, Great Beach, Swim Out/Plunge Pool Rooms, Gym, Diving, Room Service, Tennis, Nightclub, Wifi (Free), Buffet, Swim Up Bar, Snorkelling, Evening Entertainment, Spa</v>
      </c>
      <c r="T268" s="76"/>
      <c r="U268" s="76"/>
      <c r="V268" s="78" t="b">
        <f>IFERROR(__xludf.DUMMYFUNCTION("""COMPUTED_VALUE"""),FALSE)</f>
        <v>0</v>
      </c>
      <c r="W268" s="78">
        <f>IFERROR(__xludf.DUMMYFUNCTION("""COMPUTED_VALUE"""),311.0)</f>
        <v>311</v>
      </c>
      <c r="X268" s="78">
        <f>IFERROR(__xludf.DUMMYFUNCTION("""COMPUTED_VALUE"""),2000.0)</f>
        <v>2000</v>
      </c>
      <c r="Y268" s="78">
        <f>IFERROR(__xludf.DUMMYFUNCTION("""COMPUTED_VALUE"""),2015.0)</f>
        <v>2015</v>
      </c>
      <c r="Z268" s="81"/>
    </row>
    <row r="269">
      <c r="A269" s="65" t="str">
        <f>IFERROR(__xludf.DUMMYFUNCTION("""COMPUTED_VALUE"""),"Gran Muthu Almirante Beach Hotel")</f>
        <v>Gran Muthu Almirante Beach Hotel</v>
      </c>
      <c r="B269" s="66">
        <f>IFERROR(__xludf.DUMMYFUNCTION("""COMPUTED_VALUE"""),88.5)</f>
        <v>88.5</v>
      </c>
      <c r="C269" s="67" t="str">
        <f>IFERROR(__xludf.DUMMYFUNCTION("""COMPUTED_VALUE"""),"Family")</f>
        <v>Family</v>
      </c>
      <c r="D269" s="79">
        <f>IFERROR(__xludf.DUMMYFUNCTION("""COMPUTED_VALUE"""),3798.89)</f>
        <v>3798.89</v>
      </c>
      <c r="E269" s="79">
        <f>IFERROR(__xludf.DUMMYFUNCTION("""COMPUTED_VALUE"""),5246.456654610999)</f>
        <v>5246.456655</v>
      </c>
      <c r="F269" s="69">
        <f>IFERROR(__xludf.DUMMYFUNCTION("""COMPUTED_VALUE"""),2.24)</f>
        <v>2.24</v>
      </c>
      <c r="G269" s="78"/>
      <c r="H269" s="74"/>
      <c r="I269" s="78"/>
      <c r="J269" s="78">
        <f>IFERROR(__xludf.DUMMYFUNCTION("""COMPUTED_VALUE"""),5.0)</f>
        <v>5</v>
      </c>
      <c r="K269" s="71"/>
      <c r="L269" s="76" t="str">
        <f>IFERROR(__xludf.DUMMYFUNCTION("""COMPUTED_VALUE"""),"Cuba")</f>
        <v>Cuba</v>
      </c>
      <c r="M269" s="76" t="str">
        <f>IFERROR(__xludf.DUMMYFUNCTION("""COMPUTED_VALUE"""),"Guardalavaca")</f>
        <v>Guardalavaca</v>
      </c>
      <c r="N269" s="76" t="str">
        <f>IFERROR(__xludf.DUMMYFUNCTION("""COMPUTED_VALUE"""),"Holguin")</f>
        <v>Holguin</v>
      </c>
      <c r="O269" s="78" t="b">
        <f>IFERROR(__xludf.DUMMYFUNCTION("""COMPUTED_VALUE"""),TRUE)</f>
        <v>1</v>
      </c>
      <c r="P269" s="80">
        <f>IFERROR(__xludf.DUMMYFUNCTION("""COMPUTED_VALUE"""),0.04722222222222222)</f>
        <v>0.04722222222</v>
      </c>
      <c r="Q269" s="76" t="str">
        <f>IFERROR(__xludf.DUMMYFUNCTION("""COMPUTED_VALUE"""),"Mutha Hotels MGM")</f>
        <v>Mutha Hotels MGM</v>
      </c>
      <c r="R269" s="76"/>
      <c r="S269" s="76" t="str">
        <f>IFERROR(__xludf.DUMMYFUNCTION("""COMPUTED_VALUE"""),"Beach, Family Suite, 2 Bedroom Suites, Kids Club, Teen Club, Kids Waterpark, Gym, Archery, Buffet, Swim Up Bar, Bicycles Available, Snorkelling, Evening Entertainment, Spa, Babysitting, Adult Pool, Room Service, Diving, Horseback Riding, Tennis, Waterspor"&amp;"ts Equipment Rentals, Nightclub")</f>
        <v>Beach, Family Suite, 2 Bedroom Suites, Kids Club, Teen Club, Kids Waterpark, Gym, Archery, Buffet, Swim Up Bar, Bicycles Available, Snorkelling, Evening Entertainment, Spa, Babysitting, Adult Pool, Room Service, Diving, Horseback Riding, Tennis, Watersports Equipment Rentals, Nightclub</v>
      </c>
      <c r="T269" s="76" t="str">
        <f>IFERROR(__xludf.DUMMYFUNCTION("""COMPUTED_VALUE"""),"Yes")</f>
        <v>Yes</v>
      </c>
      <c r="U269" s="76" t="str">
        <f>IFERROR(__xludf.DUMMYFUNCTION("""COMPUTED_VALUE"""),"1 King or 2 Double")</f>
        <v>1 King or 2 Double</v>
      </c>
      <c r="V269" s="78" t="b">
        <f>IFERROR(__xludf.DUMMYFUNCTION("""COMPUTED_VALUE"""),FALSE)</f>
        <v>0</v>
      </c>
      <c r="W269" s="78"/>
      <c r="X269" s="78"/>
      <c r="Y269" s="74"/>
      <c r="Z269" s="81"/>
    </row>
    <row r="270">
      <c r="A270" s="65" t="str">
        <f>IFERROR(__xludf.DUMMYFUNCTION("""COMPUTED_VALUE"""),"SLS Playa Mujeres")</f>
        <v>SLS Playa Mujeres</v>
      </c>
      <c r="B270" s="66">
        <f>IFERROR(__xludf.DUMMYFUNCTION("""COMPUTED_VALUE"""),88.5)</f>
        <v>88.5</v>
      </c>
      <c r="C270" s="67" t="str">
        <f>IFERROR(__xludf.DUMMYFUNCTION("""COMPUTED_VALUE"""),"Family")</f>
        <v>Family</v>
      </c>
      <c r="D270" s="85">
        <f>IFERROR(__xludf.DUMMYFUNCTION("""COMPUTED_VALUE"""),3848.0)</f>
        <v>3848</v>
      </c>
      <c r="E270" s="79">
        <f>IFERROR(__xludf.DUMMYFUNCTION("""COMPUTED_VALUE"""),5314.280015199999)</f>
        <v>5314.280015</v>
      </c>
      <c r="F270" s="69">
        <f>IFERROR(__xludf.DUMMYFUNCTION("""COMPUTED_VALUE"""),2.21)</f>
        <v>2.21</v>
      </c>
      <c r="G270" s="70"/>
      <c r="H270" s="70" t="str">
        <f>IFERROR(__xludf.DUMMYFUNCTION("""COMPUTED_VALUE"""),"NYR")</f>
        <v>NYR</v>
      </c>
      <c r="I270" s="70"/>
      <c r="J270" s="78">
        <f>IFERROR(__xludf.DUMMYFUNCTION("""COMPUTED_VALUE"""),5.0)</f>
        <v>5</v>
      </c>
      <c r="K270" s="71"/>
      <c r="L270" s="76" t="str">
        <f>IFERROR(__xludf.DUMMYFUNCTION("""COMPUTED_VALUE"""),"Mexico")</f>
        <v>Mexico</v>
      </c>
      <c r="M270" s="76" t="str">
        <f>IFERROR(__xludf.DUMMYFUNCTION("""COMPUTED_VALUE"""),"Punta Sam")</f>
        <v>Punta Sam</v>
      </c>
      <c r="N270" s="76" t="str">
        <f>IFERROR(__xludf.DUMMYFUNCTION("""COMPUTED_VALUE"""),"Cancun")</f>
        <v>Cancun</v>
      </c>
      <c r="O270" s="78" t="b">
        <f>IFERROR(__xludf.DUMMYFUNCTION("""COMPUTED_VALUE"""),TRUE)</f>
        <v>1</v>
      </c>
      <c r="P270" s="80">
        <f>IFERROR(__xludf.DUMMYFUNCTION("""COMPUTED_VALUE"""),0.03125)</f>
        <v>0.03125</v>
      </c>
      <c r="Q270" s="76"/>
      <c r="R270" s="76"/>
      <c r="S270" s="76" t="str">
        <f>IFERROR(__xludf.DUMMYFUNCTION("""COMPUTED_VALUE"""),"Beach, Swim Out/Plunge Pool Rooms, Family Suite, 2 Bedroom Suites, Kids Waterpark, Heated Pool, Gym, Bicycles Available, Yoga Classes, Room Service, Swim Up Bar, Fishing, Pets Allowed, Spa, Wifi (Free), Babysitting, Adult Pool, Buffet, Diving, Golf Course"&amp;", Evening Entertainment, Nightclub, Kids Club")</f>
        <v>Beach, Swim Out/Plunge Pool Rooms, Family Suite, 2 Bedroom Suites, Kids Waterpark, Heated Pool, Gym, Bicycles Available, Yoga Classes, Room Service, Swim Up Bar, Fishing, Pets Allowed, Spa, Wifi (Free), Babysitting, Adult Pool, Buffet, Diving, Golf Course, Evening Entertainment, Nightclub, Kids Club</v>
      </c>
      <c r="T270" s="76"/>
      <c r="U270" s="76" t="str">
        <f>IFERROR(__xludf.DUMMYFUNCTION("""COMPUTED_VALUE"""),"2 Queen")</f>
        <v>2 Queen</v>
      </c>
      <c r="V270" s="70" t="b">
        <f>IFERROR(__xludf.DUMMYFUNCTION("""COMPUTED_VALUE"""),FALSE)</f>
        <v>0</v>
      </c>
      <c r="W270" s="70">
        <f>IFERROR(__xludf.DUMMYFUNCTION("""COMPUTED_VALUE"""),498.0)</f>
        <v>498</v>
      </c>
      <c r="X270" s="70">
        <f>IFERROR(__xludf.DUMMYFUNCTION("""COMPUTED_VALUE"""),2024.0)</f>
        <v>2024</v>
      </c>
      <c r="Y270" s="70"/>
      <c r="Z270" s="81">
        <f>IFERROR(__xludf.DUMMYFUNCTION("""COMPUTED_VALUE"""),5.0)</f>
        <v>5</v>
      </c>
    </row>
    <row r="271">
      <c r="A271" s="65" t="str">
        <f>IFERROR(__xludf.DUMMYFUNCTION("""COMPUTED_VALUE"""),"Beach Palace All Inclusive")</f>
        <v>Beach Palace All Inclusive</v>
      </c>
      <c r="B271" s="66">
        <f>IFERROR(__xludf.DUMMYFUNCTION("""COMPUTED_VALUE"""),88.5)</f>
        <v>88.5</v>
      </c>
      <c r="C271" s="67" t="str">
        <f>IFERROR(__xludf.DUMMYFUNCTION("""COMPUTED_VALUE"""),"Family")</f>
        <v>Family</v>
      </c>
      <c r="D271" s="79">
        <f>IFERROR(__xludf.DUMMYFUNCTION("""COMPUTED_VALUE"""),3946.0)</f>
        <v>3946</v>
      </c>
      <c r="E271" s="79">
        <f>IFERROR(__xludf.DUMMYFUNCTION("""COMPUTED_VALUE"""),5449.6229054)</f>
        <v>5449.622905</v>
      </c>
      <c r="F271" s="69">
        <f>IFERROR(__xludf.DUMMYFUNCTION("""COMPUTED_VALUE"""),2.15)</f>
        <v>2.15</v>
      </c>
      <c r="G271" s="78">
        <f>IFERROR(__xludf.DUMMYFUNCTION("""COMPUTED_VALUE"""),4.0)</f>
        <v>4</v>
      </c>
      <c r="H271" s="74">
        <f>IFERROR(__xludf.DUMMYFUNCTION("""COMPUTED_VALUE"""),7.0)</f>
        <v>7</v>
      </c>
      <c r="I271" s="78"/>
      <c r="J271" s="78">
        <f>IFERROR(__xludf.DUMMYFUNCTION("""COMPUTED_VALUE"""),5.0)</f>
        <v>5</v>
      </c>
      <c r="K271" s="71"/>
      <c r="L271" s="76" t="str">
        <f>IFERROR(__xludf.DUMMYFUNCTION("""COMPUTED_VALUE"""),"Mexico")</f>
        <v>Mexico</v>
      </c>
      <c r="M271" s="76" t="str">
        <f>IFERROR(__xludf.DUMMYFUNCTION("""COMPUTED_VALUE"""),"Cancun")</f>
        <v>Cancun</v>
      </c>
      <c r="N271" s="76" t="str">
        <f>IFERROR(__xludf.DUMMYFUNCTION("""COMPUTED_VALUE"""),"Cancun")</f>
        <v>Cancun</v>
      </c>
      <c r="O271" s="78" t="b">
        <f>IFERROR(__xludf.DUMMYFUNCTION("""COMPUTED_VALUE"""),TRUE)</f>
        <v>1</v>
      </c>
      <c r="P271" s="80">
        <f>IFERROR(__xludf.DUMMYFUNCTION("""COMPUTED_VALUE"""),0.015277777777777777)</f>
        <v>0.01527777778</v>
      </c>
      <c r="Q271" s="76" t="str">
        <f>IFERROR(__xludf.DUMMYFUNCTION("""COMPUTED_VALUE"""),"Palace Resorts")</f>
        <v>Palace Resorts</v>
      </c>
      <c r="R271" s="76" t="str">
        <f>IFERROR(__xludf.DUMMYFUNCTION("""COMPUTED_VALUE"""),"Value, Family")</f>
        <v>Value, Family</v>
      </c>
      <c r="S271" s="76" t="str">
        <f>IFERROR(__xludf.DUMMYFUNCTION("""COMPUTED_VALUE"""),"Beach, Family Suite, 2 Bedroom Suites, Kids Club, Lazy River, Pool Slide, Water Feature, Heated Pool, Gym, Room Service, Swim Up Bar, Evening Entertainment, Nightclub, Wifi (Free), Babysitting, Buffet, Spa")</f>
        <v>Beach, Family Suite, 2 Bedroom Suites, Kids Club, Lazy River, Pool Slide, Water Feature, Heated Pool, Gym, Room Service, Swim Up Bar, Evening Entertainment, Nightclub, Wifi (Free), Babysitting, Buffet, Spa</v>
      </c>
      <c r="T271" s="76" t="str">
        <f>IFERROR(__xludf.DUMMYFUNCTION("""COMPUTED_VALUE"""),"Yes")</f>
        <v>Yes</v>
      </c>
      <c r="U271" s="76" t="str">
        <f>IFERROR(__xludf.DUMMYFUNCTION("""COMPUTED_VALUE"""),"1 King or 2 Double")</f>
        <v>1 King or 2 Double</v>
      </c>
      <c r="V271" s="78" t="b">
        <f>IFERROR(__xludf.DUMMYFUNCTION("""COMPUTED_VALUE"""),TRUE)</f>
        <v>1</v>
      </c>
      <c r="W271" s="78">
        <f>IFERROR(__xludf.DUMMYFUNCTION("""COMPUTED_VALUE"""),285.0)</f>
        <v>285</v>
      </c>
      <c r="X271" s="78">
        <f>IFERROR(__xludf.DUMMYFUNCTION("""COMPUTED_VALUE"""),1985.0)</f>
        <v>1985</v>
      </c>
      <c r="Y271" s="74">
        <f>IFERROR(__xludf.DUMMYFUNCTION("""COMPUTED_VALUE"""),2007.0)</f>
        <v>2007</v>
      </c>
      <c r="Z271" s="81">
        <f>IFERROR(__xludf.DUMMYFUNCTION("""COMPUTED_VALUE"""),12.0)</f>
        <v>12</v>
      </c>
    </row>
    <row r="272">
      <c r="A272" s="65" t="str">
        <f>IFERROR(__xludf.DUMMYFUNCTION("""COMPUTED_VALUE"""),"Secrets Playa Mujeres Golf &amp; Spa Resort")</f>
        <v>Secrets Playa Mujeres Golf &amp; Spa Resort</v>
      </c>
      <c r="B272" s="66">
        <f>IFERROR(__xludf.DUMMYFUNCTION("""COMPUTED_VALUE"""),88.5)</f>
        <v>88.5</v>
      </c>
      <c r="C272" s="67" t="str">
        <f>IFERROR(__xludf.DUMMYFUNCTION("""COMPUTED_VALUE"""),"Adults Only")</f>
        <v>Adults Only</v>
      </c>
      <c r="D272" s="79">
        <f>IFERROR(__xludf.DUMMYFUNCTION("""COMPUTED_VALUE"""),4095.0)</f>
        <v>4095</v>
      </c>
      <c r="E272" s="79">
        <f>IFERROR(__xludf.DUMMYFUNCTION("""COMPUTED_VALUE"""),5655.399340499999)</f>
        <v>5655.399341</v>
      </c>
      <c r="F272" s="69">
        <f>IFERROR(__xludf.DUMMYFUNCTION("""COMPUTED_VALUE"""),2.08)</f>
        <v>2.08</v>
      </c>
      <c r="G272" s="78"/>
      <c r="H272" s="78">
        <f>IFERROR(__xludf.DUMMYFUNCTION("""COMPUTED_VALUE"""),8.0)</f>
        <v>8</v>
      </c>
      <c r="I272" s="78" t="str">
        <f>IFERROR(__xludf.DUMMYFUNCTION("""COMPUTED_VALUE"""),"D")</f>
        <v>D</v>
      </c>
      <c r="J272" s="78">
        <f>IFERROR(__xludf.DUMMYFUNCTION("""COMPUTED_VALUE"""),5.0)</f>
        <v>5</v>
      </c>
      <c r="K272" s="71"/>
      <c r="L272" s="76" t="str">
        <f>IFERROR(__xludf.DUMMYFUNCTION("""COMPUTED_VALUE"""),"Mexico")</f>
        <v>Mexico</v>
      </c>
      <c r="M272" s="76" t="str">
        <f>IFERROR(__xludf.DUMMYFUNCTION("""COMPUTED_VALUE"""),"Punta Sam")</f>
        <v>Punta Sam</v>
      </c>
      <c r="N272" s="87" t="str">
        <f>IFERROR(__xludf.DUMMYFUNCTION("""COMPUTED_VALUE"""),"Cancun")</f>
        <v>Cancun</v>
      </c>
      <c r="O272" s="78" t="b">
        <f>IFERROR(__xludf.DUMMYFUNCTION("""COMPUTED_VALUE"""),TRUE)</f>
        <v>1</v>
      </c>
      <c r="P272" s="80">
        <f>IFERROR(__xludf.DUMMYFUNCTION("""COMPUTED_VALUE"""),0.027777777777777776)</f>
        <v>0.02777777778</v>
      </c>
      <c r="Q272" s="71" t="str">
        <f>IFERROR(__xludf.DUMMYFUNCTION("""COMPUTED_VALUE"""),"Hyatt")</f>
        <v>Hyatt</v>
      </c>
      <c r="R272" s="76" t="str">
        <f>IFERROR(__xludf.DUMMYFUNCTION("""COMPUTED_VALUE"""),"Modern, Ocean View")</f>
        <v>Modern, Ocean View</v>
      </c>
      <c r="S272" s="76" t="str">
        <f>IFERROR(__xludf.DUMMYFUNCTION("""COMPUTED_VALUE"""),"Beach, Great Food, Swim Out/Plunge Pool Rooms, Heated Pool, Gym, Golf Course, Buffet, Spa, Wifi (Free), Swim Up Bar, Tennis, Evening Entertainment, Nightclub")</f>
        <v>Beach, Great Food, Swim Out/Plunge Pool Rooms, Heated Pool, Gym, Golf Course, Buffet, Spa, Wifi (Free), Swim Up Bar, Tennis, Evening Entertainment, Nightclub</v>
      </c>
      <c r="T272" s="76"/>
      <c r="U272" s="76"/>
      <c r="V272" s="78" t="b">
        <f>IFERROR(__xludf.DUMMYFUNCTION("""COMPUTED_VALUE"""),FALSE)</f>
        <v>0</v>
      </c>
      <c r="W272" s="78">
        <f>IFERROR(__xludf.DUMMYFUNCTION("""COMPUTED_VALUE"""),424.0)</f>
        <v>424</v>
      </c>
      <c r="X272" s="78">
        <f>IFERROR(__xludf.DUMMYFUNCTION("""COMPUTED_VALUE"""),2014.0)</f>
        <v>2014</v>
      </c>
      <c r="Y272" s="78"/>
      <c r="Z272" s="81">
        <f>IFERROR(__xludf.DUMMYFUNCTION("""COMPUTED_VALUE"""),5.0)</f>
        <v>5</v>
      </c>
    </row>
    <row r="273">
      <c r="A273" s="65" t="str">
        <f>IFERROR(__xludf.DUMMYFUNCTION("""COMPUTED_VALUE"""),"Hotel NYX Cancun")</f>
        <v>Hotel NYX Cancun</v>
      </c>
      <c r="B273" s="66">
        <f>IFERROR(__xludf.DUMMYFUNCTION("""COMPUTED_VALUE"""),88.3)</f>
        <v>88.3</v>
      </c>
      <c r="C273" s="67" t="str">
        <f>IFERROR(__xludf.DUMMYFUNCTION("""COMPUTED_VALUE"""),"Family")</f>
        <v>Family</v>
      </c>
      <c r="D273" s="79">
        <f>IFERROR(__xludf.DUMMYFUNCTION("""COMPUTED_VALUE"""),2793.81)</f>
        <v>2793.81</v>
      </c>
      <c r="E273" s="79">
        <f>IFERROR(__xludf.DUMMYFUNCTION("""COMPUTED_VALUE"""),3858.3910211189996)</f>
        <v>3858.391021</v>
      </c>
      <c r="F273" s="69">
        <f>IFERROR(__xludf.DUMMYFUNCTION("""COMPUTED_VALUE"""),2.97)</f>
        <v>2.97</v>
      </c>
      <c r="G273" s="78"/>
      <c r="H273" s="74">
        <f>IFERROR(__xludf.DUMMYFUNCTION("""COMPUTED_VALUE"""),4.0)</f>
        <v>4</v>
      </c>
      <c r="I273" s="78"/>
      <c r="J273" s="78">
        <f>IFERROR(__xludf.DUMMYFUNCTION("""COMPUTED_VALUE"""),4.0)</f>
        <v>4</v>
      </c>
      <c r="K273" s="76" t="str">
        <f>IFERROR(__xludf.DUMMYFUNCTION("""COMPUTED_VALUE"""),"Max 3 per Room")</f>
        <v>Max 3 per Room</v>
      </c>
      <c r="L273" s="76" t="str">
        <f>IFERROR(__xludf.DUMMYFUNCTION("""COMPUTED_VALUE"""),"Mexico")</f>
        <v>Mexico</v>
      </c>
      <c r="M273" s="76" t="str">
        <f>IFERROR(__xludf.DUMMYFUNCTION("""COMPUTED_VALUE"""),"Cancun")</f>
        <v>Cancun</v>
      </c>
      <c r="N273" s="76" t="str">
        <f>IFERROR(__xludf.DUMMYFUNCTION("""COMPUTED_VALUE"""),"Cancun")</f>
        <v>Cancun</v>
      </c>
      <c r="O273" s="78" t="b">
        <f>IFERROR(__xludf.DUMMYFUNCTION("""COMPUTED_VALUE"""),TRUE)</f>
        <v>1</v>
      </c>
      <c r="P273" s="80">
        <f>IFERROR(__xludf.DUMMYFUNCTION("""COMPUTED_VALUE"""),0.01597222222222222)</f>
        <v>0.01597222222</v>
      </c>
      <c r="Q273" s="76"/>
      <c r="R273" s="76" t="str">
        <f>IFERROR(__xludf.DUMMYFUNCTION("""COMPUTED_VALUE"""),"Value, Bay View")</f>
        <v>Value, Bay View</v>
      </c>
      <c r="S273" s="76" t="str">
        <f>IFERROR(__xludf.DUMMYFUNCTION("""COMPUTED_VALUE"""),"Beach, Kids Club, Yoga Classes, Buffet, Gym, Spa, Evening Entertainment")</f>
        <v>Beach, Kids Club, Yoga Classes, Buffet, Gym, Spa, Evening Entertainment</v>
      </c>
      <c r="T273" s="76"/>
      <c r="U273" s="76" t="str">
        <f>IFERROR(__xludf.DUMMYFUNCTION("""COMPUTED_VALUE"""),"1 King and 2 Twin")</f>
        <v>1 King and 2 Twin</v>
      </c>
      <c r="V273" s="74" t="b">
        <f>IFERROR(__xludf.DUMMYFUNCTION("""COMPUTED_VALUE"""),FALSE)</f>
        <v>0</v>
      </c>
      <c r="W273" s="74">
        <f>IFERROR(__xludf.DUMMYFUNCTION("""COMPUTED_VALUE"""),196.0)</f>
        <v>196</v>
      </c>
      <c r="X273" s="74"/>
      <c r="Y273" s="74"/>
      <c r="Z273" s="75">
        <f>IFERROR(__xludf.DUMMYFUNCTION("""COMPUTED_VALUE"""),6.0)</f>
        <v>6</v>
      </c>
    </row>
    <row r="274">
      <c r="A274" s="65" t="str">
        <f>IFERROR(__xludf.DUMMYFUNCTION("""COMPUTED_VALUE"""),"Paradisus Los Cabos - Adults only - The Leading Hotels of the World")</f>
        <v>Paradisus Los Cabos - Adults only - The Leading Hotels of the World</v>
      </c>
      <c r="B274" s="66">
        <f>IFERROR(__xludf.DUMMYFUNCTION("""COMPUTED_VALUE"""),88.3)</f>
        <v>88.3</v>
      </c>
      <c r="C274" s="67" t="str">
        <f>IFERROR(__xludf.DUMMYFUNCTION("""COMPUTED_VALUE"""),"Adults Only")</f>
        <v>Adults Only</v>
      </c>
      <c r="D274" s="79">
        <f>IFERROR(__xludf.DUMMYFUNCTION("""COMPUTED_VALUE"""),3290.0)</f>
        <v>3290</v>
      </c>
      <c r="E274" s="79">
        <f>IFERROR(__xludf.DUMMYFUNCTION("""COMPUTED_VALUE"""),4543.654170999999)</f>
        <v>4543.654171</v>
      </c>
      <c r="F274" s="69">
        <f>IFERROR(__xludf.DUMMYFUNCTION("""COMPUTED_VALUE"""),2.52)</f>
        <v>2.52</v>
      </c>
      <c r="G274" s="78"/>
      <c r="H274" s="78">
        <f>IFERROR(__xludf.DUMMYFUNCTION("""COMPUTED_VALUE"""),8.0)</f>
        <v>8</v>
      </c>
      <c r="I274" s="78"/>
      <c r="J274" s="78">
        <f>IFERROR(__xludf.DUMMYFUNCTION("""COMPUTED_VALUE"""),5.0)</f>
        <v>5</v>
      </c>
      <c r="K274" s="76"/>
      <c r="L274" s="76" t="str">
        <f>IFERROR(__xludf.DUMMYFUNCTION("""COMPUTED_VALUE"""),"Mexico")</f>
        <v>Mexico</v>
      </c>
      <c r="M274" s="76" t="str">
        <f>IFERROR(__xludf.DUMMYFUNCTION("""COMPUTED_VALUE"""),"San Jose del Cabo")</f>
        <v>San Jose del Cabo</v>
      </c>
      <c r="N274" s="87" t="str">
        <f>IFERROR(__xludf.DUMMYFUNCTION("""COMPUTED_VALUE"""),"Los Cabos")</f>
        <v>Los Cabos</v>
      </c>
      <c r="O274" s="78" t="b">
        <f>IFERROR(__xludf.DUMMYFUNCTION("""COMPUTED_VALUE"""),TRUE)</f>
        <v>1</v>
      </c>
      <c r="P274" s="80">
        <f>IFERROR(__xludf.DUMMYFUNCTION("""COMPUTED_VALUE"""),0.01875)</f>
        <v>0.01875</v>
      </c>
      <c r="Q274" s="76" t="str">
        <f>IFERROR(__xludf.DUMMYFUNCTION("""COMPUTED_VALUE"""),"Melia")</f>
        <v>Melia</v>
      </c>
      <c r="R274" s="76" t="str">
        <f>IFERROR(__xludf.DUMMYFUNCTION("""COMPUTED_VALUE"""),"Family, Bay View")</f>
        <v>Family, Bay View</v>
      </c>
      <c r="S274" s="76" t="str">
        <f>IFERROR(__xludf.DUMMYFUNCTION("""COMPUTED_VALUE"""),"Beach, Swim Out/Plunge Pool Rooms, Heated Pool, Gym, Diving, Room Service, Wifi (Free), Buffet, Swim Up Bar, Evening Entertainment, Nightclub, Spa")</f>
        <v>Beach, Swim Out/Plunge Pool Rooms, Heated Pool, Gym, Diving, Room Service, Wifi (Free), Buffet, Swim Up Bar, Evening Entertainment, Nightclub, Spa</v>
      </c>
      <c r="T274" s="76"/>
      <c r="U274" s="76"/>
      <c r="V274" s="78" t="b">
        <f>IFERROR(__xludf.DUMMYFUNCTION("""COMPUTED_VALUE"""),FALSE)</f>
        <v>0</v>
      </c>
      <c r="W274" s="78">
        <f>IFERROR(__xludf.DUMMYFUNCTION("""COMPUTED_VALUE"""),350.0)</f>
        <v>350</v>
      </c>
      <c r="X274" s="78">
        <f>IFERROR(__xludf.DUMMYFUNCTION("""COMPUTED_VALUE"""),1989.0)</f>
        <v>1989</v>
      </c>
      <c r="Y274" s="74">
        <f>IFERROR(__xludf.DUMMYFUNCTION("""COMPUTED_VALUE"""),2016.0)</f>
        <v>2016</v>
      </c>
      <c r="Z274" s="81">
        <f>IFERROR(__xludf.DUMMYFUNCTION("""COMPUTED_VALUE"""),5.0)</f>
        <v>5</v>
      </c>
    </row>
    <row r="275">
      <c r="A275" s="65" t="str">
        <f>IFERROR(__xludf.DUMMYFUNCTION("""COMPUTED_VALUE"""),"Iberostar Waves Paraiso Beach")</f>
        <v>Iberostar Waves Paraiso Beach</v>
      </c>
      <c r="B275" s="66">
        <f>IFERROR(__xludf.DUMMYFUNCTION("""COMPUTED_VALUE"""),88.3)</f>
        <v>88.3</v>
      </c>
      <c r="C275" s="67" t="str">
        <f>IFERROR(__xludf.DUMMYFUNCTION("""COMPUTED_VALUE"""),"Family")</f>
        <v>Family</v>
      </c>
      <c r="D275" s="85">
        <f>IFERROR(__xludf.DUMMYFUNCTION("""COMPUTED_VALUE"""),3426.57)</f>
        <v>3426.57</v>
      </c>
      <c r="E275" s="79">
        <f>IFERROR(__xludf.DUMMYFUNCTION("""COMPUTED_VALUE"""),4732.264155843)</f>
        <v>4732.264156</v>
      </c>
      <c r="F275" s="69">
        <f>IFERROR(__xludf.DUMMYFUNCTION("""COMPUTED_VALUE"""),2.42)</f>
        <v>2.42</v>
      </c>
      <c r="G275" s="78"/>
      <c r="H275" s="74">
        <f>IFERROR(__xludf.DUMMYFUNCTION("""COMPUTED_VALUE"""),6.0)</f>
        <v>6</v>
      </c>
      <c r="I275" s="78"/>
      <c r="J275" s="78">
        <f>IFERROR(__xludf.DUMMYFUNCTION("""COMPUTED_VALUE"""),5.0)</f>
        <v>5</v>
      </c>
      <c r="K275" s="76"/>
      <c r="L275" s="76" t="str">
        <f>IFERROR(__xludf.DUMMYFUNCTION("""COMPUTED_VALUE"""),"Mexico")</f>
        <v>Mexico</v>
      </c>
      <c r="M275" s="76" t="str">
        <f>IFERROR(__xludf.DUMMYFUNCTION("""COMPUTED_VALUE"""),"Playa Paraiso")</f>
        <v>Playa Paraiso</v>
      </c>
      <c r="N275" s="76" t="str">
        <f>IFERROR(__xludf.DUMMYFUNCTION("""COMPUTED_VALUE"""),"Cancun")</f>
        <v>Cancun</v>
      </c>
      <c r="O275" s="78" t="b">
        <f>IFERROR(__xludf.DUMMYFUNCTION("""COMPUTED_VALUE"""),TRUE)</f>
        <v>1</v>
      </c>
      <c r="P275" s="80">
        <f>IFERROR(__xludf.DUMMYFUNCTION("""COMPUTED_VALUE"""),0.020833333333333332)</f>
        <v>0.02083333333</v>
      </c>
      <c r="Q275" s="76" t="str">
        <f>IFERROR(__xludf.DUMMYFUNCTION("""COMPUTED_VALUE"""),"IHG")</f>
        <v>IHG</v>
      </c>
      <c r="R275" s="76" t="str">
        <f>IFERROR(__xludf.DUMMYFUNCTION("""COMPUTED_VALUE"""),"Family")</f>
        <v>Family</v>
      </c>
      <c r="S275" s="76" t="str">
        <f>IFERROR(__xludf.DUMMYFUNCTION("""COMPUTED_VALUE"""),"Beach, Family Suite, 2 Bedroom Suites, Kids Club, Lazy River, Gym, Archery, Yoga Classes, Buffet, Swim Up Bar, Bicycles Available, Tennis, Evening Entertainment, Spa, Wifi (Free), Babysitting, Diving, Golf Course, Nightclub")</f>
        <v>Beach, Family Suite, 2 Bedroom Suites, Kids Club, Lazy River, Gym, Archery, Yoga Classes, Buffet, Swim Up Bar, Bicycles Available, Tennis, Evening Entertainment, Spa, Wifi (Free), Babysitting, Diving, Golf Course, Nightclub</v>
      </c>
      <c r="T275" s="76" t="str">
        <f>IFERROR(__xludf.DUMMYFUNCTION("""COMPUTED_VALUE"""),"Yes")</f>
        <v>Yes</v>
      </c>
      <c r="U275" s="76" t="str">
        <f>IFERROR(__xludf.DUMMYFUNCTION("""COMPUTED_VALUE"""),"1 King or 2 Double")</f>
        <v>1 King or 2 Double</v>
      </c>
      <c r="V275" s="78" t="b">
        <f>IFERROR(__xludf.DUMMYFUNCTION("""COMPUTED_VALUE"""),FALSE)</f>
        <v>0</v>
      </c>
      <c r="W275" s="78"/>
      <c r="X275" s="74"/>
      <c r="Y275" s="74"/>
      <c r="Z275" s="75"/>
    </row>
    <row r="276">
      <c r="A276" s="65" t="str">
        <f>IFERROR(__xludf.DUMMYFUNCTION("""COMPUTED_VALUE"""),"Iberostar Waves Paraíso del Mar")</f>
        <v>Iberostar Waves Paraíso del Mar</v>
      </c>
      <c r="B276" s="66">
        <f>IFERROR(__xludf.DUMMYFUNCTION("""COMPUTED_VALUE"""),88.3)</f>
        <v>88.3</v>
      </c>
      <c r="C276" s="67" t="str">
        <f>IFERROR(__xludf.DUMMYFUNCTION("""COMPUTED_VALUE"""),"Family")</f>
        <v>Family</v>
      </c>
      <c r="D276" s="79">
        <f>IFERROR(__xludf.DUMMYFUNCTION("""COMPUTED_VALUE"""),3426.57)</f>
        <v>3426.57</v>
      </c>
      <c r="E276" s="79">
        <f>IFERROR(__xludf.DUMMYFUNCTION("""COMPUTED_VALUE"""),4732.264155843)</f>
        <v>4732.264156</v>
      </c>
      <c r="F276" s="69">
        <f>IFERROR(__xludf.DUMMYFUNCTION("""COMPUTED_VALUE"""),2.42)</f>
        <v>2.42</v>
      </c>
      <c r="G276" s="78"/>
      <c r="H276" s="78">
        <f>IFERROR(__xludf.DUMMYFUNCTION("""COMPUTED_VALUE"""),7.0)</f>
        <v>7</v>
      </c>
      <c r="I276" s="78"/>
      <c r="J276" s="78">
        <f>IFERROR(__xludf.DUMMYFUNCTION("""COMPUTED_VALUE"""),5.0)</f>
        <v>5</v>
      </c>
      <c r="K276" s="76"/>
      <c r="L276" s="76" t="str">
        <f>IFERROR(__xludf.DUMMYFUNCTION("""COMPUTED_VALUE"""),"Mexico")</f>
        <v>Mexico</v>
      </c>
      <c r="M276" s="76" t="str">
        <f>IFERROR(__xludf.DUMMYFUNCTION("""COMPUTED_VALUE"""),"Playa Paraiso")</f>
        <v>Playa Paraiso</v>
      </c>
      <c r="N276" s="76" t="str">
        <f>IFERROR(__xludf.DUMMYFUNCTION("""COMPUTED_VALUE"""),"Cancun")</f>
        <v>Cancun</v>
      </c>
      <c r="O276" s="78" t="b">
        <f>IFERROR(__xludf.DUMMYFUNCTION("""COMPUTED_VALUE"""),TRUE)</f>
        <v>1</v>
      </c>
      <c r="P276" s="80">
        <f>IFERROR(__xludf.DUMMYFUNCTION("""COMPUTED_VALUE"""),0.021527777777777778)</f>
        <v>0.02152777778</v>
      </c>
      <c r="Q276" s="76" t="str">
        <f>IFERROR(__xludf.DUMMYFUNCTION("""COMPUTED_VALUE"""),"IHG")</f>
        <v>IHG</v>
      </c>
      <c r="R276" s="76" t="str">
        <f>IFERROR(__xludf.DUMMYFUNCTION("""COMPUTED_VALUE"""),"Green, Quiet")</f>
        <v>Green, Quiet</v>
      </c>
      <c r="S276" s="76" t="str">
        <f>IFERROR(__xludf.DUMMYFUNCTION("""COMPUTED_VALUE"""),"Beach, Family Suite, 2 Bedroom Suites, Kids Club, Teen Club, Gym, Archery, Yoga Classes, Buffet, Diving, Mini Golf, Evening Entertainment, Nightclub, Wifi (Free), Babysitting, Swim Up Bar, Bicycles Available, Golf Course, Snorkelling, Spa")</f>
        <v>Beach, Family Suite, 2 Bedroom Suites, Kids Club, Teen Club, Gym, Archery, Yoga Classes, Buffet, Diving, Mini Golf, Evening Entertainment, Nightclub, Wifi (Free), Babysitting, Swim Up Bar, Bicycles Available, Golf Course, Snorkelling, Spa</v>
      </c>
      <c r="T276" s="76" t="str">
        <f>IFERROR(__xludf.DUMMYFUNCTION("""COMPUTED_VALUE"""),"Yes")</f>
        <v>Yes</v>
      </c>
      <c r="U276" s="76" t="str">
        <f>IFERROR(__xludf.DUMMYFUNCTION("""COMPUTED_VALUE"""),"1 King or 2 Double")</f>
        <v>1 King or 2 Double</v>
      </c>
      <c r="V276" s="78" t="b">
        <f>IFERROR(__xludf.DUMMYFUNCTION("""COMPUTED_VALUE"""),FALSE)</f>
        <v>0</v>
      </c>
      <c r="W276" s="78"/>
      <c r="X276" s="78"/>
      <c r="Y276" s="78"/>
      <c r="Z276" s="81"/>
    </row>
    <row r="277">
      <c r="A277" s="65" t="str">
        <f>IFERROR(__xludf.DUMMYFUNCTION("""COMPUTED_VALUE"""),"Breathless Punta Cana Resort &amp; Spa")</f>
        <v>Breathless Punta Cana Resort &amp; Spa</v>
      </c>
      <c r="B277" s="66">
        <f>IFERROR(__xludf.DUMMYFUNCTION("""COMPUTED_VALUE"""),88.3)</f>
        <v>88.3</v>
      </c>
      <c r="C277" s="67" t="str">
        <f>IFERROR(__xludf.DUMMYFUNCTION("""COMPUTED_VALUE"""),"Adults Only")</f>
        <v>Adults Only</v>
      </c>
      <c r="D277" s="79">
        <f>IFERROR(__xludf.DUMMYFUNCTION("""COMPUTED_VALUE"""),3493.0)</f>
        <v>3493</v>
      </c>
      <c r="E277" s="79">
        <f>IFERROR(__xludf.DUMMYFUNCTION("""COMPUTED_VALUE"""),4824.007300699999)</f>
        <v>4824.007301</v>
      </c>
      <c r="F277" s="69">
        <f>IFERROR(__xludf.DUMMYFUNCTION("""COMPUTED_VALUE"""),2.38)</f>
        <v>2.38</v>
      </c>
      <c r="G277" s="78">
        <f>IFERROR(__xludf.DUMMYFUNCTION("""COMPUTED_VALUE"""),4.0)</f>
        <v>4</v>
      </c>
      <c r="H277" s="74">
        <f>IFERROR(__xludf.DUMMYFUNCTION("""COMPUTED_VALUE"""),8.0)</f>
        <v>8</v>
      </c>
      <c r="I277" s="78" t="str">
        <f>IFERROR(__xludf.DUMMYFUNCTION("""COMPUTED_VALUE"""),"B")</f>
        <v>B</v>
      </c>
      <c r="J277" s="78">
        <f>IFERROR(__xludf.DUMMYFUNCTION("""COMPUTED_VALUE"""),5.0)</f>
        <v>5</v>
      </c>
      <c r="K277" s="76"/>
      <c r="L277" s="76" t="str">
        <f>IFERROR(__xludf.DUMMYFUNCTION("""COMPUTED_VALUE"""),"Dominican Republic")</f>
        <v>Dominican Republic</v>
      </c>
      <c r="M277" s="76" t="str">
        <f>IFERROR(__xludf.DUMMYFUNCTION("""COMPUTED_VALUE"""),"Punta Cana")</f>
        <v>Punta Cana</v>
      </c>
      <c r="N277" s="76" t="str">
        <f>IFERROR(__xludf.DUMMYFUNCTION("""COMPUTED_VALUE"""),"Punta Cana")</f>
        <v>Punta Cana</v>
      </c>
      <c r="O277" s="78" t="b">
        <f>IFERROR(__xludf.DUMMYFUNCTION("""COMPUTED_VALUE"""),TRUE)</f>
        <v>1</v>
      </c>
      <c r="P277" s="80">
        <f>IFERROR(__xludf.DUMMYFUNCTION("""COMPUTED_VALUE"""),0.02638888888888889)</f>
        <v>0.02638888889</v>
      </c>
      <c r="Q277" s="76" t="str">
        <f>IFERROR(__xludf.DUMMYFUNCTION("""COMPUTED_VALUE"""),"Hyatt")</f>
        <v>Hyatt</v>
      </c>
      <c r="R277" s="71" t="str">
        <f>IFERROR(__xludf.DUMMYFUNCTION("""COMPUTED_VALUE"""),"Trendy, Great View")</f>
        <v>Trendy, Great View</v>
      </c>
      <c r="S277" s="76" t="str">
        <f>IFERROR(__xludf.DUMMYFUNCTION("""COMPUTED_VALUE"""),"Beach, Swim Out/Plunge Pool Rooms, Great for Parties, Gym, Casino, Lazy River, Room Service, Snorkelling, Evening Entertainment, Buffet, Swim Up Bar, Diving, Tennis, Nightclub, Spa")</f>
        <v>Beach, Swim Out/Plunge Pool Rooms, Great for Parties, Gym, Casino, Lazy River, Room Service, Snorkelling, Evening Entertainment, Buffet, Swim Up Bar, Diving, Tennis, Nightclub, Spa</v>
      </c>
      <c r="T277" s="76"/>
      <c r="U277" s="76"/>
      <c r="V277" s="78" t="b">
        <f>IFERROR(__xludf.DUMMYFUNCTION("""COMPUTED_VALUE"""),FALSE)</f>
        <v>0</v>
      </c>
      <c r="W277" s="78">
        <f>IFERROR(__xludf.DUMMYFUNCTION("""COMPUTED_VALUE"""),750.0)</f>
        <v>750</v>
      </c>
      <c r="X277" s="78">
        <f>IFERROR(__xludf.DUMMYFUNCTION("""COMPUTED_VALUE"""),2013.0)</f>
        <v>2013</v>
      </c>
      <c r="Y277" s="74"/>
      <c r="Z277" s="75">
        <f>IFERROR(__xludf.DUMMYFUNCTION("""COMPUTED_VALUE"""),3.0)</f>
        <v>3</v>
      </c>
    </row>
    <row r="278">
      <c r="A278" s="65" t="str">
        <f>IFERROR(__xludf.DUMMYFUNCTION("""COMPUTED_VALUE"""),"Hacienda Encantada Resort &amp; Residences")</f>
        <v>Hacienda Encantada Resort &amp; Residences</v>
      </c>
      <c r="B278" s="66">
        <f>IFERROR(__xludf.DUMMYFUNCTION("""COMPUTED_VALUE"""),88.3)</f>
        <v>88.3</v>
      </c>
      <c r="C278" s="67" t="str">
        <f>IFERROR(__xludf.DUMMYFUNCTION("""COMPUTED_VALUE"""),"Family")</f>
        <v>Family</v>
      </c>
      <c r="D278" s="79">
        <f>IFERROR(__xludf.DUMMYFUNCTION("""COMPUTED_VALUE"""),3744.36)</f>
        <v>3744.36</v>
      </c>
      <c r="E278" s="79">
        <f>IFERROR(__xludf.DUMMYFUNCTION("""COMPUTED_VALUE"""),5171.148003564)</f>
        <v>5171.148004</v>
      </c>
      <c r="F278" s="69">
        <f>IFERROR(__xludf.DUMMYFUNCTION("""COMPUTED_VALUE"""),2.22)</f>
        <v>2.22</v>
      </c>
      <c r="G278" s="78">
        <f>IFERROR(__xludf.DUMMYFUNCTION("""COMPUTED_VALUE"""),4.0)</f>
        <v>4</v>
      </c>
      <c r="H278" s="74">
        <f>IFERROR(__xludf.DUMMYFUNCTION("""COMPUTED_VALUE"""),7.0)</f>
        <v>7</v>
      </c>
      <c r="I278" s="78"/>
      <c r="J278" s="78">
        <f>IFERROR(__xludf.DUMMYFUNCTION("""COMPUTED_VALUE"""),4.5)</f>
        <v>4.5</v>
      </c>
      <c r="K278" s="76"/>
      <c r="L278" s="76" t="str">
        <f>IFERROR(__xludf.DUMMYFUNCTION("""COMPUTED_VALUE"""),"Mexico")</f>
        <v>Mexico</v>
      </c>
      <c r="M278" s="76" t="str">
        <f>IFERROR(__xludf.DUMMYFUNCTION("""COMPUTED_VALUE"""),"Cabo San Lucas")</f>
        <v>Cabo San Lucas</v>
      </c>
      <c r="N278" s="76" t="str">
        <f>IFERROR(__xludf.DUMMYFUNCTION("""COMPUTED_VALUE"""),"Los Cabos")</f>
        <v>Los Cabos</v>
      </c>
      <c r="O278" s="78" t="b">
        <f>IFERROR(__xludf.DUMMYFUNCTION("""COMPUTED_VALUE"""),TRUE)</f>
        <v>1</v>
      </c>
      <c r="P278" s="80">
        <f>IFERROR(__xludf.DUMMYFUNCTION("""COMPUTED_VALUE"""),0.02847222222222222)</f>
        <v>0.02847222222</v>
      </c>
      <c r="Q278" s="76" t="str">
        <f>IFERROR(__xludf.DUMMYFUNCTION("""COMPUTED_VALUE"""),"Mexico Grand Hotels")</f>
        <v>Mexico Grand Hotels</v>
      </c>
      <c r="R278" s="76" t="str">
        <f>IFERROR(__xludf.DUMMYFUNCTION("""COMPUTED_VALUE"""),"Family, Charming")</f>
        <v>Family, Charming</v>
      </c>
      <c r="S278" s="76" t="str">
        <f>IFERROR(__xludf.DUMMYFUNCTION("""COMPUTED_VALUE"""),"Swim Out/Plunge Pool Rooms, Family Suite, 2 Bedroom Suites, Kids Club, Kids Waterpark, Heated Pool, Gym, Diving, Wifi (Free), Swim Up Bar, Horseback Riding, Fishing, Spa, Babysitting, Adult Pool, Buffet")</f>
        <v>Swim Out/Plunge Pool Rooms, Family Suite, 2 Bedroom Suites, Kids Club, Kids Waterpark, Heated Pool, Gym, Diving, Wifi (Free), Swim Up Bar, Horseback Riding, Fishing, Spa, Babysitting, Adult Pool, Buffet</v>
      </c>
      <c r="T278" s="76"/>
      <c r="U278" s="76" t="str">
        <f>IFERROR(__xludf.DUMMYFUNCTION("""COMPUTED_VALUE"""),"1 King or 2 Queen")</f>
        <v>1 King or 2 Queen</v>
      </c>
      <c r="V278" s="74" t="b">
        <f>IFERROR(__xludf.DUMMYFUNCTION("""COMPUTED_VALUE"""),FALSE)</f>
        <v>0</v>
      </c>
      <c r="W278" s="74">
        <f>IFERROR(__xludf.DUMMYFUNCTION("""COMPUTED_VALUE"""),150.0)</f>
        <v>150</v>
      </c>
      <c r="X278" s="74">
        <f>IFERROR(__xludf.DUMMYFUNCTION("""COMPUTED_VALUE"""),2008.0)</f>
        <v>2008</v>
      </c>
      <c r="Y278" s="74"/>
      <c r="Z278" s="75">
        <f>IFERROR(__xludf.DUMMYFUNCTION("""COMPUTED_VALUE"""),4.0)</f>
        <v>4</v>
      </c>
    </row>
    <row r="279">
      <c r="A279" s="65" t="str">
        <f>IFERROR(__xludf.DUMMYFUNCTION("""COMPUTED_VALUE"""),"Dreams Flora Resort &amp; Spa")</f>
        <v>Dreams Flora Resort &amp; Spa</v>
      </c>
      <c r="B279" s="66">
        <f>IFERROR(__xludf.DUMMYFUNCTION("""COMPUTED_VALUE"""),88.3)</f>
        <v>88.3</v>
      </c>
      <c r="C279" s="67" t="str">
        <f>IFERROR(__xludf.DUMMYFUNCTION("""COMPUTED_VALUE"""),"Family")</f>
        <v>Family</v>
      </c>
      <c r="D279" s="79">
        <f>IFERROR(__xludf.DUMMYFUNCTION("""COMPUTED_VALUE"""),4228.0)</f>
        <v>4228</v>
      </c>
      <c r="E279" s="79">
        <f>IFERROR(__xludf.DUMMYFUNCTION("""COMPUTED_VALUE"""),5839.078977199999)</f>
        <v>5839.078977</v>
      </c>
      <c r="F279" s="69">
        <f>IFERROR(__xludf.DUMMYFUNCTION("""COMPUTED_VALUE"""),1.96)</f>
        <v>1.96</v>
      </c>
      <c r="G279" s="78"/>
      <c r="H279" s="74" t="str">
        <f>IFERROR(__xludf.DUMMYFUNCTION("""COMPUTED_VALUE"""),"NYR")</f>
        <v>NYR</v>
      </c>
      <c r="I279" s="78" t="str">
        <f>IFERROR(__xludf.DUMMYFUNCTION("""COMPUTED_VALUE"""),"B")</f>
        <v>B</v>
      </c>
      <c r="J279" s="78">
        <f>IFERROR(__xludf.DUMMYFUNCTION("""COMPUTED_VALUE"""),5.0)</f>
        <v>5</v>
      </c>
      <c r="K279" s="76"/>
      <c r="L279" s="76" t="str">
        <f>IFERROR(__xludf.DUMMYFUNCTION("""COMPUTED_VALUE"""),"Dominican Republic")</f>
        <v>Dominican Republic</v>
      </c>
      <c r="M279" s="76" t="str">
        <f>IFERROR(__xludf.DUMMYFUNCTION("""COMPUTED_VALUE"""),"Cabeza De Toro")</f>
        <v>Cabeza De Toro</v>
      </c>
      <c r="N279" s="76" t="str">
        <f>IFERROR(__xludf.DUMMYFUNCTION("""COMPUTED_VALUE"""),"Punta Cana")</f>
        <v>Punta Cana</v>
      </c>
      <c r="O279" s="78" t="b">
        <f>IFERROR(__xludf.DUMMYFUNCTION("""COMPUTED_VALUE"""),TRUE)</f>
        <v>1</v>
      </c>
      <c r="P279" s="80">
        <f>IFERROR(__xludf.DUMMYFUNCTION("""COMPUTED_VALUE"""),0.015277777777777777)</f>
        <v>0.01527777778</v>
      </c>
      <c r="Q279" s="76" t="str">
        <f>IFERROR(__xludf.DUMMYFUNCTION("""COMPUTED_VALUE"""),"Hyatt")</f>
        <v>Hyatt</v>
      </c>
      <c r="R279" s="76" t="str">
        <f>IFERROR(__xludf.DUMMYFUNCTION("""COMPUTED_VALUE"""),"Business")</f>
        <v>Business</v>
      </c>
      <c r="S279" s="76" t="str">
        <f>IFERROR(__xludf.DUMMYFUNCTION("""COMPUTED_VALUE"""),"Beach, Swim Out/Plunge Pool Rooms, Family Suite, 2 Bedroom Suites, Kids Club, Teen Club, Big Waterslides, Kids Club for Under 4, Gym, Evening Entertainment, Wifi (Free), Babysitting, Buffet, Nightclub, Spa")</f>
        <v>Beach, Swim Out/Plunge Pool Rooms, Family Suite, 2 Bedroom Suites, Kids Club, Teen Club, Big Waterslides, Kids Club for Under 4, Gym, Evening Entertainment, Wifi (Free), Babysitting, Buffet, Nightclub, Spa</v>
      </c>
      <c r="T279" s="76" t="str">
        <f>IFERROR(__xludf.DUMMYFUNCTION("""COMPUTED_VALUE"""),"Yes")</f>
        <v>Yes</v>
      </c>
      <c r="U279" s="76" t="str">
        <f>IFERROR(__xludf.DUMMYFUNCTION("""COMPUTED_VALUE"""),"1 King or 2 Double")</f>
        <v>1 King or 2 Double</v>
      </c>
      <c r="V279" s="78" t="b">
        <f>IFERROR(__xludf.DUMMYFUNCTION("""COMPUTED_VALUE"""),FALSE)</f>
        <v>0</v>
      </c>
      <c r="W279" s="78">
        <f>IFERROR(__xludf.DUMMYFUNCTION("""COMPUTED_VALUE"""),524.0)</f>
        <v>524</v>
      </c>
      <c r="X279" s="78">
        <f>IFERROR(__xludf.DUMMYFUNCTION("""COMPUTED_VALUE"""),1997.0)</f>
        <v>1997</v>
      </c>
      <c r="Y279" s="78">
        <f>IFERROR(__xludf.DUMMYFUNCTION("""COMPUTED_VALUE"""),2004.0)</f>
        <v>2004</v>
      </c>
      <c r="Z279" s="75">
        <f>IFERROR(__xludf.DUMMYFUNCTION("""COMPUTED_VALUE"""),3.0)</f>
        <v>3</v>
      </c>
    </row>
    <row r="280">
      <c r="A280" s="65" t="str">
        <f>IFERROR(__xludf.DUMMYFUNCTION("""COMPUTED_VALUE"""),"Hilton Vallarta Riviera All-Inclusive Resort")</f>
        <v>Hilton Vallarta Riviera All-Inclusive Resort</v>
      </c>
      <c r="B280" s="66">
        <f>IFERROR(__xludf.DUMMYFUNCTION("""COMPUTED_VALUE"""),88.3)</f>
        <v>88.3</v>
      </c>
      <c r="C280" s="67" t="str">
        <f>IFERROR(__xludf.DUMMYFUNCTION("""COMPUTED_VALUE"""),"Family")</f>
        <v>Family</v>
      </c>
      <c r="D280" s="79">
        <f>IFERROR(__xludf.DUMMYFUNCTION("""COMPUTED_VALUE"""),4993.03)</f>
        <v>4993.03</v>
      </c>
      <c r="E280" s="79">
        <f>IFERROR(__xludf.DUMMYFUNCTION("""COMPUTED_VALUE"""),6895.6235821969985)</f>
        <v>6895.623582</v>
      </c>
      <c r="F280" s="69">
        <f>IFERROR(__xludf.DUMMYFUNCTION("""COMPUTED_VALUE"""),1.66)</f>
        <v>1.66</v>
      </c>
      <c r="G280" s="70">
        <f>IFERROR(__xludf.DUMMYFUNCTION("""COMPUTED_VALUE"""),4.0)</f>
        <v>4</v>
      </c>
      <c r="H280" s="78">
        <f>IFERROR(__xludf.DUMMYFUNCTION("""COMPUTED_VALUE"""),7.0)</f>
        <v>7</v>
      </c>
      <c r="I280" s="78"/>
      <c r="J280" s="78">
        <f>IFERROR(__xludf.DUMMYFUNCTION("""COMPUTED_VALUE"""),4.5)</f>
        <v>4.5</v>
      </c>
      <c r="K280" s="71"/>
      <c r="L280" s="76" t="str">
        <f>IFERROR(__xludf.DUMMYFUNCTION("""COMPUTED_VALUE"""),"Mexico")</f>
        <v>Mexico</v>
      </c>
      <c r="M280" s="76" t="str">
        <f>IFERROR(__xludf.DUMMYFUNCTION("""COMPUTED_VALUE"""),"Puerto Vallarta")</f>
        <v>Puerto Vallarta</v>
      </c>
      <c r="N280" s="76" t="str">
        <f>IFERROR(__xludf.DUMMYFUNCTION("""COMPUTED_VALUE"""),"Ordaz")</f>
        <v>Ordaz</v>
      </c>
      <c r="O280" s="78" t="b">
        <f>IFERROR(__xludf.DUMMYFUNCTION("""COMPUTED_VALUE"""),TRUE)</f>
        <v>1</v>
      </c>
      <c r="P280" s="80">
        <f>IFERROR(__xludf.DUMMYFUNCTION("""COMPUTED_VALUE"""),0.022916666666666665)</f>
        <v>0.02291666667</v>
      </c>
      <c r="Q280" s="76" t="str">
        <f>IFERROR(__xludf.DUMMYFUNCTION("""COMPUTED_VALUE"""),"Hilton")</f>
        <v>Hilton</v>
      </c>
      <c r="R280" s="76" t="str">
        <f>IFERROR(__xludf.DUMMYFUNCTION("""COMPUTED_VALUE"""),"Modern, Great View")</f>
        <v>Modern, Great View</v>
      </c>
      <c r="S280" s="76" t="str">
        <f>IFERROR(__xludf.DUMMYFUNCTION("""COMPUTED_VALUE"""),"Beach, Adults Only Rooms, Kids Club, Teen Club, Gym, Snorkelling, Yoga Classes, Buffet, Swim Up Bar, Evening Entertainment, Pets Allowed, Wifi (Free), Adult Pool, Room Service, Watersports Equipment Rentals, Nightclub, Spa")</f>
        <v>Beach, Adults Only Rooms, Kids Club, Teen Club, Gym, Snorkelling, Yoga Classes, Buffet, Swim Up Bar, Evening Entertainment, Pets Allowed, Wifi (Free), Adult Pool, Room Service, Watersports Equipment Rentals, Nightclub, Spa</v>
      </c>
      <c r="T280" s="76"/>
      <c r="U280" s="76" t="str">
        <f>IFERROR(__xludf.DUMMYFUNCTION("""COMPUTED_VALUE"""),"2 Queen")</f>
        <v>2 Queen</v>
      </c>
      <c r="V280" s="78" t="b">
        <f>IFERROR(__xludf.DUMMYFUNCTION("""COMPUTED_VALUE"""),TRUE)</f>
        <v>1</v>
      </c>
      <c r="W280" s="78">
        <f>IFERROR(__xludf.DUMMYFUNCTION("""COMPUTED_VALUE"""),444.0)</f>
        <v>444</v>
      </c>
      <c r="X280" s="78">
        <f>IFERROR(__xludf.DUMMYFUNCTION("""COMPUTED_VALUE"""),2015.0)</f>
        <v>2015</v>
      </c>
      <c r="Y280" s="78"/>
      <c r="Z280" s="81">
        <f>IFERROR(__xludf.DUMMYFUNCTION("""COMPUTED_VALUE"""),14.0)</f>
        <v>14</v>
      </c>
    </row>
    <row r="281">
      <c r="A281" s="65" t="str">
        <f>IFERROR(__xludf.DUMMYFUNCTION("""COMPUTED_VALUE"""),"Paradisus Grand Cana - All Suites")</f>
        <v>Paradisus Grand Cana - All Suites</v>
      </c>
      <c r="B281" s="66">
        <f>IFERROR(__xludf.DUMMYFUNCTION("""COMPUTED_VALUE"""),88.3)</f>
        <v>88.3</v>
      </c>
      <c r="C281" s="67" t="str">
        <f>IFERROR(__xludf.DUMMYFUNCTION("""COMPUTED_VALUE"""),"Family")</f>
        <v>Family</v>
      </c>
      <c r="D281" s="79">
        <f>IFERROR(__xludf.DUMMYFUNCTION("""COMPUTED_VALUE"""),5425.0)</f>
        <v>5425</v>
      </c>
      <c r="E281" s="79">
        <f>IFERROR(__xludf.DUMMYFUNCTION("""COMPUTED_VALUE"""),7492.195707499999)</f>
        <v>7492.195708</v>
      </c>
      <c r="F281" s="69">
        <f>IFERROR(__xludf.DUMMYFUNCTION("""COMPUTED_VALUE"""),1.53)</f>
        <v>1.53</v>
      </c>
      <c r="G281" s="78"/>
      <c r="H281" s="78" t="str">
        <f>IFERROR(__xludf.DUMMYFUNCTION("""COMPUTED_VALUE"""),"NYR")</f>
        <v>NYR</v>
      </c>
      <c r="I281" s="78"/>
      <c r="J281" s="78">
        <f>IFERROR(__xludf.DUMMYFUNCTION("""COMPUTED_VALUE"""),5.0)</f>
        <v>5</v>
      </c>
      <c r="K281" s="76"/>
      <c r="L281" s="76" t="str">
        <f>IFERROR(__xludf.DUMMYFUNCTION("""COMPUTED_VALUE"""),"Dominican Republic")</f>
        <v>Dominican Republic</v>
      </c>
      <c r="M281" s="76" t="str">
        <f>IFERROR(__xludf.DUMMYFUNCTION("""COMPUTED_VALUE"""),"Bavaro")</f>
        <v>Bavaro</v>
      </c>
      <c r="N281" s="76" t="str">
        <f>IFERROR(__xludf.DUMMYFUNCTION("""COMPUTED_VALUE"""),"Punta Cana")</f>
        <v>Punta Cana</v>
      </c>
      <c r="O281" s="78" t="b">
        <f>IFERROR(__xludf.DUMMYFUNCTION("""COMPUTED_VALUE"""),TRUE)</f>
        <v>1</v>
      </c>
      <c r="P281" s="80">
        <f>IFERROR(__xludf.DUMMYFUNCTION("""COMPUTED_VALUE"""),0.013194444444444444)</f>
        <v>0.01319444444</v>
      </c>
      <c r="Q281" s="76" t="str">
        <f>IFERROR(__xludf.DUMMYFUNCTION("""COMPUTED_VALUE"""),"Melia")</f>
        <v>Melia</v>
      </c>
      <c r="R281" s="76"/>
      <c r="S281" s="76" t="str">
        <f>IFERROR(__xludf.DUMMYFUNCTION("""COMPUTED_VALUE"""),"Beach, Swim Out/Plunge Pool Rooms, Family Suite, 2 Bedroom Suites, Kids Club, Kids Waterpark, Pool Slide, Water Feature, Arcade, Gym, Yoga Classes, Room Service, Golf Course, Tennis, Evening Entertainment, Nightclub, Wifi (Free), Diving, Swim Up Bar, Buff"&amp;"et, Mini Golf, Spa")</f>
        <v>Beach, Swim Out/Plunge Pool Rooms, Family Suite, 2 Bedroom Suites, Kids Club, Kids Waterpark, Pool Slide, Water Feature, Arcade, Gym, Yoga Classes, Room Service, Golf Course, Tennis, Evening Entertainment, Nightclub, Wifi (Free), Diving, Swim Up Bar, Buffet, Mini Golf, Spa</v>
      </c>
      <c r="T281" s="76" t="str">
        <f>IFERROR(__xludf.DUMMYFUNCTION("""COMPUTED_VALUE"""),"Yes")</f>
        <v>Yes</v>
      </c>
      <c r="U281" s="76" t="str">
        <f>IFERROR(__xludf.DUMMYFUNCTION("""COMPUTED_VALUE"""),"2 Double")</f>
        <v>2 Double</v>
      </c>
      <c r="V281" s="78" t="b">
        <f>IFERROR(__xludf.DUMMYFUNCTION("""COMPUTED_VALUE"""),FALSE)</f>
        <v>0</v>
      </c>
      <c r="W281" s="78">
        <f>IFERROR(__xludf.DUMMYFUNCTION("""COMPUTED_VALUE"""),600.0)</f>
        <v>600</v>
      </c>
      <c r="X281" s="78"/>
      <c r="Y281" s="78"/>
      <c r="Z281" s="81"/>
    </row>
    <row r="282">
      <c r="A282" s="65" t="str">
        <f>IFERROR(__xludf.DUMMYFUNCTION("""COMPUTED_VALUE"""),"Lopesan Costa Bavaro Resort Spa &amp; Casino")</f>
        <v>Lopesan Costa Bavaro Resort Spa &amp; Casino</v>
      </c>
      <c r="B282" s="66">
        <f>IFERROR(__xludf.DUMMYFUNCTION("""COMPUTED_VALUE"""),88.3)</f>
        <v>88.3</v>
      </c>
      <c r="C282" s="67" t="str">
        <f>IFERROR(__xludf.DUMMYFUNCTION("""COMPUTED_VALUE"""),"Family")</f>
        <v>Family</v>
      </c>
      <c r="D282" s="79">
        <f>IFERROR(__xludf.DUMMYFUNCTION("""COMPUTED_VALUE"""),5827.5)</f>
        <v>5827.5</v>
      </c>
      <c r="E282" s="79">
        <f>IFERROR(__xludf.DUMMYFUNCTION("""COMPUTED_VALUE"""),8048.068292249999)</f>
        <v>8048.068292</v>
      </c>
      <c r="F282" s="69">
        <f>IFERROR(__xludf.DUMMYFUNCTION("""COMPUTED_VALUE"""),1.42)</f>
        <v>1.42</v>
      </c>
      <c r="G282" s="78">
        <f>IFERROR(__xludf.DUMMYFUNCTION("""COMPUTED_VALUE"""),4.0)</f>
        <v>4</v>
      </c>
      <c r="H282" s="78">
        <f>IFERROR(__xludf.DUMMYFUNCTION("""COMPUTED_VALUE"""),6.0)</f>
        <v>6</v>
      </c>
      <c r="I282" s="78"/>
      <c r="J282" s="78">
        <f>IFERROR(__xludf.DUMMYFUNCTION("""COMPUTED_VALUE"""),5.0)</f>
        <v>5</v>
      </c>
      <c r="K282" s="76"/>
      <c r="L282" s="76" t="str">
        <f>IFERROR(__xludf.DUMMYFUNCTION("""COMPUTED_VALUE"""),"Dominican Republic")</f>
        <v>Dominican Republic</v>
      </c>
      <c r="M282" s="76" t="str">
        <f>IFERROR(__xludf.DUMMYFUNCTION("""COMPUTED_VALUE"""),"Bavaro")</f>
        <v>Bavaro</v>
      </c>
      <c r="N282" s="87" t="str">
        <f>IFERROR(__xludf.DUMMYFUNCTION("""COMPUTED_VALUE"""),"Punta Cana")</f>
        <v>Punta Cana</v>
      </c>
      <c r="O282" s="78" t="b">
        <f>IFERROR(__xludf.DUMMYFUNCTION("""COMPUTED_VALUE"""),TRUE)</f>
        <v>1</v>
      </c>
      <c r="P282" s="80">
        <f>IFERROR(__xludf.DUMMYFUNCTION("""COMPUTED_VALUE"""),0.015277777777777777)</f>
        <v>0.01527777778</v>
      </c>
      <c r="Q282" s="76" t="str">
        <f>IFERROR(__xludf.DUMMYFUNCTION("""COMPUTED_VALUE"""),"Lopesan Hotels")</f>
        <v>Lopesan Hotels</v>
      </c>
      <c r="R282" s="76" t="str">
        <f>IFERROR(__xludf.DUMMYFUNCTION("""COMPUTED_VALUE"""),"Trendy, Ocean View")</f>
        <v>Trendy, Ocean View</v>
      </c>
      <c r="S282" s="76" t="str">
        <f>IFERROR(__xludf.DUMMYFUNCTION("""COMPUTED_VALUE"""),"Beach, Swim Out/Plunge Pool Rooms, Adults Only Rooms, Family Suite, 2 Bedroom Suites, Kids Club, Teen Club, Kids Waterpark, Arcade, Gym, Adult Pool, Buffet, Diving, Wifi (Free), Babysitting, Room Service, Casino, Windsurfing, Evening Entertainment, Nightc"&amp;"lub")</f>
        <v>Beach, Swim Out/Plunge Pool Rooms, Adults Only Rooms, Family Suite, 2 Bedroom Suites, Kids Club, Teen Club, Kids Waterpark, Arcade, Gym, Adult Pool, Buffet, Diving, Wifi (Free), Babysitting, Room Service, Casino, Windsurfing, Evening Entertainment, Nightclub</v>
      </c>
      <c r="T282" s="76"/>
      <c r="U282" s="76" t="str">
        <f>IFERROR(__xludf.DUMMYFUNCTION("""COMPUTED_VALUE"""),"1 King or 2 Queen")</f>
        <v>1 King or 2 Queen</v>
      </c>
      <c r="V282" s="78" t="b">
        <f>IFERROR(__xludf.DUMMYFUNCTION("""COMPUTED_VALUE"""),FALSE)</f>
        <v>0</v>
      </c>
      <c r="W282" s="78">
        <f>IFERROR(__xludf.DUMMYFUNCTION("""COMPUTED_VALUE"""),603.0)</f>
        <v>603</v>
      </c>
      <c r="X282" s="78"/>
      <c r="Y282" s="78"/>
      <c r="Z282" s="81">
        <f>IFERROR(__xludf.DUMMYFUNCTION("""COMPUTED_VALUE"""),5.0)</f>
        <v>5</v>
      </c>
    </row>
    <row r="283">
      <c r="A283" s="65" t="str">
        <f>IFERROR(__xludf.DUMMYFUNCTION("""COMPUTED_VALUE"""),"Hyatt Ziva Rose Hall")</f>
        <v>Hyatt Ziva Rose Hall</v>
      </c>
      <c r="B283" s="66">
        <f>IFERROR(__xludf.DUMMYFUNCTION("""COMPUTED_VALUE"""),88.3)</f>
        <v>88.3</v>
      </c>
      <c r="C283" s="67" t="str">
        <f>IFERROR(__xludf.DUMMYFUNCTION("""COMPUTED_VALUE"""),"Family")</f>
        <v>Family</v>
      </c>
      <c r="D283" s="79">
        <f>IFERROR(__xludf.DUMMYFUNCTION("""COMPUTED_VALUE"""),6324.38)</f>
        <v>6324.38</v>
      </c>
      <c r="E283" s="79">
        <f>IFERROR(__xludf.DUMMYFUNCTION("""COMPUTED_VALUE"""),8734.284366561998)</f>
        <v>8734.284367</v>
      </c>
      <c r="F283" s="69">
        <f>IFERROR(__xludf.DUMMYFUNCTION("""COMPUTED_VALUE"""),1.31)</f>
        <v>1.31</v>
      </c>
      <c r="G283" s="78">
        <f>IFERROR(__xludf.DUMMYFUNCTION("""COMPUTED_VALUE"""),4.0)</f>
        <v>4</v>
      </c>
      <c r="H283" s="74">
        <f>IFERROR(__xludf.DUMMYFUNCTION("""COMPUTED_VALUE"""),8.0)</f>
        <v>8</v>
      </c>
      <c r="I283" s="78" t="str">
        <f>IFERROR(__xludf.DUMMYFUNCTION("""COMPUTED_VALUE"""),"E")</f>
        <v>E</v>
      </c>
      <c r="J283" s="78">
        <f>IFERROR(__xludf.DUMMYFUNCTION("""COMPUTED_VALUE"""),5.0)</f>
        <v>5</v>
      </c>
      <c r="K283" s="76"/>
      <c r="L283" s="76" t="str">
        <f>IFERROR(__xludf.DUMMYFUNCTION("""COMPUTED_VALUE"""),"Jamaica")</f>
        <v>Jamaica</v>
      </c>
      <c r="M283" s="76" t="str">
        <f>IFERROR(__xludf.DUMMYFUNCTION("""COMPUTED_VALUE"""),"Rose Hall")</f>
        <v>Rose Hall</v>
      </c>
      <c r="N283" s="76" t="str">
        <f>IFERROR(__xludf.DUMMYFUNCTION("""COMPUTED_VALUE"""),"Sangster")</f>
        <v>Sangster</v>
      </c>
      <c r="O283" s="78" t="b">
        <f>IFERROR(__xludf.DUMMYFUNCTION("""COMPUTED_VALUE"""),TRUE)</f>
        <v>1</v>
      </c>
      <c r="P283" s="80">
        <f>IFERROR(__xludf.DUMMYFUNCTION("""COMPUTED_VALUE"""),0.006944444444444444)</f>
        <v>0.006944444444</v>
      </c>
      <c r="Q283" s="76" t="str">
        <f>IFERROR(__xludf.DUMMYFUNCTION("""COMPUTED_VALUE"""),"Hyatt")</f>
        <v>Hyatt</v>
      </c>
      <c r="R283" s="76" t="str">
        <f>IFERROR(__xludf.DUMMYFUNCTION("""COMPUTED_VALUE"""),"Modern, Bay View")</f>
        <v>Modern, Bay View</v>
      </c>
      <c r="S283" s="76" t="str">
        <f>IFERROR(__xludf.DUMMYFUNCTION("""COMPUTED_VALUE"""),"Beach, Swim Out/Plunge Pool Rooms, Kids Club, Gym, Tennis, Adult Pool, Buffet, Swim Up Bar, Nightclub, Spa, Wifi (Free), Babysitting, Evening Entertainment")</f>
        <v>Beach, Swim Out/Plunge Pool Rooms, Kids Club, Gym, Tennis, Adult Pool, Buffet, Swim Up Bar, Nightclub, Spa, Wifi (Free), Babysitting, Evening Entertainment</v>
      </c>
      <c r="T283" s="76" t="str">
        <f>IFERROR(__xludf.DUMMYFUNCTION("""COMPUTED_VALUE"""),"Can Request")</f>
        <v>Can Request</v>
      </c>
      <c r="U283" s="76" t="str">
        <f>IFERROR(__xludf.DUMMYFUNCTION("""COMPUTED_VALUE"""),"1 King or 2 Double")</f>
        <v>1 King or 2 Double</v>
      </c>
      <c r="V283" s="74" t="b">
        <f>IFERROR(__xludf.DUMMYFUNCTION("""COMPUTED_VALUE"""),FALSE)</f>
        <v>0</v>
      </c>
      <c r="W283" s="74">
        <f>IFERROR(__xludf.DUMMYFUNCTION("""COMPUTED_VALUE"""),327.0)</f>
        <v>327</v>
      </c>
      <c r="X283" s="74">
        <f>IFERROR(__xludf.DUMMYFUNCTION("""COMPUTED_VALUE"""),2000.0)</f>
        <v>2000</v>
      </c>
      <c r="Y283" s="74">
        <f>IFERROR(__xludf.DUMMYFUNCTION("""COMPUTED_VALUE"""),2014.0)</f>
        <v>2014</v>
      </c>
      <c r="Z283" s="75">
        <f>IFERROR(__xludf.DUMMYFUNCTION("""COMPUTED_VALUE"""),5.0)</f>
        <v>5</v>
      </c>
    </row>
    <row r="284">
      <c r="A284" s="65" t="str">
        <f>IFERROR(__xludf.DUMMYFUNCTION("""COMPUTED_VALUE"""),"Azul Ixtapa Grand Beach Resort Spa &amp; Convention Center")</f>
        <v>Azul Ixtapa Grand Beach Resort Spa &amp; Convention Center</v>
      </c>
      <c r="B284" s="66">
        <f>IFERROR(__xludf.DUMMYFUNCTION("""COMPUTED_VALUE"""),88.0)</f>
        <v>88</v>
      </c>
      <c r="C284" s="67" t="str">
        <f>IFERROR(__xludf.DUMMYFUNCTION("""COMPUTED_VALUE"""),"Family")</f>
        <v>Family</v>
      </c>
      <c r="D284" s="79">
        <f>IFERROR(__xludf.DUMMYFUNCTION("""COMPUTED_VALUE"""),2462.0)</f>
        <v>2462</v>
      </c>
      <c r="E284" s="79">
        <f>IFERROR(__xludf.DUMMYFUNCTION("""COMPUTED_VALUE"""),3400.1448537999995)</f>
        <v>3400.144854</v>
      </c>
      <c r="F284" s="69">
        <f>IFERROR(__xludf.DUMMYFUNCTION("""COMPUTED_VALUE"""),3.25)</f>
        <v>3.25</v>
      </c>
      <c r="G284" s="78"/>
      <c r="H284" s="78">
        <f>IFERROR(__xludf.DUMMYFUNCTION("""COMPUTED_VALUE"""),6.0)</f>
        <v>6</v>
      </c>
      <c r="I284" s="78"/>
      <c r="J284" s="78">
        <f>IFERROR(__xludf.DUMMYFUNCTION("""COMPUTED_VALUE"""),5.0)</f>
        <v>5</v>
      </c>
      <c r="K284" s="76"/>
      <c r="L284" s="76" t="str">
        <f>IFERROR(__xludf.DUMMYFUNCTION("""COMPUTED_VALUE"""),"Mexico")</f>
        <v>Mexico</v>
      </c>
      <c r="M284" s="76" t="str">
        <f>IFERROR(__xludf.DUMMYFUNCTION("""COMPUTED_VALUE"""),"Ixtapa")</f>
        <v>Ixtapa</v>
      </c>
      <c r="N284" s="76" t="str">
        <f>IFERROR(__xludf.DUMMYFUNCTION("""COMPUTED_VALUE"""),"Ixtapa-Zihuatanejo")</f>
        <v>Ixtapa-Zihuatanejo</v>
      </c>
      <c r="O284" s="78" t="b">
        <f>IFERROR(__xludf.DUMMYFUNCTION("""COMPUTED_VALUE"""),TRUE)</f>
        <v>1</v>
      </c>
      <c r="P284" s="80">
        <f>IFERROR(__xludf.DUMMYFUNCTION("""COMPUTED_VALUE"""),0.022916666666666665)</f>
        <v>0.02291666667</v>
      </c>
      <c r="Q284" s="76" t="str">
        <f>IFERROR(__xludf.DUMMYFUNCTION("""COMPUTED_VALUE"""),"Azul")</f>
        <v>Azul</v>
      </c>
      <c r="R284" s="76" t="str">
        <f>IFERROR(__xludf.DUMMYFUNCTION("""COMPUTED_VALUE"""),"Modern, Trendy")</f>
        <v>Modern, Trendy</v>
      </c>
      <c r="S284" s="76" t="str">
        <f>IFERROR(__xludf.DUMMYFUNCTION("""COMPUTED_VALUE"""),"Beach, Kids Club, Kids Waterpark, Gym, Archery, Buffet, Swim Up Bar, Mini Golf, Tennis, Spa, Adult Pool, Snorkelling, Evening Entertainment")</f>
        <v>Beach, Kids Club, Kids Waterpark, Gym, Archery, Buffet, Swim Up Bar, Mini Golf, Tennis, Spa, Adult Pool, Snorkelling, Evening Entertainment</v>
      </c>
      <c r="T284" s="76" t="str">
        <f>IFERROR(__xludf.DUMMYFUNCTION("""COMPUTED_VALUE"""),"Can't Book Two Rooms")</f>
        <v>Can't Book Two Rooms</v>
      </c>
      <c r="U284" s="76" t="str">
        <f>IFERROR(__xludf.DUMMYFUNCTION("""COMPUTED_VALUE"""),"1 King or 2 Double")</f>
        <v>1 King or 2 Double</v>
      </c>
      <c r="V284" s="78" t="b">
        <f>IFERROR(__xludf.DUMMYFUNCTION("""COMPUTED_VALUE"""),TRUE)</f>
        <v>1</v>
      </c>
      <c r="W284" s="78"/>
      <c r="X284" s="78"/>
      <c r="Y284" s="78"/>
      <c r="Z284" s="81"/>
    </row>
    <row r="285">
      <c r="A285" s="65" t="str">
        <f>IFERROR(__xludf.DUMMYFUNCTION("""COMPUTED_VALUE"""),"Hotel Riu Latino")</f>
        <v>Hotel Riu Latino</v>
      </c>
      <c r="B285" s="66">
        <f>IFERROR(__xludf.DUMMYFUNCTION("""COMPUTED_VALUE"""),88.0)</f>
        <v>88</v>
      </c>
      <c r="C285" s="67" t="str">
        <f>IFERROR(__xludf.DUMMYFUNCTION("""COMPUTED_VALUE"""),"Adults Only")</f>
        <v>Adults Only</v>
      </c>
      <c r="D285" s="79">
        <f>IFERROR(__xludf.DUMMYFUNCTION("""COMPUTED_VALUE"""),2572.36)</f>
        <v>2572.36</v>
      </c>
      <c r="E285" s="79">
        <f>IFERROR(__xludf.DUMMYFUNCTION("""COMPUTED_VALUE"""),3552.557520764)</f>
        <v>3552.557521</v>
      </c>
      <c r="F285" s="69">
        <f>IFERROR(__xludf.DUMMYFUNCTION("""COMPUTED_VALUE"""),3.11)</f>
        <v>3.11</v>
      </c>
      <c r="G285" s="78"/>
      <c r="H285" s="78" t="str">
        <f>IFERROR(__xludf.DUMMYFUNCTION("""COMPUTED_VALUE"""),"NYR")</f>
        <v>NYR</v>
      </c>
      <c r="I285" s="78"/>
      <c r="J285" s="78">
        <f>IFERROR(__xludf.DUMMYFUNCTION("""COMPUTED_VALUE"""),5.0)</f>
        <v>5</v>
      </c>
      <c r="K285" s="76"/>
      <c r="L285" s="76" t="str">
        <f>IFERROR(__xludf.DUMMYFUNCTION("""COMPUTED_VALUE"""),"Mexico")</f>
        <v>Mexico</v>
      </c>
      <c r="M285" s="76" t="str">
        <f>IFERROR(__xludf.DUMMYFUNCTION("""COMPUTED_VALUE"""),"Playa Mujeres")</f>
        <v>Playa Mujeres</v>
      </c>
      <c r="N285" s="76" t="str">
        <f>IFERROR(__xludf.DUMMYFUNCTION("""COMPUTED_VALUE"""),"Cancun")</f>
        <v>Cancun</v>
      </c>
      <c r="O285" s="78" t="b">
        <f>IFERROR(__xludf.DUMMYFUNCTION("""COMPUTED_VALUE"""),TRUE)</f>
        <v>1</v>
      </c>
      <c r="P285" s="80">
        <f>IFERROR(__xludf.DUMMYFUNCTION("""COMPUTED_VALUE"""),0.027777777777777776)</f>
        <v>0.02777777778</v>
      </c>
      <c r="Q285" s="76" t="str">
        <f>IFERROR(__xludf.DUMMYFUNCTION("""COMPUTED_VALUE"""),"Riu")</f>
        <v>Riu</v>
      </c>
      <c r="R285" s="76"/>
      <c r="S285" s="76" t="str">
        <f>IFERROR(__xludf.DUMMYFUNCTION("""COMPUTED_VALUE"""),"Beach, Swim Out/Plunge Pool Rooms, Great for Parties, Gym, Buffet, Evening Entertainment, Nightclub, Spa, Wifi (Free), Swim Up Bar")</f>
        <v>Beach, Swim Out/Plunge Pool Rooms, Great for Parties, Gym, Buffet, Evening Entertainment, Nightclub, Spa, Wifi (Free), Swim Up Bar</v>
      </c>
      <c r="T285" s="76"/>
      <c r="U285" s="76"/>
      <c r="V285" s="78" t="b">
        <f>IFERROR(__xludf.DUMMYFUNCTION("""COMPUTED_VALUE"""),TRUE)</f>
        <v>1</v>
      </c>
      <c r="W285" s="78">
        <f>IFERROR(__xludf.DUMMYFUNCTION("""COMPUTED_VALUE"""),594.0)</f>
        <v>594</v>
      </c>
      <c r="X285" s="78">
        <f>IFERROR(__xludf.DUMMYFUNCTION("""COMPUTED_VALUE"""),2022.0)</f>
        <v>2022</v>
      </c>
      <c r="Y285" s="78"/>
      <c r="Z285" s="75">
        <f>IFERROR(__xludf.DUMMYFUNCTION("""COMPUTED_VALUE"""),5.0)</f>
        <v>5</v>
      </c>
    </row>
    <row r="286">
      <c r="A286" s="65" t="str">
        <f>IFERROR(__xludf.DUMMYFUNCTION("""COMPUTED_VALUE"""),"Barcelo Maya Colonial - All Inclusive")</f>
        <v>Barcelo Maya Colonial - All Inclusive</v>
      </c>
      <c r="B286" s="66">
        <f>IFERROR(__xludf.DUMMYFUNCTION("""COMPUTED_VALUE"""),88.0)</f>
        <v>88</v>
      </c>
      <c r="C286" s="67" t="str">
        <f>IFERROR(__xludf.DUMMYFUNCTION("""COMPUTED_VALUE"""),"Family")</f>
        <v>Family</v>
      </c>
      <c r="D286" s="79">
        <f>IFERROR(__xludf.DUMMYFUNCTION("""COMPUTED_VALUE"""),3353.0)</f>
        <v>3353</v>
      </c>
      <c r="E286" s="79">
        <f>IFERROR(__xludf.DUMMYFUNCTION("""COMPUTED_VALUE"""),4630.6603147)</f>
        <v>4630.660315</v>
      </c>
      <c r="F286" s="69">
        <f>IFERROR(__xludf.DUMMYFUNCTION("""COMPUTED_VALUE"""),2.39)</f>
        <v>2.39</v>
      </c>
      <c r="G286" s="78"/>
      <c r="H286" s="78">
        <f>IFERROR(__xludf.DUMMYFUNCTION("""COMPUTED_VALUE"""),6.0)</f>
        <v>6</v>
      </c>
      <c r="I286" s="70"/>
      <c r="J286" s="78">
        <f>IFERROR(__xludf.DUMMYFUNCTION("""COMPUTED_VALUE"""),4.0)</f>
        <v>4</v>
      </c>
      <c r="K286" s="71"/>
      <c r="L286" s="76" t="str">
        <f>IFERROR(__xludf.DUMMYFUNCTION("""COMPUTED_VALUE"""),"Mexico")</f>
        <v>Mexico</v>
      </c>
      <c r="M286" s="76" t="str">
        <f>IFERROR(__xludf.DUMMYFUNCTION("""COMPUTED_VALUE"""),"Puerto Aventuras")</f>
        <v>Puerto Aventuras</v>
      </c>
      <c r="N286" s="76" t="str">
        <f>IFERROR(__xludf.DUMMYFUNCTION("""COMPUTED_VALUE"""),"Cancun")</f>
        <v>Cancun</v>
      </c>
      <c r="O286" s="78" t="b">
        <f>IFERROR(__xludf.DUMMYFUNCTION("""COMPUTED_VALUE"""),TRUE)</f>
        <v>1</v>
      </c>
      <c r="P286" s="80">
        <f>IFERROR(__xludf.DUMMYFUNCTION("""COMPUTED_VALUE"""),0.04027777777777778)</f>
        <v>0.04027777778</v>
      </c>
      <c r="Q286" s="76" t="str">
        <f>IFERROR(__xludf.DUMMYFUNCTION("""COMPUTED_VALUE"""),"Barcelo")</f>
        <v>Barcelo</v>
      </c>
      <c r="R286" s="76" t="str">
        <f>IFERROR(__xludf.DUMMYFUNCTION("""COMPUTED_VALUE"""),"Family, Great View")</f>
        <v>Family, Great View</v>
      </c>
      <c r="S286" s="76" t="str">
        <f>IFERROR(__xludf.DUMMYFUNCTION("""COMPUTED_VALUE"""),"Beach, Kids Club, Teen Club, Kids Waterpark, Big Waterslides, Flowrider, Gym, Diving, Tennis, Evening Entertainment, Nightclub, Babysitting, Wifi (Paid), Buffet, Swim Up Bar, Mini Golf, Spa")</f>
        <v>Beach, Kids Club, Teen Club, Kids Waterpark, Big Waterslides, Flowrider, Gym, Diving, Tennis, Evening Entertainment, Nightclub, Babysitting, Wifi (Paid), Buffet, Swim Up Bar, Mini Golf, Spa</v>
      </c>
      <c r="T286" s="76"/>
      <c r="U286" s="76" t="str">
        <f>IFERROR(__xludf.DUMMYFUNCTION("""COMPUTED_VALUE"""),"1 King or 2 Double")</f>
        <v>1 King or 2 Double</v>
      </c>
      <c r="V286" s="78" t="b">
        <f>IFERROR(__xludf.DUMMYFUNCTION("""COMPUTED_VALUE"""),FALSE)</f>
        <v>0</v>
      </c>
      <c r="W286" s="78">
        <f>IFERROR(__xludf.DUMMYFUNCTION("""COMPUTED_VALUE"""),481.0)</f>
        <v>481</v>
      </c>
      <c r="X286" s="78">
        <f>IFERROR(__xludf.DUMMYFUNCTION("""COMPUTED_VALUE"""),2005.0)</f>
        <v>2005</v>
      </c>
      <c r="Y286" s="78"/>
      <c r="Z286" s="81">
        <f>IFERROR(__xludf.DUMMYFUNCTION("""COMPUTED_VALUE"""),3.0)</f>
        <v>3</v>
      </c>
    </row>
    <row r="287">
      <c r="A287" s="65" t="str">
        <f>IFERROR(__xludf.DUMMYFUNCTION("""COMPUTED_VALUE"""),"Fiesta Americana Cancun Villas")</f>
        <v>Fiesta Americana Cancun Villas</v>
      </c>
      <c r="B287" s="66">
        <f>IFERROR(__xludf.DUMMYFUNCTION("""COMPUTED_VALUE"""),88.0)</f>
        <v>88</v>
      </c>
      <c r="C287" s="67" t="str">
        <f>IFERROR(__xludf.DUMMYFUNCTION("""COMPUTED_VALUE"""),"Family")</f>
        <v>Family</v>
      </c>
      <c r="D287" s="79">
        <f>IFERROR(__xludf.DUMMYFUNCTION("""COMPUTED_VALUE"""),3509.0)</f>
        <v>3509</v>
      </c>
      <c r="E287" s="79">
        <f>IFERROR(__xludf.DUMMYFUNCTION("""COMPUTED_VALUE"""),4846.104099099999)</f>
        <v>4846.104099</v>
      </c>
      <c r="F287" s="69">
        <f>IFERROR(__xludf.DUMMYFUNCTION("""COMPUTED_VALUE"""),2.28)</f>
        <v>2.28</v>
      </c>
      <c r="G287" s="78"/>
      <c r="H287" s="74">
        <f>IFERROR(__xludf.DUMMYFUNCTION("""COMPUTED_VALUE"""),7.0)</f>
        <v>7</v>
      </c>
      <c r="I287" s="78"/>
      <c r="J287" s="78">
        <f>IFERROR(__xludf.DUMMYFUNCTION("""COMPUTED_VALUE"""),4.0)</f>
        <v>4</v>
      </c>
      <c r="K287" s="71"/>
      <c r="L287" s="76" t="str">
        <f>IFERROR(__xludf.DUMMYFUNCTION("""COMPUTED_VALUE"""),"Mexico")</f>
        <v>Mexico</v>
      </c>
      <c r="M287" s="76" t="str">
        <f>IFERROR(__xludf.DUMMYFUNCTION("""COMPUTED_VALUE"""),"Cancun")</f>
        <v>Cancun</v>
      </c>
      <c r="N287" s="87" t="str">
        <f>IFERROR(__xludf.DUMMYFUNCTION("""COMPUTED_VALUE"""),"Cancun")</f>
        <v>Cancun</v>
      </c>
      <c r="O287" s="78" t="b">
        <f>IFERROR(__xludf.DUMMYFUNCTION("""COMPUTED_VALUE"""),TRUE)</f>
        <v>1</v>
      </c>
      <c r="P287" s="80">
        <f>IFERROR(__xludf.DUMMYFUNCTION("""COMPUTED_VALUE"""),0.020833333333333332)</f>
        <v>0.02083333333</v>
      </c>
      <c r="Q287" s="71" t="str">
        <f>IFERROR(__xludf.DUMMYFUNCTION("""COMPUTED_VALUE"""),"Fiesta Americana Travelty")</f>
        <v>Fiesta Americana Travelty</v>
      </c>
      <c r="R287" s="76" t="str">
        <f>IFERROR(__xludf.DUMMYFUNCTION("""COMPUTED_VALUE"""),"Value, Bay View")</f>
        <v>Value, Bay View</v>
      </c>
      <c r="S287" s="76" t="str">
        <f>IFERROR(__xludf.DUMMYFUNCTION("""COMPUTED_VALUE"""),"Beach, Kids Club, Gym, Snorkelling, Room Service, Wifi (Free), Buffet, Evening Entertainment, Spa")</f>
        <v>Beach, Kids Club, Gym, Snorkelling, Room Service, Wifi (Free), Buffet, Evening Entertainment, Spa</v>
      </c>
      <c r="T287" s="76"/>
      <c r="U287" s="76" t="str">
        <f>IFERROR(__xludf.DUMMYFUNCTION("""COMPUTED_VALUE"""),"1 King or 2 Double")</f>
        <v>1 King or 2 Double</v>
      </c>
      <c r="V287" s="74" t="b">
        <f>IFERROR(__xludf.DUMMYFUNCTION("""COMPUTED_VALUE"""),FALSE)</f>
        <v>0</v>
      </c>
      <c r="W287" s="74">
        <f>IFERROR(__xludf.DUMMYFUNCTION("""COMPUTED_VALUE"""),179.0)</f>
        <v>179</v>
      </c>
      <c r="X287" s="74">
        <f>IFERROR(__xludf.DUMMYFUNCTION("""COMPUTED_VALUE"""),2009.0)</f>
        <v>2009</v>
      </c>
      <c r="Y287" s="74"/>
      <c r="Z287" s="75">
        <f>IFERROR(__xludf.DUMMYFUNCTION("""COMPUTED_VALUE"""),5.0)</f>
        <v>5</v>
      </c>
    </row>
    <row r="288">
      <c r="A288" s="65" t="str">
        <f>IFERROR(__xludf.DUMMYFUNCTION("""COMPUTED_VALUE"""),"Secrets Bahia Mita Surf &amp; Spa Resort")</f>
        <v>Secrets Bahia Mita Surf &amp; Spa Resort</v>
      </c>
      <c r="B288" s="66">
        <f>IFERROR(__xludf.DUMMYFUNCTION("""COMPUTED_VALUE"""),88.0)</f>
        <v>88</v>
      </c>
      <c r="C288" s="67" t="str">
        <f>IFERROR(__xludf.DUMMYFUNCTION("""COMPUTED_VALUE"""),"Adults Only")</f>
        <v>Adults Only</v>
      </c>
      <c r="D288" s="68">
        <f>IFERROR(__xludf.DUMMYFUNCTION("""COMPUTED_VALUE"""),3668.0)</f>
        <v>3668</v>
      </c>
      <c r="E288" s="79">
        <f>IFERROR(__xludf.DUMMYFUNCTION("""COMPUTED_VALUE"""),5065.6910332)</f>
        <v>5065.691033</v>
      </c>
      <c r="F288" s="69">
        <f>IFERROR(__xludf.DUMMYFUNCTION("""COMPUTED_VALUE"""),2.18)</f>
        <v>2.18</v>
      </c>
      <c r="G288" s="78"/>
      <c r="H288" s="78" t="str">
        <f>IFERROR(__xludf.DUMMYFUNCTION("""COMPUTED_VALUE"""),"NYR")</f>
        <v>NYR</v>
      </c>
      <c r="I288" s="78" t="str">
        <f>IFERROR(__xludf.DUMMYFUNCTION("""COMPUTED_VALUE"""),"C")</f>
        <v>C</v>
      </c>
      <c r="J288" s="78">
        <f>IFERROR(__xludf.DUMMYFUNCTION("""COMPUTED_VALUE"""),4.5)</f>
        <v>4.5</v>
      </c>
      <c r="K288" s="76"/>
      <c r="L288" s="76" t="str">
        <f>IFERROR(__xludf.DUMMYFUNCTION("""COMPUTED_VALUE"""),"Mexico")</f>
        <v>Mexico</v>
      </c>
      <c r="M288" s="76" t="str">
        <f>IFERROR(__xludf.DUMMYFUNCTION("""COMPUTED_VALUE"""),"Punta de Mita")</f>
        <v>Punta de Mita</v>
      </c>
      <c r="N288" s="76" t="str">
        <f>IFERROR(__xludf.DUMMYFUNCTION("""COMPUTED_VALUE"""),"Ordaz")</f>
        <v>Ordaz</v>
      </c>
      <c r="O288" s="78" t="b">
        <f>IFERROR(__xludf.DUMMYFUNCTION("""COMPUTED_VALUE"""),TRUE)</f>
        <v>1</v>
      </c>
      <c r="P288" s="80">
        <f>IFERROR(__xludf.DUMMYFUNCTION("""COMPUTED_VALUE"""),0.024305555555555556)</f>
        <v>0.02430555556</v>
      </c>
      <c r="Q288" s="76" t="str">
        <f>IFERROR(__xludf.DUMMYFUNCTION("""COMPUTED_VALUE"""),"Hyatt")</f>
        <v>Hyatt</v>
      </c>
      <c r="R288" s="76" t="str">
        <f>IFERROR(__xludf.DUMMYFUNCTION("""COMPUTED_VALUE"""),"Charming")</f>
        <v>Charming</v>
      </c>
      <c r="S288" s="71" t="str">
        <f>IFERROR(__xludf.DUMMYFUNCTION("""COMPUTED_VALUE"""),"Beach, Great Food, Heated Pool, Gym, Buffet, Nightclub, Wifi (Free), Pets Allowed, Room Service, Swim Up Bar, Evening Entertainment, Spa")</f>
        <v>Beach, Great Food, Heated Pool, Gym, Buffet, Nightclub, Wifi (Free), Pets Allowed, Room Service, Swim Up Bar, Evening Entertainment, Spa</v>
      </c>
      <c r="T288" s="71"/>
      <c r="U288" s="76"/>
      <c r="V288" s="78" t="b">
        <f>IFERROR(__xludf.DUMMYFUNCTION("""COMPUTED_VALUE"""),FALSE)</f>
        <v>0</v>
      </c>
      <c r="W288" s="78">
        <f>IFERROR(__xludf.DUMMYFUNCTION("""COMPUTED_VALUE"""),278.0)</f>
        <v>278</v>
      </c>
      <c r="X288" s="78">
        <f>IFERROR(__xludf.DUMMYFUNCTION("""COMPUTED_VALUE"""),2020.0)</f>
        <v>2020</v>
      </c>
      <c r="Y288" s="78"/>
      <c r="Z288" s="81">
        <f>IFERROR(__xludf.DUMMYFUNCTION("""COMPUTED_VALUE"""),8.0)</f>
        <v>8</v>
      </c>
    </row>
    <row r="289">
      <c r="A289" s="65" t="str">
        <f>IFERROR(__xludf.DUMMYFUNCTION("""COMPUTED_VALUE"""),"Bahia Principe Luxury Akumal")</f>
        <v>Bahia Principe Luxury Akumal</v>
      </c>
      <c r="B289" s="66">
        <f>IFERROR(__xludf.DUMMYFUNCTION("""COMPUTED_VALUE"""),88.0)</f>
        <v>88</v>
      </c>
      <c r="C289" s="67" t="str">
        <f>IFERROR(__xludf.DUMMYFUNCTION("""COMPUTED_VALUE"""),"Family")</f>
        <v>Family</v>
      </c>
      <c r="D289" s="79">
        <f>IFERROR(__xludf.DUMMYFUNCTION("""COMPUTED_VALUE"""),3843.7)</f>
        <v>3843.7</v>
      </c>
      <c r="E289" s="79">
        <f>IFERROR(__xludf.DUMMYFUNCTION("""COMPUTED_VALUE"""),5308.341500629999)</f>
        <v>5308.341501</v>
      </c>
      <c r="F289" s="69">
        <f>IFERROR(__xludf.DUMMYFUNCTION("""COMPUTED_VALUE"""),2.08)</f>
        <v>2.08</v>
      </c>
      <c r="G289" s="78"/>
      <c r="H289" s="78">
        <f>IFERROR(__xludf.DUMMYFUNCTION("""COMPUTED_VALUE"""),6.0)</f>
        <v>6</v>
      </c>
      <c r="I289" s="78"/>
      <c r="J289" s="78">
        <f>IFERROR(__xludf.DUMMYFUNCTION("""COMPUTED_VALUE"""),5.0)</f>
        <v>5</v>
      </c>
      <c r="K289" s="76"/>
      <c r="L289" s="76" t="str">
        <f>IFERROR(__xludf.DUMMYFUNCTION("""COMPUTED_VALUE"""),"Mexico")</f>
        <v>Mexico</v>
      </c>
      <c r="M289" s="76" t="str">
        <f>IFERROR(__xludf.DUMMYFUNCTION("""COMPUTED_VALUE"""),"Akumal")</f>
        <v>Akumal</v>
      </c>
      <c r="N289" s="76" t="str">
        <f>IFERROR(__xludf.DUMMYFUNCTION("""COMPUTED_VALUE"""),"Tulum")</f>
        <v>Tulum</v>
      </c>
      <c r="O289" s="78" t="b">
        <f>IFERROR(__xludf.DUMMYFUNCTION("""COMPUTED_VALUE"""),TRUE)</f>
        <v>1</v>
      </c>
      <c r="P289" s="80">
        <f>IFERROR(__xludf.DUMMYFUNCTION("""COMPUTED_VALUE"""),0.044444444444444446)</f>
        <v>0.04444444444</v>
      </c>
      <c r="Q289" s="76" t="str">
        <f>IFERROR(__xludf.DUMMYFUNCTION("""COMPUTED_VALUE"""),"Bahia Principe")</f>
        <v>Bahia Principe</v>
      </c>
      <c r="R289" s="76" t="str">
        <f>IFERROR(__xludf.DUMMYFUNCTION("""COMPUTED_VALUE"""),"Family, Bay View")</f>
        <v>Family, Bay View</v>
      </c>
      <c r="S289" s="76" t="str">
        <f>IFERROR(__xludf.DUMMYFUNCTION("""COMPUTED_VALUE"""),"Beach, Swim Out/Plunge Pool Rooms, Kids Club, Kids Waterpark, Gym, Casino, Swim Up Bar, Diving, Tennis, Evening Entertainment, Nightclub, Babysitting, Adult Pool, Buffet, Golf Course, Fishing, Spa")</f>
        <v>Beach, Swim Out/Plunge Pool Rooms, Kids Club, Kids Waterpark, Gym, Casino, Swim Up Bar, Diving, Tennis, Evening Entertainment, Nightclub, Babysitting, Adult Pool, Buffet, Golf Course, Fishing, Spa</v>
      </c>
      <c r="T289" s="76" t="str">
        <f>IFERROR(__xludf.DUMMYFUNCTION("""COMPUTED_VALUE"""),"Yes")</f>
        <v>Yes</v>
      </c>
      <c r="U289" s="76" t="str">
        <f>IFERROR(__xludf.DUMMYFUNCTION("""COMPUTED_VALUE"""),"1 King or 2 Double")</f>
        <v>1 King or 2 Double</v>
      </c>
      <c r="V289" s="78" t="b">
        <f>IFERROR(__xludf.DUMMYFUNCTION("""COMPUTED_VALUE"""),FALSE)</f>
        <v>0</v>
      </c>
      <c r="W289" s="78">
        <f>IFERROR(__xludf.DUMMYFUNCTION("""COMPUTED_VALUE"""),758.0)</f>
        <v>758</v>
      </c>
      <c r="X289" s="74">
        <f>IFERROR(__xludf.DUMMYFUNCTION("""COMPUTED_VALUE"""),2001.0)</f>
        <v>2001</v>
      </c>
      <c r="Y289" s="74"/>
      <c r="Z289" s="81">
        <f>IFERROR(__xludf.DUMMYFUNCTION("""COMPUTED_VALUE"""),3.0)</f>
        <v>3</v>
      </c>
    </row>
    <row r="290">
      <c r="A290" s="65" t="str">
        <f>IFERROR(__xludf.DUMMYFUNCTION("""COMPUTED_VALUE"""),"Curacao Marriott Beach Resort")</f>
        <v>Curacao Marriott Beach Resort</v>
      </c>
      <c r="B290" s="66">
        <f>IFERROR(__xludf.DUMMYFUNCTION("""COMPUTED_VALUE"""),88.0)</f>
        <v>88</v>
      </c>
      <c r="C290" s="67" t="str">
        <f>IFERROR(__xludf.DUMMYFUNCTION("""COMPUTED_VALUE"""),"Family")</f>
        <v>Family</v>
      </c>
      <c r="D290" s="85">
        <f>IFERROR(__xludf.DUMMYFUNCTION("""COMPUTED_VALUE"""),3968.37)</f>
        <v>3968.37</v>
      </c>
      <c r="E290" s="79">
        <f>IFERROR(__xludf.DUMMYFUNCTION("""COMPUTED_VALUE"""),5480.516991662999)</f>
        <v>5480.516992</v>
      </c>
      <c r="F290" s="69">
        <f>IFERROR(__xludf.DUMMYFUNCTION("""COMPUTED_VALUE"""),2.02)</f>
        <v>2.02</v>
      </c>
      <c r="G290" s="78">
        <f>IFERROR(__xludf.DUMMYFUNCTION("""COMPUTED_VALUE"""),4.0)</f>
        <v>4</v>
      </c>
      <c r="H290" s="74">
        <f>IFERROR(__xludf.DUMMYFUNCTION("""COMPUTED_VALUE"""),7.0)</f>
        <v>7</v>
      </c>
      <c r="I290" s="78"/>
      <c r="J290" s="78">
        <f>IFERROR(__xludf.DUMMYFUNCTION("""COMPUTED_VALUE"""),5.0)</f>
        <v>5</v>
      </c>
      <c r="K290" s="76"/>
      <c r="L290" s="76" t="str">
        <f>IFERROR(__xludf.DUMMYFUNCTION("""COMPUTED_VALUE"""),"Curaçao")</f>
        <v>Curaçao</v>
      </c>
      <c r="M290" s="76" t="str">
        <f>IFERROR(__xludf.DUMMYFUNCTION("""COMPUTED_VALUE"""),"Willemstad")</f>
        <v>Willemstad</v>
      </c>
      <c r="N290" s="76" t="str">
        <f>IFERROR(__xludf.DUMMYFUNCTION("""COMPUTED_VALUE"""),"Aeropuerto Hato")</f>
        <v>Aeropuerto Hato</v>
      </c>
      <c r="O290" s="78" t="b">
        <f>IFERROR(__xludf.DUMMYFUNCTION("""COMPUTED_VALUE"""),TRUE)</f>
        <v>1</v>
      </c>
      <c r="P290" s="80">
        <f>IFERROR(__xludf.DUMMYFUNCTION("""COMPUTED_VALUE"""),0.009722222222222222)</f>
        <v>0.009722222222</v>
      </c>
      <c r="Q290" s="76" t="str">
        <f>IFERROR(__xludf.DUMMYFUNCTION("""COMPUTED_VALUE"""),"Marriott")</f>
        <v>Marriott</v>
      </c>
      <c r="R290" s="76" t="str">
        <f>IFERROR(__xludf.DUMMYFUNCTION("""COMPUTED_VALUE"""),"Bay View, Great View")</f>
        <v>Bay View, Great View</v>
      </c>
      <c r="S290" s="76" t="str">
        <f>IFERROR(__xludf.DUMMYFUNCTION("""COMPUTED_VALUE"""),"Beach, Kids Club, Gym, Diving, Snorkelling, Wifi (Free), Adult Pool, Buffet, Watersports Equipment Rentals")</f>
        <v>Beach, Kids Club, Gym, Diving, Snorkelling, Wifi (Free), Adult Pool, Buffet, Watersports Equipment Rentals</v>
      </c>
      <c r="T290" s="76"/>
      <c r="U290" s="76" t="str">
        <f>IFERROR(__xludf.DUMMYFUNCTION("""COMPUTED_VALUE"""),"2 Queen")</f>
        <v>2 Queen</v>
      </c>
      <c r="V290" s="74" t="b">
        <f>IFERROR(__xludf.DUMMYFUNCTION("""COMPUTED_VALUE"""),FALSE)</f>
        <v>0</v>
      </c>
      <c r="W290" s="74">
        <f>IFERROR(__xludf.DUMMYFUNCTION("""COMPUTED_VALUE"""),336.0)</f>
        <v>336</v>
      </c>
      <c r="X290" s="74">
        <f>IFERROR(__xludf.DUMMYFUNCTION("""COMPUTED_VALUE"""),1992.0)</f>
        <v>1992</v>
      </c>
      <c r="Y290" s="74">
        <f>IFERROR(__xludf.DUMMYFUNCTION("""COMPUTED_VALUE"""),2019.0)</f>
        <v>2019</v>
      </c>
      <c r="Z290" s="75">
        <f>IFERROR(__xludf.DUMMYFUNCTION("""COMPUTED_VALUE"""),4.0)</f>
        <v>4</v>
      </c>
    </row>
    <row r="291">
      <c r="A291" s="65" t="str">
        <f>IFERROR(__xludf.DUMMYFUNCTION("""COMPUTED_VALUE"""),"Iberostar Selection Bavaro Suites")</f>
        <v>Iberostar Selection Bavaro Suites</v>
      </c>
      <c r="B291" s="66">
        <f>IFERROR(__xludf.DUMMYFUNCTION("""COMPUTED_VALUE"""),88.0)</f>
        <v>88</v>
      </c>
      <c r="C291" s="67" t="str">
        <f>IFERROR(__xludf.DUMMYFUNCTION("""COMPUTED_VALUE"""),"Family")</f>
        <v>Family</v>
      </c>
      <c r="D291" s="79">
        <f>IFERROR(__xludf.DUMMYFUNCTION("""COMPUTED_VALUE"""),4133.49)</f>
        <v>4133.49</v>
      </c>
      <c r="E291" s="79">
        <f>IFERROR(__xludf.DUMMYFUNCTION("""COMPUTED_VALUE"""),5708.555951150999)</f>
        <v>5708.555951</v>
      </c>
      <c r="F291" s="69">
        <f>IFERROR(__xludf.DUMMYFUNCTION("""COMPUTED_VALUE"""),1.94)</f>
        <v>1.94</v>
      </c>
      <c r="G291" s="78"/>
      <c r="H291" s="78">
        <f>IFERROR(__xludf.DUMMYFUNCTION("""COMPUTED_VALUE"""),7.0)</f>
        <v>7</v>
      </c>
      <c r="I291" s="78"/>
      <c r="J291" s="78">
        <f>IFERROR(__xludf.DUMMYFUNCTION("""COMPUTED_VALUE"""),5.0)</f>
        <v>5</v>
      </c>
      <c r="K291" s="71"/>
      <c r="L291" s="76" t="str">
        <f>IFERROR(__xludf.DUMMYFUNCTION("""COMPUTED_VALUE"""),"Dominican Republic")</f>
        <v>Dominican Republic</v>
      </c>
      <c r="M291" s="76" t="str">
        <f>IFERROR(__xludf.DUMMYFUNCTION("""COMPUTED_VALUE"""),"Bavaro")</f>
        <v>Bavaro</v>
      </c>
      <c r="N291" s="76" t="str">
        <f>IFERROR(__xludf.DUMMYFUNCTION("""COMPUTED_VALUE"""),"Punta Cana")</f>
        <v>Punta Cana</v>
      </c>
      <c r="O291" s="78" t="b">
        <f>IFERROR(__xludf.DUMMYFUNCTION("""COMPUTED_VALUE"""),TRUE)</f>
        <v>1</v>
      </c>
      <c r="P291" s="80">
        <f>IFERROR(__xludf.DUMMYFUNCTION("""COMPUTED_VALUE"""),0.016666666666666666)</f>
        <v>0.01666666667</v>
      </c>
      <c r="Q291" s="76" t="str">
        <f>IFERROR(__xludf.DUMMYFUNCTION("""COMPUTED_VALUE"""),"IHG")</f>
        <v>IHG</v>
      </c>
      <c r="R291" s="76" t="str">
        <f>IFERROR(__xludf.DUMMYFUNCTION("""COMPUTED_VALUE"""),"Green, Bay View")</f>
        <v>Green, Bay View</v>
      </c>
      <c r="S291" s="76" t="str">
        <f>IFERROR(__xludf.DUMMYFUNCTION("""COMPUTED_VALUE"""),"Beach, Family Suite, 2 Bedroom Suites, Kids Club, Kids Waterpark, Gym, Diving, Yoga Classes, Buffet, Evening Entertainment, Pets Allowed, Babysitting, Swim Up Bar, Tennis, Nightclub, Spa")</f>
        <v>Beach, Family Suite, 2 Bedroom Suites, Kids Club, Kids Waterpark, Gym, Diving, Yoga Classes, Buffet, Evening Entertainment, Pets Allowed, Babysitting, Swim Up Bar, Tennis, Nightclub, Spa</v>
      </c>
      <c r="T291" s="76" t="str">
        <f>IFERROR(__xludf.DUMMYFUNCTION("""COMPUTED_VALUE"""),"Yes")</f>
        <v>Yes</v>
      </c>
      <c r="U291" s="76" t="str">
        <f>IFERROR(__xludf.DUMMYFUNCTION("""COMPUTED_VALUE"""),"1 King or 2 Double")</f>
        <v>1 King or 2 Double</v>
      </c>
      <c r="V291" s="78" t="b">
        <f>IFERROR(__xludf.DUMMYFUNCTION("""COMPUTED_VALUE"""),FALSE)</f>
        <v>0</v>
      </c>
      <c r="W291" s="78">
        <f>IFERROR(__xludf.DUMMYFUNCTION("""COMPUTED_VALUE"""),614.0)</f>
        <v>614</v>
      </c>
      <c r="X291" s="78"/>
      <c r="Y291" s="78">
        <f>IFERROR(__xludf.DUMMYFUNCTION("""COMPUTED_VALUE"""),2016.0)</f>
        <v>2016</v>
      </c>
      <c r="Z291" s="81"/>
    </row>
    <row r="292">
      <c r="A292" s="65" t="str">
        <f>IFERROR(__xludf.DUMMYFUNCTION("""COMPUTED_VALUE"""),"The Reef 28")</f>
        <v>The Reef 28</v>
      </c>
      <c r="B292" s="66">
        <f>IFERROR(__xludf.DUMMYFUNCTION("""COMPUTED_VALUE"""),88.0)</f>
        <v>88</v>
      </c>
      <c r="C292" s="67" t="str">
        <f>IFERROR(__xludf.DUMMYFUNCTION("""COMPUTED_VALUE"""),"Adults Only")</f>
        <v>Adults Only</v>
      </c>
      <c r="D292" s="79">
        <f>IFERROR(__xludf.DUMMYFUNCTION("""COMPUTED_VALUE"""),4438.28)</f>
        <v>4438.28</v>
      </c>
      <c r="E292" s="79">
        <f>IFERROR(__xludf.DUMMYFUNCTION("""COMPUTED_VALUE"""),6129.486150171999)</f>
        <v>6129.48615</v>
      </c>
      <c r="F292" s="69">
        <f>IFERROR(__xludf.DUMMYFUNCTION("""COMPUTED_VALUE"""),1.8)</f>
        <v>1.8</v>
      </c>
      <c r="G292" s="70"/>
      <c r="H292" s="70">
        <f>IFERROR(__xludf.DUMMYFUNCTION("""COMPUTED_VALUE"""),7.0)</f>
        <v>7</v>
      </c>
      <c r="I292" s="70"/>
      <c r="J292" s="70">
        <f>IFERROR(__xludf.DUMMYFUNCTION("""COMPUTED_VALUE"""),4.0)</f>
        <v>4</v>
      </c>
      <c r="K292" s="76"/>
      <c r="L292" s="76" t="str">
        <f>IFERROR(__xludf.DUMMYFUNCTION("""COMPUTED_VALUE"""),"Mexico")</f>
        <v>Mexico</v>
      </c>
      <c r="M292" s="71" t="str">
        <f>IFERROR(__xludf.DUMMYFUNCTION("""COMPUTED_VALUE"""),"Playa del Carmen")</f>
        <v>Playa del Carmen</v>
      </c>
      <c r="N292" s="71" t="str">
        <f>IFERROR(__xludf.DUMMYFUNCTION("""COMPUTED_VALUE"""),"Cancun")</f>
        <v>Cancun</v>
      </c>
      <c r="O292" s="70" t="b">
        <f>IFERROR(__xludf.DUMMYFUNCTION("""COMPUTED_VALUE"""),TRUE)</f>
        <v>1</v>
      </c>
      <c r="P292" s="73">
        <f>IFERROR(__xludf.DUMMYFUNCTION("""COMPUTED_VALUE"""),0.03263888888888889)</f>
        <v>0.03263888889</v>
      </c>
      <c r="Q292" s="76"/>
      <c r="R292" s="71" t="str">
        <f>IFERROR(__xludf.DUMMYFUNCTION("""COMPUTED_VALUE"""),"City View, Business")</f>
        <v>City View, Business</v>
      </c>
      <c r="S292" s="71" t="str">
        <f>IFERROR(__xludf.DUMMYFUNCTION("""COMPUTED_VALUE"""),"Heated Pool, Gym, Watersports Equipment Rentals, Yoga Classes, Room Service, Wifi (Free), Diving, Buffet, Nightclub, Spa")</f>
        <v>Heated Pool, Gym, Watersports Equipment Rentals, Yoga Classes, Room Service, Wifi (Free), Diving, Buffet, Nightclub, Spa</v>
      </c>
      <c r="T292" s="71"/>
      <c r="U292" s="71"/>
      <c r="V292" s="70" t="b">
        <f>IFERROR(__xludf.DUMMYFUNCTION("""COMPUTED_VALUE"""),TRUE)</f>
        <v>1</v>
      </c>
      <c r="W292" s="70">
        <f>IFERROR(__xludf.DUMMYFUNCTION("""COMPUTED_VALUE"""),120.0)</f>
        <v>120</v>
      </c>
      <c r="X292" s="70">
        <f>IFERROR(__xludf.DUMMYFUNCTION("""COMPUTED_VALUE"""),2017.0)</f>
        <v>2017</v>
      </c>
      <c r="Y292" s="70"/>
      <c r="Z292" s="83">
        <f>IFERROR(__xludf.DUMMYFUNCTION("""COMPUTED_VALUE"""),5.0)</f>
        <v>5</v>
      </c>
    </row>
    <row r="293">
      <c r="A293" s="65" t="str">
        <f>IFERROR(__xludf.DUMMYFUNCTION("""COMPUTED_VALUE"""),"Dreams Onyx Resort &amp; Spa")</f>
        <v>Dreams Onyx Resort &amp; Spa</v>
      </c>
      <c r="B293" s="66">
        <f>IFERROR(__xludf.DUMMYFUNCTION("""COMPUTED_VALUE"""),88.0)</f>
        <v>88</v>
      </c>
      <c r="C293" s="67" t="str">
        <f>IFERROR(__xludf.DUMMYFUNCTION("""COMPUTED_VALUE"""),"Family")</f>
        <v>Family</v>
      </c>
      <c r="D293" s="68">
        <f>IFERROR(__xludf.DUMMYFUNCTION("""COMPUTED_VALUE"""),4515.0)</f>
        <v>4515</v>
      </c>
      <c r="E293" s="79">
        <f>IFERROR(__xludf.DUMMYFUNCTION("""COMPUTED_VALUE"""),6235.440298499999)</f>
        <v>6235.440299</v>
      </c>
      <c r="F293" s="69">
        <f>IFERROR(__xludf.DUMMYFUNCTION("""COMPUTED_VALUE"""),1.77)</f>
        <v>1.77</v>
      </c>
      <c r="G293" s="78">
        <f>IFERROR(__xludf.DUMMYFUNCTION("""COMPUTED_VALUE"""),4.0)</f>
        <v>4</v>
      </c>
      <c r="H293" s="78">
        <f>IFERROR(__xludf.DUMMYFUNCTION("""COMPUTED_VALUE"""),8.0)</f>
        <v>8</v>
      </c>
      <c r="I293" s="78" t="str">
        <f>IFERROR(__xludf.DUMMYFUNCTION("""COMPUTED_VALUE"""),"B")</f>
        <v>B</v>
      </c>
      <c r="J293" s="78">
        <f>IFERROR(__xludf.DUMMYFUNCTION("""COMPUTED_VALUE"""),4.5)</f>
        <v>4.5</v>
      </c>
      <c r="K293" s="76"/>
      <c r="L293" s="76" t="str">
        <f>IFERROR(__xludf.DUMMYFUNCTION("""COMPUTED_VALUE"""),"Dominican Republic")</f>
        <v>Dominican Republic</v>
      </c>
      <c r="M293" s="71" t="str">
        <f>IFERROR(__xludf.DUMMYFUNCTION("""COMPUTED_VALUE"""),"Punta Cana")</f>
        <v>Punta Cana</v>
      </c>
      <c r="N293" s="76" t="str">
        <f>IFERROR(__xludf.DUMMYFUNCTION("""COMPUTED_VALUE"""),"Punta Cana")</f>
        <v>Punta Cana</v>
      </c>
      <c r="O293" s="70" t="b">
        <f>IFERROR(__xludf.DUMMYFUNCTION("""COMPUTED_VALUE"""),TRUE)</f>
        <v>1</v>
      </c>
      <c r="P293" s="73">
        <f>IFERROR(__xludf.DUMMYFUNCTION("""COMPUTED_VALUE"""),0.025)</f>
        <v>0.025</v>
      </c>
      <c r="Q293" s="76" t="str">
        <f>IFERROR(__xludf.DUMMYFUNCTION("""COMPUTED_VALUE"""),"Hyatt")</f>
        <v>Hyatt</v>
      </c>
      <c r="R293" s="76" t="str">
        <f>IFERROR(__xludf.DUMMYFUNCTION("""COMPUTED_VALUE"""),"Value, Ocean View")</f>
        <v>Value, Ocean View</v>
      </c>
      <c r="S293" s="71" t="str">
        <f>IFERROR(__xludf.DUMMYFUNCTION("""COMPUTED_VALUE"""),"Beach, Swim Out/Plunge Pool Rooms, Family Suite, 2 Bedroom Suites, Kids Club, Teen Club, Lazy River, Kids Waterpark, Big Waterslides, Kids Club for Under 4, Gym, Tennis, Swim Up Bar, Evening Entertainment, Wifi (Free), Babysitting, Adult Pool, Buffet, Spa")</f>
        <v>Beach, Swim Out/Plunge Pool Rooms, Family Suite, 2 Bedroom Suites, Kids Club, Teen Club, Lazy River, Kids Waterpark, Big Waterslides, Kids Club for Under 4, Gym, Tennis, Swim Up Bar, Evening Entertainment, Wifi (Free), Babysitting, Adult Pool, Buffet, Spa</v>
      </c>
      <c r="T293" s="71" t="str">
        <f>IFERROR(__xludf.DUMMYFUNCTION("""COMPUTED_VALUE"""),"Yes")</f>
        <v>Yes</v>
      </c>
      <c r="U293" s="71" t="str">
        <f>IFERROR(__xludf.DUMMYFUNCTION("""COMPUTED_VALUE"""),"1 King or 2 Double")</f>
        <v>1 King or 2 Double</v>
      </c>
      <c r="V293" s="78" t="b">
        <f>IFERROR(__xludf.DUMMYFUNCTION("""COMPUTED_VALUE"""),FALSE)</f>
        <v>0</v>
      </c>
      <c r="W293" s="78">
        <f>IFERROR(__xludf.DUMMYFUNCTION("""COMPUTED_VALUE"""),502.0)</f>
        <v>502</v>
      </c>
      <c r="X293" s="78">
        <f>IFERROR(__xludf.DUMMYFUNCTION("""COMPUTED_VALUE"""),2016.0)</f>
        <v>2016</v>
      </c>
      <c r="Y293" s="78"/>
      <c r="Z293" s="81"/>
    </row>
    <row r="294">
      <c r="A294" s="65" t="str">
        <f>IFERROR(__xludf.DUMMYFUNCTION("""COMPUTED_VALUE"""),"Pueblo Bonito Rose Resort &amp; Spa")</f>
        <v>Pueblo Bonito Rose Resort &amp; Spa</v>
      </c>
      <c r="B294" s="66">
        <f>IFERROR(__xludf.DUMMYFUNCTION("""COMPUTED_VALUE"""),88.0)</f>
        <v>88</v>
      </c>
      <c r="C294" s="67" t="str">
        <f>IFERROR(__xludf.DUMMYFUNCTION("""COMPUTED_VALUE"""),"Family")</f>
        <v>Family</v>
      </c>
      <c r="D294" s="85">
        <f>IFERROR(__xludf.DUMMYFUNCTION("""COMPUTED_VALUE"""),5174.4)</f>
        <v>5174.4</v>
      </c>
      <c r="E294" s="79">
        <f>IFERROR(__xludf.DUMMYFUNCTION("""COMPUTED_VALUE"""),7146.104602559999)</f>
        <v>7146.104603</v>
      </c>
      <c r="F294" s="69">
        <f>IFERROR(__xludf.DUMMYFUNCTION("""COMPUTED_VALUE"""),1.55)</f>
        <v>1.55</v>
      </c>
      <c r="G294" s="70">
        <f>IFERROR(__xludf.DUMMYFUNCTION("""COMPUTED_VALUE"""),3.0)</f>
        <v>3</v>
      </c>
      <c r="H294" s="78">
        <f>IFERROR(__xludf.DUMMYFUNCTION("""COMPUTED_VALUE"""),6.0)</f>
        <v>6</v>
      </c>
      <c r="I294" s="70"/>
      <c r="J294" s="78">
        <f>IFERROR(__xludf.DUMMYFUNCTION("""COMPUTED_VALUE"""),5.0)</f>
        <v>5</v>
      </c>
      <c r="K294" s="71"/>
      <c r="L294" s="76" t="str">
        <f>IFERROR(__xludf.DUMMYFUNCTION("""COMPUTED_VALUE"""),"Mexico")</f>
        <v>Mexico</v>
      </c>
      <c r="M294" s="76" t="str">
        <f>IFERROR(__xludf.DUMMYFUNCTION("""COMPUTED_VALUE"""),"Los Cabos")</f>
        <v>Los Cabos</v>
      </c>
      <c r="N294" s="76" t="str">
        <f>IFERROR(__xludf.DUMMYFUNCTION("""COMPUTED_VALUE"""),"Los Cabos")</f>
        <v>Los Cabos</v>
      </c>
      <c r="O294" s="78" t="b">
        <f>IFERROR(__xludf.DUMMYFUNCTION("""COMPUTED_VALUE"""),TRUE)</f>
        <v>1</v>
      </c>
      <c r="P294" s="80">
        <f>IFERROR(__xludf.DUMMYFUNCTION("""COMPUTED_VALUE"""),0.025694444444444443)</f>
        <v>0.02569444444</v>
      </c>
      <c r="Q294" s="71" t="str">
        <f>IFERROR(__xludf.DUMMYFUNCTION("""COMPUTED_VALUE"""),"Pueblo Bonito")</f>
        <v>Pueblo Bonito</v>
      </c>
      <c r="R294" s="76" t="str">
        <f>IFERROR(__xludf.DUMMYFUNCTION("""COMPUTED_VALUE"""),"Family, Centrally Located")</f>
        <v>Family, Centrally Located</v>
      </c>
      <c r="S294" s="76" t="str">
        <f>IFERROR(__xludf.DUMMYFUNCTION("""COMPUTED_VALUE"""),"Beach, Kids Club, Gym, Diving, Wifi (Paid), Buffet, Tennis, Spa, Babysitting, Room Service, Snorkelling, Fishing")</f>
        <v>Beach, Kids Club, Gym, Diving, Wifi (Paid), Buffet, Tennis, Spa, Babysitting, Room Service, Snorkelling, Fishing</v>
      </c>
      <c r="T294" s="76"/>
      <c r="U294" s="76" t="str">
        <f>IFERROR(__xludf.DUMMYFUNCTION("""COMPUTED_VALUE"""),"1 King or 2 Double")</f>
        <v>1 King or 2 Double</v>
      </c>
      <c r="V294" s="78" t="b">
        <f>IFERROR(__xludf.DUMMYFUNCTION("""COMPUTED_VALUE"""),FALSE)</f>
        <v>0</v>
      </c>
      <c r="W294" s="78">
        <f>IFERROR(__xludf.DUMMYFUNCTION("""COMPUTED_VALUE"""),260.0)</f>
        <v>260</v>
      </c>
      <c r="X294" s="78">
        <f>IFERROR(__xludf.DUMMYFUNCTION("""COMPUTED_VALUE"""),1997.0)</f>
        <v>1997</v>
      </c>
      <c r="Y294" s="70">
        <f>IFERROR(__xludf.DUMMYFUNCTION("""COMPUTED_VALUE"""),2001.0)</f>
        <v>2001</v>
      </c>
      <c r="Z294" s="81">
        <f>IFERROR(__xludf.DUMMYFUNCTION("""COMPUTED_VALUE"""),6.0)</f>
        <v>6</v>
      </c>
    </row>
    <row r="295">
      <c r="A295" s="65" t="str">
        <f>IFERROR(__xludf.DUMMYFUNCTION("""COMPUTED_VALUE"""),"Sensira Resort &amp; Spa Riviera Maya")</f>
        <v>Sensira Resort &amp; Spa Riviera Maya</v>
      </c>
      <c r="B295" s="66">
        <f>IFERROR(__xludf.DUMMYFUNCTION("""COMPUTED_VALUE"""),88.0)</f>
        <v>88</v>
      </c>
      <c r="C295" s="67" t="str">
        <f>IFERROR(__xludf.DUMMYFUNCTION("""COMPUTED_VALUE"""),"Family")</f>
        <v>Family</v>
      </c>
      <c r="D295" s="85">
        <f>IFERROR(__xludf.DUMMYFUNCTION("""COMPUTED_VALUE"""),5376.16)</f>
        <v>5376.16</v>
      </c>
      <c r="E295" s="79">
        <f>IFERROR(__xludf.DUMMYFUNCTION("""COMPUTED_VALUE"""),7424.745230383999)</f>
        <v>7424.74523</v>
      </c>
      <c r="F295" s="69">
        <f>IFERROR(__xludf.DUMMYFUNCTION("""COMPUTED_VALUE"""),1.49)</f>
        <v>1.49</v>
      </c>
      <c r="G295" s="70"/>
      <c r="H295" s="78" t="str">
        <f>IFERROR(__xludf.DUMMYFUNCTION("""COMPUTED_VALUE"""),"NYR")</f>
        <v>NYR</v>
      </c>
      <c r="I295" s="70"/>
      <c r="J295" s="78">
        <f>IFERROR(__xludf.DUMMYFUNCTION("""COMPUTED_VALUE"""),5.0)</f>
        <v>5</v>
      </c>
      <c r="K295" s="71"/>
      <c r="L295" s="76" t="str">
        <f>IFERROR(__xludf.DUMMYFUNCTION("""COMPUTED_VALUE"""),"Mexico")</f>
        <v>Mexico</v>
      </c>
      <c r="M295" s="76" t="str">
        <f>IFERROR(__xludf.DUMMYFUNCTION("""COMPUTED_VALUE"""),"Puerto Morelos")</f>
        <v>Puerto Morelos</v>
      </c>
      <c r="N295" s="76" t="str">
        <f>IFERROR(__xludf.DUMMYFUNCTION("""COMPUTED_VALUE"""),"Cancun")</f>
        <v>Cancun</v>
      </c>
      <c r="O295" s="78" t="b">
        <f>IFERROR(__xludf.DUMMYFUNCTION("""COMPUTED_VALUE"""),TRUE)</f>
        <v>1</v>
      </c>
      <c r="P295" s="80">
        <f>IFERROR(__xludf.DUMMYFUNCTION("""COMPUTED_VALUE"""),0.014583333333333334)</f>
        <v>0.01458333333</v>
      </c>
      <c r="Q295" s="71" t="str">
        <f>IFERROR(__xludf.DUMMYFUNCTION("""COMPUTED_VALUE"""),"Sensira Resorts")</f>
        <v>Sensira Resorts</v>
      </c>
      <c r="R295" s="76" t="str">
        <f>IFERROR(__xludf.DUMMYFUNCTION("""COMPUTED_VALUE"""),"Business, Ocean View")</f>
        <v>Business, Ocean View</v>
      </c>
      <c r="S295" s="76" t="str">
        <f>IFERROR(__xludf.DUMMYFUNCTION("""COMPUTED_VALUE"""),"Beach, Family Suite, 2 Bedroom Suites, Kids Club, Teen Club, Kids Waterpark, Pool Slide, Water Feature, Gym, Yoga Classes, Room Service, Tennis, Nightclub, Spa, Wifi (Free), Babysitting, Adult Pool, Buffet, Swim Up Bar, Mini Golf, Evening Entertainment")</f>
        <v>Beach, Family Suite, 2 Bedroom Suites, Kids Club, Teen Club, Kids Waterpark, Pool Slide, Water Feature, Gym, Yoga Classes, Room Service, Tennis, Nightclub, Spa, Wifi (Free), Babysitting, Adult Pool, Buffet, Swim Up Bar, Mini Golf, Evening Entertainment</v>
      </c>
      <c r="T295" s="76"/>
      <c r="U295" s="76" t="str">
        <f>IFERROR(__xludf.DUMMYFUNCTION("""COMPUTED_VALUE"""),"2 Queen")</f>
        <v>2 Queen</v>
      </c>
      <c r="V295" s="78" t="b">
        <f>IFERROR(__xludf.DUMMYFUNCTION("""COMPUTED_VALUE"""),TRUE)</f>
        <v>1</v>
      </c>
      <c r="W295" s="78">
        <f>IFERROR(__xludf.DUMMYFUNCTION("""COMPUTED_VALUE"""),359.0)</f>
        <v>359</v>
      </c>
      <c r="X295" s="78">
        <f>IFERROR(__xludf.DUMMYFUNCTION("""COMPUTED_VALUE"""),2020.0)</f>
        <v>2020</v>
      </c>
      <c r="Y295" s="78"/>
      <c r="Z295" s="81">
        <f>IFERROR(__xludf.DUMMYFUNCTION("""COMPUTED_VALUE"""),7.0)</f>
        <v>7</v>
      </c>
    </row>
    <row r="296">
      <c r="A296" s="65" t="str">
        <f>IFERROR(__xludf.DUMMYFUNCTION("""COMPUTED_VALUE"""),"Hotel Riu Palace Costa Mujeres")</f>
        <v>Hotel Riu Palace Costa Mujeres</v>
      </c>
      <c r="B296" s="66">
        <f>IFERROR(__xludf.DUMMYFUNCTION("""COMPUTED_VALUE"""),88.0)</f>
        <v>88</v>
      </c>
      <c r="C296" s="67" t="str">
        <f>IFERROR(__xludf.DUMMYFUNCTION("""COMPUTED_VALUE"""),"Family")</f>
        <v>Family</v>
      </c>
      <c r="D296" s="85">
        <f>IFERROR(__xludf.DUMMYFUNCTION("""COMPUTED_VALUE"""),5692.78)</f>
        <v>5692.78</v>
      </c>
      <c r="E296" s="79">
        <f>IFERROR(__xludf.DUMMYFUNCTION("""COMPUTED_VALUE"""),7862.013249721998)</f>
        <v>7862.01325</v>
      </c>
      <c r="F296" s="69">
        <f>IFERROR(__xludf.DUMMYFUNCTION("""COMPUTED_VALUE"""),1.41)</f>
        <v>1.41</v>
      </c>
      <c r="G296" s="78"/>
      <c r="H296" s="78">
        <f>IFERROR(__xludf.DUMMYFUNCTION("""COMPUTED_VALUE"""),7.0)</f>
        <v>7</v>
      </c>
      <c r="I296" s="78"/>
      <c r="J296" s="78">
        <f>IFERROR(__xludf.DUMMYFUNCTION("""COMPUTED_VALUE"""),5.0)</f>
        <v>5</v>
      </c>
      <c r="K296" s="76"/>
      <c r="L296" s="76" t="str">
        <f>IFERROR(__xludf.DUMMYFUNCTION("""COMPUTED_VALUE"""),"Mexico")</f>
        <v>Mexico</v>
      </c>
      <c r="M296" s="76" t="str">
        <f>IFERROR(__xludf.DUMMYFUNCTION("""COMPUTED_VALUE"""),"Playa Mujeres")</f>
        <v>Playa Mujeres</v>
      </c>
      <c r="N296" s="76" t="str">
        <f>IFERROR(__xludf.DUMMYFUNCTION("""COMPUTED_VALUE"""),"Cancun")</f>
        <v>Cancun</v>
      </c>
      <c r="O296" s="78" t="b">
        <f>IFERROR(__xludf.DUMMYFUNCTION("""COMPUTED_VALUE"""),TRUE)</f>
        <v>1</v>
      </c>
      <c r="P296" s="80">
        <f>IFERROR(__xludf.DUMMYFUNCTION("""COMPUTED_VALUE"""),0.027777777777777776)</f>
        <v>0.02777777778</v>
      </c>
      <c r="Q296" s="76" t="str">
        <f>IFERROR(__xludf.DUMMYFUNCTION("""COMPUTED_VALUE"""),"Riu")</f>
        <v>Riu</v>
      </c>
      <c r="R296" s="76" t="str">
        <f>IFERROR(__xludf.DUMMYFUNCTION("""COMPUTED_VALUE"""),"Trendy, Modern")</f>
        <v>Trendy, Modern</v>
      </c>
      <c r="S296" s="76" t="str">
        <f>IFERROR(__xludf.DUMMYFUNCTION("""COMPUTED_VALUE"""),"Beach, Swim Out/Plunge Pool Rooms, Adults Only Rooms, Kids Club, Kids Waterpark, Big Waterslides, Gym, Swim Up Bar, Evening Entertainment, Spa, Wifi (Free), Babysitting, Buffet")</f>
        <v>Beach, Swim Out/Plunge Pool Rooms, Adults Only Rooms, Kids Club, Kids Waterpark, Big Waterslides, Gym, Swim Up Bar, Evening Entertainment, Spa, Wifi (Free), Babysitting, Buffet</v>
      </c>
      <c r="T296" s="76"/>
      <c r="U296" s="76" t="str">
        <f>IFERROR(__xludf.DUMMYFUNCTION("""COMPUTED_VALUE"""),"1 King or 2 Small Double")</f>
        <v>1 King or 2 Small Double</v>
      </c>
      <c r="V296" s="78" t="b">
        <f>IFERROR(__xludf.DUMMYFUNCTION("""COMPUTED_VALUE"""),FALSE)</f>
        <v>0</v>
      </c>
      <c r="W296" s="78">
        <f>IFERROR(__xludf.DUMMYFUNCTION("""COMPUTED_VALUE"""),670.0)</f>
        <v>670</v>
      </c>
      <c r="X296" s="78">
        <f>IFERROR(__xludf.DUMMYFUNCTION("""COMPUTED_VALUE"""),2018.0)</f>
        <v>2018</v>
      </c>
      <c r="Y296" s="78"/>
      <c r="Z296" s="81">
        <f>IFERROR(__xludf.DUMMYFUNCTION("""COMPUTED_VALUE"""),5.0)</f>
        <v>5</v>
      </c>
    </row>
    <row r="297">
      <c r="A297" s="65" t="str">
        <f>IFERROR(__xludf.DUMMYFUNCTION("""COMPUTED_VALUE"""),"Dreams Royal Beach Punta Cana")</f>
        <v>Dreams Royal Beach Punta Cana</v>
      </c>
      <c r="B297" s="66">
        <f>IFERROR(__xludf.DUMMYFUNCTION("""COMPUTED_VALUE"""),88.0)</f>
        <v>88</v>
      </c>
      <c r="C297" s="67" t="str">
        <f>IFERROR(__xludf.DUMMYFUNCTION("""COMPUTED_VALUE"""),"Family")</f>
        <v>Family</v>
      </c>
      <c r="D297" s="85">
        <f>IFERROR(__xludf.DUMMYFUNCTION("""COMPUTED_VALUE"""),6020.0)</f>
        <v>6020</v>
      </c>
      <c r="E297" s="79">
        <f>IFERROR(__xludf.DUMMYFUNCTION("""COMPUTED_VALUE"""),8313.920397999998)</f>
        <v>8313.920398</v>
      </c>
      <c r="F297" s="69">
        <f>IFERROR(__xludf.DUMMYFUNCTION("""COMPUTED_VALUE"""),1.33)</f>
        <v>1.33</v>
      </c>
      <c r="G297" s="78">
        <f>IFERROR(__xludf.DUMMYFUNCTION("""COMPUTED_VALUE"""),4.0)</f>
        <v>4</v>
      </c>
      <c r="H297" s="74" t="str">
        <f>IFERROR(__xludf.DUMMYFUNCTION("""COMPUTED_VALUE"""),"NYR")</f>
        <v>NYR</v>
      </c>
      <c r="I297" s="78" t="str">
        <f>IFERROR(__xludf.DUMMYFUNCTION("""COMPUTED_VALUE"""),"B")</f>
        <v>B</v>
      </c>
      <c r="J297" s="78">
        <f>IFERROR(__xludf.DUMMYFUNCTION("""COMPUTED_VALUE"""),4.5)</f>
        <v>4.5</v>
      </c>
      <c r="K297" s="71"/>
      <c r="L297" s="76" t="str">
        <f>IFERROR(__xludf.DUMMYFUNCTION("""COMPUTED_VALUE"""),"Dominican Republic")</f>
        <v>Dominican Republic</v>
      </c>
      <c r="M297" s="76" t="str">
        <f>IFERROR(__xludf.DUMMYFUNCTION("""COMPUTED_VALUE"""),"Bavaro")</f>
        <v>Bavaro</v>
      </c>
      <c r="N297" s="76" t="str">
        <f>IFERROR(__xludf.DUMMYFUNCTION("""COMPUTED_VALUE"""),"Punta Cana")</f>
        <v>Punta Cana</v>
      </c>
      <c r="O297" s="78" t="b">
        <f>IFERROR(__xludf.DUMMYFUNCTION("""COMPUTED_VALUE"""),TRUE)</f>
        <v>1</v>
      </c>
      <c r="P297" s="80">
        <f>IFERROR(__xludf.DUMMYFUNCTION("""COMPUTED_VALUE"""),0.015277777777777777)</f>
        <v>0.01527777778</v>
      </c>
      <c r="Q297" s="76" t="str">
        <f>IFERROR(__xludf.DUMMYFUNCTION("""COMPUTED_VALUE"""),"Hyatt")</f>
        <v>Hyatt</v>
      </c>
      <c r="R297" s="76" t="str">
        <f>IFERROR(__xludf.DUMMYFUNCTION("""COMPUTED_VALUE"""),"Bay View, Great View")</f>
        <v>Bay View, Great View</v>
      </c>
      <c r="S297" s="76" t="str">
        <f>IFERROR(__xludf.DUMMYFUNCTION("""COMPUTED_VALUE"""),"Beach, Swim Out/Plunge Pool Rooms, Family Suite, 2 Bedroom Suites, Kids Club, Teen Club, Lazy River, Big Waterslides, Kids Club for Under 4, Gym, Casino, Yoga Classes, Room Service, Swim Up Bar, Diving, Snorkelling, Evening Entertainment, Babysitting, Buf"&amp;"fet, Tennis, Nightclub, Spa")</f>
        <v>Beach, Swim Out/Plunge Pool Rooms, Family Suite, 2 Bedroom Suites, Kids Club, Teen Club, Lazy River, Big Waterslides, Kids Club for Under 4, Gym, Casino, Yoga Classes, Room Service, Swim Up Bar, Diving, Snorkelling, Evening Entertainment, Babysitting, Buffet, Tennis, Nightclub, Spa</v>
      </c>
      <c r="T297" s="76" t="str">
        <f>IFERROR(__xludf.DUMMYFUNCTION("""COMPUTED_VALUE"""),"Yes")</f>
        <v>Yes</v>
      </c>
      <c r="U297" s="76" t="str">
        <f>IFERROR(__xludf.DUMMYFUNCTION("""COMPUTED_VALUE"""),"1 King or 2 Double")</f>
        <v>1 King or 2 Double</v>
      </c>
      <c r="V297" s="78" t="b">
        <f>IFERROR(__xludf.DUMMYFUNCTION("""COMPUTED_VALUE"""),FALSE)</f>
        <v>0</v>
      </c>
      <c r="W297" s="78">
        <f>IFERROR(__xludf.DUMMYFUNCTION("""COMPUTED_VALUE"""),540.0)</f>
        <v>540</v>
      </c>
      <c r="X297" s="78"/>
      <c r="Y297" s="78">
        <f>IFERROR(__xludf.DUMMYFUNCTION("""COMPUTED_VALUE"""),2020.0)</f>
        <v>2020</v>
      </c>
      <c r="Z297" s="81">
        <f>IFERROR(__xludf.DUMMYFUNCTION("""COMPUTED_VALUE"""),3.0)</f>
        <v>3</v>
      </c>
    </row>
    <row r="298">
      <c r="A298" s="65" t="str">
        <f>IFERROR(__xludf.DUMMYFUNCTION("""COMPUTED_VALUE"""),"Hyatt Ziva Los Cabos")</f>
        <v>Hyatt Ziva Los Cabos</v>
      </c>
      <c r="B298" s="66">
        <f>IFERROR(__xludf.DUMMYFUNCTION("""COMPUTED_VALUE"""),88.0)</f>
        <v>88</v>
      </c>
      <c r="C298" s="67" t="str">
        <f>IFERROR(__xludf.DUMMYFUNCTION("""COMPUTED_VALUE"""),"Family")</f>
        <v>Family</v>
      </c>
      <c r="D298" s="79">
        <f>IFERROR(__xludf.DUMMYFUNCTION("""COMPUTED_VALUE"""),6175.04)</f>
        <v>6175.04</v>
      </c>
      <c r="E298" s="79">
        <f>IFERROR(__xludf.DUMMYFUNCTION("""COMPUTED_VALUE"""),8528.038374495998)</f>
        <v>8528.038374</v>
      </c>
      <c r="F298" s="69">
        <f>IFERROR(__xludf.DUMMYFUNCTION("""COMPUTED_VALUE"""),1.3)</f>
        <v>1.3</v>
      </c>
      <c r="G298" s="78">
        <f>IFERROR(__xludf.DUMMYFUNCTION("""COMPUTED_VALUE"""),4.0)</f>
        <v>4</v>
      </c>
      <c r="H298" s="78">
        <f>IFERROR(__xludf.DUMMYFUNCTION("""COMPUTED_VALUE"""),8.0)</f>
        <v>8</v>
      </c>
      <c r="I298" s="78" t="str">
        <f>IFERROR(__xludf.DUMMYFUNCTION("""COMPUTED_VALUE"""),"E")</f>
        <v>E</v>
      </c>
      <c r="J298" s="78">
        <f>IFERROR(__xludf.DUMMYFUNCTION("""COMPUTED_VALUE"""),5.0)</f>
        <v>5</v>
      </c>
      <c r="K298" s="71"/>
      <c r="L298" s="76" t="str">
        <f>IFERROR(__xludf.DUMMYFUNCTION("""COMPUTED_VALUE"""),"Mexico")</f>
        <v>Mexico</v>
      </c>
      <c r="M298" s="76" t="str">
        <f>IFERROR(__xludf.DUMMYFUNCTION("""COMPUTED_VALUE"""),"San Jose del Cabo")</f>
        <v>San Jose del Cabo</v>
      </c>
      <c r="N298" s="76" t="str">
        <f>IFERROR(__xludf.DUMMYFUNCTION("""COMPUTED_VALUE"""),"Los Cabos")</f>
        <v>Los Cabos</v>
      </c>
      <c r="O298" s="78" t="b">
        <f>IFERROR(__xludf.DUMMYFUNCTION("""COMPUTED_VALUE"""),TRUE)</f>
        <v>1</v>
      </c>
      <c r="P298" s="80">
        <f>IFERROR(__xludf.DUMMYFUNCTION("""COMPUTED_VALUE"""),0.01597222222222222)</f>
        <v>0.01597222222</v>
      </c>
      <c r="Q298" s="76" t="str">
        <f>IFERROR(__xludf.DUMMYFUNCTION("""COMPUTED_VALUE"""),"Hyatt")</f>
        <v>Hyatt</v>
      </c>
      <c r="R298" s="76" t="str">
        <f>IFERROR(__xludf.DUMMYFUNCTION("""COMPUTED_VALUE"""),"Green, Business")</f>
        <v>Green, Business</v>
      </c>
      <c r="S298" s="76" t="str">
        <f>IFERROR(__xludf.DUMMYFUNCTION("""COMPUTED_VALUE"""),"Beach, Swim Out/Plunge Pool Rooms, Family Suite, 2 Bedroom Suites, Kids Club, Teen Club, Kids Waterpark, Pool Slide, Water Feature, Heated Pool, Gym, Tennis, Adult Pool, Spa, Wifi (Free), Babysitting, Buffet, Swim Up Bar, Evening Entertainment, Nightclub")</f>
        <v>Beach, Swim Out/Plunge Pool Rooms, Family Suite, 2 Bedroom Suites, Kids Club, Teen Club, Kids Waterpark, Pool Slide, Water Feature, Heated Pool, Gym, Tennis, Adult Pool, Spa, Wifi (Free), Babysitting, Buffet, Swim Up Bar, Evening Entertainment, Nightclub</v>
      </c>
      <c r="T298" s="76" t="str">
        <f>IFERROR(__xludf.DUMMYFUNCTION("""COMPUTED_VALUE"""),"Can Request")</f>
        <v>Can Request</v>
      </c>
      <c r="U298" s="76" t="str">
        <f>IFERROR(__xludf.DUMMYFUNCTION("""COMPUTED_VALUE"""),"1 King or 2 Double")</f>
        <v>1 King or 2 Double</v>
      </c>
      <c r="V298" s="78" t="b">
        <f>IFERROR(__xludf.DUMMYFUNCTION("""COMPUTED_VALUE"""),FALSE)</f>
        <v>0</v>
      </c>
      <c r="W298" s="78">
        <f>IFERROR(__xludf.DUMMYFUNCTION("""COMPUTED_VALUE"""),591.0)</f>
        <v>591</v>
      </c>
      <c r="X298" s="78">
        <f>IFERROR(__xludf.DUMMYFUNCTION("""COMPUTED_VALUE"""),2009.0)</f>
        <v>2009</v>
      </c>
      <c r="Y298" s="78">
        <f>IFERROR(__xludf.DUMMYFUNCTION("""COMPUTED_VALUE"""),2024.0)</f>
        <v>2024</v>
      </c>
      <c r="Z298" s="81">
        <f>IFERROR(__xludf.DUMMYFUNCTION("""COMPUTED_VALUE"""),7.0)</f>
        <v>7</v>
      </c>
    </row>
    <row r="299">
      <c r="A299" s="65" t="str">
        <f>IFERROR(__xludf.DUMMYFUNCTION("""COMPUTED_VALUE"""),"Zoetry Marigot Bay St. Lucia")</f>
        <v>Zoetry Marigot Bay St. Lucia</v>
      </c>
      <c r="B299" s="66">
        <f>IFERROR(__xludf.DUMMYFUNCTION("""COMPUTED_VALUE"""),88.0)</f>
        <v>88</v>
      </c>
      <c r="C299" s="67" t="str">
        <f>IFERROR(__xludf.DUMMYFUNCTION("""COMPUTED_VALUE"""),"Family")</f>
        <v>Family</v>
      </c>
      <c r="D299" s="85">
        <f>IFERROR(__xludf.DUMMYFUNCTION("""COMPUTED_VALUE"""),17409.0)</f>
        <v>17409</v>
      </c>
      <c r="E299" s="79">
        <f>IFERROR(__xludf.DUMMYFUNCTION("""COMPUTED_VALUE"""),24042.697709099997)</f>
        <v>24042.69771</v>
      </c>
      <c r="F299" s="69">
        <f>IFERROR(__xludf.DUMMYFUNCTION("""COMPUTED_VALUE"""),0.46)</f>
        <v>0.46</v>
      </c>
      <c r="G299" s="78"/>
      <c r="H299" s="78">
        <f>IFERROR(__xludf.DUMMYFUNCTION("""COMPUTED_VALUE"""),9.0)</f>
        <v>9</v>
      </c>
      <c r="I299" s="78" t="str">
        <f>IFERROR(__xludf.DUMMYFUNCTION("""COMPUTED_VALUE"""),"F")</f>
        <v>F</v>
      </c>
      <c r="J299" s="78">
        <f>IFERROR(__xludf.DUMMYFUNCTION("""COMPUTED_VALUE"""),5.0)</f>
        <v>5</v>
      </c>
      <c r="K299" s="71" t="str">
        <f>IFERROR(__xludf.DUMMYFUNCTION("""COMPUTED_VALUE"""),"Max 3 per Room")</f>
        <v>Max 3 per Room</v>
      </c>
      <c r="L299" s="76" t="str">
        <f>IFERROR(__xludf.DUMMYFUNCTION("""COMPUTED_VALUE"""),"Saint Lucia")</f>
        <v>Saint Lucia</v>
      </c>
      <c r="M299" s="76" t="str">
        <f>IFERROR(__xludf.DUMMYFUNCTION("""COMPUTED_VALUE"""),"St. Lucia")</f>
        <v>St. Lucia</v>
      </c>
      <c r="N299" s="72" t="str">
        <f>IFERROR(__xludf.DUMMYFUNCTION("""COMPUTED_VALUE"""),"Hewanorra")</f>
        <v>Hewanorra</v>
      </c>
      <c r="O299" s="74" t="b">
        <f>IFERROR(__xludf.DUMMYFUNCTION("""COMPUTED_VALUE"""),FALSE)</f>
        <v>0</v>
      </c>
      <c r="P299" s="73">
        <f>IFERROR(__xludf.DUMMYFUNCTION("""COMPUTED_VALUE"""),0.04513888888888889)</f>
        <v>0.04513888889</v>
      </c>
      <c r="Q299" s="72" t="str">
        <f>IFERROR(__xludf.DUMMYFUNCTION("""COMPUTED_VALUE"""),"Hyatt")</f>
        <v>Hyatt</v>
      </c>
      <c r="R299" s="71" t="str">
        <f>IFERROR(__xludf.DUMMYFUNCTION("""COMPUTED_VALUE"""),"Family, Bay View")</f>
        <v>Family, Bay View</v>
      </c>
      <c r="S299" s="76" t="str">
        <f>IFERROR(__xludf.DUMMYFUNCTION("""COMPUTED_VALUE"""),"Swim Out/Plunge Pool Rooms, Gym, Fishing, Buffet, Swim Up Bar, Spa, Wifi (Free), Babysitting")</f>
        <v>Swim Out/Plunge Pool Rooms, Gym, Fishing, Buffet, Swim Up Bar, Spa, Wifi (Free), Babysitting</v>
      </c>
      <c r="T299" s="76"/>
      <c r="U299" s="76" t="str">
        <f>IFERROR(__xludf.DUMMYFUNCTION("""COMPUTED_VALUE"""),"1 King or 2 Twin")</f>
        <v>1 King or 2 Twin</v>
      </c>
      <c r="V299" s="78" t="b">
        <f>IFERROR(__xludf.DUMMYFUNCTION("""COMPUTED_VALUE"""),FALSE)</f>
        <v>0</v>
      </c>
      <c r="W299" s="78">
        <f>IFERROR(__xludf.DUMMYFUNCTION("""COMPUTED_VALUE"""),124.0)</f>
        <v>124</v>
      </c>
      <c r="X299" s="78">
        <f>IFERROR(__xludf.DUMMYFUNCTION("""COMPUTED_VALUE"""),2006.0)</f>
        <v>2006</v>
      </c>
      <c r="Y299" s="74">
        <f>IFERROR(__xludf.DUMMYFUNCTION("""COMPUTED_VALUE"""),2022.0)</f>
        <v>2022</v>
      </c>
      <c r="Z299" s="81">
        <f>IFERROR(__xludf.DUMMYFUNCTION("""COMPUTED_VALUE"""),4.0)</f>
        <v>4</v>
      </c>
    </row>
    <row r="300">
      <c r="A300" s="65" t="str">
        <f>IFERROR(__xludf.DUMMYFUNCTION("""COMPUTED_VALUE"""),"Grand Hyatt Playa Del Carmen Resort")</f>
        <v>Grand Hyatt Playa Del Carmen Resort</v>
      </c>
      <c r="B300" s="66">
        <f>IFERROR(__xludf.DUMMYFUNCTION("""COMPUTED_VALUE"""),87.8)</f>
        <v>87.8</v>
      </c>
      <c r="C300" s="67" t="str">
        <f>IFERROR(__xludf.DUMMYFUNCTION("""COMPUTED_VALUE"""),"Family")</f>
        <v>Family</v>
      </c>
      <c r="D300" s="79">
        <f>IFERROR(__xludf.DUMMYFUNCTION("""COMPUTED_VALUE"""),4059.63)</f>
        <v>4059.63</v>
      </c>
      <c r="E300" s="79">
        <f>IFERROR(__xludf.DUMMYFUNCTION("""COMPUTED_VALUE"""),5606.551605537)</f>
        <v>5606.551606</v>
      </c>
      <c r="F300" s="69">
        <f>IFERROR(__xludf.DUMMYFUNCTION("""COMPUTED_VALUE"""),1.92)</f>
        <v>1.92</v>
      </c>
      <c r="G300" s="78">
        <f>IFERROR(__xludf.DUMMYFUNCTION("""COMPUTED_VALUE"""),4.0)</f>
        <v>4</v>
      </c>
      <c r="H300" s="74">
        <f>IFERROR(__xludf.DUMMYFUNCTION("""COMPUTED_VALUE"""),9.0)</f>
        <v>9</v>
      </c>
      <c r="I300" s="78"/>
      <c r="J300" s="78">
        <f>IFERROR(__xludf.DUMMYFUNCTION("""COMPUTED_VALUE"""),5.0)</f>
        <v>5</v>
      </c>
      <c r="K300" s="71"/>
      <c r="L300" s="76" t="str">
        <f>IFERROR(__xludf.DUMMYFUNCTION("""COMPUTED_VALUE"""),"Mexico")</f>
        <v>Mexico</v>
      </c>
      <c r="M300" s="76" t="str">
        <f>IFERROR(__xludf.DUMMYFUNCTION("""COMPUTED_VALUE"""),"Playa del Carmen")</f>
        <v>Playa del Carmen</v>
      </c>
      <c r="N300" s="76" t="str">
        <f>IFERROR(__xludf.DUMMYFUNCTION("""COMPUTED_VALUE"""),"Cancun")</f>
        <v>Cancun</v>
      </c>
      <c r="O300" s="78" t="b">
        <f>IFERROR(__xludf.DUMMYFUNCTION("""COMPUTED_VALUE"""),TRUE)</f>
        <v>1</v>
      </c>
      <c r="P300" s="80">
        <f>IFERROR(__xludf.DUMMYFUNCTION("""COMPUTED_VALUE"""),0.030555555555555555)</f>
        <v>0.03055555556</v>
      </c>
      <c r="Q300" s="76" t="str">
        <f>IFERROR(__xludf.DUMMYFUNCTION("""COMPUTED_VALUE"""),"Hyatt")</f>
        <v>Hyatt</v>
      </c>
      <c r="R300" s="76" t="str">
        <f>IFERROR(__xludf.DUMMYFUNCTION("""COMPUTED_VALUE"""),"Modern, Trendy")</f>
        <v>Modern, Trendy</v>
      </c>
      <c r="S300" s="76" t="str">
        <f>IFERROR(__xludf.DUMMYFUNCTION("""COMPUTED_VALUE"""),"Beach, Swim Out/Plunge Pool Rooms, Kids Club, Teen Club, Arcade, Heated Pool, Gym, Bicycles Available, Yoga Classes, Adult Pool, Room Service, Pets Allowed, Wifi (Free), Babysitting, Buffet, Nightclub, Spa")</f>
        <v>Beach, Swim Out/Plunge Pool Rooms, Kids Club, Teen Club, Arcade, Heated Pool, Gym, Bicycles Available, Yoga Classes, Adult Pool, Room Service, Pets Allowed, Wifi (Free), Babysitting, Buffet, Nightclub, Spa</v>
      </c>
      <c r="T300" s="76" t="str">
        <f>IFERROR(__xludf.DUMMYFUNCTION("""COMPUTED_VALUE"""),"Can Request")</f>
        <v>Can Request</v>
      </c>
      <c r="U300" s="76" t="str">
        <f>IFERROR(__xludf.DUMMYFUNCTION("""COMPUTED_VALUE"""),"1 King or 2 Queen")</f>
        <v>1 King or 2 Queen</v>
      </c>
      <c r="V300" s="74" t="b">
        <f>IFERROR(__xludf.DUMMYFUNCTION("""COMPUTED_VALUE"""),FALSE)</f>
        <v>0</v>
      </c>
      <c r="W300" s="74">
        <f>IFERROR(__xludf.DUMMYFUNCTION("""COMPUTED_VALUE"""),314.0)</f>
        <v>314</v>
      </c>
      <c r="X300" s="74">
        <f>IFERROR(__xludf.DUMMYFUNCTION("""COMPUTED_VALUE"""),2014.0)</f>
        <v>2014</v>
      </c>
      <c r="Y300" s="74"/>
      <c r="Z300" s="75">
        <f>IFERROR(__xludf.DUMMYFUNCTION("""COMPUTED_VALUE"""),5.0)</f>
        <v>5</v>
      </c>
    </row>
    <row r="301">
      <c r="A301" s="65" t="str">
        <f>IFERROR(__xludf.DUMMYFUNCTION("""COMPUTED_VALUE"""),"Hyatt Zilara Rose Hall")</f>
        <v>Hyatt Zilara Rose Hall</v>
      </c>
      <c r="B301" s="66">
        <f>IFERROR(__xludf.DUMMYFUNCTION("""COMPUTED_VALUE"""),87.8)</f>
        <v>87.8</v>
      </c>
      <c r="C301" s="67" t="str">
        <f>IFERROR(__xludf.DUMMYFUNCTION("""COMPUTED_VALUE"""),"Adults Only")</f>
        <v>Adults Only</v>
      </c>
      <c r="D301" s="79">
        <f>IFERROR(__xludf.DUMMYFUNCTION("""COMPUTED_VALUE"""),4775.56)</f>
        <v>4775.56</v>
      </c>
      <c r="E301" s="79">
        <f>IFERROR(__xludf.DUMMYFUNCTION("""COMPUTED_VALUE"""),6595.286660444)</f>
        <v>6595.28666</v>
      </c>
      <c r="F301" s="69">
        <f>IFERROR(__xludf.DUMMYFUNCTION("""COMPUTED_VALUE"""),1.63)</f>
        <v>1.63</v>
      </c>
      <c r="G301" s="78">
        <f>IFERROR(__xludf.DUMMYFUNCTION("""COMPUTED_VALUE"""),4.0)</f>
        <v>4</v>
      </c>
      <c r="H301" s="74">
        <f>IFERROR(__xludf.DUMMYFUNCTION("""COMPUTED_VALUE"""),8.0)</f>
        <v>8</v>
      </c>
      <c r="I301" s="78" t="str">
        <f>IFERROR(__xludf.DUMMYFUNCTION("""COMPUTED_VALUE"""),"E")</f>
        <v>E</v>
      </c>
      <c r="J301" s="78">
        <f>IFERROR(__xludf.DUMMYFUNCTION("""COMPUTED_VALUE"""),5.0)</f>
        <v>5</v>
      </c>
      <c r="K301" s="71"/>
      <c r="L301" s="76" t="str">
        <f>IFERROR(__xludf.DUMMYFUNCTION("""COMPUTED_VALUE"""),"Jamaica")</f>
        <v>Jamaica</v>
      </c>
      <c r="M301" s="76" t="str">
        <f>IFERROR(__xludf.DUMMYFUNCTION("""COMPUTED_VALUE"""),"Montego Bay")</f>
        <v>Montego Bay</v>
      </c>
      <c r="N301" s="76" t="str">
        <f>IFERROR(__xludf.DUMMYFUNCTION("""COMPUTED_VALUE"""),"Sangster")</f>
        <v>Sangster</v>
      </c>
      <c r="O301" s="78" t="b">
        <f>IFERROR(__xludf.DUMMYFUNCTION("""COMPUTED_VALUE"""),TRUE)</f>
        <v>1</v>
      </c>
      <c r="P301" s="80">
        <f>IFERROR(__xludf.DUMMYFUNCTION("""COMPUTED_VALUE"""),0.008333333333333333)</f>
        <v>0.008333333333</v>
      </c>
      <c r="Q301" s="76" t="str">
        <f>IFERROR(__xludf.DUMMYFUNCTION("""COMPUTED_VALUE"""),"Hyatt")</f>
        <v>Hyatt</v>
      </c>
      <c r="R301" s="76" t="str">
        <f>IFERROR(__xludf.DUMMYFUNCTION("""COMPUTED_VALUE"""),"Modern, Green")</f>
        <v>Modern, Green</v>
      </c>
      <c r="S301" s="76" t="str">
        <f>IFERROR(__xludf.DUMMYFUNCTION("""COMPUTED_VALUE"""),"Beach, Gym, Tennis, Swim Out/Plunge Pool Rooms, Swim Up Bar, Evening Entertainment, Wifi (Free), Buffet, Nightclub, Spa")</f>
        <v>Beach, Gym, Tennis, Swim Out/Plunge Pool Rooms, Swim Up Bar, Evening Entertainment, Wifi (Free), Buffet, Nightclub, Spa</v>
      </c>
      <c r="T301" s="76"/>
      <c r="U301" s="76"/>
      <c r="V301" s="74" t="b">
        <f>IFERROR(__xludf.DUMMYFUNCTION("""COMPUTED_VALUE"""),FALSE)</f>
        <v>0</v>
      </c>
      <c r="W301" s="74">
        <f>IFERROR(__xludf.DUMMYFUNCTION("""COMPUTED_VALUE"""),234.0)</f>
        <v>234</v>
      </c>
      <c r="X301" s="74">
        <f>IFERROR(__xludf.DUMMYFUNCTION("""COMPUTED_VALUE"""),2000.0)</f>
        <v>2000</v>
      </c>
      <c r="Y301" s="74">
        <f>IFERROR(__xludf.DUMMYFUNCTION("""COMPUTED_VALUE"""),2014.0)</f>
        <v>2014</v>
      </c>
      <c r="Z301" s="75">
        <f>IFERROR(__xludf.DUMMYFUNCTION("""COMPUTED_VALUE"""),5.0)</f>
        <v>5</v>
      </c>
    </row>
    <row r="302">
      <c r="A302" s="65" t="str">
        <f>IFERROR(__xludf.DUMMYFUNCTION("""COMPUTED_VALUE"""),"Coconut Bay Beach Resort &amp; Spa")</f>
        <v>Coconut Bay Beach Resort &amp; Spa</v>
      </c>
      <c r="B302" s="66">
        <f>IFERROR(__xludf.DUMMYFUNCTION("""COMPUTED_VALUE"""),87.8)</f>
        <v>87.8</v>
      </c>
      <c r="C302" s="67" t="str">
        <f>IFERROR(__xludf.DUMMYFUNCTION("""COMPUTED_VALUE"""),"Family")</f>
        <v>Family</v>
      </c>
      <c r="D302" s="79">
        <f>IFERROR(__xludf.DUMMYFUNCTION("""COMPUTED_VALUE"""),9534.0)</f>
        <v>9534</v>
      </c>
      <c r="E302" s="79">
        <f>IFERROR(__xludf.DUMMYFUNCTION("""COMPUTED_VALUE"""),13166.929746599999)</f>
        <v>13166.92975</v>
      </c>
      <c r="F302" s="69">
        <f>IFERROR(__xludf.DUMMYFUNCTION("""COMPUTED_VALUE"""),0.82)</f>
        <v>0.82</v>
      </c>
      <c r="G302" s="78"/>
      <c r="H302" s="78">
        <f>IFERROR(__xludf.DUMMYFUNCTION("""COMPUTED_VALUE"""),7.0)</f>
        <v>7</v>
      </c>
      <c r="I302" s="78"/>
      <c r="J302" s="78">
        <f>IFERROR(__xludf.DUMMYFUNCTION("""COMPUTED_VALUE"""),4.0)</f>
        <v>4</v>
      </c>
      <c r="K302" s="76"/>
      <c r="L302" s="76" t="str">
        <f>IFERROR(__xludf.DUMMYFUNCTION("""COMPUTED_VALUE"""),"Saint Lucia")</f>
        <v>Saint Lucia</v>
      </c>
      <c r="M302" s="76" t="str">
        <f>IFERROR(__xludf.DUMMYFUNCTION("""COMPUTED_VALUE"""),"Vieux Fort")</f>
        <v>Vieux Fort</v>
      </c>
      <c r="N302" s="76" t="str">
        <f>IFERROR(__xludf.DUMMYFUNCTION("""COMPUTED_VALUE"""),"Hewanorra")</f>
        <v>Hewanorra</v>
      </c>
      <c r="O302" s="78" t="b">
        <f>IFERROR(__xludf.DUMMYFUNCTION("""COMPUTED_VALUE"""),FALSE)</f>
        <v>0</v>
      </c>
      <c r="P302" s="80">
        <f>IFERROR(__xludf.DUMMYFUNCTION("""COMPUTED_VALUE"""),0.004166666666666667)</f>
        <v>0.004166666667</v>
      </c>
      <c r="Q302" s="76"/>
      <c r="R302" s="76" t="str">
        <f>IFERROR(__xludf.DUMMYFUNCTION("""COMPUTED_VALUE"""),"Charming")</f>
        <v>Charming</v>
      </c>
      <c r="S302" s="76" t="str">
        <f>IFERROR(__xludf.DUMMYFUNCTION("""COMPUTED_VALUE"""),"Beach, Adults Only Rooms, Family Suite, 2 Bedroom Suites, Kids Club, Teen Club, Lazy River, Kids Waterpark, Pool Slide, Water Feature, Gym, Diving, Yoga Classes, Adult Pool, Buffet, Swim Up Bar, Horseback Riding, Tennis, Windsurfing, Fishing, Nightclub, W"&amp;"ifi (Free), Babysitting, Hiking, Snorkelling, Evening Entertainment, Spa")</f>
        <v>Beach, Adults Only Rooms, Family Suite, 2 Bedroom Suites, Kids Club, Teen Club, Lazy River, Kids Waterpark, Pool Slide, Water Feature, Gym, Diving, Yoga Classes, Adult Pool, Buffet, Swim Up Bar, Horseback Riding, Tennis, Windsurfing, Fishing, Nightclub, Wifi (Free), Babysitting, Hiking, Snorkelling, Evening Entertainment, Spa</v>
      </c>
      <c r="T302" s="76" t="str">
        <f>IFERROR(__xludf.DUMMYFUNCTION("""COMPUTED_VALUE"""),"Yes")</f>
        <v>Yes</v>
      </c>
      <c r="U302" s="76" t="str">
        <f>IFERROR(__xludf.DUMMYFUNCTION("""COMPUTED_VALUE"""),"1 King or 2 Queen")</f>
        <v>1 King or 2 Queen</v>
      </c>
      <c r="V302" s="78" t="b">
        <f>IFERROR(__xludf.DUMMYFUNCTION("""COMPUTED_VALUE"""),FALSE)</f>
        <v>0</v>
      </c>
      <c r="W302" s="78">
        <f>IFERROR(__xludf.DUMMYFUNCTION("""COMPUTED_VALUE"""),250.0)</f>
        <v>250</v>
      </c>
      <c r="X302" s="78">
        <f>IFERROR(__xludf.DUMMYFUNCTION("""COMPUTED_VALUE"""),1970.0)</f>
        <v>1970</v>
      </c>
      <c r="Y302" s="78">
        <f>IFERROR(__xludf.DUMMYFUNCTION("""COMPUTED_VALUE"""),2024.0)</f>
        <v>2024</v>
      </c>
      <c r="Z302" s="81">
        <f>IFERROR(__xludf.DUMMYFUNCTION("""COMPUTED_VALUE"""),4.0)</f>
        <v>4</v>
      </c>
    </row>
    <row r="303">
      <c r="A303" s="65" t="str">
        <f>IFERROR(__xludf.DUMMYFUNCTION("""COMPUTED_VALUE"""),"Memories Jibacoa Adults Only - All Inclusive")</f>
        <v>Memories Jibacoa Adults Only - All Inclusive</v>
      </c>
      <c r="B303" s="66">
        <f>IFERROR(__xludf.DUMMYFUNCTION("""COMPUTED_VALUE"""),87.7)</f>
        <v>87.7</v>
      </c>
      <c r="C303" s="67" t="str">
        <f>IFERROR(__xludf.DUMMYFUNCTION("""COMPUTED_VALUE"""),"Adults Only")</f>
        <v>Adults Only</v>
      </c>
      <c r="D303" s="79">
        <f>IFERROR(__xludf.DUMMYFUNCTION("""COMPUTED_VALUE"""),1324.4)</f>
        <v>1324.4</v>
      </c>
      <c r="E303" s="79">
        <f>IFERROR(__xludf.DUMMYFUNCTION("""COMPUTED_VALUE"""),1829.06248756)</f>
        <v>1829.062488</v>
      </c>
      <c r="F303" s="69">
        <f>IFERROR(__xludf.DUMMYFUNCTION("""COMPUTED_VALUE"""),5.81)</f>
        <v>5.81</v>
      </c>
      <c r="G303" s="78"/>
      <c r="H303" s="74"/>
      <c r="I303" s="78"/>
      <c r="J303" s="78">
        <f>IFERROR(__xludf.DUMMYFUNCTION("""COMPUTED_VALUE"""),4.0)</f>
        <v>4</v>
      </c>
      <c r="K303" s="76"/>
      <c r="L303" s="76" t="str">
        <f>IFERROR(__xludf.DUMMYFUNCTION("""COMPUTED_VALUE"""),"Cuba")</f>
        <v>Cuba</v>
      </c>
      <c r="M303" s="76" t="str">
        <f>IFERROR(__xludf.DUMMYFUNCTION("""COMPUTED_VALUE"""),"Jibacoa")</f>
        <v>Jibacoa</v>
      </c>
      <c r="N303" s="76" t="str">
        <f>IFERROR(__xludf.DUMMYFUNCTION("""COMPUTED_VALUE"""),"Varadero")</f>
        <v>Varadero</v>
      </c>
      <c r="O303" s="78" t="b">
        <f>IFERROR(__xludf.DUMMYFUNCTION("""COMPUTED_VALUE"""),TRUE)</f>
        <v>1</v>
      </c>
      <c r="P303" s="80">
        <f>IFERROR(__xludf.DUMMYFUNCTION("""COMPUTED_VALUE"""),0.034722222222222224)</f>
        <v>0.03472222222</v>
      </c>
      <c r="Q303" s="76" t="str">
        <f>IFERROR(__xludf.DUMMYFUNCTION("""COMPUTED_VALUE"""),"Memories Hotels")</f>
        <v>Memories Hotels</v>
      </c>
      <c r="R303" s="76"/>
      <c r="S303" s="76" t="str">
        <f>IFERROR(__xludf.DUMMYFUNCTION("""COMPUTED_VALUE"""),"Beach, Gym, Diving, Buffet, Tennis, Snorkelling, Evening Entertainment, Nightclub")</f>
        <v>Beach, Gym, Diving, Buffet, Tennis, Snorkelling, Evening Entertainment, Nightclub</v>
      </c>
      <c r="T303" s="76"/>
      <c r="U303" s="76"/>
      <c r="V303" s="74" t="b">
        <f>IFERROR(__xludf.DUMMYFUNCTION("""COMPUTED_VALUE"""),FALSE)</f>
        <v>0</v>
      </c>
      <c r="W303" s="74">
        <f>IFERROR(__xludf.DUMMYFUNCTION("""COMPUTED_VALUE"""),250.0)</f>
        <v>250</v>
      </c>
      <c r="X303" s="74">
        <f>IFERROR(__xludf.DUMMYFUNCTION("""COMPUTED_VALUE"""),1999.0)</f>
        <v>1999</v>
      </c>
      <c r="Y303" s="74">
        <f>IFERROR(__xludf.DUMMYFUNCTION("""COMPUTED_VALUE"""),2013.0)</f>
        <v>2013</v>
      </c>
      <c r="Z303" s="75">
        <f>IFERROR(__xludf.DUMMYFUNCTION("""COMPUTED_VALUE"""),2.0)</f>
        <v>2</v>
      </c>
    </row>
    <row r="304">
      <c r="A304" s="65" t="str">
        <f>IFERROR(__xludf.DUMMYFUNCTION("""COMPUTED_VALUE"""),"Wyndham Alltra Playa Del Carmen Adults Only All Inclusive")</f>
        <v>Wyndham Alltra Playa Del Carmen Adults Only All Inclusive</v>
      </c>
      <c r="B304" s="66">
        <f>IFERROR(__xludf.DUMMYFUNCTION("""COMPUTED_VALUE"""),87.7)</f>
        <v>87.7</v>
      </c>
      <c r="C304" s="67" t="str">
        <f>IFERROR(__xludf.DUMMYFUNCTION("""COMPUTED_VALUE"""),"Adults Only")</f>
        <v>Adults Only</v>
      </c>
      <c r="D304" s="79">
        <f>IFERROR(__xludf.DUMMYFUNCTION("""COMPUTED_VALUE"""),2041.55)</f>
        <v>2041.55</v>
      </c>
      <c r="E304" s="79">
        <f>IFERROR(__xludf.DUMMYFUNCTION("""COMPUTED_VALUE"""),2819.4824233449995)</f>
        <v>2819.482423</v>
      </c>
      <c r="F304" s="69">
        <f>IFERROR(__xludf.DUMMYFUNCTION("""COMPUTED_VALUE"""),3.77)</f>
        <v>3.77</v>
      </c>
      <c r="G304" s="78"/>
      <c r="H304" s="78">
        <f>IFERROR(__xludf.DUMMYFUNCTION("""COMPUTED_VALUE"""),7.0)</f>
        <v>7</v>
      </c>
      <c r="I304" s="78"/>
      <c r="J304" s="78">
        <f>IFERROR(__xludf.DUMMYFUNCTION("""COMPUTED_VALUE"""),4.5)</f>
        <v>4.5</v>
      </c>
      <c r="K304" s="76"/>
      <c r="L304" s="76" t="str">
        <f>IFERROR(__xludf.DUMMYFUNCTION("""COMPUTED_VALUE"""),"Mexico")</f>
        <v>Mexico</v>
      </c>
      <c r="M304" s="76" t="str">
        <f>IFERROR(__xludf.DUMMYFUNCTION("""COMPUTED_VALUE"""),"Playa del Carmen")</f>
        <v>Playa del Carmen</v>
      </c>
      <c r="N304" s="76" t="str">
        <f>IFERROR(__xludf.DUMMYFUNCTION("""COMPUTED_VALUE"""),"Cancun")</f>
        <v>Cancun</v>
      </c>
      <c r="O304" s="78" t="b">
        <f>IFERROR(__xludf.DUMMYFUNCTION("""COMPUTED_VALUE"""),TRUE)</f>
        <v>1</v>
      </c>
      <c r="P304" s="80">
        <f>IFERROR(__xludf.DUMMYFUNCTION("""COMPUTED_VALUE"""),0.03263888888888889)</f>
        <v>0.03263888889</v>
      </c>
      <c r="Q304" s="76" t="str">
        <f>IFERROR(__xludf.DUMMYFUNCTION("""COMPUTED_VALUE"""),"Wyndham Hotels")</f>
        <v>Wyndham Hotels</v>
      </c>
      <c r="R304" s="76" t="str">
        <f>IFERROR(__xludf.DUMMYFUNCTION("""COMPUTED_VALUE"""),"Ocean View, Business")</f>
        <v>Ocean View, Business</v>
      </c>
      <c r="S304" s="76" t="str">
        <f>IFERROR(__xludf.DUMMYFUNCTION("""COMPUTED_VALUE"""),"Gym, Buffet, Swim Up Bar, Spa, Room Service, Evening Entertainment")</f>
        <v>Gym, Buffet, Swim Up Bar, Spa, Room Service, Evening Entertainment</v>
      </c>
      <c r="T304" s="76"/>
      <c r="U304" s="76"/>
      <c r="V304" s="78" t="b">
        <f>IFERROR(__xludf.DUMMYFUNCTION("""COMPUTED_VALUE"""),FALSE)</f>
        <v>0</v>
      </c>
      <c r="W304" s="78">
        <f>IFERROR(__xludf.DUMMYFUNCTION("""COMPUTED_VALUE"""),287.0)</f>
        <v>287</v>
      </c>
      <c r="X304" s="78">
        <f>IFERROR(__xludf.DUMMYFUNCTION("""COMPUTED_VALUE"""),1998.0)</f>
        <v>1998</v>
      </c>
      <c r="Y304" s="78">
        <f>IFERROR(__xludf.DUMMYFUNCTION("""COMPUTED_VALUE"""),2021.0)</f>
        <v>2021</v>
      </c>
      <c r="Z304" s="81">
        <f>IFERROR(__xludf.DUMMYFUNCTION("""COMPUTED_VALUE"""),3.0)</f>
        <v>3</v>
      </c>
    </row>
    <row r="305">
      <c r="A305" s="65" t="str">
        <f>IFERROR(__xludf.DUMMYFUNCTION("""COMPUTED_VALUE"""),"Barcelo Ixtapa")</f>
        <v>Barcelo Ixtapa</v>
      </c>
      <c r="B305" s="66">
        <f>IFERROR(__xludf.DUMMYFUNCTION("""COMPUTED_VALUE"""),87.7)</f>
        <v>87.7</v>
      </c>
      <c r="C305" s="67" t="str">
        <f>IFERROR(__xludf.DUMMYFUNCTION("""COMPUTED_VALUE"""),"Family")</f>
        <v>Family</v>
      </c>
      <c r="D305" s="79">
        <f>IFERROR(__xludf.DUMMYFUNCTION("""COMPUTED_VALUE"""),2493.76)</f>
        <v>2493.76</v>
      </c>
      <c r="E305" s="79">
        <f>IFERROR(__xludf.DUMMYFUNCTION("""COMPUTED_VALUE"""),3444.006998624)</f>
        <v>3444.006999</v>
      </c>
      <c r="F305" s="69">
        <f>IFERROR(__xludf.DUMMYFUNCTION("""COMPUTED_VALUE"""),3.09)</f>
        <v>3.09</v>
      </c>
      <c r="G305" s="70"/>
      <c r="H305" s="78">
        <f>IFERROR(__xludf.DUMMYFUNCTION("""COMPUTED_VALUE"""),7.0)</f>
        <v>7</v>
      </c>
      <c r="I305" s="70"/>
      <c r="J305" s="78">
        <f>IFERROR(__xludf.DUMMYFUNCTION("""COMPUTED_VALUE"""),5.0)</f>
        <v>5</v>
      </c>
      <c r="K305" s="71"/>
      <c r="L305" s="76" t="str">
        <f>IFERROR(__xludf.DUMMYFUNCTION("""COMPUTED_VALUE"""),"Mexico")</f>
        <v>Mexico</v>
      </c>
      <c r="M305" s="76" t="str">
        <f>IFERROR(__xludf.DUMMYFUNCTION("""COMPUTED_VALUE"""),"Ixtapa")</f>
        <v>Ixtapa</v>
      </c>
      <c r="N305" s="76" t="str">
        <f>IFERROR(__xludf.DUMMYFUNCTION("""COMPUTED_VALUE"""),"Aeropuerto Internacional de Zihuatanejo")</f>
        <v>Aeropuerto Internacional de Zihuatanejo</v>
      </c>
      <c r="O305" s="78" t="b">
        <f>IFERROR(__xludf.DUMMYFUNCTION("""COMPUTED_VALUE"""),TRUE)</f>
        <v>1</v>
      </c>
      <c r="P305" s="80">
        <f>IFERROR(__xludf.DUMMYFUNCTION("""COMPUTED_VALUE"""),0.014583333333333334)</f>
        <v>0.01458333333</v>
      </c>
      <c r="Q305" s="76" t="str">
        <f>IFERROR(__xludf.DUMMYFUNCTION("""COMPUTED_VALUE"""),"Barcelo")</f>
        <v>Barcelo</v>
      </c>
      <c r="R305" s="76" t="str">
        <f>IFERROR(__xludf.DUMMYFUNCTION("""COMPUTED_VALUE"""),"Centrally Located, Ocean View")</f>
        <v>Centrally Located, Ocean View</v>
      </c>
      <c r="S305" s="76" t="str">
        <f>IFERROR(__xludf.DUMMYFUNCTION("""COMPUTED_VALUE"""),"Beach, Kids Club, Kids Waterpark, Gym, Archery, Tennis, Buffet, Swim Up Bar, Bicycles Available, Evening Entertainment, Nightclub, Spa")</f>
        <v>Beach, Kids Club, Kids Waterpark, Gym, Archery, Tennis, Buffet, Swim Up Bar, Bicycles Available, Evening Entertainment, Nightclub, Spa</v>
      </c>
      <c r="T305" s="76"/>
      <c r="U305" s="76" t="str">
        <f>IFERROR(__xludf.DUMMYFUNCTION("""COMPUTED_VALUE"""),"1 King or 2 Single")</f>
        <v>1 King or 2 Single</v>
      </c>
      <c r="V305" s="78" t="b">
        <f>IFERROR(__xludf.DUMMYFUNCTION("""COMPUTED_VALUE"""),TRUE)</f>
        <v>1</v>
      </c>
      <c r="W305" s="78">
        <f>IFERROR(__xludf.DUMMYFUNCTION("""COMPUTED_VALUE"""),398.0)</f>
        <v>398</v>
      </c>
      <c r="X305" s="78">
        <f>IFERROR(__xludf.DUMMYFUNCTION("""COMPUTED_VALUE"""),1983.0)</f>
        <v>1983</v>
      </c>
      <c r="Y305" s="78">
        <f>IFERROR(__xludf.DUMMYFUNCTION("""COMPUTED_VALUE"""),2014.0)</f>
        <v>2014</v>
      </c>
      <c r="Z305" s="81">
        <f>IFERROR(__xludf.DUMMYFUNCTION("""COMPUTED_VALUE"""),12.0)</f>
        <v>12</v>
      </c>
    </row>
    <row r="306">
      <c r="A306" s="65" t="str">
        <f>IFERROR(__xludf.DUMMYFUNCTION("""COMPUTED_VALUE"""),"Grotto Bay Beach Resort &amp; Spa")</f>
        <v>Grotto Bay Beach Resort &amp; Spa</v>
      </c>
      <c r="B306" s="66">
        <f>IFERROR(__xludf.DUMMYFUNCTION("""COMPUTED_VALUE"""),87.7)</f>
        <v>87.7</v>
      </c>
      <c r="C306" s="67" t="str">
        <f>IFERROR(__xludf.DUMMYFUNCTION("""COMPUTED_VALUE"""),"Family")</f>
        <v>Family</v>
      </c>
      <c r="D306" s="79">
        <f>IFERROR(__xludf.DUMMYFUNCTION("""COMPUTED_VALUE"""),3180.1)</f>
        <v>3180.1</v>
      </c>
      <c r="E306" s="79">
        <f>IFERROR(__xludf.DUMMYFUNCTION("""COMPUTED_VALUE"""),4391.876786989999)</f>
        <v>4391.876787</v>
      </c>
      <c r="F306" s="69">
        <f>IFERROR(__xludf.DUMMYFUNCTION("""COMPUTED_VALUE"""),2.42)</f>
        <v>2.42</v>
      </c>
      <c r="G306" s="70"/>
      <c r="H306" s="70">
        <f>IFERROR(__xludf.DUMMYFUNCTION("""COMPUTED_VALUE"""),7.0)</f>
        <v>7</v>
      </c>
      <c r="I306" s="70"/>
      <c r="J306" s="78">
        <f>IFERROR(__xludf.DUMMYFUNCTION("""COMPUTED_VALUE"""),4.0)</f>
        <v>4</v>
      </c>
      <c r="K306" s="71"/>
      <c r="L306" s="76" t="str">
        <f>IFERROR(__xludf.DUMMYFUNCTION("""COMPUTED_VALUE"""),"Bermuda")</f>
        <v>Bermuda</v>
      </c>
      <c r="M306" s="76" t="str">
        <f>IFERROR(__xludf.DUMMYFUNCTION("""COMPUTED_VALUE"""),"Hamilton Parish")</f>
        <v>Hamilton Parish</v>
      </c>
      <c r="N306" s="76" t="str">
        <f>IFERROR(__xludf.DUMMYFUNCTION("""COMPUTED_VALUE"""),"Bermuda")</f>
        <v>Bermuda</v>
      </c>
      <c r="O306" s="78" t="b">
        <f>IFERROR(__xludf.DUMMYFUNCTION("""COMPUTED_VALUE"""),FALSE)</f>
        <v>0</v>
      </c>
      <c r="P306" s="80">
        <f>IFERROR(__xludf.DUMMYFUNCTION("""COMPUTED_VALUE"""),0.002777777777777778)</f>
        <v>0.002777777778</v>
      </c>
      <c r="Q306" s="71"/>
      <c r="R306" s="76" t="str">
        <f>IFERROR(__xludf.DUMMYFUNCTION("""COMPUTED_VALUE"""),"Bay View, Business")</f>
        <v>Bay View, Business</v>
      </c>
      <c r="S306" s="76" t="str">
        <f>IFERROR(__xludf.DUMMYFUNCTION("""COMPUTED_VALUE"""),"Beach, Heated Pool, Gym, Yoga Classes, Buffet, Hiking, Watersports Equipment Rentals, Evening Entertainment, Spa, Wifi (Free), Diving, Snorkelling, Windsurfing, Fishing")</f>
        <v>Beach, Heated Pool, Gym, Yoga Classes, Buffet, Hiking, Watersports Equipment Rentals, Evening Entertainment, Spa, Wifi (Free), Diving, Snorkelling, Windsurfing, Fishing</v>
      </c>
      <c r="T306" s="76"/>
      <c r="U306" s="76" t="str">
        <f>IFERROR(__xludf.DUMMYFUNCTION("""COMPUTED_VALUE"""),"1 King or 2 Double")</f>
        <v>1 King or 2 Double</v>
      </c>
      <c r="V306" s="70" t="b">
        <f>IFERROR(__xludf.DUMMYFUNCTION("""COMPUTED_VALUE"""),FALSE)</f>
        <v>0</v>
      </c>
      <c r="W306" s="70">
        <f>IFERROR(__xludf.DUMMYFUNCTION("""COMPUTED_VALUE"""),201.0)</f>
        <v>201</v>
      </c>
      <c r="X306" s="70">
        <f>IFERROR(__xludf.DUMMYFUNCTION("""COMPUTED_VALUE"""),1973.0)</f>
        <v>1973</v>
      </c>
      <c r="Y306" s="70">
        <f>IFERROR(__xludf.DUMMYFUNCTION("""COMPUTED_VALUE"""),2008.0)</f>
        <v>2008</v>
      </c>
      <c r="Z306" s="83">
        <f>IFERROR(__xludf.DUMMYFUNCTION("""COMPUTED_VALUE"""),3.0)</f>
        <v>3</v>
      </c>
    </row>
    <row r="307">
      <c r="A307" s="65" t="str">
        <f>IFERROR(__xludf.DUMMYFUNCTION("""COMPUTED_VALUE"""),"Wyndham Alltra Cancun")</f>
        <v>Wyndham Alltra Cancun</v>
      </c>
      <c r="B307" s="66">
        <f>IFERROR(__xludf.DUMMYFUNCTION("""COMPUTED_VALUE"""),87.7)</f>
        <v>87.7</v>
      </c>
      <c r="C307" s="67" t="str">
        <f>IFERROR(__xludf.DUMMYFUNCTION("""COMPUTED_VALUE"""),"Family")</f>
        <v>Family</v>
      </c>
      <c r="D307" s="79">
        <f>IFERROR(__xludf.DUMMYFUNCTION("""COMPUTED_VALUE"""),3565.35)</f>
        <v>3565.35</v>
      </c>
      <c r="E307" s="79">
        <f>IFERROR(__xludf.DUMMYFUNCTION("""COMPUTED_VALUE"""),4923.9262609649995)</f>
        <v>4923.926261</v>
      </c>
      <c r="F307" s="69">
        <f>IFERROR(__xludf.DUMMYFUNCTION("""COMPUTED_VALUE"""),2.16)</f>
        <v>2.16</v>
      </c>
      <c r="G307" s="70"/>
      <c r="H307" s="70">
        <f>IFERROR(__xludf.DUMMYFUNCTION("""COMPUTED_VALUE"""),7.0)</f>
        <v>7</v>
      </c>
      <c r="I307" s="70"/>
      <c r="J307" s="78">
        <f>IFERROR(__xludf.DUMMYFUNCTION("""COMPUTED_VALUE"""),4.5)</f>
        <v>4.5</v>
      </c>
      <c r="K307" s="71"/>
      <c r="L307" s="76" t="str">
        <f>IFERROR(__xludf.DUMMYFUNCTION("""COMPUTED_VALUE"""),"Mexico")</f>
        <v>Mexico</v>
      </c>
      <c r="M307" s="76" t="str">
        <f>IFERROR(__xludf.DUMMYFUNCTION("""COMPUTED_VALUE"""),"Cancun")</f>
        <v>Cancun</v>
      </c>
      <c r="N307" s="76" t="str">
        <f>IFERROR(__xludf.DUMMYFUNCTION("""COMPUTED_VALUE"""),"Cancun")</f>
        <v>Cancun</v>
      </c>
      <c r="O307" s="78" t="b">
        <f>IFERROR(__xludf.DUMMYFUNCTION("""COMPUTED_VALUE"""),TRUE)</f>
        <v>1</v>
      </c>
      <c r="P307" s="80">
        <f>IFERROR(__xludf.DUMMYFUNCTION("""COMPUTED_VALUE"""),0.01875)</f>
        <v>0.01875</v>
      </c>
      <c r="Q307" s="71" t="str">
        <f>IFERROR(__xludf.DUMMYFUNCTION("""COMPUTED_VALUE"""),"Wyndham Hotels")</f>
        <v>Wyndham Hotels</v>
      </c>
      <c r="R307" s="71" t="str">
        <f>IFERROR(__xludf.DUMMYFUNCTION("""COMPUTED_VALUE"""),"Green, Family")</f>
        <v>Green, Family</v>
      </c>
      <c r="S307" s="76" t="str">
        <f>IFERROR(__xludf.DUMMYFUNCTION("""COMPUTED_VALUE"""),"Beach, Kids Club, Teen Club, Kids Waterpark, Heated Pool, Gym, Diving, Room Service, Evening Entertainment, Babysitting, Buffet, Fishing, Nightclub, Spa")</f>
        <v>Beach, Kids Club, Teen Club, Kids Waterpark, Heated Pool, Gym, Diving, Room Service, Evening Entertainment, Babysitting, Buffet, Fishing, Nightclub, Spa</v>
      </c>
      <c r="T307" s="76"/>
      <c r="U307" s="76" t="str">
        <f>IFERROR(__xludf.DUMMYFUNCTION("""COMPUTED_VALUE"""),"1 King or 2 Double")</f>
        <v>1 King or 2 Double</v>
      </c>
      <c r="V307" s="78" t="b">
        <f>IFERROR(__xludf.DUMMYFUNCTION("""COMPUTED_VALUE"""),FALSE)</f>
        <v>0</v>
      </c>
      <c r="W307" s="78">
        <f>IFERROR(__xludf.DUMMYFUNCTION("""COMPUTED_VALUE"""),458.0)</f>
        <v>458</v>
      </c>
      <c r="X307" s="78">
        <f>IFERROR(__xludf.DUMMYFUNCTION("""COMPUTED_VALUE"""),1986.0)</f>
        <v>1986</v>
      </c>
      <c r="Y307" s="78">
        <f>IFERROR(__xludf.DUMMYFUNCTION("""COMPUTED_VALUE"""),2021.0)</f>
        <v>2021</v>
      </c>
      <c r="Z307" s="81">
        <f>IFERROR(__xludf.DUMMYFUNCTION("""COMPUTED_VALUE"""),6.0)</f>
        <v>6</v>
      </c>
    </row>
    <row r="308">
      <c r="A308" s="65" t="str">
        <f>IFERROR(__xludf.DUMMYFUNCTION("""COMPUTED_VALUE"""),"Hotel Riu Palace Kukulkan")</f>
        <v>Hotel Riu Palace Kukulkan</v>
      </c>
      <c r="B308" s="66">
        <f>IFERROR(__xludf.DUMMYFUNCTION("""COMPUTED_VALUE"""),87.7)</f>
        <v>87.7</v>
      </c>
      <c r="C308" s="67" t="str">
        <f>IFERROR(__xludf.DUMMYFUNCTION("""COMPUTED_VALUE"""),"Adults Only")</f>
        <v>Adults Only</v>
      </c>
      <c r="D308" s="79">
        <f>IFERROR(__xludf.DUMMYFUNCTION("""COMPUTED_VALUE"""),3798.48)</f>
        <v>3798.48</v>
      </c>
      <c r="E308" s="79">
        <f>IFERROR(__xludf.DUMMYFUNCTION("""COMPUTED_VALUE"""),5245.8904241519995)</f>
        <v>5245.890424</v>
      </c>
      <c r="F308" s="69">
        <f>IFERROR(__xludf.DUMMYFUNCTION("""COMPUTED_VALUE"""),2.03)</f>
        <v>2.03</v>
      </c>
      <c r="G308" s="78"/>
      <c r="H308" s="70" t="str">
        <f>IFERROR(__xludf.DUMMYFUNCTION("""COMPUTED_VALUE"""),"NYR")</f>
        <v>NYR</v>
      </c>
      <c r="I308" s="78"/>
      <c r="J308" s="78">
        <f>IFERROR(__xludf.DUMMYFUNCTION("""COMPUTED_VALUE"""),5.0)</f>
        <v>5</v>
      </c>
      <c r="K308" s="76"/>
      <c r="L308" s="76" t="str">
        <f>IFERROR(__xludf.DUMMYFUNCTION("""COMPUTED_VALUE"""),"Mexico")</f>
        <v>Mexico</v>
      </c>
      <c r="M308" s="76" t="str">
        <f>IFERROR(__xludf.DUMMYFUNCTION("""COMPUTED_VALUE"""),"Cancun")</f>
        <v>Cancun</v>
      </c>
      <c r="N308" s="76" t="str">
        <f>IFERROR(__xludf.DUMMYFUNCTION("""COMPUTED_VALUE"""),"Cancun")</f>
        <v>Cancun</v>
      </c>
      <c r="O308" s="78" t="b">
        <f>IFERROR(__xludf.DUMMYFUNCTION("""COMPUTED_VALUE"""),TRUE)</f>
        <v>1</v>
      </c>
      <c r="P308" s="80">
        <f>IFERROR(__xludf.DUMMYFUNCTION("""COMPUTED_VALUE"""),0.015277777777777777)</f>
        <v>0.01527777778</v>
      </c>
      <c r="Q308" s="76" t="str">
        <f>IFERROR(__xludf.DUMMYFUNCTION("""COMPUTED_VALUE"""),"Riu")</f>
        <v>Riu</v>
      </c>
      <c r="R308" s="76" t="str">
        <f>IFERROR(__xludf.DUMMYFUNCTION("""COMPUTED_VALUE"""),"Romantic, Mid-Range")</f>
        <v>Romantic, Mid-Range</v>
      </c>
      <c r="S308" s="76" t="str">
        <f>IFERROR(__xludf.DUMMYFUNCTION("""COMPUTED_VALUE"""),"Beach, Great for Parties, Gym, Yoga Classes, Buffet, Swim Up Bar, Evening Entertainment, Spa, Wifi (Free)")</f>
        <v>Beach, Great for Parties, Gym, Yoga Classes, Buffet, Swim Up Bar, Evening Entertainment, Spa, Wifi (Free)</v>
      </c>
      <c r="T308" s="76"/>
      <c r="U308" s="76"/>
      <c r="V308" s="78" t="b">
        <f>IFERROR(__xludf.DUMMYFUNCTION("""COMPUTED_VALUE"""),TRUE)</f>
        <v>1</v>
      </c>
      <c r="W308" s="78">
        <f>IFERROR(__xludf.DUMMYFUNCTION("""COMPUTED_VALUE"""),400.0)</f>
        <v>400</v>
      </c>
      <c r="X308" s="78">
        <f>IFERROR(__xludf.DUMMYFUNCTION("""COMPUTED_VALUE"""),2022.0)</f>
        <v>2022</v>
      </c>
      <c r="Y308" s="78"/>
      <c r="Z308" s="81"/>
    </row>
    <row r="309">
      <c r="A309" s="65" t="str">
        <f>IFERROR(__xludf.DUMMYFUNCTION("""COMPUTED_VALUE"""),"Sandos Cancun")</f>
        <v>Sandos Cancun</v>
      </c>
      <c r="B309" s="66">
        <f>IFERROR(__xludf.DUMMYFUNCTION("""COMPUTED_VALUE"""),87.7)</f>
        <v>87.7</v>
      </c>
      <c r="C309" s="67" t="str">
        <f>IFERROR(__xludf.DUMMYFUNCTION("""COMPUTED_VALUE"""),"Adults Only")</f>
        <v>Adults Only</v>
      </c>
      <c r="D309" s="79">
        <f>IFERROR(__xludf.DUMMYFUNCTION("""COMPUTED_VALUE"""),4422.74)</f>
        <v>4422.74</v>
      </c>
      <c r="E309" s="79">
        <f>IFERROR(__xludf.DUMMYFUNCTION("""COMPUTED_VALUE"""),6108.024634725999)</f>
        <v>6108.024635</v>
      </c>
      <c r="F309" s="69">
        <f>IFERROR(__xludf.DUMMYFUNCTION("""COMPUTED_VALUE"""),1.74)</f>
        <v>1.74</v>
      </c>
      <c r="G309" s="78">
        <f>IFERROR(__xludf.DUMMYFUNCTION("""COMPUTED_VALUE"""),4.0)</f>
        <v>4</v>
      </c>
      <c r="H309" s="74">
        <f>IFERROR(__xludf.DUMMYFUNCTION("""COMPUTED_VALUE"""),8.0)</f>
        <v>8</v>
      </c>
      <c r="I309" s="78"/>
      <c r="J309" s="78">
        <f>IFERROR(__xludf.DUMMYFUNCTION("""COMPUTED_VALUE"""),5.0)</f>
        <v>5</v>
      </c>
      <c r="K309" s="76"/>
      <c r="L309" s="76" t="str">
        <f>IFERROR(__xludf.DUMMYFUNCTION("""COMPUTED_VALUE"""),"Mexico")</f>
        <v>Mexico</v>
      </c>
      <c r="M309" s="76" t="str">
        <f>IFERROR(__xludf.DUMMYFUNCTION("""COMPUTED_VALUE"""),"Cancun")</f>
        <v>Cancun</v>
      </c>
      <c r="N309" s="76" t="str">
        <f>IFERROR(__xludf.DUMMYFUNCTION("""COMPUTED_VALUE"""),"Cancun")</f>
        <v>Cancun</v>
      </c>
      <c r="O309" s="78" t="b">
        <f>IFERROR(__xludf.DUMMYFUNCTION("""COMPUTED_VALUE"""),TRUE)</f>
        <v>1</v>
      </c>
      <c r="P309" s="80">
        <f>IFERROR(__xludf.DUMMYFUNCTION("""COMPUTED_VALUE"""),0.014583333333333334)</f>
        <v>0.01458333333</v>
      </c>
      <c r="Q309" s="76" t="str">
        <f>IFERROR(__xludf.DUMMYFUNCTION("""COMPUTED_VALUE"""),"Sandos")</f>
        <v>Sandos</v>
      </c>
      <c r="R309" s="76" t="str">
        <f>IFERROR(__xludf.DUMMYFUNCTION("""COMPUTED_VALUE"""),"Value, Charming")</f>
        <v>Value, Charming</v>
      </c>
      <c r="S309" s="76" t="str">
        <f>IFERROR(__xludf.DUMMYFUNCTION("""COMPUTED_VALUE"""),"Beach")</f>
        <v>Beach</v>
      </c>
      <c r="T309" s="76"/>
      <c r="U309" s="76" t="str">
        <f>IFERROR(__xludf.DUMMYFUNCTION("""COMPUTED_VALUE"""),"1 King or 2 Double")</f>
        <v>1 King or 2 Double</v>
      </c>
      <c r="V309" s="74" t="b">
        <f>IFERROR(__xludf.DUMMYFUNCTION("""COMPUTED_VALUE"""),TRUE)</f>
        <v>1</v>
      </c>
      <c r="W309" s="74">
        <f>IFERROR(__xludf.DUMMYFUNCTION("""COMPUTED_VALUE"""),215.0)</f>
        <v>215</v>
      </c>
      <c r="X309" s="74">
        <f>IFERROR(__xludf.DUMMYFUNCTION("""COMPUTED_VALUE"""),1998.0)</f>
        <v>1998</v>
      </c>
      <c r="Y309" s="74">
        <f>IFERROR(__xludf.DUMMYFUNCTION("""COMPUTED_VALUE"""),2010.0)</f>
        <v>2010</v>
      </c>
      <c r="Z309" s="75">
        <f>IFERROR(__xludf.DUMMYFUNCTION("""COMPUTED_VALUE"""),8.0)</f>
        <v>8</v>
      </c>
    </row>
    <row r="310">
      <c r="A310" s="65" t="str">
        <f>IFERROR(__xludf.DUMMYFUNCTION("""COMPUTED_VALUE"""),"Dreams Vista Cancun Golf &amp; Spa Resort")</f>
        <v>Dreams Vista Cancun Golf &amp; Spa Resort</v>
      </c>
      <c r="B310" s="66">
        <f>IFERROR(__xludf.DUMMYFUNCTION("""COMPUTED_VALUE"""),87.7)</f>
        <v>87.7</v>
      </c>
      <c r="C310" s="67" t="str">
        <f>IFERROR(__xludf.DUMMYFUNCTION("""COMPUTED_VALUE"""),"Family")</f>
        <v>Family</v>
      </c>
      <c r="D310" s="79">
        <f>IFERROR(__xludf.DUMMYFUNCTION("""COMPUTED_VALUE"""),4687.0)</f>
        <v>4687</v>
      </c>
      <c r="E310" s="79">
        <f>IFERROR(__xludf.DUMMYFUNCTION("""COMPUTED_VALUE"""),6472.980881299999)</f>
        <v>6472.980881</v>
      </c>
      <c r="F310" s="69">
        <f>IFERROR(__xludf.DUMMYFUNCTION("""COMPUTED_VALUE"""),1.64)</f>
        <v>1.64</v>
      </c>
      <c r="G310" s="78"/>
      <c r="H310" s="78">
        <f>IFERROR(__xludf.DUMMYFUNCTION("""COMPUTED_VALUE"""),8.0)</f>
        <v>8</v>
      </c>
      <c r="I310" s="78" t="str">
        <f>IFERROR(__xludf.DUMMYFUNCTION("""COMPUTED_VALUE"""),"C")</f>
        <v>C</v>
      </c>
      <c r="J310" s="78">
        <f>IFERROR(__xludf.DUMMYFUNCTION("""COMPUTED_VALUE"""),5.0)</f>
        <v>5</v>
      </c>
      <c r="K310" s="76"/>
      <c r="L310" s="76" t="str">
        <f>IFERROR(__xludf.DUMMYFUNCTION("""COMPUTED_VALUE"""),"Mexico")</f>
        <v>Mexico</v>
      </c>
      <c r="M310" s="76" t="str">
        <f>IFERROR(__xludf.DUMMYFUNCTION("""COMPUTED_VALUE"""),"Cancun")</f>
        <v>Cancun</v>
      </c>
      <c r="N310" s="76" t="str">
        <f>IFERROR(__xludf.DUMMYFUNCTION("""COMPUTED_VALUE"""),"Cancun")</f>
        <v>Cancun</v>
      </c>
      <c r="O310" s="78" t="b">
        <f>IFERROR(__xludf.DUMMYFUNCTION("""COMPUTED_VALUE"""),TRUE)</f>
        <v>1</v>
      </c>
      <c r="P310" s="80">
        <f>IFERROR(__xludf.DUMMYFUNCTION("""COMPUTED_VALUE"""),0.007638888888888889)</f>
        <v>0.007638888889</v>
      </c>
      <c r="Q310" s="76" t="str">
        <f>IFERROR(__xludf.DUMMYFUNCTION("""COMPUTED_VALUE"""),"Hyatt")</f>
        <v>Hyatt</v>
      </c>
      <c r="R310" s="76" t="str">
        <f>IFERROR(__xludf.DUMMYFUNCTION("""COMPUTED_VALUE"""),"Charming, Business")</f>
        <v>Charming, Business</v>
      </c>
      <c r="S310" s="76" t="str">
        <f>IFERROR(__xludf.DUMMYFUNCTION("""COMPUTED_VALUE"""),"Beach, Swim Out/Plunge Pool Rooms, Family Suite, 2 Bedroom Suites, Kids Club, Teen Club, Kids Waterpark, Arcade, Flowrider, Heated Pool, Kids Club for Under 4, Gym, Yoga Classes, Room Service, Diving, Golf Course, Windsurfing, Pets Allowed, Wifi (Free), B"&amp;"abysitting, Adult Pool, Buffet, Snorkelling, Watersports Equipment Rentals, Evening Entertainment, Nightclub, Spa")</f>
        <v>Beach, Swim Out/Plunge Pool Rooms, Family Suite, 2 Bedroom Suites, Kids Club, Teen Club, Kids Waterpark, Arcade, Flowrider, Heated Pool, Kids Club for Under 4, Gym, Yoga Classes, Room Service, Diving, Golf Course, Windsurfing, Pets Allowed, Wifi (Free), Babysitting, Adult Pool, Buffet, Snorkelling, Watersports Equipment Rentals, Evening Entertainment, Nightclub, Spa</v>
      </c>
      <c r="T310" s="76" t="str">
        <f>IFERROR(__xludf.DUMMYFUNCTION("""COMPUTED_VALUE"""),"Yes")</f>
        <v>Yes</v>
      </c>
      <c r="U310" s="76" t="str">
        <f>IFERROR(__xludf.DUMMYFUNCTION("""COMPUTED_VALUE"""),"2 Queen")</f>
        <v>2 Queen</v>
      </c>
      <c r="V310" s="78" t="b">
        <f>IFERROR(__xludf.DUMMYFUNCTION("""COMPUTED_VALUE"""),TRUE)</f>
        <v>1</v>
      </c>
      <c r="W310" s="78">
        <f>IFERROR(__xludf.DUMMYFUNCTION("""COMPUTED_VALUE"""),416.0)</f>
        <v>416</v>
      </c>
      <c r="X310" s="78">
        <f>IFERROR(__xludf.DUMMYFUNCTION("""COMPUTED_VALUE"""),2019.0)</f>
        <v>2019</v>
      </c>
      <c r="Y310" s="78"/>
      <c r="Z310" s="81">
        <f>IFERROR(__xludf.DUMMYFUNCTION("""COMPUTED_VALUE"""),15.0)</f>
        <v>15</v>
      </c>
    </row>
    <row r="311">
      <c r="A311" s="65" t="str">
        <f>IFERROR(__xludf.DUMMYFUNCTION("""COMPUTED_VALUE"""),"Dreams Huatulco Resort &amp; Spa")</f>
        <v>Dreams Huatulco Resort &amp; Spa</v>
      </c>
      <c r="B311" s="66">
        <f>IFERROR(__xludf.DUMMYFUNCTION("""COMPUTED_VALUE"""),87.7)</f>
        <v>87.7</v>
      </c>
      <c r="C311" s="67" t="str">
        <f>IFERROR(__xludf.DUMMYFUNCTION("""COMPUTED_VALUE"""),"Family")</f>
        <v>Family</v>
      </c>
      <c r="D311" s="79">
        <f>IFERROR(__xludf.DUMMYFUNCTION("""COMPUTED_VALUE"""),4802.0)</f>
        <v>4802</v>
      </c>
      <c r="E311" s="79">
        <f>IFERROR(__xludf.DUMMYFUNCTION("""COMPUTED_VALUE"""),6631.8016198)</f>
        <v>6631.80162</v>
      </c>
      <c r="F311" s="69">
        <f>IFERROR(__xludf.DUMMYFUNCTION("""COMPUTED_VALUE"""),1.6)</f>
        <v>1.6</v>
      </c>
      <c r="G311" s="78">
        <f>IFERROR(__xludf.DUMMYFUNCTION("""COMPUTED_VALUE"""),3.0)</f>
        <v>3</v>
      </c>
      <c r="H311" s="78">
        <f>IFERROR(__xludf.DUMMYFUNCTION("""COMPUTED_VALUE"""),8.0)</f>
        <v>8</v>
      </c>
      <c r="I311" s="78" t="str">
        <f>IFERROR(__xludf.DUMMYFUNCTION("""COMPUTED_VALUE"""),"B")</f>
        <v>B</v>
      </c>
      <c r="J311" s="78">
        <f>IFERROR(__xludf.DUMMYFUNCTION("""COMPUTED_VALUE"""),4.5)</f>
        <v>4.5</v>
      </c>
      <c r="K311" s="76"/>
      <c r="L311" s="76" t="str">
        <f>IFERROR(__xludf.DUMMYFUNCTION("""COMPUTED_VALUE"""),"Mexico")</f>
        <v>Mexico</v>
      </c>
      <c r="M311" s="76" t="str">
        <f>IFERROR(__xludf.DUMMYFUNCTION("""COMPUTED_VALUE"""),"Tangolunda")</f>
        <v>Tangolunda</v>
      </c>
      <c r="N311" s="87" t="str">
        <f>IFERROR(__xludf.DUMMYFUNCTION("""COMPUTED_VALUE"""),"Huatulco")</f>
        <v>Huatulco</v>
      </c>
      <c r="O311" s="78" t="b">
        <f>IFERROR(__xludf.DUMMYFUNCTION("""COMPUTED_VALUE"""),TRUE)</f>
        <v>1</v>
      </c>
      <c r="P311" s="80">
        <f>IFERROR(__xludf.DUMMYFUNCTION("""COMPUTED_VALUE"""),0.013888888888888888)</f>
        <v>0.01388888889</v>
      </c>
      <c r="Q311" s="76" t="str">
        <f>IFERROR(__xludf.DUMMYFUNCTION("""COMPUTED_VALUE"""),"Hyatt")</f>
        <v>Hyatt</v>
      </c>
      <c r="R311" s="76" t="str">
        <f>IFERROR(__xludf.DUMMYFUNCTION("""COMPUTED_VALUE"""),"Family, Business")</f>
        <v>Family, Business</v>
      </c>
      <c r="S311" s="76" t="str">
        <f>IFERROR(__xludf.DUMMYFUNCTION("""COMPUTED_VALUE"""),"Beach, Kids Club, Kids Club for Under 4, Gym, Archery, Buffet, Snorkelling, Fishing, Babysitting, Yoga Classes, Adult Pool, Room Service, Windsurfing, Evening Entertainment, Spa")</f>
        <v>Beach, Kids Club, Kids Club for Under 4, Gym, Archery, Buffet, Snorkelling, Fishing, Babysitting, Yoga Classes, Adult Pool, Room Service, Windsurfing, Evening Entertainment, Spa</v>
      </c>
      <c r="T311" s="76" t="str">
        <f>IFERROR(__xludf.DUMMYFUNCTION("""COMPUTED_VALUE"""),"Can't Book Two Rooms")</f>
        <v>Can't Book Two Rooms</v>
      </c>
      <c r="U311" s="76" t="str">
        <f>IFERROR(__xludf.DUMMYFUNCTION("""COMPUTED_VALUE"""),"1 King or 2 Double")</f>
        <v>1 King or 2 Double</v>
      </c>
      <c r="V311" s="78" t="b">
        <f>IFERROR(__xludf.DUMMYFUNCTION("""COMPUTED_VALUE"""),FALSE)</f>
        <v>0</v>
      </c>
      <c r="W311" s="78">
        <f>IFERROR(__xludf.DUMMYFUNCTION("""COMPUTED_VALUE"""),421.0)</f>
        <v>421</v>
      </c>
      <c r="X311" s="78">
        <f>IFERROR(__xludf.DUMMYFUNCTION("""COMPUTED_VALUE"""),1989.0)</f>
        <v>1989</v>
      </c>
      <c r="Y311" s="78">
        <f>IFERROR(__xludf.DUMMYFUNCTION("""COMPUTED_VALUE"""),2008.0)</f>
        <v>2008</v>
      </c>
      <c r="Z311" s="81">
        <f>IFERROR(__xludf.DUMMYFUNCTION("""COMPUTED_VALUE"""),4.0)</f>
        <v>4</v>
      </c>
    </row>
    <row r="312">
      <c r="A312" s="65" t="str">
        <f>IFERROR(__xludf.DUMMYFUNCTION("""COMPUTED_VALUE"""),"Dreams Macao Beach Punta Cana")</f>
        <v>Dreams Macao Beach Punta Cana</v>
      </c>
      <c r="B312" s="66">
        <f>IFERROR(__xludf.DUMMYFUNCTION("""COMPUTED_VALUE"""),87.7)</f>
        <v>87.7</v>
      </c>
      <c r="C312" s="67" t="str">
        <f>IFERROR(__xludf.DUMMYFUNCTION("""COMPUTED_VALUE"""),"Family")</f>
        <v>Family</v>
      </c>
      <c r="D312" s="79">
        <f>IFERROR(__xludf.DUMMYFUNCTION("""COMPUTED_VALUE"""),4956.0)</f>
        <v>4956</v>
      </c>
      <c r="E312" s="79">
        <f>IFERROR(__xludf.DUMMYFUNCTION("""COMPUTED_VALUE"""),6844.483304399999)</f>
        <v>6844.483304</v>
      </c>
      <c r="F312" s="69">
        <f>IFERROR(__xludf.DUMMYFUNCTION("""COMPUTED_VALUE"""),1.55)</f>
        <v>1.55</v>
      </c>
      <c r="G312" s="78"/>
      <c r="H312" s="78">
        <f>IFERROR(__xludf.DUMMYFUNCTION("""COMPUTED_VALUE"""),8.0)</f>
        <v>8</v>
      </c>
      <c r="I312" s="78" t="str">
        <f>IFERROR(__xludf.DUMMYFUNCTION("""COMPUTED_VALUE"""),"C")</f>
        <v>C</v>
      </c>
      <c r="J312" s="78">
        <f>IFERROR(__xludf.DUMMYFUNCTION("""COMPUTED_VALUE"""),5.0)</f>
        <v>5</v>
      </c>
      <c r="K312" s="71"/>
      <c r="L312" s="76" t="str">
        <f>IFERROR(__xludf.DUMMYFUNCTION("""COMPUTED_VALUE"""),"Dominican Republic")</f>
        <v>Dominican Republic</v>
      </c>
      <c r="M312" s="76" t="str">
        <f>IFERROR(__xludf.DUMMYFUNCTION("""COMPUTED_VALUE"""),"Punta Cana")</f>
        <v>Punta Cana</v>
      </c>
      <c r="N312" s="76" t="str">
        <f>IFERROR(__xludf.DUMMYFUNCTION("""COMPUTED_VALUE"""),"Punta Cana")</f>
        <v>Punta Cana</v>
      </c>
      <c r="O312" s="78" t="b">
        <f>IFERROR(__xludf.DUMMYFUNCTION("""COMPUTED_VALUE"""),TRUE)</f>
        <v>1</v>
      </c>
      <c r="P312" s="80">
        <f>IFERROR(__xludf.DUMMYFUNCTION("""COMPUTED_VALUE"""),0.022222222222222223)</f>
        <v>0.02222222222</v>
      </c>
      <c r="Q312" s="71" t="str">
        <f>IFERROR(__xludf.DUMMYFUNCTION("""COMPUTED_VALUE"""),"Hyatt")</f>
        <v>Hyatt</v>
      </c>
      <c r="R312" s="76" t="str">
        <f>IFERROR(__xludf.DUMMYFUNCTION("""COMPUTED_VALUE"""),"Ocean View, Business")</f>
        <v>Ocean View, Business</v>
      </c>
      <c r="S312" s="76" t="str">
        <f>IFERROR(__xludf.DUMMYFUNCTION("""COMPUTED_VALUE"""),"Beach, Kids Club, Teen Club, Lazy River, Kids Waterpark, Big Waterslides, Kids Club for Under 4, Gym, Archery, Yoga Classes, Buffet, Diving, Snorkelling, Spa, Wifi (Free), Babysitting, Adult Pool, Room Service, Swim Up Bar, Tennis, Watersports Equipment R"&amp;"entals, Evening Entertainment, Nightclub")</f>
        <v>Beach, Kids Club, Teen Club, Lazy River, Kids Waterpark, Big Waterslides, Kids Club for Under 4, Gym, Archery, Yoga Classes, Buffet, Diving, Snorkelling, Spa, Wifi (Free), Babysitting, Adult Pool, Room Service, Swim Up Bar, Tennis, Watersports Equipment Rentals, Evening Entertainment, Nightclub</v>
      </c>
      <c r="T312" s="76"/>
      <c r="U312" s="76" t="str">
        <f>IFERROR(__xludf.DUMMYFUNCTION("""COMPUTED_VALUE"""),"1 King or 1 Queen")</f>
        <v>1 King or 1 Queen</v>
      </c>
      <c r="V312" s="78" t="b">
        <f>IFERROR(__xludf.DUMMYFUNCTION("""COMPUTED_VALUE"""),FALSE)</f>
        <v>0</v>
      </c>
      <c r="W312" s="78">
        <f>IFERROR(__xludf.DUMMYFUNCTION("""COMPUTED_VALUE"""),500.0)</f>
        <v>500</v>
      </c>
      <c r="X312" s="78">
        <f>IFERROR(__xludf.DUMMYFUNCTION("""COMPUTED_VALUE"""),2020.0)</f>
        <v>2020</v>
      </c>
      <c r="Y312" s="78"/>
      <c r="Z312" s="81">
        <f>IFERROR(__xludf.DUMMYFUNCTION("""COMPUTED_VALUE"""),1.0)</f>
        <v>1</v>
      </c>
    </row>
    <row r="313">
      <c r="A313" s="65" t="str">
        <f>IFERROR(__xludf.DUMMYFUNCTION("""COMPUTED_VALUE"""),"Grand Palladium White Sand Resort &amp; Spa")</f>
        <v>Grand Palladium White Sand Resort &amp; Spa</v>
      </c>
      <c r="B313" s="66">
        <f>IFERROR(__xludf.DUMMYFUNCTION("""COMPUTED_VALUE"""),87.7)</f>
        <v>87.7</v>
      </c>
      <c r="C313" s="67" t="str">
        <f>IFERROR(__xludf.DUMMYFUNCTION("""COMPUTED_VALUE"""),"Family")</f>
        <v>Family</v>
      </c>
      <c r="D313" s="79">
        <f>IFERROR(__xludf.DUMMYFUNCTION("""COMPUTED_VALUE"""),4974.61)</f>
        <v>4974.61</v>
      </c>
      <c r="E313" s="79">
        <f>IFERROR(__xludf.DUMMYFUNCTION("""COMPUTED_VALUE"""),6870.184643038999)</f>
        <v>6870.184643</v>
      </c>
      <c r="F313" s="69">
        <f>IFERROR(__xludf.DUMMYFUNCTION("""COMPUTED_VALUE"""),1.55)</f>
        <v>1.55</v>
      </c>
      <c r="G313" s="78"/>
      <c r="H313" s="78">
        <f>IFERROR(__xludf.DUMMYFUNCTION("""COMPUTED_VALUE"""),8.0)</f>
        <v>8</v>
      </c>
      <c r="I313" s="78"/>
      <c r="J313" s="78">
        <f>IFERROR(__xludf.DUMMYFUNCTION("""COMPUTED_VALUE"""),5.0)</f>
        <v>5</v>
      </c>
      <c r="K313" s="76"/>
      <c r="L313" s="76" t="str">
        <f>IFERROR(__xludf.DUMMYFUNCTION("""COMPUTED_VALUE"""),"Mexico")</f>
        <v>Mexico</v>
      </c>
      <c r="M313" s="76" t="str">
        <f>IFERROR(__xludf.DUMMYFUNCTION("""COMPUTED_VALUE"""),"Solidaridad")</f>
        <v>Solidaridad</v>
      </c>
      <c r="N313" s="76" t="str">
        <f>IFERROR(__xludf.DUMMYFUNCTION("""COMPUTED_VALUE"""),"Cancun")</f>
        <v>Cancun</v>
      </c>
      <c r="O313" s="78" t="b">
        <f>IFERROR(__xludf.DUMMYFUNCTION("""COMPUTED_VALUE"""),TRUE)</f>
        <v>1</v>
      </c>
      <c r="P313" s="80">
        <f>IFERROR(__xludf.DUMMYFUNCTION("""COMPUTED_VALUE"""),0.04375)</f>
        <v>0.04375</v>
      </c>
      <c r="Q313" s="76" t="str">
        <f>IFERROR(__xludf.DUMMYFUNCTION("""COMPUTED_VALUE"""),"Wyndham Hotels")</f>
        <v>Wyndham Hotels</v>
      </c>
      <c r="R313" s="76" t="str">
        <f>IFERROR(__xludf.DUMMYFUNCTION("""COMPUTED_VALUE"""),"Quiet, Charming")</f>
        <v>Quiet, Charming</v>
      </c>
      <c r="S313" s="76" t="str">
        <f>IFERROR(__xludf.DUMMYFUNCTION("""COMPUTED_VALUE"""),"Beach, Adults Only Rooms, Kids Club, Teen Club, Kids Waterpark, Pool Slide, Water Feature, Kids Club for Under 4, Gym, Diving, Adult Pool, Swim Up Bar, Mini Golf, Evening Entertainment, Nightclub, Babysitting, Buffet, Tennis, Spa")</f>
        <v>Beach, Adults Only Rooms, Kids Club, Teen Club, Kids Waterpark, Pool Slide, Water Feature, Kids Club for Under 4, Gym, Diving, Adult Pool, Swim Up Bar, Mini Golf, Evening Entertainment, Nightclub, Babysitting, Buffet, Tennis, Spa</v>
      </c>
      <c r="T313" s="76"/>
      <c r="U313" s="76" t="str">
        <f>IFERROR(__xludf.DUMMYFUNCTION("""COMPUTED_VALUE"""),"1 King or 2 Double")</f>
        <v>1 King or 2 Double</v>
      </c>
      <c r="V313" s="78" t="b">
        <f>IFERROR(__xludf.DUMMYFUNCTION("""COMPUTED_VALUE"""),FALSE)</f>
        <v>0</v>
      </c>
      <c r="W313" s="78">
        <f>IFERROR(__xludf.DUMMYFUNCTION("""COMPUTED_VALUE"""),264.0)</f>
        <v>264</v>
      </c>
      <c r="X313" s="78">
        <f>IFERROR(__xludf.DUMMYFUNCTION("""COMPUTED_VALUE"""),2017.0)</f>
        <v>2017</v>
      </c>
      <c r="Y313" s="78"/>
      <c r="Z313" s="81">
        <f>IFERROR(__xludf.DUMMYFUNCTION("""COMPUTED_VALUE"""),3.0)</f>
        <v>3</v>
      </c>
    </row>
    <row r="314">
      <c r="A314" s="65" t="str">
        <f>IFERROR(__xludf.DUMMYFUNCTION("""COMPUTED_VALUE"""),"Dreams Karibana Cartagena Golf &amp; Spa Resort")</f>
        <v>Dreams Karibana Cartagena Golf &amp; Spa Resort</v>
      </c>
      <c r="B314" s="66">
        <f>IFERROR(__xludf.DUMMYFUNCTION("""COMPUTED_VALUE"""),87.7)</f>
        <v>87.7</v>
      </c>
      <c r="C314" s="67" t="str">
        <f>IFERROR(__xludf.DUMMYFUNCTION("""COMPUTED_VALUE"""),"Family")</f>
        <v>Family</v>
      </c>
      <c r="D314" s="79">
        <f>IFERROR(__xludf.DUMMYFUNCTION("""COMPUTED_VALUE"""),5852.0)</f>
        <v>5852</v>
      </c>
      <c r="E314" s="79">
        <f>IFERROR(__xludf.DUMMYFUNCTION("""COMPUTED_VALUE"""),8081.9040147999995)</f>
        <v>8081.904015</v>
      </c>
      <c r="F314" s="69">
        <f>IFERROR(__xludf.DUMMYFUNCTION("""COMPUTED_VALUE"""),1.32)</f>
        <v>1.32</v>
      </c>
      <c r="G314" s="78"/>
      <c r="H314" s="74" t="str">
        <f>IFERROR(__xludf.DUMMYFUNCTION("""COMPUTED_VALUE"""),"NYR")</f>
        <v>NYR</v>
      </c>
      <c r="I314" s="78" t="str">
        <f>IFERROR(__xludf.DUMMYFUNCTION("""COMPUTED_VALUE"""),"B")</f>
        <v>B</v>
      </c>
      <c r="J314" s="78">
        <f>IFERROR(__xludf.DUMMYFUNCTION("""COMPUTED_VALUE"""),5.0)</f>
        <v>5</v>
      </c>
      <c r="K314" s="76"/>
      <c r="L314" s="76" t="str">
        <f>IFERROR(__xludf.DUMMYFUNCTION("""COMPUTED_VALUE"""),"Colombia")</f>
        <v>Colombia</v>
      </c>
      <c r="M314" s="76" t="str">
        <f>IFERROR(__xludf.DUMMYFUNCTION("""COMPUTED_VALUE"""),"Cartagena")</f>
        <v>Cartagena</v>
      </c>
      <c r="N314" s="76" t="str">
        <f>IFERROR(__xludf.DUMMYFUNCTION("""COMPUTED_VALUE"""),"Rafael Nunez")</f>
        <v>Rafael Nunez</v>
      </c>
      <c r="O314" s="78" t="b">
        <f>IFERROR(__xludf.DUMMYFUNCTION("""COMPUTED_VALUE"""),FALSE)</f>
        <v>0</v>
      </c>
      <c r="P314" s="80">
        <f>IFERROR(__xludf.DUMMYFUNCTION("""COMPUTED_VALUE"""),0.016666666666666666)</f>
        <v>0.01666666667</v>
      </c>
      <c r="Q314" s="76" t="str">
        <f>IFERROR(__xludf.DUMMYFUNCTION("""COMPUTED_VALUE"""),"Hyatt")</f>
        <v>Hyatt</v>
      </c>
      <c r="R314" s="76" t="str">
        <f>IFERROR(__xludf.DUMMYFUNCTION("""COMPUTED_VALUE"""),"Business")</f>
        <v>Business</v>
      </c>
      <c r="S314" s="76" t="str">
        <f>IFERROR(__xludf.DUMMYFUNCTION("""COMPUTED_VALUE"""),"Beach, Swim Out/Plunge Pool Rooms, Adults Only Rooms, Kids Club, Kids Club for Under 4, Gym, Buffet, Evening Entertainment, Pets Allowed, Spa, Wifi (Free), Babysitting, Room Service, Golf Course")</f>
        <v>Beach, Swim Out/Plunge Pool Rooms, Adults Only Rooms, Kids Club, Kids Club for Under 4, Gym, Buffet, Evening Entertainment, Pets Allowed, Spa, Wifi (Free), Babysitting, Room Service, Golf Course</v>
      </c>
      <c r="T314" s="76"/>
      <c r="U314" s="76" t="str">
        <f>IFERROR(__xludf.DUMMYFUNCTION("""COMPUTED_VALUE"""),"1 King or 2 Queen")</f>
        <v>1 King or 2 Queen</v>
      </c>
      <c r="V314" s="78" t="b">
        <f>IFERROR(__xludf.DUMMYFUNCTION("""COMPUTED_VALUE"""),FALSE)</f>
        <v>0</v>
      </c>
      <c r="W314" s="78">
        <f>IFERROR(__xludf.DUMMYFUNCTION("""COMPUTED_VALUE"""),268.0)</f>
        <v>268</v>
      </c>
      <c r="X314" s="74">
        <f>IFERROR(__xludf.DUMMYFUNCTION("""COMPUTED_VALUE"""),2018.0)</f>
        <v>2018</v>
      </c>
      <c r="Y314" s="74"/>
      <c r="Z314" s="75">
        <f>IFERROR(__xludf.DUMMYFUNCTION("""COMPUTED_VALUE"""),6.0)</f>
        <v>6</v>
      </c>
    </row>
    <row r="315">
      <c r="A315" s="65" t="str">
        <f>IFERROR(__xludf.DUMMYFUNCTION("""COMPUTED_VALUE"""),"Sandals Halcyon Beach (Couples only)")</f>
        <v>Sandals Halcyon Beach (Couples only)</v>
      </c>
      <c r="B315" s="66">
        <f>IFERROR(__xludf.DUMMYFUNCTION("""COMPUTED_VALUE"""),87.7)</f>
        <v>87.7</v>
      </c>
      <c r="C315" s="67" t="str">
        <f>IFERROR(__xludf.DUMMYFUNCTION("""COMPUTED_VALUE"""),"Adults Only")</f>
        <v>Adults Only</v>
      </c>
      <c r="D315" s="85">
        <f>IFERROR(__xludf.DUMMYFUNCTION("""COMPUTED_VALUE"""),6011.0)</f>
        <v>6011</v>
      </c>
      <c r="E315" s="79">
        <f>IFERROR(__xludf.DUMMYFUNCTION("""COMPUTED_VALUE"""),8301.490948899998)</f>
        <v>8301.490949</v>
      </c>
      <c r="F315" s="69">
        <f>IFERROR(__xludf.DUMMYFUNCTION("""COMPUTED_VALUE"""),1.28)</f>
        <v>1.28</v>
      </c>
      <c r="G315" s="78"/>
      <c r="H315" s="78" t="str">
        <f>IFERROR(__xludf.DUMMYFUNCTION("""COMPUTED_VALUE"""),"NYR")</f>
        <v>NYR</v>
      </c>
      <c r="I315" s="78"/>
      <c r="J315" s="78">
        <f>IFERROR(__xludf.DUMMYFUNCTION("""COMPUTED_VALUE"""),4.5)</f>
        <v>4.5</v>
      </c>
      <c r="K315" s="76" t="str">
        <f>IFERROR(__xludf.DUMMYFUNCTION("""COMPUTED_VALUE"""),"Couples Only")</f>
        <v>Couples Only</v>
      </c>
      <c r="L315" s="76" t="str">
        <f>IFERROR(__xludf.DUMMYFUNCTION("""COMPUTED_VALUE"""),"Saint Lucia")</f>
        <v>Saint Lucia</v>
      </c>
      <c r="M315" s="76" t="str">
        <f>IFERROR(__xludf.DUMMYFUNCTION("""COMPUTED_VALUE"""),"Castries")</f>
        <v>Castries</v>
      </c>
      <c r="N315" s="76" t="str">
        <f>IFERROR(__xludf.DUMMYFUNCTION("""COMPUTED_VALUE"""),"Hewanorra")</f>
        <v>Hewanorra</v>
      </c>
      <c r="O315" s="78" t="b">
        <f>IFERROR(__xludf.DUMMYFUNCTION("""COMPUTED_VALUE"""),FALSE)</f>
        <v>0</v>
      </c>
      <c r="P315" s="80">
        <f>IFERROR(__xludf.DUMMYFUNCTION("""COMPUTED_VALUE"""),0.04791666666666667)</f>
        <v>0.04791666667</v>
      </c>
      <c r="Q315" s="76" t="str">
        <f>IFERROR(__xludf.DUMMYFUNCTION("""COMPUTED_VALUE"""),"Sandals")</f>
        <v>Sandals</v>
      </c>
      <c r="R315" s="76" t="str">
        <f>IFERROR(__xludf.DUMMYFUNCTION("""COMPUTED_VALUE"""),"Romantic, Great View")</f>
        <v>Romantic, Great View</v>
      </c>
      <c r="S315" s="76" t="str">
        <f>IFERROR(__xludf.DUMMYFUNCTION("""COMPUTED_VALUE"""),"Beach, Swim Out/Plunge Pool Rooms, Gym, Diving, Wifi (Paid), Swim Up Bar, Tennis, Evening Entertainment, Nightclub, Spa, Buffet, Fishing")</f>
        <v>Beach, Swim Out/Plunge Pool Rooms, Gym, Diving, Wifi (Paid), Swim Up Bar, Tennis, Evening Entertainment, Nightclub, Spa, Buffet, Fishing</v>
      </c>
      <c r="T315" s="76"/>
      <c r="U315" s="76"/>
      <c r="V315" s="78" t="b">
        <f>IFERROR(__xludf.DUMMYFUNCTION("""COMPUTED_VALUE"""),FALSE)</f>
        <v>0</v>
      </c>
      <c r="W315" s="78">
        <f>IFERROR(__xludf.DUMMYFUNCTION("""COMPUTED_VALUE"""),169.0)</f>
        <v>169</v>
      </c>
      <c r="X315" s="78">
        <f>IFERROR(__xludf.DUMMYFUNCTION("""COMPUTED_VALUE"""),1971.0)</f>
        <v>1971</v>
      </c>
      <c r="Y315" s="78">
        <f>IFERROR(__xludf.DUMMYFUNCTION("""COMPUTED_VALUE"""),2019.0)</f>
        <v>2019</v>
      </c>
      <c r="Z315" s="81"/>
    </row>
    <row r="316">
      <c r="A316" s="77" t="str">
        <f>IFERROR(__xludf.DUMMYFUNCTION("""COMPUTED_VALUE"""),"Barcelo Bavaro Beach")</f>
        <v>Barcelo Bavaro Beach</v>
      </c>
      <c r="B316" s="66">
        <f>IFERROR(__xludf.DUMMYFUNCTION("""COMPUTED_VALUE"""),87.5)</f>
        <v>87.5</v>
      </c>
      <c r="C316" s="78" t="str">
        <f>IFERROR(__xludf.DUMMYFUNCTION("""COMPUTED_VALUE"""),"Adults Only")</f>
        <v>Adults Only</v>
      </c>
      <c r="D316" s="68">
        <f>IFERROR(__xludf.DUMMYFUNCTION("""COMPUTED_VALUE"""),2294.81)</f>
        <v>2294.81</v>
      </c>
      <c r="E316" s="68">
        <f>IFERROR(__xludf.DUMMYFUNCTION("""COMPUTED_VALUE"""),3169.2471210189997)</f>
        <v>3169.247121</v>
      </c>
      <c r="F316" s="69">
        <f>IFERROR(__xludf.DUMMYFUNCTION("""COMPUTED_VALUE"""),3.27)</f>
        <v>3.27</v>
      </c>
      <c r="G316" s="74"/>
      <c r="H316" s="74">
        <f>IFERROR(__xludf.DUMMYFUNCTION("""COMPUTED_VALUE"""),8.0)</f>
        <v>8</v>
      </c>
      <c r="I316" s="74"/>
      <c r="J316" s="74">
        <f>IFERROR(__xludf.DUMMYFUNCTION("""COMPUTED_VALUE"""),5.0)</f>
        <v>5</v>
      </c>
      <c r="K316" s="72"/>
      <c r="L316" s="72" t="str">
        <f>IFERROR(__xludf.DUMMYFUNCTION("""COMPUTED_VALUE"""),"Dominican Republic")</f>
        <v>Dominican Republic</v>
      </c>
      <c r="M316" s="72" t="str">
        <f>IFERROR(__xludf.DUMMYFUNCTION("""COMPUTED_VALUE"""),"Bavaro")</f>
        <v>Bavaro</v>
      </c>
      <c r="N316" s="72" t="str">
        <f>IFERROR(__xludf.DUMMYFUNCTION("""COMPUTED_VALUE"""),"Punta Cana")</f>
        <v>Punta Cana</v>
      </c>
      <c r="O316" s="74" t="b">
        <f>IFERROR(__xludf.DUMMYFUNCTION("""COMPUTED_VALUE"""),TRUE)</f>
        <v>1</v>
      </c>
      <c r="P316" s="73">
        <f>IFERROR(__xludf.DUMMYFUNCTION("""COMPUTED_VALUE"""),0.014583333333333334)</f>
        <v>0.01458333333</v>
      </c>
      <c r="Q316" s="76" t="str">
        <f>IFERROR(__xludf.DUMMYFUNCTION("""COMPUTED_VALUE"""),"Barcelo")</f>
        <v>Barcelo</v>
      </c>
      <c r="R316" s="72" t="str">
        <f>IFERROR(__xludf.DUMMYFUNCTION("""COMPUTED_VALUE"""),"Great View, Quiet")</f>
        <v>Great View, Quiet</v>
      </c>
      <c r="S316" s="71" t="str">
        <f>IFERROR(__xludf.DUMMYFUNCTION("""COMPUTED_VALUE"""),"Beach, Swim Out/Plunge Pool Rooms, Gym, Casino, Buffet, Diving, Tennis, Spa, Golf Course, Evening Entertainment, Nightclub")</f>
        <v>Beach, Swim Out/Plunge Pool Rooms, Gym, Casino, Buffet, Diving, Tennis, Spa, Golf Course, Evening Entertainment, Nightclub</v>
      </c>
      <c r="T316" s="71"/>
      <c r="U316" s="72"/>
      <c r="V316" s="74" t="b">
        <f>IFERROR(__xludf.DUMMYFUNCTION("""COMPUTED_VALUE"""),FALSE)</f>
        <v>0</v>
      </c>
      <c r="W316" s="74">
        <f>IFERROR(__xludf.DUMMYFUNCTION("""COMPUTED_VALUE"""),589.0)</f>
        <v>589</v>
      </c>
      <c r="X316" s="78">
        <f>IFERROR(__xludf.DUMMYFUNCTION("""COMPUTED_VALUE"""),1985.0)</f>
        <v>1985</v>
      </c>
      <c r="Y316" s="74">
        <f>IFERROR(__xludf.DUMMYFUNCTION("""COMPUTED_VALUE"""),2010.0)</f>
        <v>2010</v>
      </c>
      <c r="Z316" s="75">
        <f>IFERROR(__xludf.DUMMYFUNCTION("""COMPUTED_VALUE"""),4.0)</f>
        <v>4</v>
      </c>
    </row>
    <row r="317">
      <c r="A317" s="65" t="str">
        <f>IFERROR(__xludf.DUMMYFUNCTION("""COMPUTED_VALUE"""),"Paradisus Los Cayos")</f>
        <v>Paradisus Los Cayos</v>
      </c>
      <c r="B317" s="66">
        <f>IFERROR(__xludf.DUMMYFUNCTION("""COMPUTED_VALUE"""),87.5)</f>
        <v>87.5</v>
      </c>
      <c r="C317" s="67" t="str">
        <f>IFERROR(__xludf.DUMMYFUNCTION("""COMPUTED_VALUE"""),"Family")</f>
        <v>Family</v>
      </c>
      <c r="D317" s="68">
        <f>IFERROR(__xludf.DUMMYFUNCTION("""COMPUTED_VALUE"""),2618.0)</f>
        <v>2618</v>
      </c>
      <c r="E317" s="79">
        <f>IFERROR(__xludf.DUMMYFUNCTION("""COMPUTED_VALUE"""),3615.5886381999994)</f>
        <v>3615.588638</v>
      </c>
      <c r="F317" s="69">
        <f>IFERROR(__xludf.DUMMYFUNCTION("""COMPUTED_VALUE"""),2.86)</f>
        <v>2.86</v>
      </c>
      <c r="G317" s="78"/>
      <c r="H317" s="78" t="str">
        <f>IFERROR(__xludf.DUMMYFUNCTION("""COMPUTED_VALUE"""),"NYR")</f>
        <v>NYR</v>
      </c>
      <c r="I317" s="78"/>
      <c r="J317" s="78">
        <f>IFERROR(__xludf.DUMMYFUNCTION("""COMPUTED_VALUE"""),5.0)</f>
        <v>5</v>
      </c>
      <c r="K317" s="76"/>
      <c r="L317" s="76" t="str">
        <f>IFERROR(__xludf.DUMMYFUNCTION("""COMPUTED_VALUE"""),"Cuba")</f>
        <v>Cuba</v>
      </c>
      <c r="M317" s="76" t="str">
        <f>IFERROR(__xludf.DUMMYFUNCTION("""COMPUTED_VALUE"""),"Cayo Santa Maria")</f>
        <v>Cayo Santa Maria</v>
      </c>
      <c r="N317" s="76" t="str">
        <f>IFERROR(__xludf.DUMMYFUNCTION("""COMPUTED_VALUE"""),"Santa Clara")</f>
        <v>Santa Clara</v>
      </c>
      <c r="O317" s="78" t="b">
        <f>IFERROR(__xludf.DUMMYFUNCTION("""COMPUTED_VALUE"""),TRUE)</f>
        <v>1</v>
      </c>
      <c r="P317" s="80">
        <f>IFERROR(__xludf.DUMMYFUNCTION("""COMPUTED_VALUE"""),0.07083333333333333)</f>
        <v>0.07083333333</v>
      </c>
      <c r="Q317" s="76" t="str">
        <f>IFERROR(__xludf.DUMMYFUNCTION("""COMPUTED_VALUE"""),"Melia")</f>
        <v>Melia</v>
      </c>
      <c r="R317" s="76" t="str">
        <f>IFERROR(__xludf.DUMMYFUNCTION("""COMPUTED_VALUE"""),"Family, Great View")</f>
        <v>Family, Great View</v>
      </c>
      <c r="S317" s="71" t="str">
        <f>IFERROR(__xludf.DUMMYFUNCTION("""COMPUTED_VALUE"""),"Beach, Swim Out/Plunge Pool Rooms, Adults Only Rooms, Kids Club, Kids Waterpark, Gym, Tennis, Wifi (Paid), Evening Entertainment, Babysitting, Buffet, Swim Up Bar, Nightclub, Spa")</f>
        <v>Beach, Swim Out/Plunge Pool Rooms, Adults Only Rooms, Kids Club, Kids Waterpark, Gym, Tennis, Wifi (Paid), Evening Entertainment, Babysitting, Buffet, Swim Up Bar, Nightclub, Spa</v>
      </c>
      <c r="T317" s="71"/>
      <c r="U317" s="76" t="str">
        <f>IFERROR(__xludf.DUMMYFUNCTION("""COMPUTED_VALUE"""),"1 King")</f>
        <v>1 King</v>
      </c>
      <c r="V317" s="78" t="b">
        <f>IFERROR(__xludf.DUMMYFUNCTION("""COMPUTED_VALUE"""),FALSE)</f>
        <v>0</v>
      </c>
      <c r="W317" s="78"/>
      <c r="X317" s="78"/>
      <c r="Y317" s="78"/>
      <c r="Z317" s="81">
        <f>IFERROR(__xludf.DUMMYFUNCTION("""COMPUTED_VALUE"""),3.0)</f>
        <v>3</v>
      </c>
    </row>
    <row r="318">
      <c r="A318" s="65" t="str">
        <f>IFERROR(__xludf.DUMMYFUNCTION("""COMPUTED_VALUE"""),"Moon Palace Nizuc")</f>
        <v>Moon Palace Nizuc</v>
      </c>
      <c r="B318" s="66">
        <f>IFERROR(__xludf.DUMMYFUNCTION("""COMPUTED_VALUE"""),87.5)</f>
        <v>87.5</v>
      </c>
      <c r="C318" s="67" t="str">
        <f>IFERROR(__xludf.DUMMYFUNCTION("""COMPUTED_VALUE"""),"Family")</f>
        <v>Family</v>
      </c>
      <c r="D318" s="68">
        <f>IFERROR(__xludf.DUMMYFUNCTION("""COMPUTED_VALUE"""),4501.0)</f>
        <v>4501</v>
      </c>
      <c r="E318" s="68">
        <f>IFERROR(__xludf.DUMMYFUNCTION("""COMPUTED_VALUE"""),6216.105599899999)</f>
        <v>6216.1056</v>
      </c>
      <c r="F318" s="69">
        <f>IFERROR(__xludf.DUMMYFUNCTION("""COMPUTED_VALUE"""),1.67)</f>
        <v>1.67</v>
      </c>
      <c r="G318" s="70">
        <f>IFERROR(__xludf.DUMMYFUNCTION("""COMPUTED_VALUE"""),4.0)</f>
        <v>4</v>
      </c>
      <c r="H318" s="70">
        <f>IFERROR(__xludf.DUMMYFUNCTION("""COMPUTED_VALUE"""),9.0)</f>
        <v>9</v>
      </c>
      <c r="I318" s="70"/>
      <c r="J318" s="70">
        <f>IFERROR(__xludf.DUMMYFUNCTION("""COMPUTED_VALUE"""),5.0)</f>
        <v>5</v>
      </c>
      <c r="K318" s="76"/>
      <c r="L318" s="76" t="str">
        <f>IFERROR(__xludf.DUMMYFUNCTION("""COMPUTED_VALUE"""),"Mexico")</f>
        <v>Mexico</v>
      </c>
      <c r="M318" s="71" t="str">
        <f>IFERROR(__xludf.DUMMYFUNCTION("""COMPUTED_VALUE"""),"Cancun")</f>
        <v>Cancun</v>
      </c>
      <c r="N318" s="76" t="str">
        <f>IFERROR(__xludf.DUMMYFUNCTION("""COMPUTED_VALUE"""),"Cancun")</f>
        <v>Cancun</v>
      </c>
      <c r="O318" s="70" t="b">
        <f>IFERROR(__xludf.DUMMYFUNCTION("""COMPUTED_VALUE"""),TRUE)</f>
        <v>1</v>
      </c>
      <c r="P318" s="73">
        <f>IFERROR(__xludf.DUMMYFUNCTION("""COMPUTED_VALUE"""),0.009722222222222222)</f>
        <v>0.009722222222</v>
      </c>
      <c r="Q318" s="76" t="str">
        <f>IFERROR(__xludf.DUMMYFUNCTION("""COMPUTED_VALUE"""),"Palace Resorts")</f>
        <v>Palace Resorts</v>
      </c>
      <c r="R318" s="76" t="str">
        <f>IFERROR(__xludf.DUMMYFUNCTION("""COMPUTED_VALUE"""),"Family")</f>
        <v>Family</v>
      </c>
      <c r="S318" s="71" t="str">
        <f>IFERROR(__xludf.DUMMYFUNCTION("""COMPUTED_VALUE"""),"Beach, Swim Out/Plunge Pool Rooms, Family Suite, 2 Bedroom Suites, Kids Club, Teen Club, Kids Waterpark, Pool Slide, Water Feature, Arcade, Flowrider, Gym, Bicycles Available, Room Service, Mini Golf, Watersports Equipment Rentals, Evening Entertainment, "&amp;"Babysitting, Buffet, Swim Up Bar, Diving, Golf Course, Nightclub, Spa")</f>
        <v>Beach, Swim Out/Plunge Pool Rooms, Family Suite, 2 Bedroom Suites, Kids Club, Teen Club, Kids Waterpark, Pool Slide, Water Feature, Arcade, Flowrider, Gym, Bicycles Available, Room Service, Mini Golf, Watersports Equipment Rentals, Evening Entertainment, Babysitting, Buffet, Swim Up Bar, Diving, Golf Course, Nightclub, Spa</v>
      </c>
      <c r="T318" s="71"/>
      <c r="U318" s="71" t="str">
        <f>IFERROR(__xludf.DUMMYFUNCTION("""COMPUTED_VALUE"""),"1 King or 2 Double")</f>
        <v>1 King or 2 Double</v>
      </c>
      <c r="V318" s="78" t="b">
        <f>IFERROR(__xludf.DUMMYFUNCTION("""COMPUTED_VALUE"""),FALSE)</f>
        <v>0</v>
      </c>
      <c r="W318" s="78">
        <f>IFERROR(__xludf.DUMMYFUNCTION("""COMPUTED_VALUE"""),2404.0)</f>
        <v>2404</v>
      </c>
      <c r="X318" s="78">
        <f>IFERROR(__xludf.DUMMYFUNCTION("""COMPUTED_VALUE"""),1996.0)</f>
        <v>1996</v>
      </c>
      <c r="Y318" s="78">
        <f>IFERROR(__xludf.DUMMYFUNCTION("""COMPUTED_VALUE"""),2014.0)</f>
        <v>2014</v>
      </c>
      <c r="Z318" s="81"/>
    </row>
    <row r="319">
      <c r="A319" s="65" t="str">
        <f>IFERROR(__xludf.DUMMYFUNCTION("""COMPUTED_VALUE"""),"Dreams Playa Mujeres Golf &amp; Spa Resort")</f>
        <v>Dreams Playa Mujeres Golf &amp; Spa Resort</v>
      </c>
      <c r="B319" s="66">
        <f>IFERROR(__xludf.DUMMYFUNCTION("""COMPUTED_VALUE"""),87.5)</f>
        <v>87.5</v>
      </c>
      <c r="C319" s="67" t="str">
        <f>IFERROR(__xludf.DUMMYFUNCTION("""COMPUTED_VALUE"""),"Family")</f>
        <v>Family</v>
      </c>
      <c r="D319" s="68">
        <f>IFERROR(__xludf.DUMMYFUNCTION("""COMPUTED_VALUE"""),6174.0)</f>
        <v>6174</v>
      </c>
      <c r="E319" s="79">
        <f>IFERROR(__xludf.DUMMYFUNCTION("""COMPUTED_VALUE"""),8526.602082599999)</f>
        <v>8526.602083</v>
      </c>
      <c r="F319" s="69">
        <f>IFERROR(__xludf.DUMMYFUNCTION("""COMPUTED_VALUE"""),1.21)</f>
        <v>1.21</v>
      </c>
      <c r="G319" s="78"/>
      <c r="H319" s="78">
        <f>IFERROR(__xludf.DUMMYFUNCTION("""COMPUTED_VALUE"""),7.0)</f>
        <v>7</v>
      </c>
      <c r="I319" s="78" t="str">
        <f>IFERROR(__xludf.DUMMYFUNCTION("""COMPUTED_VALUE"""),"D")</f>
        <v>D</v>
      </c>
      <c r="J319" s="78">
        <f>IFERROR(__xludf.DUMMYFUNCTION("""COMPUTED_VALUE"""),5.0)</f>
        <v>5</v>
      </c>
      <c r="K319" s="76"/>
      <c r="L319" s="76" t="str">
        <f>IFERROR(__xludf.DUMMYFUNCTION("""COMPUTED_VALUE"""),"Mexico")</f>
        <v>Mexico</v>
      </c>
      <c r="M319" s="76" t="str">
        <f>IFERROR(__xludf.DUMMYFUNCTION("""COMPUTED_VALUE"""),"Playa Mujeres")</f>
        <v>Playa Mujeres</v>
      </c>
      <c r="N319" s="76" t="str">
        <f>IFERROR(__xludf.DUMMYFUNCTION("""COMPUTED_VALUE"""),"Cancun")</f>
        <v>Cancun</v>
      </c>
      <c r="O319" s="78" t="b">
        <f>IFERROR(__xludf.DUMMYFUNCTION("""COMPUTED_VALUE"""),TRUE)</f>
        <v>1</v>
      </c>
      <c r="P319" s="80">
        <f>IFERROR(__xludf.DUMMYFUNCTION("""COMPUTED_VALUE"""),0.029166666666666667)</f>
        <v>0.02916666667</v>
      </c>
      <c r="Q319" s="76" t="str">
        <f>IFERROR(__xludf.DUMMYFUNCTION("""COMPUTED_VALUE"""),"Hyatt")</f>
        <v>Hyatt</v>
      </c>
      <c r="R319" s="76" t="str">
        <f>IFERROR(__xludf.DUMMYFUNCTION("""COMPUTED_VALUE"""),"Family")</f>
        <v>Family</v>
      </c>
      <c r="S319" s="71" t="str">
        <f>IFERROR(__xludf.DUMMYFUNCTION("""COMPUTED_VALUE"""),"Beach, Family Suite, 2 Bedroom Suites, Kids Club, Teen Club, Lazy River, Kids Waterpark, Big Waterslides, Kids Club for Under 4, Gym, Buffet, Swim Up Bar, Golf Course, Evening Entertainment, Nightclub, Wifi (Free), Babysitting, Mini Golf, Spa")</f>
        <v>Beach, Family Suite, 2 Bedroom Suites, Kids Club, Teen Club, Lazy River, Kids Waterpark, Big Waterslides, Kids Club for Under 4, Gym, Buffet, Swim Up Bar, Golf Course, Evening Entertainment, Nightclub, Wifi (Free), Babysitting, Mini Golf, Spa</v>
      </c>
      <c r="T319" s="71" t="str">
        <f>IFERROR(__xludf.DUMMYFUNCTION("""COMPUTED_VALUE"""),"Yes")</f>
        <v>Yes</v>
      </c>
      <c r="U319" s="71" t="str">
        <f>IFERROR(__xludf.DUMMYFUNCTION("""COMPUTED_VALUE"""),"1 King or 2 Queen")</f>
        <v>1 King or 2 Queen</v>
      </c>
      <c r="V319" s="78" t="b">
        <f>IFERROR(__xludf.DUMMYFUNCTION("""COMPUTED_VALUE"""),FALSE)</f>
        <v>0</v>
      </c>
      <c r="W319" s="78">
        <f>IFERROR(__xludf.DUMMYFUNCTION("""COMPUTED_VALUE"""),502.0)</f>
        <v>502</v>
      </c>
      <c r="X319" s="78">
        <f>IFERROR(__xludf.DUMMYFUNCTION("""COMPUTED_VALUE"""),2016.0)</f>
        <v>2016</v>
      </c>
      <c r="Y319" s="78"/>
      <c r="Z319" s="81"/>
    </row>
    <row r="320">
      <c r="A320" s="65" t="str">
        <f>IFERROR(__xludf.DUMMYFUNCTION("""COMPUTED_VALUE"""),"Hotel Riu Tequila")</f>
        <v>Hotel Riu Tequila</v>
      </c>
      <c r="B320" s="66">
        <f>IFERROR(__xludf.DUMMYFUNCTION("""COMPUTED_VALUE"""),87.3)</f>
        <v>87.3</v>
      </c>
      <c r="C320" s="67" t="str">
        <f>IFERROR(__xludf.DUMMYFUNCTION("""COMPUTED_VALUE"""),"Family")</f>
        <v>Family</v>
      </c>
      <c r="D320" s="68">
        <f>IFERROR(__xludf.DUMMYFUNCTION("""COMPUTED_VALUE"""),2286.62)</f>
        <v>2286.62</v>
      </c>
      <c r="E320" s="79">
        <f>IFERROR(__xludf.DUMMYFUNCTION("""COMPUTED_VALUE"""),3157.9363223379996)</f>
        <v>3157.936322</v>
      </c>
      <c r="F320" s="69">
        <f>IFERROR(__xludf.DUMMYFUNCTION("""COMPUTED_VALUE"""),3.19)</f>
        <v>3.19</v>
      </c>
      <c r="G320" s="78"/>
      <c r="H320" s="78">
        <f>IFERROR(__xludf.DUMMYFUNCTION("""COMPUTED_VALUE"""),7.0)</f>
        <v>7</v>
      </c>
      <c r="I320" s="78"/>
      <c r="J320" s="78">
        <f>IFERROR(__xludf.DUMMYFUNCTION("""COMPUTED_VALUE"""),5.0)</f>
        <v>5</v>
      </c>
      <c r="K320" s="76"/>
      <c r="L320" s="76" t="str">
        <f>IFERROR(__xludf.DUMMYFUNCTION("""COMPUTED_VALUE"""),"Mexico")</f>
        <v>Mexico</v>
      </c>
      <c r="M320" s="76" t="str">
        <f>IFERROR(__xludf.DUMMYFUNCTION("""COMPUTED_VALUE"""),"Playa del Carmen")</f>
        <v>Playa del Carmen</v>
      </c>
      <c r="N320" s="87" t="str">
        <f>IFERROR(__xludf.DUMMYFUNCTION("""COMPUTED_VALUE"""),"Cancun")</f>
        <v>Cancun</v>
      </c>
      <c r="O320" s="78" t="b">
        <f>IFERROR(__xludf.DUMMYFUNCTION("""COMPUTED_VALUE"""),TRUE)</f>
        <v>1</v>
      </c>
      <c r="P320" s="80">
        <f>IFERROR(__xludf.DUMMYFUNCTION("""COMPUTED_VALUE"""),0.04097222222222222)</f>
        <v>0.04097222222</v>
      </c>
      <c r="Q320" s="76" t="str">
        <f>IFERROR(__xludf.DUMMYFUNCTION("""COMPUTED_VALUE"""),"Riu")</f>
        <v>Riu</v>
      </c>
      <c r="R320" s="76" t="str">
        <f>IFERROR(__xludf.DUMMYFUNCTION("""COMPUTED_VALUE"""),"Classic, Family")</f>
        <v>Classic, Family</v>
      </c>
      <c r="S320" s="71" t="str">
        <f>IFERROR(__xludf.DUMMYFUNCTION("""COMPUTED_VALUE"""),"Beach, Great for Parties, Kids Club, Kids Waterpark, Gym, Buffet, Watersports Equipment Rentals, Babysitting, Swim Up Bar, Diving, Snorkelling, Windsurfing, Evening Entertainment, Nightclub, Spa")</f>
        <v>Beach, Great for Parties, Kids Club, Kids Waterpark, Gym, Buffet, Watersports Equipment Rentals, Babysitting, Swim Up Bar, Diving, Snorkelling, Windsurfing, Evening Entertainment, Nightclub, Spa</v>
      </c>
      <c r="T320" s="71"/>
      <c r="U320" s="76" t="str">
        <f>IFERROR(__xludf.DUMMYFUNCTION("""COMPUTED_VALUE"""),"2 Small Double")</f>
        <v>2 Small Double</v>
      </c>
      <c r="V320" s="78" t="b">
        <f>IFERROR(__xludf.DUMMYFUNCTION("""COMPUTED_VALUE"""),FALSE)</f>
        <v>0</v>
      </c>
      <c r="W320" s="78">
        <f>IFERROR(__xludf.DUMMYFUNCTION("""COMPUTED_VALUE"""),630.0)</f>
        <v>630</v>
      </c>
      <c r="X320" s="78">
        <f>IFERROR(__xludf.DUMMYFUNCTION("""COMPUTED_VALUE"""),1998.0)</f>
        <v>1998</v>
      </c>
      <c r="Y320" s="78">
        <f>IFERROR(__xludf.DUMMYFUNCTION("""COMPUTED_VALUE"""),2018.0)</f>
        <v>2018</v>
      </c>
      <c r="Z320" s="81">
        <f>IFERROR(__xludf.DUMMYFUNCTION("""COMPUTED_VALUE"""),2.0)</f>
        <v>2</v>
      </c>
    </row>
    <row r="321">
      <c r="A321" s="65" t="str">
        <f>IFERROR(__xludf.DUMMYFUNCTION("""COMPUTED_VALUE"""),"Bahia Principe Grand El Portillo")</f>
        <v>Bahia Principe Grand El Portillo</v>
      </c>
      <c r="B321" s="66">
        <f>IFERROR(__xludf.DUMMYFUNCTION("""COMPUTED_VALUE"""),87.3)</f>
        <v>87.3</v>
      </c>
      <c r="C321" s="67" t="str">
        <f>IFERROR(__xludf.DUMMYFUNCTION("""COMPUTED_VALUE"""),"Family")</f>
        <v>Family</v>
      </c>
      <c r="D321" s="79">
        <f>IFERROR(__xludf.DUMMYFUNCTION("""COMPUTED_VALUE"""),3181.92)</f>
        <v>3181.92</v>
      </c>
      <c r="E321" s="79">
        <f>IFERROR(__xludf.DUMMYFUNCTION("""COMPUTED_VALUE"""),4394.390297808)</f>
        <v>4394.390298</v>
      </c>
      <c r="F321" s="69">
        <f>IFERROR(__xludf.DUMMYFUNCTION("""COMPUTED_VALUE"""),2.29)</f>
        <v>2.29</v>
      </c>
      <c r="G321" s="78"/>
      <c r="H321" s="74">
        <f>IFERROR(__xludf.DUMMYFUNCTION("""COMPUTED_VALUE"""),6.0)</f>
        <v>6</v>
      </c>
      <c r="I321" s="78"/>
      <c r="J321" s="78">
        <f>IFERROR(__xludf.DUMMYFUNCTION("""COMPUTED_VALUE"""),5.0)</f>
        <v>5</v>
      </c>
      <c r="K321" s="76"/>
      <c r="L321" s="76" t="str">
        <f>IFERROR(__xludf.DUMMYFUNCTION("""COMPUTED_VALUE"""),"Dominican Republic")</f>
        <v>Dominican Republic</v>
      </c>
      <c r="M321" s="76" t="str">
        <f>IFERROR(__xludf.DUMMYFUNCTION("""COMPUTED_VALUE"""),"Las Terrenas")</f>
        <v>Las Terrenas</v>
      </c>
      <c r="N321" s="76" t="str">
        <f>IFERROR(__xludf.DUMMYFUNCTION("""COMPUTED_VALUE"""),"Samaná El Catey")</f>
        <v>Samaná El Catey</v>
      </c>
      <c r="O321" s="78" t="b">
        <f>IFERROR(__xludf.DUMMYFUNCTION("""COMPUTED_VALUE"""),TRUE)</f>
        <v>1</v>
      </c>
      <c r="P321" s="73">
        <f>IFERROR(__xludf.DUMMYFUNCTION("""COMPUTED_VALUE"""),0.03125)</f>
        <v>0.03125</v>
      </c>
      <c r="Q321" s="71" t="str">
        <f>IFERROR(__xludf.DUMMYFUNCTION("""COMPUTED_VALUE"""),"Bahia Principe")</f>
        <v>Bahia Principe</v>
      </c>
      <c r="R321" s="71" t="str">
        <f>IFERROR(__xludf.DUMMYFUNCTION("""COMPUTED_VALUE"""),"Family, Green")</f>
        <v>Family, Green</v>
      </c>
      <c r="S321" s="71" t="str">
        <f>IFERROR(__xludf.DUMMYFUNCTION("""COMPUTED_VALUE"""),"Beach, Great Beach, Kids Club, Teen Club, Kids Waterpark, Gym, Diving, Tennis, Evening Entertainment, Babysitting, Buffet, Nightclub, Spa")</f>
        <v>Beach, Great Beach, Kids Club, Teen Club, Kids Waterpark, Gym, Diving, Tennis, Evening Entertainment, Babysitting, Buffet, Nightclub, Spa</v>
      </c>
      <c r="T321" s="71" t="str">
        <f>IFERROR(__xludf.DUMMYFUNCTION("""COMPUTED_VALUE"""),"Yes")</f>
        <v>Yes</v>
      </c>
      <c r="U321" s="71" t="str">
        <f>IFERROR(__xludf.DUMMYFUNCTION("""COMPUTED_VALUE"""),"1 King or 2 Full")</f>
        <v>1 King or 2 Full</v>
      </c>
      <c r="V321" s="74" t="b">
        <f>IFERROR(__xludf.DUMMYFUNCTION("""COMPUTED_VALUE"""),FALSE)</f>
        <v>0</v>
      </c>
      <c r="W321" s="74">
        <f>IFERROR(__xludf.DUMMYFUNCTION("""COMPUTED_VALUE"""),606.0)</f>
        <v>606</v>
      </c>
      <c r="X321" s="74">
        <f>IFERROR(__xludf.DUMMYFUNCTION("""COMPUTED_VALUE"""),1978.0)</f>
        <v>1978</v>
      </c>
      <c r="Y321" s="74">
        <f>IFERROR(__xludf.DUMMYFUNCTION("""COMPUTED_VALUE"""),2008.0)</f>
        <v>2008</v>
      </c>
      <c r="Z321" s="75">
        <f>IFERROR(__xludf.DUMMYFUNCTION("""COMPUTED_VALUE"""),3.0)</f>
        <v>3</v>
      </c>
    </row>
    <row r="322">
      <c r="A322" s="77" t="str">
        <f>IFERROR(__xludf.DUMMYFUNCTION("""COMPUTED_VALUE"""),"Hotel Marina El Cid Spa &amp; Beach Resort")</f>
        <v>Hotel Marina El Cid Spa &amp; Beach Resort</v>
      </c>
      <c r="B322" s="66">
        <f>IFERROR(__xludf.DUMMYFUNCTION("""COMPUTED_VALUE"""),87.3)</f>
        <v>87.3</v>
      </c>
      <c r="C322" s="78" t="str">
        <f>IFERROR(__xludf.DUMMYFUNCTION("""COMPUTED_VALUE"""),"Family")</f>
        <v>Family</v>
      </c>
      <c r="D322" s="68">
        <f>IFERROR(__xludf.DUMMYFUNCTION("""COMPUTED_VALUE"""),3326.17)</f>
        <v>3326.17</v>
      </c>
      <c r="E322" s="68">
        <f>IFERROR(__xludf.DUMMYFUNCTION("""COMPUTED_VALUE"""),4593.606745882999)</f>
        <v>4593.606746</v>
      </c>
      <c r="F322" s="69">
        <f>IFERROR(__xludf.DUMMYFUNCTION("""COMPUTED_VALUE"""),2.19)</f>
        <v>2.19</v>
      </c>
      <c r="G322" s="70"/>
      <c r="H322" s="70">
        <f>IFERROR(__xludf.DUMMYFUNCTION("""COMPUTED_VALUE"""),7.0)</f>
        <v>7</v>
      </c>
      <c r="I322" s="70"/>
      <c r="J322" s="70">
        <f>IFERROR(__xludf.DUMMYFUNCTION("""COMPUTED_VALUE"""),4.5)</f>
        <v>4.5</v>
      </c>
      <c r="K322" s="71"/>
      <c r="L322" s="72" t="str">
        <f>IFERROR(__xludf.DUMMYFUNCTION("""COMPUTED_VALUE"""),"Mexico")</f>
        <v>Mexico</v>
      </c>
      <c r="M322" s="71" t="str">
        <f>IFERROR(__xludf.DUMMYFUNCTION("""COMPUTED_VALUE"""),"Puerto Morelos")</f>
        <v>Puerto Morelos</v>
      </c>
      <c r="N322" s="72" t="str">
        <f>IFERROR(__xludf.DUMMYFUNCTION("""COMPUTED_VALUE"""),"Cancun")</f>
        <v>Cancun</v>
      </c>
      <c r="O322" s="70" t="b">
        <f>IFERROR(__xludf.DUMMYFUNCTION("""COMPUTED_VALUE"""),TRUE)</f>
        <v>1</v>
      </c>
      <c r="P322" s="73">
        <f>IFERROR(__xludf.DUMMYFUNCTION("""COMPUTED_VALUE"""),0.02361111111111111)</f>
        <v>0.02361111111</v>
      </c>
      <c r="Q322" s="71" t="str">
        <f>IFERROR(__xludf.DUMMYFUNCTION("""COMPUTED_VALUE"""),"El Cid Resorts")</f>
        <v>El Cid Resorts</v>
      </c>
      <c r="R322" s="71" t="str">
        <f>IFERROR(__xludf.DUMMYFUNCTION("""COMPUTED_VALUE"""),"Family, Harbour View")</f>
        <v>Family, Harbour View</v>
      </c>
      <c r="S322" s="76" t="str">
        <f>IFERROR(__xludf.DUMMYFUNCTION("""COMPUTED_VALUE"""),"Beach, Family Suite, 2 Bedroom Suites, Kids Club, Teen Club, Pool Slide, Water Feature, Heated Pool, Gym, Diving, Yoga Classes, Evening Entertainment, Wifi (Paid), Buffet, Swim Up Bar, Fishing, Nightclub, Spa")</f>
        <v>Beach, Family Suite, 2 Bedroom Suites, Kids Club, Teen Club, Pool Slide, Water Feature, Heated Pool, Gym, Diving, Yoga Classes, Evening Entertainment, Wifi (Paid), Buffet, Swim Up Bar, Fishing, Nightclub, Spa</v>
      </c>
      <c r="T322" s="71"/>
      <c r="U322" s="71" t="str">
        <f>IFERROR(__xludf.DUMMYFUNCTION("""COMPUTED_VALUE"""),"2 Double")</f>
        <v>2 Double</v>
      </c>
      <c r="V322" s="74" t="b">
        <f>IFERROR(__xludf.DUMMYFUNCTION("""COMPUTED_VALUE"""),FALSE)</f>
        <v>0</v>
      </c>
      <c r="W322" s="74">
        <f>IFERROR(__xludf.DUMMYFUNCTION("""COMPUTED_VALUE"""),342.0)</f>
        <v>342</v>
      </c>
      <c r="X322" s="74">
        <f>IFERROR(__xludf.DUMMYFUNCTION("""COMPUTED_VALUE"""),2006.0)</f>
        <v>2006</v>
      </c>
      <c r="Y322" s="74">
        <f>IFERROR(__xludf.DUMMYFUNCTION("""COMPUTED_VALUE"""),2017.0)</f>
        <v>2017</v>
      </c>
      <c r="Z322" s="75">
        <f>IFERROR(__xludf.DUMMYFUNCTION("""COMPUTED_VALUE"""),9.0)</f>
        <v>9</v>
      </c>
    </row>
    <row r="323">
      <c r="A323" s="89" t="str">
        <f>IFERROR(__xludf.DUMMYFUNCTION("""COMPUTED_VALUE"""),"Catalonia Playa Maroma")</f>
        <v>Catalonia Playa Maroma</v>
      </c>
      <c r="B323" s="66">
        <f>IFERROR(__xludf.DUMMYFUNCTION("""COMPUTED_VALUE"""),87.3)</f>
        <v>87.3</v>
      </c>
      <c r="C323" s="78" t="str">
        <f>IFERROR(__xludf.DUMMYFUNCTION("""COMPUTED_VALUE"""),"Family")</f>
        <v>Family</v>
      </c>
      <c r="D323" s="68">
        <f>IFERROR(__xludf.DUMMYFUNCTION("""COMPUTED_VALUE"""),3390.66)</f>
        <v>3390.66</v>
      </c>
      <c r="E323" s="68">
        <f>IFERROR(__xludf.DUMMYFUNCTION("""COMPUTED_VALUE"""),4682.670653933999)</f>
        <v>4682.670654</v>
      </c>
      <c r="F323" s="69">
        <f>IFERROR(__xludf.DUMMYFUNCTION("""COMPUTED_VALUE"""),2.15)</f>
        <v>2.15</v>
      </c>
      <c r="G323" s="70"/>
      <c r="H323" s="70">
        <f>IFERROR(__xludf.DUMMYFUNCTION("""COMPUTED_VALUE"""),6.0)</f>
        <v>6</v>
      </c>
      <c r="I323" s="70"/>
      <c r="J323" s="70">
        <f>IFERROR(__xludf.DUMMYFUNCTION("""COMPUTED_VALUE"""),5.0)</f>
        <v>5</v>
      </c>
      <c r="K323" s="71"/>
      <c r="L323" s="72" t="str">
        <f>IFERROR(__xludf.DUMMYFUNCTION("""COMPUTED_VALUE"""),"Mexico")</f>
        <v>Mexico</v>
      </c>
      <c r="M323" s="72" t="str">
        <f>IFERROR(__xludf.DUMMYFUNCTION("""COMPUTED_VALUE"""),"Playa Maroma")</f>
        <v>Playa Maroma</v>
      </c>
      <c r="N323" s="72" t="str">
        <f>IFERROR(__xludf.DUMMYFUNCTION("""COMPUTED_VALUE"""),"Cancun")</f>
        <v>Cancun</v>
      </c>
      <c r="O323" s="74" t="b">
        <f>IFERROR(__xludf.DUMMYFUNCTION("""COMPUTED_VALUE"""),TRUE)</f>
        <v>1</v>
      </c>
      <c r="P323" s="73">
        <f>IFERROR(__xludf.DUMMYFUNCTION("""COMPUTED_VALUE"""),0.024305555555555556)</f>
        <v>0.02430555556</v>
      </c>
      <c r="Q323" s="71"/>
      <c r="R323" s="71" t="str">
        <f>IFERROR(__xludf.DUMMYFUNCTION("""COMPUTED_VALUE"""),"Family, Green")</f>
        <v>Family, Green</v>
      </c>
      <c r="S323" s="71" t="str">
        <f>IFERROR(__xludf.DUMMYFUNCTION("""COMPUTED_VALUE"""),"Beach, Great Beach, Swim Out/Plunge Pool Rooms, Adults Only Rooms, Kids Club, Gym, Diving, Tennis, Wifi (Free), Babysitting, Buffet, Snorkelling, Evening Entertainment, Nightclub, Spa")</f>
        <v>Beach, Great Beach, Swim Out/Plunge Pool Rooms, Adults Only Rooms, Kids Club, Gym, Diving, Tennis, Wifi (Free), Babysitting, Buffet, Snorkelling, Evening Entertainment, Nightclub, Spa</v>
      </c>
      <c r="T323" s="71"/>
      <c r="U323" s="71" t="str">
        <f>IFERROR(__xludf.DUMMYFUNCTION("""COMPUTED_VALUE"""),"1 King or 2 Double")</f>
        <v>1 King or 2 Double</v>
      </c>
      <c r="V323" s="74" t="b">
        <f>IFERROR(__xludf.DUMMYFUNCTION("""COMPUTED_VALUE"""),FALSE)</f>
        <v>0</v>
      </c>
      <c r="W323" s="74">
        <f>IFERROR(__xludf.DUMMYFUNCTION("""COMPUTED_VALUE"""),404.0)</f>
        <v>404</v>
      </c>
      <c r="X323" s="74">
        <f>IFERROR(__xludf.DUMMYFUNCTION("""COMPUTED_VALUE"""),2007.0)</f>
        <v>2007</v>
      </c>
      <c r="Y323" s="74">
        <f>IFERROR(__xludf.DUMMYFUNCTION("""COMPUTED_VALUE"""),2009.0)</f>
        <v>2009</v>
      </c>
      <c r="Z323" s="75">
        <f>IFERROR(__xludf.DUMMYFUNCTION("""COMPUTED_VALUE"""),3.0)</f>
        <v>3</v>
      </c>
    </row>
    <row r="324">
      <c r="A324" s="65" t="str">
        <f>IFERROR(__xludf.DUMMYFUNCTION("""COMPUTED_VALUE"""),"Solmar Resort")</f>
        <v>Solmar Resort</v>
      </c>
      <c r="B324" s="66">
        <f>IFERROR(__xludf.DUMMYFUNCTION("""COMPUTED_VALUE"""),87.3)</f>
        <v>87.3</v>
      </c>
      <c r="C324" s="67" t="str">
        <f>IFERROR(__xludf.DUMMYFUNCTION("""COMPUTED_VALUE"""),"Family")</f>
        <v>Family</v>
      </c>
      <c r="D324" s="79">
        <f>IFERROR(__xludf.DUMMYFUNCTION("""COMPUTED_VALUE"""),3437.09)</f>
        <v>3437.09</v>
      </c>
      <c r="E324" s="79">
        <f>IFERROR(__xludf.DUMMYFUNCTION("""COMPUTED_VALUE"""),4746.7928007909995)</f>
        <v>4746.792801</v>
      </c>
      <c r="F324" s="69">
        <f>IFERROR(__xludf.DUMMYFUNCTION("""COMPUTED_VALUE"""),2.12)</f>
        <v>2.12</v>
      </c>
      <c r="G324" s="78"/>
      <c r="H324" s="78">
        <f>IFERROR(__xludf.DUMMYFUNCTION("""COMPUTED_VALUE"""),4.0)</f>
        <v>4</v>
      </c>
      <c r="I324" s="70"/>
      <c r="J324" s="78">
        <f>IFERROR(__xludf.DUMMYFUNCTION("""COMPUTED_VALUE"""),3.5)</f>
        <v>3.5</v>
      </c>
      <c r="K324" s="71"/>
      <c r="L324" s="76" t="str">
        <f>IFERROR(__xludf.DUMMYFUNCTION("""COMPUTED_VALUE"""),"Mexico")</f>
        <v>Mexico</v>
      </c>
      <c r="M324" s="76" t="str">
        <f>IFERROR(__xludf.DUMMYFUNCTION("""COMPUTED_VALUE"""),"Cabo San Lucas")</f>
        <v>Cabo San Lucas</v>
      </c>
      <c r="N324" s="72" t="str">
        <f>IFERROR(__xludf.DUMMYFUNCTION("""COMPUTED_VALUE"""),"Los Cabos")</f>
        <v>Los Cabos</v>
      </c>
      <c r="O324" s="74" t="b">
        <f>IFERROR(__xludf.DUMMYFUNCTION("""COMPUTED_VALUE"""),TRUE)</f>
        <v>1</v>
      </c>
      <c r="P324" s="73">
        <f>IFERROR(__xludf.DUMMYFUNCTION("""COMPUTED_VALUE"""),0.03263888888888889)</f>
        <v>0.03263888889</v>
      </c>
      <c r="Q324" s="72" t="str">
        <f>IFERROR(__xludf.DUMMYFUNCTION("""COMPUTED_VALUE"""),"Solmar")</f>
        <v>Solmar</v>
      </c>
      <c r="R324" s="76" t="str">
        <f>IFERROR(__xludf.DUMMYFUNCTION("""COMPUTED_VALUE"""),"Classic, Hidden Gem")</f>
        <v>Classic, Hidden Gem</v>
      </c>
      <c r="S324" s="76" t="str">
        <f>IFERROR(__xludf.DUMMYFUNCTION("""COMPUTED_VALUE"""),"Beach, Kids Club, Heated Pool, Gym, Diving, Swim Up Bar, Snorkelling, Fishing, Evening Entertainment, Spa")</f>
        <v>Beach, Kids Club, Heated Pool, Gym, Diving, Swim Up Bar, Snorkelling, Fishing, Evening Entertainment, Spa</v>
      </c>
      <c r="T324" s="76" t="str">
        <f>IFERROR(__xludf.DUMMYFUNCTION("""COMPUTED_VALUE"""),"Can't Book Two Rooms")</f>
        <v>Can't Book Two Rooms</v>
      </c>
      <c r="U324" s="76" t="str">
        <f>IFERROR(__xludf.DUMMYFUNCTION("""COMPUTED_VALUE"""),"1 King and 1 Queen Sofa Bed")</f>
        <v>1 King and 1 Queen Sofa Bed</v>
      </c>
      <c r="V324" s="78" t="b">
        <f>IFERROR(__xludf.DUMMYFUNCTION("""COMPUTED_VALUE"""),TRUE)</f>
        <v>1</v>
      </c>
      <c r="W324" s="78">
        <f>IFERROR(__xludf.DUMMYFUNCTION("""COMPUTED_VALUE"""),100.0)</f>
        <v>100</v>
      </c>
      <c r="X324" s="78">
        <f>IFERROR(__xludf.DUMMYFUNCTION("""COMPUTED_VALUE"""),1974.0)</f>
        <v>1974</v>
      </c>
      <c r="Y324" s="74">
        <f>IFERROR(__xludf.DUMMYFUNCTION("""COMPUTED_VALUE"""),1994.0)</f>
        <v>1994</v>
      </c>
      <c r="Z324" s="81">
        <f>IFERROR(__xludf.DUMMYFUNCTION("""COMPUTED_VALUE"""),5.0)</f>
        <v>5</v>
      </c>
    </row>
    <row r="325">
      <c r="A325" s="65" t="str">
        <f>IFERROR(__xludf.DUMMYFUNCTION("""COMPUTED_VALUE"""),"Villa del Palmar Flamingos Beach Resort &amp; Spa")</f>
        <v>Villa del Palmar Flamingos Beach Resort &amp; Spa</v>
      </c>
      <c r="B325" s="66">
        <f>IFERROR(__xludf.DUMMYFUNCTION("""COMPUTED_VALUE"""),87.3)</f>
        <v>87.3</v>
      </c>
      <c r="C325" s="67" t="str">
        <f>IFERROR(__xludf.DUMMYFUNCTION("""COMPUTED_VALUE"""),"Family")</f>
        <v>Family</v>
      </c>
      <c r="D325" s="85">
        <f>IFERROR(__xludf.DUMMYFUNCTION("""COMPUTED_VALUE"""),3784.0)</f>
        <v>3784</v>
      </c>
      <c r="E325" s="79">
        <f>IFERROR(__xludf.DUMMYFUNCTION("""COMPUTED_VALUE"""),5225.8928215999995)</f>
        <v>5225.892822</v>
      </c>
      <c r="F325" s="69">
        <f>IFERROR(__xludf.DUMMYFUNCTION("""COMPUTED_VALUE"""),1.93)</f>
        <v>1.93</v>
      </c>
      <c r="G325" s="78"/>
      <c r="H325" s="78">
        <f>IFERROR(__xludf.DUMMYFUNCTION("""COMPUTED_VALUE"""),7.0)</f>
        <v>7</v>
      </c>
      <c r="I325" s="78"/>
      <c r="J325" s="78">
        <f>IFERROR(__xludf.DUMMYFUNCTION("""COMPUTED_VALUE"""),4.0)</f>
        <v>4</v>
      </c>
      <c r="K325" s="76"/>
      <c r="L325" s="76" t="str">
        <f>IFERROR(__xludf.DUMMYFUNCTION("""COMPUTED_VALUE"""),"Mexico")</f>
        <v>Mexico</v>
      </c>
      <c r="M325" s="76" t="str">
        <f>IFERROR(__xludf.DUMMYFUNCTION("""COMPUTED_VALUE"""),"Flamingos")</f>
        <v>Flamingos</v>
      </c>
      <c r="N325" s="87" t="str">
        <f>IFERROR(__xludf.DUMMYFUNCTION("""COMPUTED_VALUE"""),"Ordaz")</f>
        <v>Ordaz</v>
      </c>
      <c r="O325" s="78" t="b">
        <f>IFERROR(__xludf.DUMMYFUNCTION("""COMPUTED_VALUE"""),TRUE)</f>
        <v>1</v>
      </c>
      <c r="P325" s="80">
        <f>IFERROR(__xludf.DUMMYFUNCTION("""COMPUTED_VALUE"""),0.014583333333333334)</f>
        <v>0.01458333333</v>
      </c>
      <c r="Q325" s="76" t="str">
        <f>IFERROR(__xludf.DUMMYFUNCTION("""COMPUTED_VALUE"""),"The Villa Group")</f>
        <v>The Villa Group</v>
      </c>
      <c r="R325" s="76" t="str">
        <f>IFERROR(__xludf.DUMMYFUNCTION("""COMPUTED_VALUE"""),"Ocean View, Great View")</f>
        <v>Ocean View, Great View</v>
      </c>
      <c r="S325" s="76" t="str">
        <f>IFERROR(__xludf.DUMMYFUNCTION("""COMPUTED_VALUE"""),"Beach, Family Suite, 2 Bedroom Suites, Kids Club, Heated Pool, Gym, Evening Entertainment, Babysitting, Spa")</f>
        <v>Beach, Family Suite, 2 Bedroom Suites, Kids Club, Heated Pool, Gym, Evening Entertainment, Babysitting, Spa</v>
      </c>
      <c r="T325" s="76"/>
      <c r="U325" s="76" t="str">
        <f>IFERROR(__xludf.DUMMYFUNCTION("""COMPUTED_VALUE"""),"1 King or 2 Queen")</f>
        <v>1 King or 2 Queen</v>
      </c>
      <c r="V325" s="78" t="b">
        <f>IFERROR(__xludf.DUMMYFUNCTION("""COMPUTED_VALUE"""),TRUE)</f>
        <v>1</v>
      </c>
      <c r="W325" s="78">
        <f>IFERROR(__xludf.DUMMYFUNCTION("""COMPUTED_VALUE"""),275.0)</f>
        <v>275</v>
      </c>
      <c r="X325" s="78">
        <f>IFERROR(__xludf.DUMMYFUNCTION("""COMPUTED_VALUE"""),2004.0)</f>
        <v>2004</v>
      </c>
      <c r="Y325" s="78"/>
      <c r="Z325" s="81">
        <f>IFERROR(__xludf.DUMMYFUNCTION("""COMPUTED_VALUE"""),8.0)</f>
        <v>8</v>
      </c>
    </row>
    <row r="326">
      <c r="A326" s="65" t="str">
        <f>IFERROR(__xludf.DUMMYFUNCTION("""COMPUTED_VALUE"""),"The Fives Beach Hotel &amp; Residences")</f>
        <v>The Fives Beach Hotel &amp; Residences</v>
      </c>
      <c r="B326" s="66">
        <f>IFERROR(__xludf.DUMMYFUNCTION("""COMPUTED_VALUE"""),87.3)</f>
        <v>87.3</v>
      </c>
      <c r="C326" s="67" t="str">
        <f>IFERROR(__xludf.DUMMYFUNCTION("""COMPUTED_VALUE"""),"Family")</f>
        <v>Family</v>
      </c>
      <c r="D326" s="79">
        <f>IFERROR(__xludf.DUMMYFUNCTION("""COMPUTED_VALUE"""),3961.0)</f>
        <v>3961</v>
      </c>
      <c r="E326" s="79">
        <f>IFERROR(__xludf.DUMMYFUNCTION("""COMPUTED_VALUE"""),5470.338653899999)</f>
        <v>5470.338654</v>
      </c>
      <c r="F326" s="69">
        <f>IFERROR(__xludf.DUMMYFUNCTION("""COMPUTED_VALUE"""),1.84)</f>
        <v>1.84</v>
      </c>
      <c r="G326" s="78"/>
      <c r="H326" s="74">
        <f>IFERROR(__xludf.DUMMYFUNCTION("""COMPUTED_VALUE"""),8.0)</f>
        <v>8</v>
      </c>
      <c r="I326" s="78"/>
      <c r="J326" s="78">
        <f>IFERROR(__xludf.DUMMYFUNCTION("""COMPUTED_VALUE"""),5.0)</f>
        <v>5</v>
      </c>
      <c r="K326" s="76"/>
      <c r="L326" s="76" t="str">
        <f>IFERROR(__xludf.DUMMYFUNCTION("""COMPUTED_VALUE"""),"Mexico")</f>
        <v>Mexico</v>
      </c>
      <c r="M326" s="76" t="str">
        <f>IFERROR(__xludf.DUMMYFUNCTION("""COMPUTED_VALUE"""),"Playa del Carmen")</f>
        <v>Playa del Carmen</v>
      </c>
      <c r="N326" s="76" t="str">
        <f>IFERROR(__xludf.DUMMYFUNCTION("""COMPUTED_VALUE"""),"Cancun")</f>
        <v>Cancun</v>
      </c>
      <c r="O326" s="78" t="b">
        <f>IFERROR(__xludf.DUMMYFUNCTION("""COMPUTED_VALUE"""),TRUE)</f>
        <v>1</v>
      </c>
      <c r="P326" s="80">
        <f>IFERROR(__xludf.DUMMYFUNCTION("""COMPUTED_VALUE"""),0.027083333333333334)</f>
        <v>0.02708333333</v>
      </c>
      <c r="Q326" s="76" t="str">
        <f>IFERROR(__xludf.DUMMYFUNCTION("""COMPUTED_VALUE"""),"The Fives Hotels")</f>
        <v>The Fives Hotels</v>
      </c>
      <c r="R326" s="76" t="str">
        <f>IFERROR(__xludf.DUMMYFUNCTION("""COMPUTED_VALUE"""),"Family")</f>
        <v>Family</v>
      </c>
      <c r="S326" s="76" t="str">
        <f>IFERROR(__xludf.DUMMYFUNCTION("""COMPUTED_VALUE"""),"Beach, Swim Out/Plunge Pool Rooms, Family Suite, 2 Bedroom Suites, Kids Club, Teen Club, Gym, Diving, Room Service, Swim Up Bar, Snorkelling, Watersports Equipment Rentals, Wifi (Free), Babysitting, Buffet, Tennis, Evening Entertainment, Nightclub, Spa")</f>
        <v>Beach, Swim Out/Plunge Pool Rooms, Family Suite, 2 Bedroom Suites, Kids Club, Teen Club, Gym, Diving, Room Service, Swim Up Bar, Snorkelling, Watersports Equipment Rentals, Wifi (Free), Babysitting, Buffet, Tennis, Evening Entertainment, Nightclub, Spa</v>
      </c>
      <c r="T326" s="76"/>
      <c r="U326" s="76" t="str">
        <f>IFERROR(__xludf.DUMMYFUNCTION("""COMPUTED_VALUE"""),"1 King or 2 Double")</f>
        <v>1 King or 2 Double</v>
      </c>
      <c r="V326" s="74" t="b">
        <f>IFERROR(__xludf.DUMMYFUNCTION("""COMPUTED_VALUE"""),FALSE)</f>
        <v>0</v>
      </c>
      <c r="W326" s="74">
        <f>IFERROR(__xludf.DUMMYFUNCTION("""COMPUTED_VALUE"""),662.0)</f>
        <v>662</v>
      </c>
      <c r="X326" s="74">
        <f>IFERROR(__xludf.DUMMYFUNCTION("""COMPUTED_VALUE"""),2008.0)</f>
        <v>2008</v>
      </c>
      <c r="Y326" s="74">
        <f>IFERROR(__xludf.DUMMYFUNCTION("""COMPUTED_VALUE"""),2011.0)</f>
        <v>2011</v>
      </c>
      <c r="Z326" s="75">
        <f>IFERROR(__xludf.DUMMYFUNCTION("""COMPUTED_VALUE"""),3.0)</f>
        <v>3</v>
      </c>
    </row>
    <row r="327">
      <c r="A327" s="65" t="str">
        <f>IFERROR(__xludf.DUMMYFUNCTION("""COMPUTED_VALUE"""),"Grand Palladium Colonial Resort &amp; Spa")</f>
        <v>Grand Palladium Colonial Resort &amp; Spa</v>
      </c>
      <c r="B327" s="66">
        <f>IFERROR(__xludf.DUMMYFUNCTION("""COMPUTED_VALUE"""),87.3)</f>
        <v>87.3</v>
      </c>
      <c r="C327" s="67" t="str">
        <f>IFERROR(__xludf.DUMMYFUNCTION("""COMPUTED_VALUE"""),"Family")</f>
        <v>Family</v>
      </c>
      <c r="D327" s="85">
        <f>IFERROR(__xludf.DUMMYFUNCTION("""COMPUTED_VALUE"""),4283.75)</f>
        <v>4283.75</v>
      </c>
      <c r="E327" s="79">
        <f>IFERROR(__xludf.DUMMYFUNCTION("""COMPUTED_VALUE"""),5916.072509125)</f>
        <v>5916.072509</v>
      </c>
      <c r="F327" s="69">
        <f>IFERROR(__xludf.DUMMYFUNCTION("""COMPUTED_VALUE"""),1.7)</f>
        <v>1.7</v>
      </c>
      <c r="G327" s="78"/>
      <c r="H327" s="74">
        <f>IFERROR(__xludf.DUMMYFUNCTION("""COMPUTED_VALUE"""),6.0)</f>
        <v>6</v>
      </c>
      <c r="I327" s="78"/>
      <c r="J327" s="78">
        <f>IFERROR(__xludf.DUMMYFUNCTION("""COMPUTED_VALUE"""),5.0)</f>
        <v>5</v>
      </c>
      <c r="K327" s="76"/>
      <c r="L327" s="76" t="str">
        <f>IFERROR(__xludf.DUMMYFUNCTION("""COMPUTED_VALUE"""),"Mexico")</f>
        <v>Mexico</v>
      </c>
      <c r="M327" s="76" t="str">
        <f>IFERROR(__xludf.DUMMYFUNCTION("""COMPUTED_VALUE"""),"Grand Palladium")</f>
        <v>Grand Palladium</v>
      </c>
      <c r="N327" s="76" t="str">
        <f>IFERROR(__xludf.DUMMYFUNCTION("""COMPUTED_VALUE"""),"Cancun")</f>
        <v>Cancun</v>
      </c>
      <c r="O327" s="78" t="b">
        <f>IFERROR(__xludf.DUMMYFUNCTION("""COMPUTED_VALUE"""),TRUE)</f>
        <v>1</v>
      </c>
      <c r="P327" s="80">
        <f>IFERROR(__xludf.DUMMYFUNCTION("""COMPUTED_VALUE"""),0.04652777777777778)</f>
        <v>0.04652777778</v>
      </c>
      <c r="Q327" s="76" t="str">
        <f>IFERROR(__xludf.DUMMYFUNCTION("""COMPUTED_VALUE"""),"Wyndham Hotels")</f>
        <v>Wyndham Hotels</v>
      </c>
      <c r="R327" s="76" t="str">
        <f>IFERROR(__xludf.DUMMYFUNCTION("""COMPUTED_VALUE"""),"Lagoon View, Business")</f>
        <v>Lagoon View, Business</v>
      </c>
      <c r="S327" s="71" t="str">
        <f>IFERROR(__xludf.DUMMYFUNCTION("""COMPUTED_VALUE"""),"Beach, Kids Club, Teen Club, Kids Club for Under 4, Gym, Diving, Buffet, Swim Up Bar, Tennis, Babysitting, Adult Pool, Snorkelling, Evening Entertainment, Kids Waterpark, Spa")</f>
        <v>Beach, Kids Club, Teen Club, Kids Club for Under 4, Gym, Diving, Buffet, Swim Up Bar, Tennis, Babysitting, Adult Pool, Snorkelling, Evening Entertainment, Kids Waterpark, Spa</v>
      </c>
      <c r="T327" s="71" t="str">
        <f>IFERROR(__xludf.DUMMYFUNCTION("""COMPUTED_VALUE"""),"Yes")</f>
        <v>Yes</v>
      </c>
      <c r="U327" s="76" t="str">
        <f>IFERROR(__xludf.DUMMYFUNCTION("""COMPUTED_VALUE"""),"1 King or 2 Double")</f>
        <v>1 King or 2 Double</v>
      </c>
      <c r="V327" s="74" t="b">
        <f>IFERROR(__xludf.DUMMYFUNCTION("""COMPUTED_VALUE"""),FALSE)</f>
        <v>0</v>
      </c>
      <c r="W327" s="74">
        <f>IFERROR(__xludf.DUMMYFUNCTION("""COMPUTED_VALUE"""),413.0)</f>
        <v>413</v>
      </c>
      <c r="X327" s="74">
        <f>IFERROR(__xludf.DUMMYFUNCTION("""COMPUTED_VALUE"""),2002.0)</f>
        <v>2002</v>
      </c>
      <c r="Y327" s="74">
        <f>IFERROR(__xludf.DUMMYFUNCTION("""COMPUTED_VALUE"""),2004.0)</f>
        <v>2004</v>
      </c>
      <c r="Z327" s="75">
        <f>IFERROR(__xludf.DUMMYFUNCTION("""COMPUTED_VALUE"""),2.0)</f>
        <v>2</v>
      </c>
    </row>
    <row r="328">
      <c r="A328" s="65" t="str">
        <f>IFERROR(__xludf.DUMMYFUNCTION("""COMPUTED_VALUE"""),"Catalonia Grand Costa Mujeres All Suites &amp; Spa")</f>
        <v>Catalonia Grand Costa Mujeres All Suites &amp; Spa</v>
      </c>
      <c r="B328" s="66">
        <f>IFERROR(__xludf.DUMMYFUNCTION("""COMPUTED_VALUE"""),87.3)</f>
        <v>87.3</v>
      </c>
      <c r="C328" s="67" t="str">
        <f>IFERROR(__xludf.DUMMYFUNCTION("""COMPUTED_VALUE"""),"Family")</f>
        <v>Family</v>
      </c>
      <c r="D328" s="79">
        <f>IFERROR(__xludf.DUMMYFUNCTION("""COMPUTED_VALUE"""),4312.0)</f>
        <v>4312</v>
      </c>
      <c r="E328" s="79">
        <f>IFERROR(__xludf.DUMMYFUNCTION("""COMPUTED_VALUE"""),5955.087168799999)</f>
        <v>5955.087169</v>
      </c>
      <c r="F328" s="69">
        <f>IFERROR(__xludf.DUMMYFUNCTION("""COMPUTED_VALUE"""),1.69)</f>
        <v>1.69</v>
      </c>
      <c r="G328" s="78"/>
      <c r="H328" s="78"/>
      <c r="I328" s="78"/>
      <c r="J328" s="78">
        <f>IFERROR(__xludf.DUMMYFUNCTION("""COMPUTED_VALUE"""),5.0)</f>
        <v>5</v>
      </c>
      <c r="K328" s="76"/>
      <c r="L328" s="76" t="str">
        <f>IFERROR(__xludf.DUMMYFUNCTION("""COMPUTED_VALUE"""),"Mexico")</f>
        <v>Mexico</v>
      </c>
      <c r="M328" s="76" t="str">
        <f>IFERROR(__xludf.DUMMYFUNCTION("""COMPUTED_VALUE"""),"Playa Mujeres")</f>
        <v>Playa Mujeres</v>
      </c>
      <c r="N328" s="76" t="str">
        <f>IFERROR(__xludf.DUMMYFUNCTION("""COMPUTED_VALUE"""),"Cancun")</f>
        <v>Cancun</v>
      </c>
      <c r="O328" s="78" t="b">
        <f>IFERROR(__xludf.DUMMYFUNCTION("""COMPUTED_VALUE"""),TRUE)</f>
        <v>1</v>
      </c>
      <c r="P328" s="80">
        <f>IFERROR(__xludf.DUMMYFUNCTION("""COMPUTED_VALUE"""),0.029166666666666667)</f>
        <v>0.02916666667</v>
      </c>
      <c r="Q328" s="76"/>
      <c r="R328" s="76"/>
      <c r="S328" s="76" t="str">
        <f>IFERROR(__xludf.DUMMYFUNCTION("""COMPUTED_VALUE"""),"Beach, Swim Out/Plunge Pool Rooms, Adults Only Rooms, Kids Club, Teen Club, Gym, Buffet, Spa, Wifi (Free), Babysitting, Swim Up Bar, Evening Entertainment, Nightclub")</f>
        <v>Beach, Swim Out/Plunge Pool Rooms, Adults Only Rooms, Kids Club, Teen Club, Gym, Buffet, Spa, Wifi (Free), Babysitting, Swim Up Bar, Evening Entertainment, Nightclub</v>
      </c>
      <c r="T328" s="76"/>
      <c r="U328" s="76" t="str">
        <f>IFERROR(__xludf.DUMMYFUNCTION("""COMPUTED_VALUE"""),"1 King and 1 Sofa Bed")</f>
        <v>1 King and 1 Sofa Bed</v>
      </c>
      <c r="V328" s="78" t="b">
        <f>IFERROR(__xludf.DUMMYFUNCTION("""COMPUTED_VALUE"""),FALSE)</f>
        <v>0</v>
      </c>
      <c r="W328" s="78"/>
      <c r="X328" s="78"/>
      <c r="Y328" s="78"/>
      <c r="Z328" s="81"/>
    </row>
    <row r="329">
      <c r="A329" s="65" t="str">
        <f>IFERROR(__xludf.DUMMYFUNCTION("""COMPUTED_VALUE"""),"Iberostar Selection Cancun")</f>
        <v>Iberostar Selection Cancun</v>
      </c>
      <c r="B329" s="66">
        <f>IFERROR(__xludf.DUMMYFUNCTION("""COMPUTED_VALUE"""),87.3)</f>
        <v>87.3</v>
      </c>
      <c r="C329" s="67" t="str">
        <f>IFERROR(__xludf.DUMMYFUNCTION("""COMPUTED_VALUE"""),"Family")</f>
        <v>Family</v>
      </c>
      <c r="D329" s="79">
        <f>IFERROR(__xludf.DUMMYFUNCTION("""COMPUTED_VALUE"""),4615.06)</f>
        <v>4615.06</v>
      </c>
      <c r="E329" s="79">
        <f>IFERROR(__xludf.DUMMYFUNCTION("""COMPUTED_VALUE"""),6373.628151494)</f>
        <v>6373.628151</v>
      </c>
      <c r="F329" s="69">
        <f>IFERROR(__xludf.DUMMYFUNCTION("""COMPUTED_VALUE"""),1.58)</f>
        <v>1.58</v>
      </c>
      <c r="G329" s="78"/>
      <c r="H329" s="78">
        <f>IFERROR(__xludf.DUMMYFUNCTION("""COMPUTED_VALUE"""),8.0)</f>
        <v>8</v>
      </c>
      <c r="I329" s="78"/>
      <c r="J329" s="78">
        <f>IFERROR(__xludf.DUMMYFUNCTION("""COMPUTED_VALUE"""),5.0)</f>
        <v>5</v>
      </c>
      <c r="K329" s="71"/>
      <c r="L329" s="76" t="str">
        <f>IFERROR(__xludf.DUMMYFUNCTION("""COMPUTED_VALUE"""),"Mexico")</f>
        <v>Mexico</v>
      </c>
      <c r="M329" s="76" t="str">
        <f>IFERROR(__xludf.DUMMYFUNCTION("""COMPUTED_VALUE"""),"Cancun")</f>
        <v>Cancun</v>
      </c>
      <c r="N329" s="76" t="str">
        <f>IFERROR(__xludf.DUMMYFUNCTION("""COMPUTED_VALUE"""),"Cancun")</f>
        <v>Cancun</v>
      </c>
      <c r="O329" s="78" t="b">
        <f>IFERROR(__xludf.DUMMYFUNCTION("""COMPUTED_VALUE"""),TRUE)</f>
        <v>1</v>
      </c>
      <c r="P329" s="80">
        <f>IFERROR(__xludf.DUMMYFUNCTION("""COMPUTED_VALUE"""),0.011805555555555555)</f>
        <v>0.01180555556</v>
      </c>
      <c r="Q329" s="76" t="str">
        <f>IFERROR(__xludf.DUMMYFUNCTION("""COMPUTED_VALUE"""),"IHG")</f>
        <v>IHG</v>
      </c>
      <c r="R329" s="76" t="str">
        <f>IFERROR(__xludf.DUMMYFUNCTION("""COMPUTED_VALUE"""),"Family")</f>
        <v>Family</v>
      </c>
      <c r="S329" s="76" t="str">
        <f>IFERROR(__xludf.DUMMYFUNCTION("""COMPUTED_VALUE"""),"Beach, Swim Out/Plunge Pool Rooms, Family Suite, 2 Bedroom Suites, Kids Club, Teen Club, Lazy River, Kids Waterpark, Gym, Diving, Buffet, Tennis, Babysitting, Swim Up Bar, Golf Course, Evening Entertainment, Spa")</f>
        <v>Beach, Swim Out/Plunge Pool Rooms, Family Suite, 2 Bedroom Suites, Kids Club, Teen Club, Lazy River, Kids Waterpark, Gym, Diving, Buffet, Tennis, Babysitting, Swim Up Bar, Golf Course, Evening Entertainment, Spa</v>
      </c>
      <c r="T329" s="76" t="str">
        <f>IFERROR(__xludf.DUMMYFUNCTION("""COMPUTED_VALUE"""),"Yes")</f>
        <v>Yes</v>
      </c>
      <c r="U329" s="76" t="str">
        <f>IFERROR(__xludf.DUMMYFUNCTION("""COMPUTED_VALUE"""),"1 King or 2 Double")</f>
        <v>1 King or 2 Double</v>
      </c>
      <c r="V329" s="78" t="b">
        <f>IFERROR(__xludf.DUMMYFUNCTION("""COMPUTED_VALUE"""),TRUE)</f>
        <v>1</v>
      </c>
      <c r="W329" s="78">
        <f>IFERROR(__xludf.DUMMYFUNCTION("""COMPUTED_VALUE"""),426.0)</f>
        <v>426</v>
      </c>
      <c r="X329" s="78"/>
      <c r="Y329" s="78"/>
      <c r="Z329" s="81"/>
    </row>
    <row r="330">
      <c r="A330" s="65" t="str">
        <f>IFERROR(__xludf.DUMMYFUNCTION("""COMPUTED_VALUE"""),"Dreams Las Mareas")</f>
        <v>Dreams Las Mareas</v>
      </c>
      <c r="B330" s="66">
        <f>IFERROR(__xludf.DUMMYFUNCTION("""COMPUTED_VALUE"""),87.3)</f>
        <v>87.3</v>
      </c>
      <c r="C330" s="67" t="str">
        <f>IFERROR(__xludf.DUMMYFUNCTION("""COMPUTED_VALUE"""),"Family")</f>
        <v>Family</v>
      </c>
      <c r="D330" s="79">
        <f>IFERROR(__xludf.DUMMYFUNCTION("""COMPUTED_VALUE"""),5045.0)</f>
        <v>5045</v>
      </c>
      <c r="E330" s="79">
        <f>IFERROR(__xludf.DUMMYFUNCTION("""COMPUTED_VALUE"""),6967.396745499999)</f>
        <v>6967.396746</v>
      </c>
      <c r="F330" s="69">
        <f>IFERROR(__xludf.DUMMYFUNCTION("""COMPUTED_VALUE"""),1.45)</f>
        <v>1.45</v>
      </c>
      <c r="G330" s="78">
        <f>IFERROR(__xludf.DUMMYFUNCTION("""COMPUTED_VALUE"""),4.0)</f>
        <v>4</v>
      </c>
      <c r="H330" s="78">
        <f>IFERROR(__xludf.DUMMYFUNCTION("""COMPUTED_VALUE"""),9.0)</f>
        <v>9</v>
      </c>
      <c r="I330" s="78" t="str">
        <f>IFERROR(__xludf.DUMMYFUNCTION("""COMPUTED_VALUE"""),"C")</f>
        <v>C</v>
      </c>
      <c r="J330" s="78">
        <f>IFERROR(__xludf.DUMMYFUNCTION("""COMPUTED_VALUE"""),4.5)</f>
        <v>4.5</v>
      </c>
      <c r="K330" s="71"/>
      <c r="L330" s="76" t="str">
        <f>IFERROR(__xludf.DUMMYFUNCTION("""COMPUTED_VALUE"""),"Costa Rica")</f>
        <v>Costa Rica</v>
      </c>
      <c r="M330" s="76" t="str">
        <f>IFERROR(__xludf.DUMMYFUNCTION("""COMPUTED_VALUE"""),"El Jobo")</f>
        <v>El Jobo</v>
      </c>
      <c r="N330" s="76" t="str">
        <f>IFERROR(__xludf.DUMMYFUNCTION("""COMPUTED_VALUE"""),"Liberia")</f>
        <v>Liberia</v>
      </c>
      <c r="O330" s="78" t="b">
        <f>IFERROR(__xludf.DUMMYFUNCTION("""COMPUTED_VALUE"""),TRUE)</f>
        <v>1</v>
      </c>
      <c r="P330" s="80">
        <f>IFERROR(__xludf.DUMMYFUNCTION("""COMPUTED_VALUE"""),0.06319444444444444)</f>
        <v>0.06319444444</v>
      </c>
      <c r="Q330" s="76" t="str">
        <f>IFERROR(__xludf.DUMMYFUNCTION("""COMPUTED_VALUE"""),"Hyatt")</f>
        <v>Hyatt</v>
      </c>
      <c r="R330" s="76"/>
      <c r="S330" s="76" t="str">
        <f>IFERROR(__xludf.DUMMYFUNCTION("""COMPUTED_VALUE"""),"Beach, Swim Out/Plunge Pool Rooms, Kids Club, Teen Club, Pool Slide, Water Feature, Kids Club for Under 4, Gym, Adult Pool, Buffet, Swim Up Bar, Evening Entertainment, Babysitting, Nightclub, Spa")</f>
        <v>Beach, Swim Out/Plunge Pool Rooms, Kids Club, Teen Club, Pool Slide, Water Feature, Kids Club for Under 4, Gym, Adult Pool, Buffet, Swim Up Bar, Evening Entertainment, Babysitting, Nightclub, Spa</v>
      </c>
      <c r="T330" s="76" t="str">
        <f>IFERROR(__xludf.DUMMYFUNCTION("""COMPUTED_VALUE"""),"Can't Book Two Rooms")</f>
        <v>Can't Book Two Rooms</v>
      </c>
      <c r="U330" s="76" t="str">
        <f>IFERROR(__xludf.DUMMYFUNCTION("""COMPUTED_VALUE"""),"1 King or 2 Double")</f>
        <v>1 King or 2 Double</v>
      </c>
      <c r="V330" s="78" t="b">
        <f>IFERROR(__xludf.DUMMYFUNCTION("""COMPUTED_VALUE"""),FALSE)</f>
        <v>0</v>
      </c>
      <c r="W330" s="78">
        <f>IFERROR(__xludf.DUMMYFUNCTION("""COMPUTED_VALUE"""),447.0)</f>
        <v>447</v>
      </c>
      <c r="X330" s="78">
        <f>IFERROR(__xludf.DUMMYFUNCTION("""COMPUTED_VALUE"""),2014.0)</f>
        <v>2014</v>
      </c>
      <c r="Y330" s="78"/>
      <c r="Z330" s="81">
        <f>IFERROR(__xludf.DUMMYFUNCTION("""COMPUTED_VALUE"""),7.0)</f>
        <v>7</v>
      </c>
    </row>
    <row r="331">
      <c r="A331" s="65" t="str">
        <f>IFERROR(__xludf.DUMMYFUNCTION("""COMPUTED_VALUE"""),"Grand Palladium Kantenah Resort &amp; Spa")</f>
        <v>Grand Palladium Kantenah Resort &amp; Spa</v>
      </c>
      <c r="B331" s="66">
        <f>IFERROR(__xludf.DUMMYFUNCTION("""COMPUTED_VALUE"""),87.3)</f>
        <v>87.3</v>
      </c>
      <c r="C331" s="67" t="str">
        <f>IFERROR(__xludf.DUMMYFUNCTION("""COMPUTED_VALUE"""),"Family")</f>
        <v>Family</v>
      </c>
      <c r="D331" s="79">
        <f>IFERROR(__xludf.DUMMYFUNCTION("""COMPUTED_VALUE"""),6010.7)</f>
        <v>6010.7</v>
      </c>
      <c r="E331" s="79">
        <f>IFERROR(__xludf.DUMMYFUNCTION("""COMPUTED_VALUE"""),8301.076633929999)</f>
        <v>8301.076634</v>
      </c>
      <c r="F331" s="69">
        <f>IFERROR(__xludf.DUMMYFUNCTION("""COMPUTED_VALUE"""),1.21)</f>
        <v>1.21</v>
      </c>
      <c r="G331" s="78"/>
      <c r="H331" s="74">
        <f>IFERROR(__xludf.DUMMYFUNCTION("""COMPUTED_VALUE"""),6.0)</f>
        <v>6</v>
      </c>
      <c r="I331" s="78"/>
      <c r="J331" s="78">
        <f>IFERROR(__xludf.DUMMYFUNCTION("""COMPUTED_VALUE"""),5.0)</f>
        <v>5</v>
      </c>
      <c r="K331" s="71"/>
      <c r="L331" s="76" t="str">
        <f>IFERROR(__xludf.DUMMYFUNCTION("""COMPUTED_VALUE"""),"Mexico")</f>
        <v>Mexico</v>
      </c>
      <c r="M331" s="76" t="str">
        <f>IFERROR(__xludf.DUMMYFUNCTION("""COMPUTED_VALUE"""),"Akumal")</f>
        <v>Akumal</v>
      </c>
      <c r="N331" s="76" t="str">
        <f>IFERROR(__xludf.DUMMYFUNCTION("""COMPUTED_VALUE"""),"Cancun")</f>
        <v>Cancun</v>
      </c>
      <c r="O331" s="78" t="b">
        <f>IFERROR(__xludf.DUMMYFUNCTION("""COMPUTED_VALUE"""),TRUE)</f>
        <v>1</v>
      </c>
      <c r="P331" s="80">
        <f>IFERROR(__xludf.DUMMYFUNCTION("""COMPUTED_VALUE"""),0.04583333333333333)</f>
        <v>0.04583333333</v>
      </c>
      <c r="Q331" s="71" t="str">
        <f>IFERROR(__xludf.DUMMYFUNCTION("""COMPUTED_VALUE"""),"Wyndham Hotels")</f>
        <v>Wyndham Hotels</v>
      </c>
      <c r="R331" s="71" t="str">
        <f>IFERROR(__xludf.DUMMYFUNCTION("""COMPUTED_VALUE"""),"Family, Quiet")</f>
        <v>Family, Quiet</v>
      </c>
      <c r="S331" s="71" t="str">
        <f>IFERROR(__xludf.DUMMYFUNCTION("""COMPUTED_VALUE"""),"Beach, Swim Out/Plunge Pool Rooms, Kids Club, Teen Club, Kids Waterpark, Kids Club for Under 4, Gym, Diving, Buffet, Swim Up Bar, Tennis, Spa, Babysitting, Adult Pool, Evening Entertainment")</f>
        <v>Beach, Swim Out/Plunge Pool Rooms, Kids Club, Teen Club, Kids Waterpark, Kids Club for Under 4, Gym, Diving, Buffet, Swim Up Bar, Tennis, Spa, Babysitting, Adult Pool, Evening Entertainment</v>
      </c>
      <c r="T331" s="71"/>
      <c r="U331" s="71" t="str">
        <f>IFERROR(__xludf.DUMMYFUNCTION("""COMPUTED_VALUE"""),"1 King or 2 Double")</f>
        <v>1 King or 2 Double</v>
      </c>
      <c r="V331" s="74" t="b">
        <f>IFERROR(__xludf.DUMMYFUNCTION("""COMPUTED_VALUE"""),FALSE)</f>
        <v>0</v>
      </c>
      <c r="W331" s="74">
        <f>IFERROR(__xludf.DUMMYFUNCTION("""COMPUTED_VALUE"""),423.0)</f>
        <v>423</v>
      </c>
      <c r="X331" s="74">
        <f>IFERROR(__xludf.DUMMYFUNCTION("""COMPUTED_VALUE"""),2002.0)</f>
        <v>2002</v>
      </c>
      <c r="Y331" s="74">
        <f>IFERROR(__xludf.DUMMYFUNCTION("""COMPUTED_VALUE"""),2006.0)</f>
        <v>2006</v>
      </c>
      <c r="Z331" s="75">
        <f>IFERROR(__xludf.DUMMYFUNCTION("""COMPUTED_VALUE"""),2.0)</f>
        <v>2</v>
      </c>
    </row>
    <row r="332">
      <c r="A332" s="65" t="str">
        <f>IFERROR(__xludf.DUMMYFUNCTION("""COMPUTED_VALUE"""),"Tamarijn Aruba All Inclusive")</f>
        <v>Tamarijn Aruba All Inclusive</v>
      </c>
      <c r="B332" s="66">
        <f>IFERROR(__xludf.DUMMYFUNCTION("""COMPUTED_VALUE"""),87.3)</f>
        <v>87.3</v>
      </c>
      <c r="C332" s="67" t="str">
        <f>IFERROR(__xludf.DUMMYFUNCTION("""COMPUTED_VALUE"""),"Family")</f>
        <v>Family</v>
      </c>
      <c r="D332" s="79">
        <f>IFERROR(__xludf.DUMMYFUNCTION("""COMPUTED_VALUE"""),6206.2)</f>
        <v>6206.2</v>
      </c>
      <c r="E332" s="79">
        <f>IFERROR(__xludf.DUMMYFUNCTION("""COMPUTED_VALUE"""),8571.071889379999)</f>
        <v>8571.071889</v>
      </c>
      <c r="F332" s="69">
        <f>IFERROR(__xludf.DUMMYFUNCTION("""COMPUTED_VALUE"""),1.18)</f>
        <v>1.18</v>
      </c>
      <c r="G332" s="78"/>
      <c r="H332" s="74">
        <f>IFERROR(__xludf.DUMMYFUNCTION("""COMPUTED_VALUE"""),7.0)</f>
        <v>7</v>
      </c>
      <c r="I332" s="78"/>
      <c r="J332" s="78">
        <f>IFERROR(__xludf.DUMMYFUNCTION("""COMPUTED_VALUE"""),3.5)</f>
        <v>3.5</v>
      </c>
      <c r="K332" s="76"/>
      <c r="L332" s="76" t="str">
        <f>IFERROR(__xludf.DUMMYFUNCTION("""COMPUTED_VALUE"""),"Aruba")</f>
        <v>Aruba</v>
      </c>
      <c r="M332" s="76" t="str">
        <f>IFERROR(__xludf.DUMMYFUNCTION("""COMPUTED_VALUE"""),"Oranjestad")</f>
        <v>Oranjestad</v>
      </c>
      <c r="N332" s="76" t="str">
        <f>IFERROR(__xludf.DUMMYFUNCTION("""COMPUTED_VALUE"""),"Reina Beatrix")</f>
        <v>Reina Beatrix</v>
      </c>
      <c r="O332" s="78" t="b">
        <f>IFERROR(__xludf.DUMMYFUNCTION("""COMPUTED_VALUE"""),TRUE)</f>
        <v>1</v>
      </c>
      <c r="P332" s="80">
        <f>IFERROR(__xludf.DUMMYFUNCTION("""COMPUTED_VALUE"""),0.007638888888888889)</f>
        <v>0.007638888889</v>
      </c>
      <c r="Q332" s="76"/>
      <c r="R332" s="76" t="str">
        <f>IFERROR(__xludf.DUMMYFUNCTION("""COMPUTED_VALUE"""),"Great View, Ocean View")</f>
        <v>Great View, Ocean View</v>
      </c>
      <c r="S332" s="72" t="str">
        <f>IFERROR(__xludf.DUMMYFUNCTION("""COMPUTED_VALUE"""),"Beach, Kids Club, Gym, Bicycles Available, Snorkelling, Windsurfing, Evening Entertainment, Buffet, Tennis, Spa")</f>
        <v>Beach, Kids Club, Gym, Bicycles Available, Snorkelling, Windsurfing, Evening Entertainment, Buffet, Tennis, Spa</v>
      </c>
      <c r="T332" s="72" t="str">
        <f>IFERROR(__xludf.DUMMYFUNCTION("""COMPUTED_VALUE"""),"Can't Book Two Rooms")</f>
        <v>Can't Book Two Rooms</v>
      </c>
      <c r="U332" s="76" t="str">
        <f>IFERROR(__xludf.DUMMYFUNCTION("""COMPUTED_VALUE"""),"1 King or 2 Queen")</f>
        <v>1 King or 2 Queen</v>
      </c>
      <c r="V332" s="74" t="b">
        <f>IFERROR(__xludf.DUMMYFUNCTION("""COMPUTED_VALUE"""),FALSE)</f>
        <v>0</v>
      </c>
      <c r="W332" s="74">
        <f>IFERROR(__xludf.DUMMYFUNCTION("""COMPUTED_VALUE"""),97.0)</f>
        <v>97</v>
      </c>
      <c r="X332" s="74">
        <f>IFERROR(__xludf.DUMMYFUNCTION("""COMPUTED_VALUE"""),1974.0)</f>
        <v>1974</v>
      </c>
      <c r="Y332" s="74">
        <f>IFERROR(__xludf.DUMMYFUNCTION("""COMPUTED_VALUE"""),2020.0)</f>
        <v>2020</v>
      </c>
      <c r="Z332" s="75">
        <f>IFERROR(__xludf.DUMMYFUNCTION("""COMPUTED_VALUE"""),2.0)</f>
        <v>2</v>
      </c>
    </row>
    <row r="333">
      <c r="A333" s="65" t="str">
        <f>IFERROR(__xludf.DUMMYFUNCTION("""COMPUTED_VALUE"""),"Hard Rock Hotel Cancun")</f>
        <v>Hard Rock Hotel Cancun</v>
      </c>
      <c r="B333" s="66">
        <f>IFERROR(__xludf.DUMMYFUNCTION("""COMPUTED_VALUE"""),87.3)</f>
        <v>87.3</v>
      </c>
      <c r="C333" s="67" t="str">
        <f>IFERROR(__xludf.DUMMYFUNCTION("""COMPUTED_VALUE"""),"Family")</f>
        <v>Family</v>
      </c>
      <c r="D333" s="79">
        <f>IFERROR(__xludf.DUMMYFUNCTION("""COMPUTED_VALUE"""),6366.0)</f>
        <v>6366</v>
      </c>
      <c r="E333" s="79">
        <f>IFERROR(__xludf.DUMMYFUNCTION("""COMPUTED_VALUE"""),8791.7636634)</f>
        <v>8791.763663</v>
      </c>
      <c r="F333" s="69">
        <f>IFERROR(__xludf.DUMMYFUNCTION("""COMPUTED_VALUE"""),1.15)</f>
        <v>1.15</v>
      </c>
      <c r="G333" s="78">
        <f>IFERROR(__xludf.DUMMYFUNCTION("""COMPUTED_VALUE"""),4.0)</f>
        <v>4</v>
      </c>
      <c r="H333" s="74">
        <f>IFERROR(__xludf.DUMMYFUNCTION("""COMPUTED_VALUE"""),8.0)</f>
        <v>8</v>
      </c>
      <c r="I333" s="78"/>
      <c r="J333" s="78">
        <f>IFERROR(__xludf.DUMMYFUNCTION("""COMPUTED_VALUE"""),5.0)</f>
        <v>5</v>
      </c>
      <c r="K333" s="76"/>
      <c r="L333" s="76" t="str">
        <f>IFERROR(__xludf.DUMMYFUNCTION("""COMPUTED_VALUE"""),"Mexico")</f>
        <v>Mexico</v>
      </c>
      <c r="M333" s="76" t="str">
        <f>IFERROR(__xludf.DUMMYFUNCTION("""COMPUTED_VALUE"""),"Cancun")</f>
        <v>Cancun</v>
      </c>
      <c r="N333" s="76" t="str">
        <f>IFERROR(__xludf.DUMMYFUNCTION("""COMPUTED_VALUE"""),"Cancun")</f>
        <v>Cancun</v>
      </c>
      <c r="O333" s="78" t="b">
        <f>IFERROR(__xludf.DUMMYFUNCTION("""COMPUTED_VALUE"""),TRUE)</f>
        <v>1</v>
      </c>
      <c r="P333" s="80">
        <f>IFERROR(__xludf.DUMMYFUNCTION("""COMPUTED_VALUE"""),0.014583333333333334)</f>
        <v>0.01458333333</v>
      </c>
      <c r="Q333" s="76" t="str">
        <f>IFERROR(__xludf.DUMMYFUNCTION("""COMPUTED_VALUE"""),"Hard Rock Hotels")</f>
        <v>Hard Rock Hotels</v>
      </c>
      <c r="R333" s="76" t="str">
        <f>IFERROR(__xludf.DUMMYFUNCTION("""COMPUTED_VALUE"""),"Ocean View, Trendy")</f>
        <v>Ocean View, Trendy</v>
      </c>
      <c r="S333" s="72" t="str">
        <f>IFERROR(__xludf.DUMMYFUNCTION("""COMPUTED_VALUE"""),"Beach, Family Suite, 2 Bedroom Suites, Kids Club, Kids Waterpark, Gym, Tennis, Room Service, Spa, Wifi (Free), Buffet, Swim Up Bar, Evening Entertainment, Pets Allowed")</f>
        <v>Beach, Family Suite, 2 Bedroom Suites, Kids Club, Kids Waterpark, Gym, Tennis, Room Service, Spa, Wifi (Free), Buffet, Swim Up Bar, Evening Entertainment, Pets Allowed</v>
      </c>
      <c r="T333" s="72" t="str">
        <f>IFERROR(__xludf.DUMMYFUNCTION("""COMPUTED_VALUE"""),"Yes")</f>
        <v>Yes</v>
      </c>
      <c r="U333" s="76" t="str">
        <f>IFERROR(__xludf.DUMMYFUNCTION("""COMPUTED_VALUE"""),"1 King or 2 Double")</f>
        <v>1 King or 2 Double</v>
      </c>
      <c r="V333" s="74" t="b">
        <f>IFERROR(__xludf.DUMMYFUNCTION("""COMPUTED_VALUE"""),TRUE)</f>
        <v>1</v>
      </c>
      <c r="W333" s="74">
        <f>IFERROR(__xludf.DUMMYFUNCTION("""COMPUTED_VALUE"""),601.0)</f>
        <v>601</v>
      </c>
      <c r="X333" s="74">
        <f>IFERROR(__xludf.DUMMYFUNCTION("""COMPUTED_VALUE"""),1984.0)</f>
        <v>1984</v>
      </c>
      <c r="Y333" s="74">
        <f>IFERROR(__xludf.DUMMYFUNCTION("""COMPUTED_VALUE"""),2006.0)</f>
        <v>2006</v>
      </c>
      <c r="Z333" s="75">
        <f>IFERROR(__xludf.DUMMYFUNCTION("""COMPUTED_VALUE"""),12.0)</f>
        <v>12</v>
      </c>
    </row>
    <row r="334">
      <c r="A334" s="65" t="str">
        <f>IFERROR(__xludf.DUMMYFUNCTION("""COMPUTED_VALUE"""),"Sandals Montego Bay (Couples only)")</f>
        <v>Sandals Montego Bay (Couples only)</v>
      </c>
      <c r="B334" s="66">
        <f>IFERROR(__xludf.DUMMYFUNCTION("""COMPUTED_VALUE"""),87.3)</f>
        <v>87.3</v>
      </c>
      <c r="C334" s="67" t="str">
        <f>IFERROR(__xludf.DUMMYFUNCTION("""COMPUTED_VALUE"""),"Adults Only")</f>
        <v>Adults Only</v>
      </c>
      <c r="D334" s="79">
        <f>IFERROR(__xludf.DUMMYFUNCTION("""COMPUTED_VALUE"""),7063.0)</f>
        <v>7063</v>
      </c>
      <c r="E334" s="79">
        <f>IFERROR(__xludf.DUMMYFUNCTION("""COMPUTED_VALUE"""),9754.355443699998)</f>
        <v>9754.355444</v>
      </c>
      <c r="F334" s="69">
        <f>IFERROR(__xludf.DUMMYFUNCTION("""COMPUTED_VALUE"""),1.03)</f>
        <v>1.03</v>
      </c>
      <c r="G334" s="78">
        <f>IFERROR(__xludf.DUMMYFUNCTION("""COMPUTED_VALUE"""),4.0)</f>
        <v>4</v>
      </c>
      <c r="H334" s="74" t="str">
        <f>IFERROR(__xludf.DUMMYFUNCTION("""COMPUTED_VALUE"""),"NYR")</f>
        <v>NYR</v>
      </c>
      <c r="I334" s="78"/>
      <c r="J334" s="78">
        <f>IFERROR(__xludf.DUMMYFUNCTION("""COMPUTED_VALUE"""),4.5)</f>
        <v>4.5</v>
      </c>
      <c r="K334" s="76" t="str">
        <f>IFERROR(__xludf.DUMMYFUNCTION("""COMPUTED_VALUE"""),"Couples Only")</f>
        <v>Couples Only</v>
      </c>
      <c r="L334" s="76" t="str">
        <f>IFERROR(__xludf.DUMMYFUNCTION("""COMPUTED_VALUE"""),"Jamaica")</f>
        <v>Jamaica</v>
      </c>
      <c r="M334" s="76" t="str">
        <f>IFERROR(__xludf.DUMMYFUNCTION("""COMPUTED_VALUE"""),"Montego Bay")</f>
        <v>Montego Bay</v>
      </c>
      <c r="N334" s="76" t="str">
        <f>IFERROR(__xludf.DUMMYFUNCTION("""COMPUTED_VALUE"""),"Sangster")</f>
        <v>Sangster</v>
      </c>
      <c r="O334" s="78" t="b">
        <f>IFERROR(__xludf.DUMMYFUNCTION("""COMPUTED_VALUE"""),TRUE)</f>
        <v>1</v>
      </c>
      <c r="P334" s="80">
        <f>IFERROR(__xludf.DUMMYFUNCTION("""COMPUTED_VALUE"""),0.004861111111111111)</f>
        <v>0.004861111111</v>
      </c>
      <c r="Q334" s="76" t="str">
        <f>IFERROR(__xludf.DUMMYFUNCTION("""COMPUTED_VALUE"""),"Sandals")</f>
        <v>Sandals</v>
      </c>
      <c r="R334" s="76" t="str">
        <f>IFERROR(__xludf.DUMMYFUNCTION("""COMPUTED_VALUE"""),"Value, Ocean View")</f>
        <v>Value, Ocean View</v>
      </c>
      <c r="S334" s="71" t="str">
        <f>IFERROR(__xludf.DUMMYFUNCTION("""COMPUTED_VALUE"""),"Beach, Swim Out/Plunge Pool Rooms, Room Service, Tennis, Evening Entertainment, Spa, Gym, Diving, Buffet, Swim Up Bar, Nightclub")</f>
        <v>Beach, Swim Out/Plunge Pool Rooms, Room Service, Tennis, Evening Entertainment, Spa, Gym, Diving, Buffet, Swim Up Bar, Nightclub</v>
      </c>
      <c r="T334" s="71"/>
      <c r="U334" s="76"/>
      <c r="V334" s="74" t="b">
        <f>IFERROR(__xludf.DUMMYFUNCTION("""COMPUTED_VALUE"""),FALSE)</f>
        <v>0</v>
      </c>
      <c r="W334" s="74">
        <f>IFERROR(__xludf.DUMMYFUNCTION("""COMPUTED_VALUE"""),255.0)</f>
        <v>255</v>
      </c>
      <c r="X334" s="74">
        <f>IFERROR(__xludf.DUMMYFUNCTION("""COMPUTED_VALUE"""),1981.0)</f>
        <v>1981</v>
      </c>
      <c r="Y334" s="74">
        <f>IFERROR(__xludf.DUMMYFUNCTION("""COMPUTED_VALUE"""),2016.0)</f>
        <v>2016</v>
      </c>
      <c r="Z334" s="75"/>
    </row>
    <row r="335">
      <c r="A335" s="65" t="str">
        <f>IFERROR(__xludf.DUMMYFUNCTION("""COMPUTED_VALUE"""),"Barcelo Huatulco")</f>
        <v>Barcelo Huatulco</v>
      </c>
      <c r="B335" s="66">
        <f>IFERROR(__xludf.DUMMYFUNCTION("""COMPUTED_VALUE"""),87.0)</f>
        <v>87</v>
      </c>
      <c r="C335" s="67" t="str">
        <f>IFERROR(__xludf.DUMMYFUNCTION("""COMPUTED_VALUE"""),"Family")</f>
        <v>Family</v>
      </c>
      <c r="D335" s="79">
        <f>IFERROR(__xludf.DUMMYFUNCTION("""COMPUTED_VALUE"""),1941.91)</f>
        <v>1941.91</v>
      </c>
      <c r="E335" s="79">
        <f>IFERROR(__xludf.DUMMYFUNCTION("""COMPUTED_VALUE"""),2681.8746113089996)</f>
        <v>2681.874611</v>
      </c>
      <c r="F335" s="69">
        <f>IFERROR(__xludf.DUMMYFUNCTION("""COMPUTED_VALUE"""),3.6)</f>
        <v>3.6</v>
      </c>
      <c r="G335" s="78"/>
      <c r="H335" s="74">
        <f>IFERROR(__xludf.DUMMYFUNCTION("""COMPUTED_VALUE"""),7.0)</f>
        <v>7</v>
      </c>
      <c r="I335" s="78"/>
      <c r="J335" s="78">
        <f>IFERROR(__xludf.DUMMYFUNCTION("""COMPUTED_VALUE"""),4.5)</f>
        <v>4.5</v>
      </c>
      <c r="K335" s="71"/>
      <c r="L335" s="76" t="str">
        <f>IFERROR(__xludf.DUMMYFUNCTION("""COMPUTED_VALUE"""),"Mexico")</f>
        <v>Mexico</v>
      </c>
      <c r="M335" s="76" t="str">
        <f>IFERROR(__xludf.DUMMYFUNCTION("""COMPUTED_VALUE"""),"Huatulco")</f>
        <v>Huatulco</v>
      </c>
      <c r="N335" s="76" t="str">
        <f>IFERROR(__xludf.DUMMYFUNCTION("""COMPUTED_VALUE"""),"Huatulco")</f>
        <v>Huatulco</v>
      </c>
      <c r="O335" s="78" t="b">
        <f>IFERROR(__xludf.DUMMYFUNCTION("""COMPUTED_VALUE"""),TRUE)</f>
        <v>1</v>
      </c>
      <c r="P335" s="80">
        <f>IFERROR(__xludf.DUMMYFUNCTION("""COMPUTED_VALUE"""),0.014583333333333334)</f>
        <v>0.01458333333</v>
      </c>
      <c r="Q335" s="71" t="str">
        <f>IFERROR(__xludf.DUMMYFUNCTION("""COMPUTED_VALUE"""),"Barcelo")</f>
        <v>Barcelo</v>
      </c>
      <c r="R335" s="71" t="str">
        <f>IFERROR(__xludf.DUMMYFUNCTION("""COMPUTED_VALUE"""),"Bay View, Family")</f>
        <v>Bay View, Family</v>
      </c>
      <c r="S335" s="71" t="str">
        <f>IFERROR(__xludf.DUMMYFUNCTION("""COMPUTED_VALUE"""),"Beach, Kids Club, Teen Club, Kids Waterpark, Gym, Adult Pool, Buffet, Swim Up Bar, Mini Golf, Room Service, Tennis, Evening Entertainment, Nightclub, Spa")</f>
        <v>Beach, Kids Club, Teen Club, Kids Waterpark, Gym, Adult Pool, Buffet, Swim Up Bar, Mini Golf, Room Service, Tennis, Evening Entertainment, Nightclub, Spa</v>
      </c>
      <c r="T335" s="71"/>
      <c r="U335" s="71" t="str">
        <f>IFERROR(__xludf.DUMMYFUNCTION("""COMPUTED_VALUE"""),"1 King or 2 Double")</f>
        <v>1 King or 2 Double</v>
      </c>
      <c r="V335" s="74" t="b">
        <f>IFERROR(__xludf.DUMMYFUNCTION("""COMPUTED_VALUE"""),FALSE)</f>
        <v>0</v>
      </c>
      <c r="W335" s="74">
        <f>IFERROR(__xludf.DUMMYFUNCTION("""COMPUTED_VALUE"""),351.0)</f>
        <v>351</v>
      </c>
      <c r="X335" s="74">
        <f>IFERROR(__xludf.DUMMYFUNCTION("""COMPUTED_VALUE"""),1998.0)</f>
        <v>1998</v>
      </c>
      <c r="Y335" s="74">
        <f>IFERROR(__xludf.DUMMYFUNCTION("""COMPUTED_VALUE"""),2015.0)</f>
        <v>2015</v>
      </c>
      <c r="Z335" s="75">
        <f>IFERROR(__xludf.DUMMYFUNCTION("""COMPUTED_VALUE"""),6.0)</f>
        <v>6</v>
      </c>
    </row>
    <row r="336">
      <c r="A336" s="65" t="str">
        <f>IFERROR(__xludf.DUMMYFUNCTION("""COMPUTED_VALUE"""),"Iberostar Tainos")</f>
        <v>Iberostar Tainos</v>
      </c>
      <c r="B336" s="66">
        <f>IFERROR(__xludf.DUMMYFUNCTION("""COMPUTED_VALUE"""),87.0)</f>
        <v>87</v>
      </c>
      <c r="C336" s="67" t="str">
        <f>IFERROR(__xludf.DUMMYFUNCTION("""COMPUTED_VALUE"""),"Family")</f>
        <v>Family</v>
      </c>
      <c r="D336" s="68">
        <f>IFERROR(__xludf.DUMMYFUNCTION("""COMPUTED_VALUE"""),2059.51)</f>
        <v>2059.51</v>
      </c>
      <c r="E336" s="79">
        <f>IFERROR(__xludf.DUMMYFUNCTION("""COMPUTED_VALUE"""),2844.286079549)</f>
        <v>2844.28608</v>
      </c>
      <c r="F336" s="69">
        <f>IFERROR(__xludf.DUMMYFUNCTION("""COMPUTED_VALUE"""),3.4)</f>
        <v>3.4</v>
      </c>
      <c r="G336" s="78"/>
      <c r="H336" s="74"/>
      <c r="I336" s="78"/>
      <c r="J336" s="78">
        <f>IFERROR(__xludf.DUMMYFUNCTION("""COMPUTED_VALUE"""),4.0)</f>
        <v>4</v>
      </c>
      <c r="K336" s="76"/>
      <c r="L336" s="76" t="str">
        <f>IFERROR(__xludf.DUMMYFUNCTION("""COMPUTED_VALUE"""),"Cuba")</f>
        <v>Cuba</v>
      </c>
      <c r="M336" s="76" t="str">
        <f>IFERROR(__xludf.DUMMYFUNCTION("""COMPUTED_VALUE"""),"Varadero")</f>
        <v>Varadero</v>
      </c>
      <c r="N336" s="76" t="str">
        <f>IFERROR(__xludf.DUMMYFUNCTION("""COMPUTED_VALUE"""),"Varadero")</f>
        <v>Varadero</v>
      </c>
      <c r="O336" s="78" t="b">
        <f>IFERROR(__xludf.DUMMYFUNCTION("""COMPUTED_VALUE"""),TRUE)</f>
        <v>1</v>
      </c>
      <c r="P336" s="80">
        <f>IFERROR(__xludf.DUMMYFUNCTION("""COMPUTED_VALUE"""),0.024305555555555556)</f>
        <v>0.02430555556</v>
      </c>
      <c r="Q336" s="76" t="str">
        <f>IFERROR(__xludf.DUMMYFUNCTION("""COMPUTED_VALUE"""),"Iberostar")</f>
        <v>Iberostar</v>
      </c>
      <c r="R336" s="76" t="str">
        <f>IFERROR(__xludf.DUMMYFUNCTION("""COMPUTED_VALUE"""),"Mid-Range, Family")</f>
        <v>Mid-Range, Family</v>
      </c>
      <c r="S336" s="71" t="str">
        <f>IFERROR(__xludf.DUMMYFUNCTION("""COMPUTED_VALUE"""),"Beach, Great Beach, Kids Club, Gym, Tennis, Windsurfing, Fishing, Nightclub, Babysitting, Yoga Classes, Buffet, Evening Entertainment")</f>
        <v>Beach, Great Beach, Kids Club, Gym, Tennis, Windsurfing, Fishing, Nightclub, Babysitting, Yoga Classes, Buffet, Evening Entertainment</v>
      </c>
      <c r="T336" s="71"/>
      <c r="U336" s="76" t="str">
        <f>IFERROR(__xludf.DUMMYFUNCTION("""COMPUTED_VALUE"""),"1 King or 2 Single")</f>
        <v>1 King or 2 Single</v>
      </c>
      <c r="V336" s="74" t="b">
        <f>IFERROR(__xludf.DUMMYFUNCTION("""COMPUTED_VALUE"""),FALSE)</f>
        <v>0</v>
      </c>
      <c r="W336" s="74"/>
      <c r="X336" s="74"/>
      <c r="Y336" s="74"/>
      <c r="Z336" s="75"/>
    </row>
    <row r="337">
      <c r="A337" s="89" t="str">
        <f>IFERROR(__xludf.DUMMYFUNCTION("""COMPUTED_VALUE"""),"Hotel Playa Mazatlan (Non Refundable)")</f>
        <v>Hotel Playa Mazatlan (Non Refundable)</v>
      </c>
      <c r="B337" s="66">
        <f>IFERROR(__xludf.DUMMYFUNCTION("""COMPUTED_VALUE"""),87.0)</f>
        <v>87</v>
      </c>
      <c r="C337" s="78" t="str">
        <f>IFERROR(__xludf.DUMMYFUNCTION("""COMPUTED_VALUE"""),"Family")</f>
        <v>Family</v>
      </c>
      <c r="D337" s="68">
        <f>IFERROR(__xludf.DUMMYFUNCTION("""COMPUTED_VALUE"""),2302.23)</f>
        <v>2302.23</v>
      </c>
      <c r="E337" s="68">
        <f>IFERROR(__xludf.DUMMYFUNCTION("""COMPUTED_VALUE"""),3179.4945112769997)</f>
        <v>3179.494511</v>
      </c>
      <c r="F337" s="69">
        <f>IFERROR(__xludf.DUMMYFUNCTION("""COMPUTED_VALUE"""),3.04)</f>
        <v>3.04</v>
      </c>
      <c r="G337" s="70" t="str">
        <f>IFERROR(__xludf.DUMMYFUNCTION("""COMPUTED_VALUE"""),"Approved")</f>
        <v>Approved</v>
      </c>
      <c r="H337" s="70">
        <f>IFERROR(__xludf.DUMMYFUNCTION("""COMPUTED_VALUE"""),4.0)</f>
        <v>4</v>
      </c>
      <c r="I337" s="70"/>
      <c r="J337" s="70">
        <f>IFERROR(__xludf.DUMMYFUNCTION("""COMPUTED_VALUE"""),4.0)</f>
        <v>4</v>
      </c>
      <c r="K337" s="71" t="str">
        <f>IFERROR(__xludf.DUMMYFUNCTION("""COMPUTED_VALUE"""),"Non Refundable")</f>
        <v>Non Refundable</v>
      </c>
      <c r="L337" s="71" t="str">
        <f>IFERROR(__xludf.DUMMYFUNCTION("""COMPUTED_VALUE"""),"Mexico")</f>
        <v>Mexico</v>
      </c>
      <c r="M337" s="76" t="str">
        <f>IFERROR(__xludf.DUMMYFUNCTION("""COMPUTED_VALUE"""),"Mazatlan")</f>
        <v>Mazatlan</v>
      </c>
      <c r="N337" s="76" t="str">
        <f>IFERROR(__xludf.DUMMYFUNCTION("""COMPUTED_VALUE"""),"Gen Rafael Buelna")</f>
        <v>Gen Rafael Buelna</v>
      </c>
      <c r="O337" s="70" t="b">
        <f>IFERROR(__xludf.DUMMYFUNCTION("""COMPUTED_VALUE"""),FALSE)</f>
        <v>0</v>
      </c>
      <c r="P337" s="73">
        <f>IFERROR(__xludf.DUMMYFUNCTION("""COMPUTED_VALUE"""),0.02361111111111111)</f>
        <v>0.02361111111</v>
      </c>
      <c r="Q337" s="71"/>
      <c r="R337" s="71" t="str">
        <f>IFERROR(__xludf.DUMMYFUNCTION("""COMPUTED_VALUE"""),"Value, Family")</f>
        <v>Value, Family</v>
      </c>
      <c r="S337" s="71" t="str">
        <f>IFERROR(__xludf.DUMMYFUNCTION("""COMPUTED_VALUE"""),"Beach, Family Suite, 2 Bedroom Suites, Kids Club, Kids Waterpark, Heated Pool, Gym, Diving, Buffet, Hiking, Windsurfing, Evening Entertainment, Spa, Wifi (Free), Room Service, Fishing, Babysitting")</f>
        <v>Beach, Family Suite, 2 Bedroom Suites, Kids Club, Kids Waterpark, Heated Pool, Gym, Diving, Buffet, Hiking, Windsurfing, Evening Entertainment, Spa, Wifi (Free), Room Service, Fishing, Babysitting</v>
      </c>
      <c r="T337" s="71" t="str">
        <f>IFERROR(__xludf.DUMMYFUNCTION("""COMPUTED_VALUE"""),"Yes")</f>
        <v>Yes</v>
      </c>
      <c r="U337" s="71" t="str">
        <f>IFERROR(__xludf.DUMMYFUNCTION("""COMPUTED_VALUE"""),"1 King or 2 Double")</f>
        <v>1 King or 2 Double</v>
      </c>
      <c r="V337" s="70" t="b">
        <f>IFERROR(__xludf.DUMMYFUNCTION("""COMPUTED_VALUE"""),FALSE)</f>
        <v>0</v>
      </c>
      <c r="W337" s="70">
        <f>IFERROR(__xludf.DUMMYFUNCTION("""COMPUTED_VALUE"""),80.0)</f>
        <v>80</v>
      </c>
      <c r="X337" s="70">
        <f>IFERROR(__xludf.DUMMYFUNCTION("""COMPUTED_VALUE"""),1955.0)</f>
        <v>1955</v>
      </c>
      <c r="Y337" s="70">
        <f>IFERROR(__xludf.DUMMYFUNCTION("""COMPUTED_VALUE"""),1999.0)</f>
        <v>1999</v>
      </c>
      <c r="Z337" s="83">
        <f>IFERROR(__xludf.DUMMYFUNCTION("""COMPUTED_VALUE"""),5.0)</f>
        <v>5</v>
      </c>
    </row>
    <row r="338">
      <c r="A338" s="65" t="str">
        <f>IFERROR(__xludf.DUMMYFUNCTION("""COMPUTED_VALUE"""),"Palmar Beach Resort")</f>
        <v>Palmar Beach Resort</v>
      </c>
      <c r="B338" s="66">
        <f>IFERROR(__xludf.DUMMYFUNCTION("""COMPUTED_VALUE"""),87.0)</f>
        <v>87</v>
      </c>
      <c r="C338" s="67" t="str">
        <f>IFERROR(__xludf.DUMMYFUNCTION("""COMPUTED_VALUE"""),"Family")</f>
        <v>Family</v>
      </c>
      <c r="D338" s="79">
        <f>IFERROR(__xludf.DUMMYFUNCTION("""COMPUTED_VALUE"""),2784.0)</f>
        <v>2784</v>
      </c>
      <c r="E338" s="79">
        <f>IFERROR(__xludf.DUMMYFUNCTION("""COMPUTED_VALUE"""),3844.8429215999995)</f>
        <v>3844.842922</v>
      </c>
      <c r="F338" s="69">
        <f>IFERROR(__xludf.DUMMYFUNCTION("""COMPUTED_VALUE"""),2.51)</f>
        <v>2.51</v>
      </c>
      <c r="G338" s="78"/>
      <c r="H338" s="78"/>
      <c r="I338" s="78"/>
      <c r="J338" s="78"/>
      <c r="K338" s="71"/>
      <c r="L338" s="76" t="str">
        <f>IFERROR(__xludf.DUMMYFUNCTION("""COMPUTED_VALUE"""),"Mexico")</f>
        <v>Mexico</v>
      </c>
      <c r="M338" s="76" t="str">
        <f>IFERROR(__xludf.DUMMYFUNCTION("""COMPUTED_VALUE"""),"Puerto Morelos")</f>
        <v>Puerto Morelos</v>
      </c>
      <c r="N338" s="76" t="str">
        <f>IFERROR(__xludf.DUMMYFUNCTION("""COMPUTED_VALUE"""),"Cancun")</f>
        <v>Cancun</v>
      </c>
      <c r="O338" s="78" t="b">
        <f>IFERROR(__xludf.DUMMYFUNCTION("""COMPUTED_VALUE"""),TRUE)</f>
        <v>1</v>
      </c>
      <c r="P338" s="80">
        <f>IFERROR(__xludf.DUMMYFUNCTION("""COMPUTED_VALUE"""),0.013888888888888888)</f>
        <v>0.01388888889</v>
      </c>
      <c r="Q338" s="76" t="str">
        <f>IFERROR(__xludf.DUMMYFUNCTION("""COMPUTED_VALUE"""),"Tafer Hotels &amp; Resorts")</f>
        <v>Tafer Hotels &amp; Resorts</v>
      </c>
      <c r="R338" s="76" t="str">
        <f>IFERROR(__xludf.DUMMYFUNCTION("""COMPUTED_VALUE"""),"Bay View, Luxury")</f>
        <v>Bay View, Luxury</v>
      </c>
      <c r="S338" s="76" t="str">
        <f>IFERROR(__xludf.DUMMYFUNCTION("""COMPUTED_VALUE"""),"Beach, 2 Bedroom Suites, Family Suite, Kids Club, Kids Waterpark, Swim Out/Plunge Pool Rooms, Gym, Diving, Buffet, Fishing, Spa, Wifi (Free), Babysitting, Adult Pool, Swim Up Bar, Evening Entertainment")</f>
        <v>Beach, 2 Bedroom Suites, Family Suite, Kids Club, Kids Waterpark, Swim Out/Plunge Pool Rooms, Gym, Diving, Buffet, Fishing, Spa, Wifi (Free), Babysitting, Adult Pool, Swim Up Bar, Evening Entertainment</v>
      </c>
      <c r="T338" s="76" t="str">
        <f>IFERROR(__xludf.DUMMYFUNCTION("""COMPUTED_VALUE"""),"Yes")</f>
        <v>Yes</v>
      </c>
      <c r="U338" s="76" t="str">
        <f>IFERROR(__xludf.DUMMYFUNCTION("""COMPUTED_VALUE"""),"1 King or 2 Queen")</f>
        <v>1 King or 2 Queen</v>
      </c>
      <c r="V338" s="78" t="b">
        <f>IFERROR(__xludf.DUMMYFUNCTION("""COMPUTED_VALUE"""),FALSE)</f>
        <v>0</v>
      </c>
      <c r="W338" s="78"/>
      <c r="X338" s="78"/>
      <c r="Y338" s="78"/>
      <c r="Z338" s="81"/>
    </row>
    <row r="339">
      <c r="A339" s="65" t="str">
        <f>IFERROR(__xludf.DUMMYFUNCTION("""COMPUTED_VALUE"""),"Melia Punta Cana Beach Wellness Inclusive - Adults Only")</f>
        <v>Melia Punta Cana Beach Wellness Inclusive - Adults Only</v>
      </c>
      <c r="B339" s="66">
        <f>IFERROR(__xludf.DUMMYFUNCTION("""COMPUTED_VALUE"""),87.0)</f>
        <v>87</v>
      </c>
      <c r="C339" s="67" t="str">
        <f>IFERROR(__xludf.DUMMYFUNCTION("""COMPUTED_VALUE"""),"Adults Only")</f>
        <v>Adults Only</v>
      </c>
      <c r="D339" s="79">
        <f>IFERROR(__xludf.DUMMYFUNCTION("""COMPUTED_VALUE"""),2848.0)</f>
        <v>2848</v>
      </c>
      <c r="E339" s="79">
        <f>IFERROR(__xludf.DUMMYFUNCTION("""COMPUTED_VALUE"""),3933.2301151999995)</f>
        <v>3933.230115</v>
      </c>
      <c r="F339" s="69">
        <f>IFERROR(__xludf.DUMMYFUNCTION("""COMPUTED_VALUE"""),2.46)</f>
        <v>2.46</v>
      </c>
      <c r="G339" s="70"/>
      <c r="H339" s="70">
        <f>IFERROR(__xludf.DUMMYFUNCTION("""COMPUTED_VALUE"""),7.0)</f>
        <v>7</v>
      </c>
      <c r="I339" s="70"/>
      <c r="J339" s="78">
        <f>IFERROR(__xludf.DUMMYFUNCTION("""COMPUTED_VALUE"""),5.0)</f>
        <v>5</v>
      </c>
      <c r="K339" s="76"/>
      <c r="L339" s="76" t="str">
        <f>IFERROR(__xludf.DUMMYFUNCTION("""COMPUTED_VALUE"""),"Dominican Republic")</f>
        <v>Dominican Republic</v>
      </c>
      <c r="M339" s="76" t="str">
        <f>IFERROR(__xludf.DUMMYFUNCTION("""COMPUTED_VALUE"""),"Punta Cana")</f>
        <v>Punta Cana</v>
      </c>
      <c r="N339" s="76" t="str">
        <f>IFERROR(__xludf.DUMMYFUNCTION("""COMPUTED_VALUE"""),"Punta Cana")</f>
        <v>Punta Cana</v>
      </c>
      <c r="O339" s="78" t="b">
        <f>IFERROR(__xludf.DUMMYFUNCTION("""COMPUTED_VALUE"""),TRUE)</f>
        <v>1</v>
      </c>
      <c r="P339" s="80">
        <f>IFERROR(__xludf.DUMMYFUNCTION("""COMPUTED_VALUE"""),0.013888888888888888)</f>
        <v>0.01388888889</v>
      </c>
      <c r="Q339" s="76" t="str">
        <f>IFERROR(__xludf.DUMMYFUNCTION("""COMPUTED_VALUE"""),"Melia")</f>
        <v>Melia</v>
      </c>
      <c r="R339" s="76" t="str">
        <f>IFERROR(__xludf.DUMMYFUNCTION("""COMPUTED_VALUE"""),"Charming, Romantic")</f>
        <v>Charming, Romantic</v>
      </c>
      <c r="S339" s="76" t="str">
        <f>IFERROR(__xludf.DUMMYFUNCTION("""COMPUTED_VALUE"""),"Beach, Gym, Bicycles Available, Yoga Classes, Swim Up Bar, Snorkelling, Watersports Equipment Rentals, Evening Entertainment, Spa, Wifi (Free), Buffet, Casino, Tennis")</f>
        <v>Beach, Gym, Bicycles Available, Yoga Classes, Swim Up Bar, Snorkelling, Watersports Equipment Rentals, Evening Entertainment, Spa, Wifi (Free), Buffet, Casino, Tennis</v>
      </c>
      <c r="T339" s="76"/>
      <c r="U339" s="76"/>
      <c r="V339" s="70" t="b">
        <f>IFERROR(__xludf.DUMMYFUNCTION("""COMPUTED_VALUE"""),FALSE)</f>
        <v>0</v>
      </c>
      <c r="W339" s="70"/>
      <c r="X339" s="70"/>
      <c r="Y339" s="70"/>
      <c r="Z339" s="83"/>
    </row>
    <row r="340">
      <c r="A340" s="65" t="str">
        <f>IFERROR(__xludf.DUMMYFUNCTION("""COMPUTED_VALUE"""),"Memories Cayo Largo")</f>
        <v>Memories Cayo Largo</v>
      </c>
      <c r="B340" s="66">
        <f>IFERROR(__xludf.DUMMYFUNCTION("""COMPUTED_VALUE"""),87.0)</f>
        <v>87</v>
      </c>
      <c r="C340" s="67" t="str">
        <f>IFERROR(__xludf.DUMMYFUNCTION("""COMPUTED_VALUE"""),"Family")</f>
        <v>Family</v>
      </c>
      <c r="D340" s="68">
        <f>IFERROR(__xludf.DUMMYFUNCTION("""COMPUTED_VALUE"""),2949.61)</f>
        <v>2949.61</v>
      </c>
      <c r="E340" s="79">
        <f>IFERROR(__xludf.DUMMYFUNCTION("""COMPUTED_VALUE"""),4073.5585955389997)</f>
        <v>4073.558596</v>
      </c>
      <c r="F340" s="69">
        <f>IFERROR(__xludf.DUMMYFUNCTION("""COMPUTED_VALUE"""),2.37)</f>
        <v>2.37</v>
      </c>
      <c r="G340" s="78"/>
      <c r="H340" s="74">
        <f>IFERROR(__xludf.DUMMYFUNCTION("""COMPUTED_VALUE"""),7.0)</f>
        <v>7</v>
      </c>
      <c r="I340" s="78"/>
      <c r="J340" s="78">
        <f>IFERROR(__xludf.DUMMYFUNCTION("""COMPUTED_VALUE"""),4.0)</f>
        <v>4</v>
      </c>
      <c r="K340" s="71"/>
      <c r="L340" s="76" t="str">
        <f>IFERROR(__xludf.DUMMYFUNCTION("""COMPUTED_VALUE"""),"Cuba")</f>
        <v>Cuba</v>
      </c>
      <c r="M340" s="76" t="str">
        <f>IFERROR(__xludf.DUMMYFUNCTION("""COMPUTED_VALUE"""),"Cayo Largo")</f>
        <v>Cayo Largo</v>
      </c>
      <c r="N340" s="76" t="str">
        <f>IFERROR(__xludf.DUMMYFUNCTION("""COMPUTED_VALUE"""),"Cayo Largo del Sur")</f>
        <v>Cayo Largo del Sur</v>
      </c>
      <c r="O340" s="78" t="b">
        <f>IFERROR(__xludf.DUMMYFUNCTION("""COMPUTED_VALUE"""),FALSE)</f>
        <v>0</v>
      </c>
      <c r="P340" s="80"/>
      <c r="Q340" s="71" t="str">
        <f>IFERROR(__xludf.DUMMYFUNCTION("""COMPUTED_VALUE"""),"Memories Hotels")</f>
        <v>Memories Hotels</v>
      </c>
      <c r="R340" s="71"/>
      <c r="S340" s="71" t="str">
        <f>IFERROR(__xludf.DUMMYFUNCTION("""COMPUTED_VALUE"""),"Beach, Evening Entertainment, Gym, Kids Club, Buffet")</f>
        <v>Beach, Evening Entertainment, Gym, Kids Club, Buffet</v>
      </c>
      <c r="T340" s="71" t="str">
        <f>IFERROR(__xludf.DUMMYFUNCTION("""COMPUTED_VALUE"""),"Can't Book Two Rooms")</f>
        <v>Can't Book Two Rooms</v>
      </c>
      <c r="U340" s="76" t="str">
        <f>IFERROR(__xludf.DUMMYFUNCTION("""COMPUTED_VALUE"""),"1 King")</f>
        <v>1 King</v>
      </c>
      <c r="V340" s="74" t="b">
        <f>IFERROR(__xludf.DUMMYFUNCTION("""COMPUTED_VALUE"""),FALSE)</f>
        <v>0</v>
      </c>
      <c r="W340" s="74">
        <f>IFERROR(__xludf.DUMMYFUNCTION("""COMPUTED_VALUE"""),296.0)</f>
        <v>296</v>
      </c>
      <c r="X340" s="74">
        <f>IFERROR(__xludf.DUMMYFUNCTION("""COMPUTED_VALUE"""),2000.0)</f>
        <v>2000</v>
      </c>
      <c r="Y340" s="74">
        <f>IFERROR(__xludf.DUMMYFUNCTION("""COMPUTED_VALUE"""),2001.0)</f>
        <v>2001</v>
      </c>
      <c r="Z340" s="75">
        <f>IFERROR(__xludf.DUMMYFUNCTION("""COMPUTED_VALUE"""),2.0)</f>
        <v>2</v>
      </c>
    </row>
    <row r="341">
      <c r="A341" s="65" t="str">
        <f>IFERROR(__xludf.DUMMYFUNCTION("""COMPUTED_VALUE"""),"Iberostar Waves Dominicana (Non Refundable)")</f>
        <v>Iberostar Waves Dominicana (Non Refundable)</v>
      </c>
      <c r="B341" s="66">
        <f>IFERROR(__xludf.DUMMYFUNCTION("""COMPUTED_VALUE"""),87.0)</f>
        <v>87</v>
      </c>
      <c r="C341" s="67" t="str">
        <f>IFERROR(__xludf.DUMMYFUNCTION("""COMPUTED_VALUE"""),"Family")</f>
        <v>Family</v>
      </c>
      <c r="D341" s="68">
        <f>IFERROR(__xludf.DUMMYFUNCTION("""COMPUTED_VALUE"""),3061.69)</f>
        <v>3061.69</v>
      </c>
      <c r="E341" s="79">
        <f>IFERROR(__xludf.DUMMYFUNCTION("""COMPUTED_VALUE"""),4228.346668331)</f>
        <v>4228.346668</v>
      </c>
      <c r="F341" s="69">
        <f>IFERROR(__xludf.DUMMYFUNCTION("""COMPUTED_VALUE"""),2.29)</f>
        <v>2.29</v>
      </c>
      <c r="G341" s="78"/>
      <c r="H341" s="74">
        <f>IFERROR(__xludf.DUMMYFUNCTION("""COMPUTED_VALUE"""),6.0)</f>
        <v>6</v>
      </c>
      <c r="I341" s="78"/>
      <c r="J341" s="78">
        <f>IFERROR(__xludf.DUMMYFUNCTION("""COMPUTED_VALUE"""),5.0)</f>
        <v>5</v>
      </c>
      <c r="K341" s="71" t="str">
        <f>IFERROR(__xludf.DUMMYFUNCTION("""COMPUTED_VALUE"""),"Non Refundable")</f>
        <v>Non Refundable</v>
      </c>
      <c r="L341" s="76" t="str">
        <f>IFERROR(__xludf.DUMMYFUNCTION("""COMPUTED_VALUE"""),"Dominican Republic")</f>
        <v>Dominican Republic</v>
      </c>
      <c r="M341" s="76" t="str">
        <f>IFERROR(__xludf.DUMMYFUNCTION("""COMPUTED_VALUE"""),"Bavaro")</f>
        <v>Bavaro</v>
      </c>
      <c r="N341" s="76" t="str">
        <f>IFERROR(__xludf.DUMMYFUNCTION("""COMPUTED_VALUE"""),"Punta Cana")</f>
        <v>Punta Cana</v>
      </c>
      <c r="O341" s="78" t="b">
        <f>IFERROR(__xludf.DUMMYFUNCTION("""COMPUTED_VALUE"""),TRUE)</f>
        <v>1</v>
      </c>
      <c r="P341" s="80">
        <f>IFERROR(__xludf.DUMMYFUNCTION("""COMPUTED_VALUE"""),0.017361111111111112)</f>
        <v>0.01736111111</v>
      </c>
      <c r="Q341" s="71" t="str">
        <f>IFERROR(__xludf.DUMMYFUNCTION("""COMPUTED_VALUE"""),"IHG")</f>
        <v>IHG</v>
      </c>
      <c r="R341" s="71" t="str">
        <f>IFERROR(__xludf.DUMMYFUNCTION("""COMPUTED_VALUE"""),"Family")</f>
        <v>Family</v>
      </c>
      <c r="S341" s="71" t="str">
        <f>IFERROR(__xludf.DUMMYFUNCTION("""COMPUTED_VALUE"""),"Beach, Family Suite, 2 Bedroom Suites, Kids Club, Teen Club, Kids Waterpark, Gym, Casino, Buffet, Golf Course, Evening Entertainment, Nightclub, Spa, Babysitting, Tennis")</f>
        <v>Beach, Family Suite, 2 Bedroom Suites, Kids Club, Teen Club, Kids Waterpark, Gym, Casino, Buffet, Golf Course, Evening Entertainment, Nightclub, Spa, Babysitting, Tennis</v>
      </c>
      <c r="T341" s="71" t="str">
        <f>IFERROR(__xludf.DUMMYFUNCTION("""COMPUTED_VALUE"""),"Yes")</f>
        <v>Yes</v>
      </c>
      <c r="U341" s="76" t="str">
        <f>IFERROR(__xludf.DUMMYFUNCTION("""COMPUTED_VALUE"""),"1 King or 2 Double")</f>
        <v>1 King or 2 Double</v>
      </c>
      <c r="V341" s="74" t="b">
        <f>IFERROR(__xludf.DUMMYFUNCTION("""COMPUTED_VALUE"""),FALSE)</f>
        <v>0</v>
      </c>
      <c r="W341" s="74">
        <f>IFERROR(__xludf.DUMMYFUNCTION("""COMPUTED_VALUE"""),490.0)</f>
        <v>490</v>
      </c>
      <c r="X341" s="74"/>
      <c r="Y341" s="74"/>
      <c r="Z341" s="75"/>
    </row>
    <row r="342">
      <c r="A342" s="65" t="str">
        <f>IFERROR(__xludf.DUMMYFUNCTION("""COMPUTED_VALUE"""),"Decameron Isla Coral Guayabitos, Ramada All-Inclusive Resort")</f>
        <v>Decameron Isla Coral Guayabitos, Ramada All-Inclusive Resort</v>
      </c>
      <c r="B342" s="66">
        <f>IFERROR(__xludf.DUMMYFUNCTION("""COMPUTED_VALUE"""),87.0)</f>
        <v>87</v>
      </c>
      <c r="C342" s="67" t="str">
        <f>IFERROR(__xludf.DUMMYFUNCTION("""COMPUTED_VALUE"""),"Family")</f>
        <v>Family</v>
      </c>
      <c r="D342" s="79">
        <f>IFERROR(__xludf.DUMMYFUNCTION("""COMPUTED_VALUE"""),3236.38)</f>
        <v>3236.38</v>
      </c>
      <c r="E342" s="79">
        <f>IFERROR(__xludf.DUMMYFUNCTION("""COMPUTED_VALUE"""),4469.602275362)</f>
        <v>4469.602275</v>
      </c>
      <c r="F342" s="69">
        <f>IFERROR(__xludf.DUMMYFUNCTION("""COMPUTED_VALUE"""),2.16)</f>
        <v>2.16</v>
      </c>
      <c r="G342" s="78"/>
      <c r="H342" s="74"/>
      <c r="I342" s="78"/>
      <c r="J342" s="78">
        <f>IFERROR(__xludf.DUMMYFUNCTION("""COMPUTED_VALUE"""),3.5)</f>
        <v>3.5</v>
      </c>
      <c r="K342" s="71"/>
      <c r="L342" s="76" t="str">
        <f>IFERROR(__xludf.DUMMYFUNCTION("""COMPUTED_VALUE"""),"Mexico")</f>
        <v>Mexico</v>
      </c>
      <c r="M342" s="76" t="str">
        <f>IFERROR(__xludf.DUMMYFUNCTION("""COMPUTED_VALUE"""),"Rincon de Guayabitos")</f>
        <v>Rincon de Guayabitos</v>
      </c>
      <c r="N342" s="76" t="str">
        <f>IFERROR(__xludf.DUMMYFUNCTION("""COMPUTED_VALUE"""),"Ordaz")</f>
        <v>Ordaz</v>
      </c>
      <c r="O342" s="78" t="b">
        <f>IFERROR(__xludf.DUMMYFUNCTION("""COMPUTED_VALUE"""),TRUE)</f>
        <v>1</v>
      </c>
      <c r="P342" s="80">
        <f>IFERROR(__xludf.DUMMYFUNCTION("""COMPUTED_VALUE"""),0.03958333333333333)</f>
        <v>0.03958333333</v>
      </c>
      <c r="Q342" s="71" t="str">
        <f>IFERROR(__xludf.DUMMYFUNCTION("""COMPUTED_VALUE"""),"Wyndham Hotels")</f>
        <v>Wyndham Hotels</v>
      </c>
      <c r="R342" s="71" t="str">
        <f>IFERROR(__xludf.DUMMYFUNCTION("""COMPUTED_VALUE"""),"Business, Charming")</f>
        <v>Business, Charming</v>
      </c>
      <c r="S342" s="71" t="str">
        <f>IFERROR(__xludf.DUMMYFUNCTION("""COMPUTED_VALUE"""),"Beach, Buffet, Wifi (Free)")</f>
        <v>Beach, Buffet, Wifi (Free)</v>
      </c>
      <c r="T342" s="71"/>
      <c r="U342" s="76" t="str">
        <f>IFERROR(__xludf.DUMMYFUNCTION("""COMPUTED_VALUE"""),"1 King or 2 Double")</f>
        <v>1 King or 2 Double</v>
      </c>
      <c r="V342" s="74" t="b">
        <f>IFERROR(__xludf.DUMMYFUNCTION("""COMPUTED_VALUE"""),FALSE)</f>
        <v>0</v>
      </c>
      <c r="W342" s="74">
        <f>IFERROR(__xludf.DUMMYFUNCTION("""COMPUTED_VALUE"""),146.0)</f>
        <v>146</v>
      </c>
      <c r="X342" s="74">
        <f>IFERROR(__xludf.DUMMYFUNCTION("""COMPUTED_VALUE"""),2020.0)</f>
        <v>2020</v>
      </c>
      <c r="Y342" s="74"/>
      <c r="Z342" s="75">
        <f>IFERROR(__xludf.DUMMYFUNCTION("""COMPUTED_VALUE"""),6.0)</f>
        <v>6</v>
      </c>
    </row>
    <row r="343">
      <c r="A343" s="65" t="str">
        <f>IFERROR(__xludf.DUMMYFUNCTION("""COMPUTED_VALUE"""),"Hotel Riu Caribe")</f>
        <v>Hotel Riu Caribe</v>
      </c>
      <c r="B343" s="66">
        <f>IFERROR(__xludf.DUMMYFUNCTION("""COMPUTED_VALUE"""),87.0)</f>
        <v>87</v>
      </c>
      <c r="C343" s="67" t="str">
        <f>IFERROR(__xludf.DUMMYFUNCTION("""COMPUTED_VALUE"""),"Family")</f>
        <v>Family</v>
      </c>
      <c r="D343" s="79">
        <f>IFERROR(__xludf.DUMMYFUNCTION("""COMPUTED_VALUE"""),3528.0)</f>
        <v>3528</v>
      </c>
      <c r="E343" s="79">
        <f>IFERROR(__xludf.DUMMYFUNCTION("""COMPUTED_VALUE"""),4872.344047199999)</f>
        <v>4872.344047</v>
      </c>
      <c r="F343" s="69">
        <f>IFERROR(__xludf.DUMMYFUNCTION("""COMPUTED_VALUE"""),1.98)</f>
        <v>1.98</v>
      </c>
      <c r="G343" s="78"/>
      <c r="H343" s="74">
        <f>IFERROR(__xludf.DUMMYFUNCTION("""COMPUTED_VALUE"""),6.0)</f>
        <v>6</v>
      </c>
      <c r="I343" s="78"/>
      <c r="J343" s="78">
        <f>IFERROR(__xludf.DUMMYFUNCTION("""COMPUTED_VALUE"""),4.5)</f>
        <v>4.5</v>
      </c>
      <c r="K343" s="71"/>
      <c r="L343" s="76" t="str">
        <f>IFERROR(__xludf.DUMMYFUNCTION("""COMPUTED_VALUE"""),"Mexico")</f>
        <v>Mexico</v>
      </c>
      <c r="M343" s="76" t="str">
        <f>IFERROR(__xludf.DUMMYFUNCTION("""COMPUTED_VALUE"""),"Cancun")</f>
        <v>Cancun</v>
      </c>
      <c r="N343" s="76" t="str">
        <f>IFERROR(__xludf.DUMMYFUNCTION("""COMPUTED_VALUE"""),"Cancun")</f>
        <v>Cancun</v>
      </c>
      <c r="O343" s="78" t="b">
        <f>IFERROR(__xludf.DUMMYFUNCTION("""COMPUTED_VALUE"""),TRUE)</f>
        <v>1</v>
      </c>
      <c r="P343" s="80">
        <f>IFERROR(__xludf.DUMMYFUNCTION("""COMPUTED_VALUE"""),0.021527777777777778)</f>
        <v>0.02152777778</v>
      </c>
      <c r="Q343" s="71" t="str">
        <f>IFERROR(__xludf.DUMMYFUNCTION("""COMPUTED_VALUE"""),"Riu")</f>
        <v>Riu</v>
      </c>
      <c r="R343" s="71" t="str">
        <f>IFERROR(__xludf.DUMMYFUNCTION("""COMPUTED_VALUE"""),"Bay View, Ocean View")</f>
        <v>Bay View, Ocean View</v>
      </c>
      <c r="S343" s="71" t="str">
        <f>IFERROR(__xludf.DUMMYFUNCTION("""COMPUTED_VALUE"""),"Beach, Swim Out/Plunge Pool Rooms, Adults Only Rooms, Great for Parties, Gym, Diving, Swim Up Bar, Tennis, Kids Club, Spa, Wifi (Paid), Buffet, Evening Entertainment")</f>
        <v>Beach, Swim Out/Plunge Pool Rooms, Adults Only Rooms, Great for Parties, Gym, Diving, Swim Up Bar, Tennis, Kids Club, Spa, Wifi (Paid), Buffet, Evening Entertainment</v>
      </c>
      <c r="T343" s="71"/>
      <c r="U343" s="71" t="str">
        <f>IFERROR(__xludf.DUMMYFUNCTION("""COMPUTED_VALUE"""),"1 King and 1 Sofa Bed")</f>
        <v>1 King and 1 Sofa Bed</v>
      </c>
      <c r="V343" s="74" t="b">
        <f>IFERROR(__xludf.DUMMYFUNCTION("""COMPUTED_VALUE"""),TRUE)</f>
        <v>1</v>
      </c>
      <c r="W343" s="74">
        <f>IFERROR(__xludf.DUMMYFUNCTION("""COMPUTED_VALUE"""),506.0)</f>
        <v>506</v>
      </c>
      <c r="X343" s="74">
        <f>IFERROR(__xludf.DUMMYFUNCTION("""COMPUTED_VALUE"""),1998.0)</f>
        <v>1998</v>
      </c>
      <c r="Y343" s="74">
        <f>IFERROR(__xludf.DUMMYFUNCTION("""COMPUTED_VALUE"""),2022.0)</f>
        <v>2022</v>
      </c>
      <c r="Z343" s="75">
        <f>IFERROR(__xludf.DUMMYFUNCTION("""COMPUTED_VALUE"""),10.0)</f>
        <v>10</v>
      </c>
    </row>
    <row r="344">
      <c r="A344" s="65" t="str">
        <f>IFERROR(__xludf.DUMMYFUNCTION("""COMPUTED_VALUE"""),"Ocean Coral &amp; Turquesa")</f>
        <v>Ocean Coral &amp; Turquesa</v>
      </c>
      <c r="B344" s="66">
        <f>IFERROR(__xludf.DUMMYFUNCTION("""COMPUTED_VALUE"""),87.0)</f>
        <v>87</v>
      </c>
      <c r="C344" s="67" t="str">
        <f>IFERROR(__xludf.DUMMYFUNCTION("""COMPUTED_VALUE"""),"Family")</f>
        <v>Family</v>
      </c>
      <c r="D344" s="79">
        <f>IFERROR(__xludf.DUMMYFUNCTION("""COMPUTED_VALUE"""),3630.6)</f>
        <v>3630.6</v>
      </c>
      <c r="E344" s="79">
        <f>IFERROR(__xludf.DUMMYFUNCTION("""COMPUTED_VALUE"""),5014.039766939999)</f>
        <v>5014.039767</v>
      </c>
      <c r="F344" s="69">
        <f>IFERROR(__xludf.DUMMYFUNCTION("""COMPUTED_VALUE"""),1.93)</f>
        <v>1.93</v>
      </c>
      <c r="G344" s="78"/>
      <c r="H344" s="74">
        <f>IFERROR(__xludf.DUMMYFUNCTION("""COMPUTED_VALUE"""),7.0)</f>
        <v>7</v>
      </c>
      <c r="I344" s="78"/>
      <c r="J344" s="78">
        <f>IFERROR(__xludf.DUMMYFUNCTION("""COMPUTED_VALUE"""),5.0)</f>
        <v>5</v>
      </c>
      <c r="K344" s="71"/>
      <c r="L344" s="76" t="str">
        <f>IFERROR(__xludf.DUMMYFUNCTION("""COMPUTED_VALUE"""),"Mexico")</f>
        <v>Mexico</v>
      </c>
      <c r="M344" s="76" t="str">
        <f>IFERROR(__xludf.DUMMYFUNCTION("""COMPUTED_VALUE"""),"Puerto Morelos")</f>
        <v>Puerto Morelos</v>
      </c>
      <c r="N344" s="76" t="str">
        <f>IFERROR(__xludf.DUMMYFUNCTION("""COMPUTED_VALUE"""),"Cancun")</f>
        <v>Cancun</v>
      </c>
      <c r="O344" s="78" t="b">
        <f>IFERROR(__xludf.DUMMYFUNCTION("""COMPUTED_VALUE"""),TRUE)</f>
        <v>1</v>
      </c>
      <c r="P344" s="80">
        <f>IFERROR(__xludf.DUMMYFUNCTION("""COMPUTED_VALUE"""),0.01875)</f>
        <v>0.01875</v>
      </c>
      <c r="Q344" s="71" t="str">
        <f>IFERROR(__xludf.DUMMYFUNCTION("""COMPUTED_VALUE"""),"H10 Hotels")</f>
        <v>H10 Hotels</v>
      </c>
      <c r="R344" s="76" t="str">
        <f>IFERROR(__xludf.DUMMYFUNCTION("""COMPUTED_VALUE"""),"Ocean View, Family")</f>
        <v>Ocean View, Family</v>
      </c>
      <c r="S344" s="71" t="str">
        <f>IFERROR(__xludf.DUMMYFUNCTION("""COMPUTED_VALUE"""),"Beach, Adults Only Rooms, Kids Club, Teen Club, Kids Waterpark, Gym, Archery, Room Service, Diving, Fishing, Nightclub, Spa, Wifi (Free), Babysitting, Buffet, Swim Up Bar, Tennis, Evening Entertainment")</f>
        <v>Beach, Adults Only Rooms, Kids Club, Teen Club, Kids Waterpark, Gym, Archery, Room Service, Diving, Fishing, Nightclub, Spa, Wifi (Free), Babysitting, Buffet, Swim Up Bar, Tennis, Evening Entertainment</v>
      </c>
      <c r="T344" s="71"/>
      <c r="U344" s="71" t="str">
        <f>IFERROR(__xludf.DUMMYFUNCTION("""COMPUTED_VALUE"""),"1 King or 2 Twin")</f>
        <v>1 King or 2 Twin</v>
      </c>
      <c r="V344" s="70" t="b">
        <f>IFERROR(__xludf.DUMMYFUNCTION("""COMPUTED_VALUE"""),FALSE)</f>
        <v>0</v>
      </c>
      <c r="W344" s="70">
        <f>IFERROR(__xludf.DUMMYFUNCTION("""COMPUTED_VALUE"""),591.0)</f>
        <v>591</v>
      </c>
      <c r="X344" s="70">
        <f>IFERROR(__xludf.DUMMYFUNCTION("""COMPUTED_VALUE"""),2007.0)</f>
        <v>2007</v>
      </c>
      <c r="Y344" s="70"/>
      <c r="Z344" s="83"/>
    </row>
    <row r="345">
      <c r="A345" s="65" t="str">
        <f>IFERROR(__xludf.DUMMYFUNCTION("""COMPUTED_VALUE"""),"Ocean Riviera Paradise")</f>
        <v>Ocean Riviera Paradise</v>
      </c>
      <c r="B345" s="66">
        <f>IFERROR(__xludf.DUMMYFUNCTION("""COMPUTED_VALUE"""),87.0)</f>
        <v>87</v>
      </c>
      <c r="C345" s="67" t="str">
        <f>IFERROR(__xludf.DUMMYFUNCTION("""COMPUTED_VALUE"""),"Family")</f>
        <v>Family</v>
      </c>
      <c r="D345" s="79">
        <f>IFERROR(__xludf.DUMMYFUNCTION("""COMPUTED_VALUE"""),3633.8)</f>
        <v>3633.8</v>
      </c>
      <c r="E345" s="79">
        <f>IFERROR(__xludf.DUMMYFUNCTION("""COMPUTED_VALUE"""),5018.45912662)</f>
        <v>5018.459127</v>
      </c>
      <c r="F345" s="69">
        <f>IFERROR(__xludf.DUMMYFUNCTION("""COMPUTED_VALUE"""),1.93)</f>
        <v>1.93</v>
      </c>
      <c r="G345" s="78"/>
      <c r="H345" s="74">
        <f>IFERROR(__xludf.DUMMYFUNCTION("""COMPUTED_VALUE"""),6.0)</f>
        <v>6</v>
      </c>
      <c r="I345" s="78"/>
      <c r="J345" s="78">
        <f>IFERROR(__xludf.DUMMYFUNCTION("""COMPUTED_VALUE"""),5.0)</f>
        <v>5</v>
      </c>
      <c r="K345" s="71"/>
      <c r="L345" s="76" t="str">
        <f>IFERROR(__xludf.DUMMYFUNCTION("""COMPUTED_VALUE"""),"Mexico")</f>
        <v>Mexico</v>
      </c>
      <c r="M345" s="76" t="str">
        <f>IFERROR(__xludf.DUMMYFUNCTION("""COMPUTED_VALUE"""),"Playa del Carmen")</f>
        <v>Playa del Carmen</v>
      </c>
      <c r="N345" s="76" t="str">
        <f>IFERROR(__xludf.DUMMYFUNCTION("""COMPUTED_VALUE"""),"Cancun")</f>
        <v>Cancun</v>
      </c>
      <c r="O345" s="78" t="b">
        <f>IFERROR(__xludf.DUMMYFUNCTION("""COMPUTED_VALUE"""),TRUE)</f>
        <v>1</v>
      </c>
      <c r="P345" s="80">
        <f>IFERROR(__xludf.DUMMYFUNCTION("""COMPUTED_VALUE"""),0.02847222222222222)</f>
        <v>0.02847222222</v>
      </c>
      <c r="Q345" s="71" t="str">
        <f>IFERROR(__xludf.DUMMYFUNCTION("""COMPUTED_VALUE"""),"H10 Hotels")</f>
        <v>H10 Hotels</v>
      </c>
      <c r="R345" s="71" t="str">
        <f>IFERROR(__xludf.DUMMYFUNCTION("""COMPUTED_VALUE"""),"Family, Modern")</f>
        <v>Family, Modern</v>
      </c>
      <c r="S345" s="71" t="str">
        <f>IFERROR(__xludf.DUMMYFUNCTION("""COMPUTED_VALUE"""),"Beach, Swim Out/Plunge Pool Rooms, Adults Only Rooms, Kids Club, Teen Club, Kids Waterpark, Gym, Tennis, Spa, Wifi (Free), Babysitting, Adult Pool, Buffet, Swim Up Bar, Evening Entertainment, Nightclub")</f>
        <v>Beach, Swim Out/Plunge Pool Rooms, Adults Only Rooms, Kids Club, Teen Club, Kids Waterpark, Gym, Tennis, Spa, Wifi (Free), Babysitting, Adult Pool, Buffet, Swim Up Bar, Evening Entertainment, Nightclub</v>
      </c>
      <c r="T345" s="71"/>
      <c r="U345" s="71" t="str">
        <f>IFERROR(__xludf.DUMMYFUNCTION("""COMPUTED_VALUE"""),"1 King and 1 Sofa Bed")</f>
        <v>1 King and 1 Sofa Bed</v>
      </c>
      <c r="V345" s="74" t="b">
        <f>IFERROR(__xludf.DUMMYFUNCTION("""COMPUTED_VALUE"""),FALSE)</f>
        <v>0</v>
      </c>
      <c r="W345" s="74">
        <f>IFERROR(__xludf.DUMMYFUNCTION("""COMPUTED_VALUE"""),974.0)</f>
        <v>974</v>
      </c>
      <c r="X345" s="74">
        <f>IFERROR(__xludf.DUMMYFUNCTION("""COMPUTED_VALUE"""),2016.0)</f>
        <v>2016</v>
      </c>
      <c r="Y345" s="74"/>
      <c r="Z345" s="75"/>
    </row>
    <row r="346">
      <c r="A346" s="65" t="str">
        <f>IFERROR(__xludf.DUMMYFUNCTION("""COMPUTED_VALUE"""),"Hard Rock Hotel Riviera Maya")</f>
        <v>Hard Rock Hotel Riviera Maya</v>
      </c>
      <c r="B346" s="66">
        <f>IFERROR(__xludf.DUMMYFUNCTION("""COMPUTED_VALUE"""),87.0)</f>
        <v>87</v>
      </c>
      <c r="C346" s="67" t="str">
        <f>IFERROR(__xludf.DUMMYFUNCTION("""COMPUTED_VALUE"""),"Family")</f>
        <v>Family</v>
      </c>
      <c r="D346" s="79">
        <f>IFERROR(__xludf.DUMMYFUNCTION("""COMPUTED_VALUE"""),3861.69)</f>
        <v>3861.69</v>
      </c>
      <c r="E346" s="79">
        <f>IFERROR(__xludf.DUMMYFUNCTION("""COMPUTED_VALUE"""),5333.186588330999)</f>
        <v>5333.186588</v>
      </c>
      <c r="F346" s="69">
        <f>IFERROR(__xludf.DUMMYFUNCTION("""COMPUTED_VALUE"""),1.81)</f>
        <v>1.81</v>
      </c>
      <c r="G346" s="78"/>
      <c r="H346" s="74">
        <f>IFERROR(__xludf.DUMMYFUNCTION("""COMPUTED_VALUE"""),7.0)</f>
        <v>7</v>
      </c>
      <c r="I346" s="78"/>
      <c r="J346" s="78">
        <f>IFERROR(__xludf.DUMMYFUNCTION("""COMPUTED_VALUE"""),5.0)</f>
        <v>5</v>
      </c>
      <c r="K346" s="76"/>
      <c r="L346" s="76" t="str">
        <f>IFERROR(__xludf.DUMMYFUNCTION("""COMPUTED_VALUE"""),"Mexico")</f>
        <v>Mexico</v>
      </c>
      <c r="M346" s="76" t="str">
        <f>IFERROR(__xludf.DUMMYFUNCTION("""COMPUTED_VALUE"""),"Puerto Aventuras")</f>
        <v>Puerto Aventuras</v>
      </c>
      <c r="N346" s="76" t="str">
        <f>IFERROR(__xludf.DUMMYFUNCTION("""COMPUTED_VALUE"""),"Cancun")</f>
        <v>Cancun</v>
      </c>
      <c r="O346" s="78" t="b">
        <f>IFERROR(__xludf.DUMMYFUNCTION("""COMPUTED_VALUE"""),TRUE)</f>
        <v>1</v>
      </c>
      <c r="P346" s="80">
        <f>IFERROR(__xludf.DUMMYFUNCTION("""COMPUTED_VALUE"""),0.04236111111111111)</f>
        <v>0.04236111111</v>
      </c>
      <c r="Q346" s="76" t="str">
        <f>IFERROR(__xludf.DUMMYFUNCTION("""COMPUTED_VALUE"""),"Hard Rock Hotels")</f>
        <v>Hard Rock Hotels</v>
      </c>
      <c r="R346" s="76" t="str">
        <f>IFERROR(__xludf.DUMMYFUNCTION("""COMPUTED_VALUE"""),"Business, Green")</f>
        <v>Business, Green</v>
      </c>
      <c r="S346" s="71" t="str">
        <f>IFERROR(__xludf.DUMMYFUNCTION("""COMPUTED_VALUE"""),"Beach, Adults Only Rooms, Family Suite, 2 Bedroom Suites, Kids Club, Lazy River, Kids Waterpark, Big Waterslides, Arcade, Gym, Diving, Adult Pool, Room Service, Swim Up Bar, Tennis, Fishing, Wifi (Free), Babysitting, Buffet, Evening Entertainment, Nightcl"&amp;"ub, Spa")</f>
        <v>Beach, Adults Only Rooms, Family Suite, 2 Bedroom Suites, Kids Club, Lazy River, Kids Waterpark, Big Waterslides, Arcade, Gym, Diving, Adult Pool, Room Service, Swim Up Bar, Tennis, Fishing, Wifi (Free), Babysitting, Buffet, Evening Entertainment, Nightclub, Spa</v>
      </c>
      <c r="T346" s="71"/>
      <c r="U346" s="76" t="str">
        <f>IFERROR(__xludf.DUMMYFUNCTION("""COMPUTED_VALUE"""),"1 King or 2 Double")</f>
        <v>1 King or 2 Double</v>
      </c>
      <c r="V346" s="74" t="b">
        <f>IFERROR(__xludf.DUMMYFUNCTION("""COMPUTED_VALUE"""),FALSE)</f>
        <v>0</v>
      </c>
      <c r="W346" s="74">
        <f>IFERROR(__xludf.DUMMYFUNCTION("""COMPUTED_VALUE"""),870.0)</f>
        <v>870</v>
      </c>
      <c r="X346" s="74"/>
      <c r="Y346" s="74">
        <f>IFERROR(__xludf.DUMMYFUNCTION("""COMPUTED_VALUE"""),2014.0)</f>
        <v>2014</v>
      </c>
      <c r="Z346" s="75">
        <f>IFERROR(__xludf.DUMMYFUNCTION("""COMPUTED_VALUE"""),3.0)</f>
        <v>3</v>
      </c>
    </row>
    <row r="347">
      <c r="A347" s="65" t="str">
        <f>IFERROR(__xludf.DUMMYFUNCTION("""COMPUTED_VALUE"""),"Wyndham Alltra Punta Cana")</f>
        <v>Wyndham Alltra Punta Cana</v>
      </c>
      <c r="B347" s="66">
        <f>IFERROR(__xludf.DUMMYFUNCTION("""COMPUTED_VALUE"""),87.0)</f>
        <v>87</v>
      </c>
      <c r="C347" s="67" t="str">
        <f>IFERROR(__xludf.DUMMYFUNCTION("""COMPUTED_VALUE"""),"Family")</f>
        <v>Family</v>
      </c>
      <c r="D347" s="79">
        <f>IFERROR(__xludf.DUMMYFUNCTION("""COMPUTED_VALUE"""),3870.0)</f>
        <v>3870</v>
      </c>
      <c r="E347" s="79">
        <f>IFERROR(__xludf.DUMMYFUNCTION("""COMPUTED_VALUE"""),5344.663113)</f>
        <v>5344.663113</v>
      </c>
      <c r="F347" s="69">
        <f>IFERROR(__xludf.DUMMYFUNCTION("""COMPUTED_VALUE"""),1.81)</f>
        <v>1.81</v>
      </c>
      <c r="G347" s="78"/>
      <c r="H347" s="74" t="str">
        <f>IFERROR(__xludf.DUMMYFUNCTION("""COMPUTED_VALUE"""),"NYR")</f>
        <v>NYR</v>
      </c>
      <c r="I347" s="78"/>
      <c r="J347" s="78"/>
      <c r="K347" s="76"/>
      <c r="L347" s="76" t="str">
        <f>IFERROR(__xludf.DUMMYFUNCTION("""COMPUTED_VALUE"""),"Dominican Republic")</f>
        <v>Dominican Republic</v>
      </c>
      <c r="M347" s="76" t="str">
        <f>IFERROR(__xludf.DUMMYFUNCTION("""COMPUTED_VALUE"""),"Punta Cana")</f>
        <v>Punta Cana</v>
      </c>
      <c r="N347" s="76" t="str">
        <f>IFERROR(__xludf.DUMMYFUNCTION("""COMPUTED_VALUE"""),"Punta Cana")</f>
        <v>Punta Cana</v>
      </c>
      <c r="O347" s="78" t="b">
        <f>IFERROR(__xludf.DUMMYFUNCTION("""COMPUTED_VALUE"""),TRUE)</f>
        <v>1</v>
      </c>
      <c r="P347" s="80">
        <f>IFERROR(__xludf.DUMMYFUNCTION("""COMPUTED_VALUE"""),0.02847222222222222)</f>
        <v>0.02847222222</v>
      </c>
      <c r="Q347" s="76" t="str">
        <f>IFERROR(__xludf.DUMMYFUNCTION("""COMPUTED_VALUE"""),"Wyndham Hotels")</f>
        <v>Wyndham Hotels</v>
      </c>
      <c r="R347" s="76" t="str">
        <f>IFERROR(__xludf.DUMMYFUNCTION("""COMPUTED_VALUE"""),"Business, Mid-Range")</f>
        <v>Business, Mid-Range</v>
      </c>
      <c r="S347" s="71" t="str">
        <f>IFERROR(__xludf.DUMMYFUNCTION("""COMPUTED_VALUE"""),"2 Bedroom Suites, Beach, Kids Club, Teen Club, Gym, Tennis, Swim Up Bar, Nightclub, Wifi (Free), Buffet, Evening Entertainment, Spa")</f>
        <v>2 Bedroom Suites, Beach, Kids Club, Teen Club, Gym, Tennis, Swim Up Bar, Nightclub, Wifi (Free), Buffet, Evening Entertainment, Spa</v>
      </c>
      <c r="T347" s="71"/>
      <c r="U347" s="76" t="str">
        <f>IFERROR(__xludf.DUMMYFUNCTION("""COMPUTED_VALUE"""),"1 King or 2 Double")</f>
        <v>1 King or 2 Double</v>
      </c>
      <c r="V347" s="74" t="b">
        <f>IFERROR(__xludf.DUMMYFUNCTION("""COMPUTED_VALUE"""),FALSE)</f>
        <v>0</v>
      </c>
      <c r="W347" s="74">
        <f>IFERROR(__xludf.DUMMYFUNCTION("""COMPUTED_VALUE"""),620.0)</f>
        <v>620</v>
      </c>
      <c r="X347" s="74">
        <f>IFERROR(__xludf.DUMMYFUNCTION("""COMPUTED_VALUE"""),2002.0)</f>
        <v>2002</v>
      </c>
      <c r="Y347" s="74">
        <f>IFERROR(__xludf.DUMMYFUNCTION("""COMPUTED_VALUE"""),2024.0)</f>
        <v>2024</v>
      </c>
      <c r="Z347" s="75">
        <f>IFERROR(__xludf.DUMMYFUNCTION("""COMPUTED_VALUE"""),3.0)</f>
        <v>3</v>
      </c>
    </row>
    <row r="348">
      <c r="A348" s="65" t="str">
        <f>IFERROR(__xludf.DUMMYFUNCTION("""COMPUTED_VALUE"""),"Vik Hotel Cayena Beach")</f>
        <v>Vik Hotel Cayena Beach</v>
      </c>
      <c r="B348" s="66">
        <f>IFERROR(__xludf.DUMMYFUNCTION("""COMPUTED_VALUE"""),87.0)</f>
        <v>87</v>
      </c>
      <c r="C348" s="67" t="str">
        <f>IFERROR(__xludf.DUMMYFUNCTION("""COMPUTED_VALUE"""),"Family")</f>
        <v>Family</v>
      </c>
      <c r="D348" s="79">
        <f>IFERROR(__xludf.DUMMYFUNCTION("""COMPUTED_VALUE"""),3920.0)</f>
        <v>3920</v>
      </c>
      <c r="E348" s="79">
        <f>IFERROR(__xludf.DUMMYFUNCTION("""COMPUTED_VALUE"""),5413.7156079999995)</f>
        <v>5413.715608</v>
      </c>
      <c r="F348" s="69">
        <f>IFERROR(__xludf.DUMMYFUNCTION("""COMPUTED_VALUE"""),1.79)</f>
        <v>1.79</v>
      </c>
      <c r="G348" s="78"/>
      <c r="H348" s="78">
        <f>IFERROR(__xludf.DUMMYFUNCTION("""COMPUTED_VALUE"""),6.0)</f>
        <v>6</v>
      </c>
      <c r="I348" s="78"/>
      <c r="J348" s="78">
        <f>IFERROR(__xludf.DUMMYFUNCTION("""COMPUTED_VALUE"""),5.0)</f>
        <v>5</v>
      </c>
      <c r="K348" s="76"/>
      <c r="L348" s="76" t="str">
        <f>IFERROR(__xludf.DUMMYFUNCTION("""COMPUTED_VALUE"""),"Dominican Republic")</f>
        <v>Dominican Republic</v>
      </c>
      <c r="M348" s="76" t="str">
        <f>IFERROR(__xludf.DUMMYFUNCTION("""COMPUTED_VALUE"""),"Punta Cana")</f>
        <v>Punta Cana</v>
      </c>
      <c r="N348" s="76" t="str">
        <f>IFERROR(__xludf.DUMMYFUNCTION("""COMPUTED_VALUE"""),"Punta Cana")</f>
        <v>Punta Cana</v>
      </c>
      <c r="O348" s="78" t="b">
        <f>IFERROR(__xludf.DUMMYFUNCTION("""COMPUTED_VALUE"""),TRUE)</f>
        <v>1</v>
      </c>
      <c r="P348" s="80">
        <f>IFERROR(__xludf.DUMMYFUNCTION("""COMPUTED_VALUE"""),0.01875)</f>
        <v>0.01875</v>
      </c>
      <c r="Q348" s="76"/>
      <c r="R348" s="76" t="str">
        <f>IFERROR(__xludf.DUMMYFUNCTION("""COMPUTED_VALUE"""),"Family, Great View")</f>
        <v>Family, Great View</v>
      </c>
      <c r="S348" s="71" t="str">
        <f>IFERROR(__xludf.DUMMYFUNCTION("""COMPUTED_VALUE"""),"Beach, Kids Club, Gym, Diving, Watersports Equipment Rentals, Spa, Babysitting, Buffet, Casino, Tennis, Windsurfing")</f>
        <v>Beach, Kids Club, Gym, Diving, Watersports Equipment Rentals, Spa, Babysitting, Buffet, Casino, Tennis, Windsurfing</v>
      </c>
      <c r="T348" s="71"/>
      <c r="U348" s="71" t="str">
        <f>IFERROR(__xludf.DUMMYFUNCTION("""COMPUTED_VALUE"""),"1 King or 2 Double")</f>
        <v>1 King or 2 Double</v>
      </c>
      <c r="V348" s="78" t="b">
        <f>IFERROR(__xludf.DUMMYFUNCTION("""COMPUTED_VALUE"""),FALSE)</f>
        <v>0</v>
      </c>
      <c r="W348" s="78">
        <f>IFERROR(__xludf.DUMMYFUNCTION("""COMPUTED_VALUE"""),47.0)</f>
        <v>47</v>
      </c>
      <c r="X348" s="78">
        <f>IFERROR(__xludf.DUMMYFUNCTION("""COMPUTED_VALUE"""),2006.0)</f>
        <v>2006</v>
      </c>
      <c r="Y348" s="78">
        <f>IFERROR(__xludf.DUMMYFUNCTION("""COMPUTED_VALUE"""),2008.0)</f>
        <v>2008</v>
      </c>
      <c r="Z348" s="81">
        <f>IFERROR(__xludf.DUMMYFUNCTION("""COMPUTED_VALUE"""),3.0)</f>
        <v>3</v>
      </c>
    </row>
    <row r="349">
      <c r="A349" s="77" t="str">
        <f>IFERROR(__xludf.DUMMYFUNCTION("""COMPUTED_VALUE"""),"Dreams Jade Resort &amp; Spa")</f>
        <v>Dreams Jade Resort &amp; Spa</v>
      </c>
      <c r="B349" s="66">
        <f>IFERROR(__xludf.DUMMYFUNCTION("""COMPUTED_VALUE"""),87.0)</f>
        <v>87</v>
      </c>
      <c r="C349" s="78" t="str">
        <f>IFERROR(__xludf.DUMMYFUNCTION("""COMPUTED_VALUE"""),"Family")</f>
        <v>Family</v>
      </c>
      <c r="D349" s="68">
        <f>IFERROR(__xludf.DUMMYFUNCTION("""COMPUTED_VALUE"""),3934.0)</f>
        <v>3934</v>
      </c>
      <c r="E349" s="68">
        <f>IFERROR(__xludf.DUMMYFUNCTION("""COMPUTED_VALUE"""),5433.050306599999)</f>
        <v>5433.050307</v>
      </c>
      <c r="F349" s="69">
        <f>IFERROR(__xludf.DUMMYFUNCTION("""COMPUTED_VALUE"""),1.78)</f>
        <v>1.78</v>
      </c>
      <c r="G349" s="70"/>
      <c r="H349" s="70">
        <f>IFERROR(__xludf.DUMMYFUNCTION("""COMPUTED_VALUE"""),8.0)</f>
        <v>8</v>
      </c>
      <c r="I349" s="70" t="str">
        <f>IFERROR(__xludf.DUMMYFUNCTION("""COMPUTED_VALUE"""),"B")</f>
        <v>B</v>
      </c>
      <c r="J349" s="70">
        <f>IFERROR(__xludf.DUMMYFUNCTION("""COMPUTED_VALUE"""),4.5)</f>
        <v>4.5</v>
      </c>
      <c r="K349" s="71" t="str">
        <f>IFERROR(__xludf.DUMMYFUNCTION("""COMPUTED_VALUE"""),"Max 3 per Room")</f>
        <v>Max 3 per Room</v>
      </c>
      <c r="L349" s="76" t="str">
        <f>IFERROR(__xludf.DUMMYFUNCTION("""COMPUTED_VALUE"""),"Mexico")</f>
        <v>Mexico</v>
      </c>
      <c r="M349" s="76" t="str">
        <f>IFERROR(__xludf.DUMMYFUNCTION("""COMPUTED_VALUE"""),"Puerto Morelos")</f>
        <v>Puerto Morelos</v>
      </c>
      <c r="N349" s="76" t="str">
        <f>IFERROR(__xludf.DUMMYFUNCTION("""COMPUTED_VALUE"""),"Cancun")</f>
        <v>Cancun</v>
      </c>
      <c r="O349" s="74" t="b">
        <f>IFERROR(__xludf.DUMMYFUNCTION("""COMPUTED_VALUE"""),TRUE)</f>
        <v>1</v>
      </c>
      <c r="P349" s="73">
        <f>IFERROR(__xludf.DUMMYFUNCTION("""COMPUTED_VALUE"""),0.019444444444444445)</f>
        <v>0.01944444444</v>
      </c>
      <c r="Q349" s="71" t="str">
        <f>IFERROR(__xludf.DUMMYFUNCTION("""COMPUTED_VALUE"""),"Hyatt")</f>
        <v>Hyatt</v>
      </c>
      <c r="R349" s="71" t="str">
        <f>IFERROR(__xludf.DUMMYFUNCTION("""COMPUTED_VALUE"""),"Value, Ocean View")</f>
        <v>Value, Ocean View</v>
      </c>
      <c r="S349" s="71" t="str">
        <f>IFERROR(__xludf.DUMMYFUNCTION("""COMPUTED_VALUE"""),"Beach, Family Suite, 2 Bedroom Suites, Kids Club, Teen Club, Lazy River, Heated Pool, Kids Club for Under 4, Gym, Archery, Buffet, Diving, Fishing, Nightclub, Wifi (Free), Babysitting, Adult Pool, Swim Up Bar, Bicycles Available, Tennis, Evening Entertain"&amp;"ment, Spa")</f>
        <v>Beach, Family Suite, 2 Bedroom Suites, Kids Club, Teen Club, Lazy River, Heated Pool, Kids Club for Under 4, Gym, Archery, Buffet, Diving, Fishing, Nightclub, Wifi (Free), Babysitting, Adult Pool, Swim Up Bar, Bicycles Available, Tennis, Evening Entertainment, Spa</v>
      </c>
      <c r="T349" s="71" t="str">
        <f>IFERROR(__xludf.DUMMYFUNCTION("""COMPUTED_VALUE"""),"Yes")</f>
        <v>Yes</v>
      </c>
      <c r="U349" s="72" t="str">
        <f>IFERROR(__xludf.DUMMYFUNCTION("""COMPUTED_VALUE"""),"1 King or 2 Double")</f>
        <v>1 King or 2 Double</v>
      </c>
      <c r="V349" s="74" t="b">
        <f>IFERROR(__xludf.DUMMYFUNCTION("""COMPUTED_VALUE"""),FALSE)</f>
        <v>0</v>
      </c>
      <c r="W349" s="74">
        <f>IFERROR(__xludf.DUMMYFUNCTION("""COMPUTED_VALUE"""),550.0)</f>
        <v>550</v>
      </c>
      <c r="X349" s="74">
        <f>IFERROR(__xludf.DUMMYFUNCTION("""COMPUTED_VALUE"""),2009.0)</f>
        <v>2009</v>
      </c>
      <c r="Y349" s="74">
        <f>IFERROR(__xludf.DUMMYFUNCTION("""COMPUTED_VALUE"""),2020.0)</f>
        <v>2020</v>
      </c>
      <c r="Z349" s="75">
        <f>IFERROR(__xludf.DUMMYFUNCTION("""COMPUTED_VALUE"""),4.0)</f>
        <v>4</v>
      </c>
    </row>
    <row r="350">
      <c r="A350" s="65" t="str">
        <f>IFERROR(__xludf.DUMMYFUNCTION("""COMPUTED_VALUE"""),"Grand Palladium Palace Resort Spa &amp; Casino")</f>
        <v>Grand Palladium Palace Resort Spa &amp; Casino</v>
      </c>
      <c r="B350" s="66">
        <f>IFERROR(__xludf.DUMMYFUNCTION("""COMPUTED_VALUE"""),87.0)</f>
        <v>87</v>
      </c>
      <c r="C350" s="67" t="str">
        <f>IFERROR(__xludf.DUMMYFUNCTION("""COMPUTED_VALUE"""),"Family")</f>
        <v>Family</v>
      </c>
      <c r="D350" s="79">
        <f>IFERROR(__xludf.DUMMYFUNCTION("""COMPUTED_VALUE"""),4053.36)</f>
        <v>4053.36</v>
      </c>
      <c r="E350" s="79">
        <f>IFERROR(__xludf.DUMMYFUNCTION("""COMPUTED_VALUE"""),5597.892422663999)</f>
        <v>5597.892423</v>
      </c>
      <c r="F350" s="69">
        <f>IFERROR(__xludf.DUMMYFUNCTION("""COMPUTED_VALUE"""),1.73)</f>
        <v>1.73</v>
      </c>
      <c r="G350" s="78"/>
      <c r="H350" s="74">
        <f>IFERROR(__xludf.DUMMYFUNCTION("""COMPUTED_VALUE"""),7.0)</f>
        <v>7</v>
      </c>
      <c r="I350" s="78"/>
      <c r="J350" s="78">
        <f>IFERROR(__xludf.DUMMYFUNCTION("""COMPUTED_VALUE"""),5.0)</f>
        <v>5</v>
      </c>
      <c r="K350" s="76"/>
      <c r="L350" s="76" t="str">
        <f>IFERROR(__xludf.DUMMYFUNCTION("""COMPUTED_VALUE"""),"Dominican Republic")</f>
        <v>Dominican Republic</v>
      </c>
      <c r="M350" s="76" t="str">
        <f>IFERROR(__xludf.DUMMYFUNCTION("""COMPUTED_VALUE"""),"Bavaro")</f>
        <v>Bavaro</v>
      </c>
      <c r="N350" s="76" t="str">
        <f>IFERROR(__xludf.DUMMYFUNCTION("""COMPUTED_VALUE"""),"Punta Cana")</f>
        <v>Punta Cana</v>
      </c>
      <c r="O350" s="78" t="b">
        <f>IFERROR(__xludf.DUMMYFUNCTION("""COMPUTED_VALUE"""),TRUE)</f>
        <v>1</v>
      </c>
      <c r="P350" s="80">
        <f>IFERROR(__xludf.DUMMYFUNCTION("""COMPUTED_VALUE"""),0.01875)</f>
        <v>0.01875</v>
      </c>
      <c r="Q350" s="76" t="str">
        <f>IFERROR(__xludf.DUMMYFUNCTION("""COMPUTED_VALUE"""),"Wyndham Hotels")</f>
        <v>Wyndham Hotels</v>
      </c>
      <c r="R350" s="76" t="str">
        <f>IFERROR(__xludf.DUMMYFUNCTION("""COMPUTED_VALUE"""),"Value, Green")</f>
        <v>Value, Green</v>
      </c>
      <c r="S350" s="71" t="str">
        <f>IFERROR(__xludf.DUMMYFUNCTION("""COMPUTED_VALUE"""),"Beach, Swim Out/Plunge Pool Rooms, Kids Club, Teen Club, Kids Waterpark, Kids Club for Under 4, Gym, Casino, Swim Up Bar, Diving, Tennis, Evening Entertainment, Nightclub, Babysitting, Adult Pool, Buffet, Snorkelling, Fishing, Spa")</f>
        <v>Beach, Swim Out/Plunge Pool Rooms, Kids Club, Teen Club, Kids Waterpark, Kids Club for Under 4, Gym, Casino, Swim Up Bar, Diving, Tennis, Evening Entertainment, Nightclub, Babysitting, Adult Pool, Buffet, Snorkelling, Fishing, Spa</v>
      </c>
      <c r="T350" s="71"/>
      <c r="U350" s="76" t="str">
        <f>IFERROR(__xludf.DUMMYFUNCTION("""COMPUTED_VALUE"""),"1 King or 2 Full")</f>
        <v>1 King or 2 Full</v>
      </c>
      <c r="V350" s="74" t="b">
        <f>IFERROR(__xludf.DUMMYFUNCTION("""COMPUTED_VALUE"""),FALSE)</f>
        <v>0</v>
      </c>
      <c r="W350" s="74">
        <f>IFERROR(__xludf.DUMMYFUNCTION("""COMPUTED_VALUE"""),366.0)</f>
        <v>366</v>
      </c>
      <c r="X350" s="74">
        <f>IFERROR(__xludf.DUMMYFUNCTION("""COMPUTED_VALUE"""),1994.0)</f>
        <v>1994</v>
      </c>
      <c r="Y350" s="74"/>
      <c r="Z350" s="75">
        <f>IFERROR(__xludf.DUMMYFUNCTION("""COMPUTED_VALUE"""),3.0)</f>
        <v>3</v>
      </c>
    </row>
    <row r="351">
      <c r="A351" s="65" t="str">
        <f>IFERROR(__xludf.DUMMYFUNCTION("""COMPUTED_VALUE"""),"Armony Marival Resort &amp; Spa")</f>
        <v>Armony Marival Resort &amp; Spa</v>
      </c>
      <c r="B351" s="66">
        <f>IFERROR(__xludf.DUMMYFUNCTION("""COMPUTED_VALUE"""),87.0)</f>
        <v>87</v>
      </c>
      <c r="C351" s="67" t="str">
        <f>IFERROR(__xludf.DUMMYFUNCTION("""COMPUTED_VALUE"""),"Adults Only")</f>
        <v>Adults Only</v>
      </c>
      <c r="D351" s="68">
        <f>IFERROR(__xludf.DUMMYFUNCTION("""COMPUTED_VALUE"""),4555.0)</f>
        <v>4555</v>
      </c>
      <c r="E351" s="79">
        <f>IFERROR(__xludf.DUMMYFUNCTION("""COMPUTED_VALUE"""),6290.682294499999)</f>
        <v>6290.682295</v>
      </c>
      <c r="F351" s="69">
        <f>IFERROR(__xludf.DUMMYFUNCTION("""COMPUTED_VALUE"""),1.54)</f>
        <v>1.54</v>
      </c>
      <c r="G351" s="78"/>
      <c r="H351" s="74" t="str">
        <f>IFERROR(__xludf.DUMMYFUNCTION("""COMPUTED_VALUE"""),"NYR")</f>
        <v>NYR</v>
      </c>
      <c r="I351" s="78"/>
      <c r="J351" s="78">
        <f>IFERROR(__xludf.DUMMYFUNCTION("""COMPUTED_VALUE"""),5.0)</f>
        <v>5</v>
      </c>
      <c r="K351" s="76"/>
      <c r="L351" s="76" t="str">
        <f>IFERROR(__xludf.DUMMYFUNCTION("""COMPUTED_VALUE"""),"Mexico")</f>
        <v>Mexico</v>
      </c>
      <c r="M351" s="76" t="str">
        <f>IFERROR(__xludf.DUMMYFUNCTION("""COMPUTED_VALUE"""),"Punta de Mita")</f>
        <v>Punta de Mita</v>
      </c>
      <c r="N351" s="76" t="str">
        <f>IFERROR(__xludf.DUMMYFUNCTION("""COMPUTED_VALUE"""),"Ordaz")</f>
        <v>Ordaz</v>
      </c>
      <c r="O351" s="78" t="b">
        <f>IFERROR(__xludf.DUMMYFUNCTION("""COMPUTED_VALUE"""),TRUE)</f>
        <v>1</v>
      </c>
      <c r="P351" s="80">
        <f>IFERROR(__xludf.DUMMYFUNCTION("""COMPUTED_VALUE"""),0.034722222222222224)</f>
        <v>0.03472222222</v>
      </c>
      <c r="Q351" s="76"/>
      <c r="R351" s="76" t="str">
        <f>IFERROR(__xludf.DUMMYFUNCTION("""COMPUTED_VALUE"""),"Bay View, Great View")</f>
        <v>Bay View, Great View</v>
      </c>
      <c r="S351" s="71" t="str">
        <f>IFERROR(__xludf.DUMMYFUNCTION("""COMPUTED_VALUE"""),"Beach, Swim Out/Plunge Pool Rooms, Heated Pool, Gym, Yoga Classes, Buffet, Swim Up Bar, Hiking, Spa, Wifi (Paid), Room Service, Snorkelling, Evening Entertainment")</f>
        <v>Beach, Swim Out/Plunge Pool Rooms, Heated Pool, Gym, Yoga Classes, Buffet, Swim Up Bar, Hiking, Spa, Wifi (Paid), Room Service, Snorkelling, Evening Entertainment</v>
      </c>
      <c r="T351" s="71"/>
      <c r="U351" s="76"/>
      <c r="V351" s="74" t="b">
        <f>IFERROR(__xludf.DUMMYFUNCTION("""COMPUTED_VALUE"""),FALSE)</f>
        <v>0</v>
      </c>
      <c r="W351" s="74">
        <f>IFERROR(__xludf.DUMMYFUNCTION("""COMPUTED_VALUE"""),80.0)</f>
        <v>80</v>
      </c>
      <c r="X351" s="74">
        <f>IFERROR(__xludf.DUMMYFUNCTION("""COMPUTED_VALUE"""),1998.0)</f>
        <v>1998</v>
      </c>
      <c r="Y351" s="74">
        <f>IFERROR(__xludf.DUMMYFUNCTION("""COMPUTED_VALUE"""),2013.0)</f>
        <v>2013</v>
      </c>
      <c r="Z351" s="75">
        <f>IFERROR(__xludf.DUMMYFUNCTION("""COMPUTED_VALUE"""),2.0)</f>
        <v>2</v>
      </c>
    </row>
    <row r="352">
      <c r="A352" s="65" t="str">
        <f>IFERROR(__xludf.DUMMYFUNCTION("""COMPUTED_VALUE"""),"Paraiso De La Bonita, A Luxury Collection Resort, Riviera Maya, Adult All-inclusive")</f>
        <v>Paraiso De La Bonita, A Luxury Collection Resort, Riviera Maya, Adult All-inclusive</v>
      </c>
      <c r="B352" s="66">
        <f>IFERROR(__xludf.DUMMYFUNCTION("""COMPUTED_VALUE"""),87.0)</f>
        <v>87</v>
      </c>
      <c r="C352" s="67" t="str">
        <f>IFERROR(__xludf.DUMMYFUNCTION("""COMPUTED_VALUE"""),"Adults Only")</f>
        <v>Adults Only</v>
      </c>
      <c r="D352" s="68">
        <f>IFERROR(__xludf.DUMMYFUNCTION("""COMPUTED_VALUE"""),5073.0)</f>
        <v>5073</v>
      </c>
      <c r="E352" s="79">
        <f>IFERROR(__xludf.DUMMYFUNCTION("""COMPUTED_VALUE"""),7006.0661427)</f>
        <v>7006.066143</v>
      </c>
      <c r="F352" s="69">
        <f>IFERROR(__xludf.DUMMYFUNCTION("""COMPUTED_VALUE"""),1.38)</f>
        <v>1.38</v>
      </c>
      <c r="G352" s="78"/>
      <c r="H352" s="74"/>
      <c r="I352" s="78"/>
      <c r="J352" s="78">
        <f>IFERROR(__xludf.DUMMYFUNCTION("""COMPUTED_VALUE"""),5.0)</f>
        <v>5</v>
      </c>
      <c r="K352" s="71"/>
      <c r="L352" s="76" t="str">
        <f>IFERROR(__xludf.DUMMYFUNCTION("""COMPUTED_VALUE"""),"Mexico")</f>
        <v>Mexico</v>
      </c>
      <c r="M352" s="76" t="str">
        <f>IFERROR(__xludf.DUMMYFUNCTION("""COMPUTED_VALUE"""),"Puerto Morelos")</f>
        <v>Puerto Morelos</v>
      </c>
      <c r="N352" s="76" t="str">
        <f>IFERROR(__xludf.DUMMYFUNCTION("""COMPUTED_VALUE"""),"Cancun")</f>
        <v>Cancun</v>
      </c>
      <c r="O352" s="78" t="b">
        <f>IFERROR(__xludf.DUMMYFUNCTION("""COMPUTED_VALUE"""),TRUE)</f>
        <v>1</v>
      </c>
      <c r="P352" s="80">
        <f>IFERROR(__xludf.DUMMYFUNCTION("""COMPUTED_VALUE"""),0.017361111111111112)</f>
        <v>0.01736111111</v>
      </c>
      <c r="Q352" s="76" t="str">
        <f>IFERROR(__xludf.DUMMYFUNCTION("""COMPUTED_VALUE"""),"Marriott")</f>
        <v>Marriott</v>
      </c>
      <c r="R352" s="71"/>
      <c r="S352" s="71"/>
      <c r="T352" s="71"/>
      <c r="U352" s="71"/>
      <c r="V352" s="74" t="b">
        <f>IFERROR(__xludf.DUMMYFUNCTION("""COMPUTED_VALUE"""),FALSE)</f>
        <v>0</v>
      </c>
      <c r="W352" s="74">
        <f>IFERROR(__xludf.DUMMYFUNCTION("""COMPUTED_VALUE"""),100.0)</f>
        <v>100</v>
      </c>
      <c r="X352" s="74">
        <f>IFERROR(__xludf.DUMMYFUNCTION("""COMPUTED_VALUE"""),2021.0)</f>
        <v>2021</v>
      </c>
      <c r="Y352" s="74">
        <f>IFERROR(__xludf.DUMMYFUNCTION("""COMPUTED_VALUE"""),2024.0)</f>
        <v>2024</v>
      </c>
      <c r="Z352" s="75">
        <f>IFERROR(__xludf.DUMMYFUNCTION("""COMPUTED_VALUE"""),3.0)</f>
        <v>3</v>
      </c>
    </row>
    <row r="353">
      <c r="A353" s="65" t="str">
        <f>IFERROR(__xludf.DUMMYFUNCTION("""COMPUTED_VALUE"""),"Dreams Riviera Cancun Resort &amp; Spa")</f>
        <v>Dreams Riviera Cancun Resort &amp; Spa</v>
      </c>
      <c r="B353" s="66">
        <f>IFERROR(__xludf.DUMMYFUNCTION("""COMPUTED_VALUE"""),87.0)</f>
        <v>87</v>
      </c>
      <c r="C353" s="67" t="str">
        <f>IFERROR(__xludf.DUMMYFUNCTION("""COMPUTED_VALUE"""),"Family")</f>
        <v>Family</v>
      </c>
      <c r="D353" s="79">
        <f>IFERROR(__xludf.DUMMYFUNCTION("""COMPUTED_VALUE"""),5379.0)</f>
        <v>5379</v>
      </c>
      <c r="E353" s="79">
        <f>IFERROR(__xludf.DUMMYFUNCTION("""COMPUTED_VALUE"""),7428.667412099999)</f>
        <v>7428.667412</v>
      </c>
      <c r="F353" s="69">
        <f>IFERROR(__xludf.DUMMYFUNCTION("""COMPUTED_VALUE"""),1.3)</f>
        <v>1.3</v>
      </c>
      <c r="G353" s="78"/>
      <c r="H353" s="74">
        <f>IFERROR(__xludf.DUMMYFUNCTION("""COMPUTED_VALUE"""),8.0)</f>
        <v>8</v>
      </c>
      <c r="I353" s="78" t="str">
        <f>IFERROR(__xludf.DUMMYFUNCTION("""COMPUTED_VALUE"""),"C")</f>
        <v>C</v>
      </c>
      <c r="J353" s="78">
        <f>IFERROR(__xludf.DUMMYFUNCTION("""COMPUTED_VALUE"""),5.0)</f>
        <v>5</v>
      </c>
      <c r="K353" s="71"/>
      <c r="L353" s="76" t="str">
        <f>IFERROR(__xludf.DUMMYFUNCTION("""COMPUTED_VALUE"""),"Mexico")</f>
        <v>Mexico</v>
      </c>
      <c r="M353" s="76" t="str">
        <f>IFERROR(__xludf.DUMMYFUNCTION("""COMPUTED_VALUE"""),"Puerto Morelos")</f>
        <v>Puerto Morelos</v>
      </c>
      <c r="N353" s="76" t="str">
        <f>IFERROR(__xludf.DUMMYFUNCTION("""COMPUTED_VALUE"""),"Cancun")</f>
        <v>Cancun</v>
      </c>
      <c r="O353" s="70" t="b">
        <f>IFERROR(__xludf.DUMMYFUNCTION("""COMPUTED_VALUE"""),TRUE)</f>
        <v>1</v>
      </c>
      <c r="P353" s="73">
        <f>IFERROR(__xludf.DUMMYFUNCTION("""COMPUTED_VALUE"""),0.017361111111111112)</f>
        <v>0.01736111111</v>
      </c>
      <c r="Q353" s="76" t="str">
        <f>IFERROR(__xludf.DUMMYFUNCTION("""COMPUTED_VALUE"""),"Hyatt")</f>
        <v>Hyatt</v>
      </c>
      <c r="R353" s="76" t="str">
        <f>IFERROR(__xludf.DUMMYFUNCTION("""COMPUTED_VALUE"""),"Family, Modern")</f>
        <v>Family, Modern</v>
      </c>
      <c r="S353" s="71" t="str">
        <f>IFERROR(__xludf.DUMMYFUNCTION("""COMPUTED_VALUE"""),"Beach, Swim Out/Plunge Pool Rooms, Family Suite, 2 Bedroom Suites, Kids Club, Teen Club, Lazy River, Pool Slide, Water Feature, Heated Pool, Kids Club for Under 4, Gym, Diving, Room Service, Nightclub, Wifi (Free), Babysitting, Buffet, Swim Up Bar, Evenin"&amp;"g Entertainment, Spa")</f>
        <v>Beach, Swim Out/Plunge Pool Rooms, Family Suite, 2 Bedroom Suites, Kids Club, Teen Club, Lazy River, Pool Slide, Water Feature, Heated Pool, Kids Club for Under 4, Gym, Diving, Room Service, Nightclub, Wifi (Free), Babysitting, Buffet, Swim Up Bar, Evening Entertainment, Spa</v>
      </c>
      <c r="T353" s="71" t="str">
        <f>IFERROR(__xludf.DUMMYFUNCTION("""COMPUTED_VALUE"""),"Yes")</f>
        <v>Yes</v>
      </c>
      <c r="U353" s="71" t="str">
        <f>IFERROR(__xludf.DUMMYFUNCTION("""COMPUTED_VALUE"""),"1 King or 2 Double")</f>
        <v>1 King or 2 Double</v>
      </c>
      <c r="V353" s="70" t="b">
        <f>IFERROR(__xludf.DUMMYFUNCTION("""COMPUTED_VALUE"""),FALSE)</f>
        <v>0</v>
      </c>
      <c r="W353" s="70">
        <f>IFERROR(__xludf.DUMMYFUNCTION("""COMPUTED_VALUE"""),486.0)</f>
        <v>486</v>
      </c>
      <c r="X353" s="70">
        <f>IFERROR(__xludf.DUMMYFUNCTION("""COMPUTED_VALUE"""),2009.0)</f>
        <v>2009</v>
      </c>
      <c r="Y353" s="70">
        <f>IFERROR(__xludf.DUMMYFUNCTION("""COMPUTED_VALUE"""),2019.0)</f>
        <v>2019</v>
      </c>
      <c r="Z353" s="83">
        <f>IFERROR(__xludf.DUMMYFUNCTION("""COMPUTED_VALUE"""),5.0)</f>
        <v>5</v>
      </c>
    </row>
    <row r="354">
      <c r="A354" s="65" t="str">
        <f>IFERROR(__xludf.DUMMYFUNCTION("""COMPUTED_VALUE"""),"Divi Aruba All Inclusive")</f>
        <v>Divi Aruba All Inclusive</v>
      </c>
      <c r="B354" s="66">
        <f>IFERROR(__xludf.DUMMYFUNCTION("""COMPUTED_VALUE"""),87.0)</f>
        <v>87</v>
      </c>
      <c r="C354" s="67" t="str">
        <f>IFERROR(__xludf.DUMMYFUNCTION("""COMPUTED_VALUE"""),"Family")</f>
        <v>Family</v>
      </c>
      <c r="D354" s="79">
        <f>IFERROR(__xludf.DUMMYFUNCTION("""COMPUTED_VALUE"""),6906.2)</f>
        <v>6906.2</v>
      </c>
      <c r="E354" s="79">
        <f>IFERROR(__xludf.DUMMYFUNCTION("""COMPUTED_VALUE"""),9537.806819379999)</f>
        <v>9537.806819</v>
      </c>
      <c r="F354" s="69">
        <f>IFERROR(__xludf.DUMMYFUNCTION("""COMPUTED_VALUE"""),1.01)</f>
        <v>1.01</v>
      </c>
      <c r="G354" s="78"/>
      <c r="H354" s="78">
        <f>IFERROR(__xludf.DUMMYFUNCTION("""COMPUTED_VALUE"""),7.0)</f>
        <v>7</v>
      </c>
      <c r="I354" s="78"/>
      <c r="J354" s="78">
        <f>IFERROR(__xludf.DUMMYFUNCTION("""COMPUTED_VALUE"""),3.0)</f>
        <v>3</v>
      </c>
      <c r="K354" s="76"/>
      <c r="L354" s="76" t="str">
        <f>IFERROR(__xludf.DUMMYFUNCTION("""COMPUTED_VALUE"""),"Aruba")</f>
        <v>Aruba</v>
      </c>
      <c r="M354" s="76" t="str">
        <f>IFERROR(__xludf.DUMMYFUNCTION("""COMPUTED_VALUE"""),"Aruba")</f>
        <v>Aruba</v>
      </c>
      <c r="N354" s="87" t="str">
        <f>IFERROR(__xludf.DUMMYFUNCTION("""COMPUTED_VALUE"""),"Reina Beatrix")</f>
        <v>Reina Beatrix</v>
      </c>
      <c r="O354" s="78" t="b">
        <f>IFERROR(__xludf.DUMMYFUNCTION("""COMPUTED_VALUE"""),TRUE)</f>
        <v>1</v>
      </c>
      <c r="P354" s="80">
        <f>IFERROR(__xludf.DUMMYFUNCTION("""COMPUTED_VALUE"""),0.009722222222222222)</f>
        <v>0.009722222222</v>
      </c>
      <c r="Q354" s="76"/>
      <c r="R354" s="76" t="str">
        <f>IFERROR(__xludf.DUMMYFUNCTION("""COMPUTED_VALUE"""),"Ocean View, Green")</f>
        <v>Ocean View, Green</v>
      </c>
      <c r="S354" s="76" t="str">
        <f>IFERROR(__xludf.DUMMYFUNCTION("""COMPUTED_VALUE"""),"Beach, Kids Club, Gym, Evening Entertainment, Buffet, Spa")</f>
        <v>Beach, Kids Club, Gym, Evening Entertainment, Buffet, Spa</v>
      </c>
      <c r="T354" s="76" t="str">
        <f>IFERROR(__xludf.DUMMYFUNCTION("""COMPUTED_VALUE"""),"Can't Book Two Rooms")</f>
        <v>Can't Book Two Rooms</v>
      </c>
      <c r="U354" s="76" t="str">
        <f>IFERROR(__xludf.DUMMYFUNCTION("""COMPUTED_VALUE"""),"1 King or 2 Queen")</f>
        <v>1 King or 2 Queen</v>
      </c>
      <c r="V354" s="78" t="b">
        <f>IFERROR(__xludf.DUMMYFUNCTION("""COMPUTED_VALUE"""),FALSE)</f>
        <v>0</v>
      </c>
      <c r="W354" s="78">
        <f>IFERROR(__xludf.DUMMYFUNCTION("""COMPUTED_VALUE"""),265.0)</f>
        <v>265</v>
      </c>
      <c r="X354" s="78">
        <f>IFERROR(__xludf.DUMMYFUNCTION("""COMPUTED_VALUE"""),1969.0)</f>
        <v>1969</v>
      </c>
      <c r="Y354" s="78">
        <f>IFERROR(__xludf.DUMMYFUNCTION("""COMPUTED_VALUE"""),2019.0)</f>
        <v>2019</v>
      </c>
      <c r="Z354" s="81">
        <f>IFERROR(__xludf.DUMMYFUNCTION("""COMPUTED_VALUE"""),2.0)</f>
        <v>2</v>
      </c>
    </row>
    <row r="355">
      <c r="A355" s="65" t="str">
        <f>IFERROR(__xludf.DUMMYFUNCTION("""COMPUTED_VALUE"""),"Mango Bay Hotel")</f>
        <v>Mango Bay Hotel</v>
      </c>
      <c r="B355" s="66">
        <f>IFERROR(__xludf.DUMMYFUNCTION("""COMPUTED_VALUE"""),87.0)</f>
        <v>87</v>
      </c>
      <c r="C355" s="67" t="str">
        <f>IFERROR(__xludf.DUMMYFUNCTION("""COMPUTED_VALUE"""),"Family")</f>
        <v>Family</v>
      </c>
      <c r="D355" s="79">
        <f>IFERROR(__xludf.DUMMYFUNCTION("""COMPUTED_VALUE"""),14431.52)</f>
        <v>14431.52</v>
      </c>
      <c r="E355" s="79">
        <f>IFERROR(__xludf.DUMMYFUNCTION("""COMPUTED_VALUE"""),19930.649252847998)</f>
        <v>19930.64925</v>
      </c>
      <c r="F355" s="69">
        <f>IFERROR(__xludf.DUMMYFUNCTION("""COMPUTED_VALUE"""),0.49)</f>
        <v>0.49</v>
      </c>
      <c r="G355" s="78"/>
      <c r="H355" s="74">
        <f>IFERROR(__xludf.DUMMYFUNCTION("""COMPUTED_VALUE"""),6.0)</f>
        <v>6</v>
      </c>
      <c r="I355" s="78"/>
      <c r="J355" s="78">
        <f>IFERROR(__xludf.DUMMYFUNCTION("""COMPUTED_VALUE"""),4.0)</f>
        <v>4</v>
      </c>
      <c r="K355" s="76"/>
      <c r="L355" s="76" t="str">
        <f>IFERROR(__xludf.DUMMYFUNCTION("""COMPUTED_VALUE"""),"Barbados")</f>
        <v>Barbados</v>
      </c>
      <c r="M355" s="76" t="str">
        <f>IFERROR(__xludf.DUMMYFUNCTION("""COMPUTED_VALUE"""),"Barbados")</f>
        <v>Barbados</v>
      </c>
      <c r="N355" s="76" t="str">
        <f>IFERROR(__xludf.DUMMYFUNCTION("""COMPUTED_VALUE"""),"Grantley Adams")</f>
        <v>Grantley Adams</v>
      </c>
      <c r="O355" s="78" t="b">
        <f>IFERROR(__xludf.DUMMYFUNCTION("""COMPUTED_VALUE"""),TRUE)</f>
        <v>1</v>
      </c>
      <c r="P355" s="80">
        <f>IFERROR(__xludf.DUMMYFUNCTION("""COMPUTED_VALUE"""),0.022222222222222223)</f>
        <v>0.02222222222</v>
      </c>
      <c r="Q355" s="76"/>
      <c r="R355" s="76" t="str">
        <f>IFERROR(__xludf.DUMMYFUNCTION("""COMPUTED_VALUE"""),"Family, Centrally Located")</f>
        <v>Family, Centrally Located</v>
      </c>
      <c r="S355" s="76" t="str">
        <f>IFERROR(__xludf.DUMMYFUNCTION("""COMPUTED_VALUE"""),"Beach, Gym, Buffet, Diving, Snorkelling, Spa, Babysitting, Room Service, Horseback Riding")</f>
        <v>Beach, Gym, Buffet, Diving, Snorkelling, Spa, Babysitting, Room Service, Horseback Riding</v>
      </c>
      <c r="T355" s="76"/>
      <c r="U355" s="76" t="str">
        <f>IFERROR(__xludf.DUMMYFUNCTION("""COMPUTED_VALUE"""),"1 King or 2 Twin")</f>
        <v>1 King or 2 Twin</v>
      </c>
      <c r="V355" s="74" t="b">
        <f>IFERROR(__xludf.DUMMYFUNCTION("""COMPUTED_VALUE"""),FALSE)</f>
        <v>0</v>
      </c>
      <c r="W355" s="74">
        <f>IFERROR(__xludf.DUMMYFUNCTION("""COMPUTED_VALUE"""),67.0)</f>
        <v>67</v>
      </c>
      <c r="X355" s="74">
        <f>IFERROR(__xludf.DUMMYFUNCTION("""COMPUTED_VALUE"""),1993.0)</f>
        <v>1993</v>
      </c>
      <c r="Y355" s="74">
        <f>IFERROR(__xludf.DUMMYFUNCTION("""COMPUTED_VALUE"""),2014.0)</f>
        <v>2014</v>
      </c>
      <c r="Z355" s="75">
        <f>IFERROR(__xludf.DUMMYFUNCTION("""COMPUTED_VALUE"""),4.0)</f>
        <v>4</v>
      </c>
    </row>
    <row r="356">
      <c r="A356" s="65" t="str">
        <f>IFERROR(__xludf.DUMMYFUNCTION("""COMPUTED_VALUE"""),"Villa Del Palmar Cancun Luxury Beach Resort &amp; Spa")</f>
        <v>Villa Del Palmar Cancun Luxury Beach Resort &amp; Spa</v>
      </c>
      <c r="B356" s="66">
        <f>IFERROR(__xludf.DUMMYFUNCTION("""COMPUTED_VALUE"""),86.8)</f>
        <v>86.8</v>
      </c>
      <c r="C356" s="67" t="str">
        <f>IFERROR(__xludf.DUMMYFUNCTION("""COMPUTED_VALUE"""),"Family")</f>
        <v>Family</v>
      </c>
      <c r="D356" s="79">
        <f>IFERROR(__xludf.DUMMYFUNCTION("""COMPUTED_VALUE"""),3909.0)</f>
        <v>3909</v>
      </c>
      <c r="E356" s="79">
        <f>IFERROR(__xludf.DUMMYFUNCTION("""COMPUTED_VALUE"""),5398.524059099999)</f>
        <v>5398.524059</v>
      </c>
      <c r="F356" s="69">
        <f>IFERROR(__xludf.DUMMYFUNCTION("""COMPUTED_VALUE"""),1.74)</f>
        <v>1.74</v>
      </c>
      <c r="G356" s="70">
        <f>IFERROR(__xludf.DUMMYFUNCTION("""COMPUTED_VALUE"""),4.0)</f>
        <v>4</v>
      </c>
      <c r="H356" s="78">
        <f>IFERROR(__xludf.DUMMYFUNCTION("""COMPUTED_VALUE"""),7.0)</f>
        <v>7</v>
      </c>
      <c r="I356" s="78"/>
      <c r="J356" s="78">
        <f>IFERROR(__xludf.DUMMYFUNCTION("""COMPUTED_VALUE"""),4.0)</f>
        <v>4</v>
      </c>
      <c r="K356" s="71"/>
      <c r="L356" s="71" t="str">
        <f>IFERROR(__xludf.DUMMYFUNCTION("""COMPUTED_VALUE"""),"Mexico")</f>
        <v>Mexico</v>
      </c>
      <c r="M356" s="71" t="str">
        <f>IFERROR(__xludf.DUMMYFUNCTION("""COMPUTED_VALUE"""),"Punta Sam")</f>
        <v>Punta Sam</v>
      </c>
      <c r="N356" s="71" t="str">
        <f>IFERROR(__xludf.DUMMYFUNCTION("""COMPUTED_VALUE"""),"Cancun")</f>
        <v>Cancun</v>
      </c>
      <c r="O356" s="78" t="b">
        <f>IFERROR(__xludf.DUMMYFUNCTION("""COMPUTED_VALUE"""),TRUE)</f>
        <v>1</v>
      </c>
      <c r="P356" s="80">
        <f>IFERROR(__xludf.DUMMYFUNCTION("""COMPUTED_VALUE"""),0.029861111111111113)</f>
        <v>0.02986111111</v>
      </c>
      <c r="Q356" s="76" t="str">
        <f>IFERROR(__xludf.DUMMYFUNCTION("""COMPUTED_VALUE"""),"The Villa Group")</f>
        <v>The Villa Group</v>
      </c>
      <c r="R356" s="76" t="str">
        <f>IFERROR(__xludf.DUMMYFUNCTION("""COMPUTED_VALUE"""),"Ocean View, Modern")</f>
        <v>Ocean View, Modern</v>
      </c>
      <c r="S356" s="76" t="str">
        <f>IFERROR(__xludf.DUMMYFUNCTION("""COMPUTED_VALUE"""),"Beach, Great Food, Family Suite, 2 Bedroom Suites, Kids Club, Pool Slide, Water Feature, Heated Pool, Gym, Yoga Classes, Room Service, Diving, Wifi (Paid), Adult Pool, Buffet, Snorkelling, Spa")</f>
        <v>Beach, Great Food, Family Suite, 2 Bedroom Suites, Kids Club, Pool Slide, Water Feature, Heated Pool, Gym, Yoga Classes, Room Service, Diving, Wifi (Paid), Adult Pool, Buffet, Snorkelling, Spa</v>
      </c>
      <c r="T356" s="76"/>
      <c r="U356" s="76" t="str">
        <f>IFERROR(__xludf.DUMMYFUNCTION("""COMPUTED_VALUE"""),"1 King or 2 Queen")</f>
        <v>1 King or 2 Queen</v>
      </c>
      <c r="V356" s="78" t="b">
        <f>IFERROR(__xludf.DUMMYFUNCTION("""COMPUTED_VALUE"""),TRUE)</f>
        <v>1</v>
      </c>
      <c r="W356" s="78">
        <f>IFERROR(__xludf.DUMMYFUNCTION("""COMPUTED_VALUE"""),415.0)</f>
        <v>415</v>
      </c>
      <c r="X356" s="74">
        <f>IFERROR(__xludf.DUMMYFUNCTION("""COMPUTED_VALUE"""),2010.0)</f>
        <v>2010</v>
      </c>
      <c r="Y356" s="74"/>
      <c r="Z356" s="75">
        <f>IFERROR(__xludf.DUMMYFUNCTION("""COMPUTED_VALUE"""),9.0)</f>
        <v>9</v>
      </c>
    </row>
    <row r="357">
      <c r="A357" s="65" t="str">
        <f>IFERROR(__xludf.DUMMYFUNCTION("""COMPUTED_VALUE"""),"Dreams Dominicus La Romana")</f>
        <v>Dreams Dominicus La Romana</v>
      </c>
      <c r="B357" s="66">
        <f>IFERROR(__xludf.DUMMYFUNCTION("""COMPUTED_VALUE"""),86.8)</f>
        <v>86.8</v>
      </c>
      <c r="C357" s="67" t="str">
        <f>IFERROR(__xludf.DUMMYFUNCTION("""COMPUTED_VALUE"""),"Family")</f>
        <v>Family</v>
      </c>
      <c r="D357" s="68">
        <f>IFERROR(__xludf.DUMMYFUNCTION("""COMPUTED_VALUE"""),3955.0)</f>
        <v>3955</v>
      </c>
      <c r="E357" s="68">
        <f>IFERROR(__xludf.DUMMYFUNCTION("""COMPUTED_VALUE"""),5462.0523545)</f>
        <v>5462.052355</v>
      </c>
      <c r="F357" s="69">
        <f>IFERROR(__xludf.DUMMYFUNCTION("""COMPUTED_VALUE"""),1.72)</f>
        <v>1.72</v>
      </c>
      <c r="G357" s="70">
        <f>IFERROR(__xludf.DUMMYFUNCTION("""COMPUTED_VALUE"""),4.0)</f>
        <v>4</v>
      </c>
      <c r="H357" s="70">
        <f>IFERROR(__xludf.DUMMYFUNCTION("""COMPUTED_VALUE"""),7.0)</f>
        <v>7</v>
      </c>
      <c r="I357" s="70" t="str">
        <f>IFERROR(__xludf.DUMMYFUNCTION("""COMPUTED_VALUE"""),"B")</f>
        <v>B</v>
      </c>
      <c r="J357" s="74">
        <f>IFERROR(__xludf.DUMMYFUNCTION("""COMPUTED_VALUE"""),5.0)</f>
        <v>5</v>
      </c>
      <c r="K357" s="72"/>
      <c r="L357" s="72" t="str">
        <f>IFERROR(__xludf.DUMMYFUNCTION("""COMPUTED_VALUE"""),"Dominican Republic")</f>
        <v>Dominican Republic</v>
      </c>
      <c r="M357" s="72" t="str">
        <f>IFERROR(__xludf.DUMMYFUNCTION("""COMPUTED_VALUE"""),"Bayahibe")</f>
        <v>Bayahibe</v>
      </c>
      <c r="N357" s="76" t="str">
        <f>IFERROR(__xludf.DUMMYFUNCTION("""COMPUTED_VALUE"""),"Punta Cana")</f>
        <v>Punta Cana</v>
      </c>
      <c r="O357" s="74" t="b">
        <f>IFERROR(__xludf.DUMMYFUNCTION("""COMPUTED_VALUE"""),TRUE)</f>
        <v>1</v>
      </c>
      <c r="P357" s="73">
        <f>IFERROR(__xludf.DUMMYFUNCTION("""COMPUTED_VALUE"""),0.03680555555555556)</f>
        <v>0.03680555556</v>
      </c>
      <c r="Q357" s="76" t="str">
        <f>IFERROR(__xludf.DUMMYFUNCTION("""COMPUTED_VALUE"""),"Hyatt")</f>
        <v>Hyatt</v>
      </c>
      <c r="R357" s="72" t="str">
        <f>IFERROR(__xludf.DUMMYFUNCTION("""COMPUTED_VALUE"""),"Ocean View, Family")</f>
        <v>Ocean View, Family</v>
      </c>
      <c r="S357" s="71" t="str">
        <f>IFERROR(__xludf.DUMMYFUNCTION("""COMPUTED_VALUE"""),"Beach, Swim Out/Plunge Pool Rooms, Kids Club, Teen Club, Kids Waterpark, Kids Club for Under 4, Gym, Diving, Yoga Classes, Buffet, Snorkelling, Evening Entertainment, Nightclub, Babysitting, Wifi (Free), Room Service, Swim Up Bar, Watersports Equipment Re"&amp;"ntals, Spa")</f>
        <v>Beach, Swim Out/Plunge Pool Rooms, Kids Club, Teen Club, Kids Waterpark, Kids Club for Under 4, Gym, Diving, Yoga Classes, Buffet, Snorkelling, Evening Entertainment, Nightclub, Babysitting, Wifi (Free), Room Service, Swim Up Bar, Watersports Equipment Rentals, Spa</v>
      </c>
      <c r="T357" s="71"/>
      <c r="U357" s="71" t="str">
        <f>IFERROR(__xludf.DUMMYFUNCTION("""COMPUTED_VALUE"""),"1 King or 2 Double")</f>
        <v>1 King or 2 Double</v>
      </c>
      <c r="V357" s="74" t="b">
        <f>IFERROR(__xludf.DUMMYFUNCTION("""COMPUTED_VALUE"""),FALSE)</f>
        <v>0</v>
      </c>
      <c r="W357" s="74">
        <f>IFERROR(__xludf.DUMMYFUNCTION("""COMPUTED_VALUE"""),484.0)</f>
        <v>484</v>
      </c>
      <c r="X357" s="74">
        <f>IFERROR(__xludf.DUMMYFUNCTION("""COMPUTED_VALUE"""),2016.0)</f>
        <v>2016</v>
      </c>
      <c r="Y357" s="74"/>
      <c r="Z357" s="75"/>
    </row>
    <row r="358">
      <c r="A358" s="65" t="str">
        <f>IFERROR(__xludf.DUMMYFUNCTION("""COMPUTED_VALUE"""),"Dreams Vallarta Bay Resort &amp; Spa")</f>
        <v>Dreams Vallarta Bay Resort &amp; Spa</v>
      </c>
      <c r="B358" s="66">
        <f>IFERROR(__xludf.DUMMYFUNCTION("""COMPUTED_VALUE"""),86.8)</f>
        <v>86.8</v>
      </c>
      <c r="C358" s="67" t="str">
        <f>IFERROR(__xludf.DUMMYFUNCTION("""COMPUTED_VALUE"""),"Family")</f>
        <v>Family</v>
      </c>
      <c r="D358" s="68">
        <f>IFERROR(__xludf.DUMMYFUNCTION("""COMPUTED_VALUE"""),4023.0)</f>
        <v>4023</v>
      </c>
      <c r="E358" s="79">
        <f>IFERROR(__xludf.DUMMYFUNCTION("""COMPUTED_VALUE"""),5555.9637477)</f>
        <v>5555.963748</v>
      </c>
      <c r="F358" s="69">
        <f>IFERROR(__xludf.DUMMYFUNCTION("""COMPUTED_VALUE"""),1.69)</f>
        <v>1.69</v>
      </c>
      <c r="G358" s="78">
        <f>IFERROR(__xludf.DUMMYFUNCTION("""COMPUTED_VALUE"""),4.0)</f>
        <v>4</v>
      </c>
      <c r="H358" s="74">
        <f>IFERROR(__xludf.DUMMYFUNCTION("""COMPUTED_VALUE"""),8.0)</f>
        <v>8</v>
      </c>
      <c r="I358" s="78" t="str">
        <f>IFERROR(__xludf.DUMMYFUNCTION("""COMPUTED_VALUE"""),"C")</f>
        <v>C</v>
      </c>
      <c r="J358" s="78">
        <f>IFERROR(__xludf.DUMMYFUNCTION("""COMPUTED_VALUE"""),5.0)</f>
        <v>5</v>
      </c>
      <c r="K358" s="76"/>
      <c r="L358" s="76" t="str">
        <f>IFERROR(__xludf.DUMMYFUNCTION("""COMPUTED_VALUE"""),"Mexico")</f>
        <v>Mexico</v>
      </c>
      <c r="M358" s="76" t="str">
        <f>IFERROR(__xludf.DUMMYFUNCTION("""COMPUTED_VALUE"""),"Puerto Vallarta")</f>
        <v>Puerto Vallarta</v>
      </c>
      <c r="N358" s="76" t="str">
        <f>IFERROR(__xludf.DUMMYFUNCTION("""COMPUTED_VALUE"""),"Ordaz")</f>
        <v>Ordaz</v>
      </c>
      <c r="O358" s="78" t="b">
        <f>IFERROR(__xludf.DUMMYFUNCTION("""COMPUTED_VALUE"""),TRUE)</f>
        <v>1</v>
      </c>
      <c r="P358" s="80">
        <f>IFERROR(__xludf.DUMMYFUNCTION("""COMPUTED_VALUE"""),0.009722222222222222)</f>
        <v>0.009722222222</v>
      </c>
      <c r="Q358" s="76" t="str">
        <f>IFERROR(__xludf.DUMMYFUNCTION("""COMPUTED_VALUE"""),"Hyatt")</f>
        <v>Hyatt</v>
      </c>
      <c r="R358" s="76" t="str">
        <f>IFERROR(__xludf.DUMMYFUNCTION("""COMPUTED_VALUE"""),"Great View, Trendy")</f>
        <v>Great View, Trendy</v>
      </c>
      <c r="S358" s="71" t="str">
        <f>IFERROR(__xludf.DUMMYFUNCTION("""COMPUTED_VALUE"""),"Beach, Swim Out/Plunge Pool Rooms, Kids Club, Teen Club, Pool Slide, Water Feature, Heated Pool, Kids Club for Under 4, Gym, Diving, Buffet, Swim Up Bar, Tennis, Fishing, Nightclub, Babysitting, Adult Pool, Evening Entertainment, Spa")</f>
        <v>Beach, Swim Out/Plunge Pool Rooms, Kids Club, Teen Club, Pool Slide, Water Feature, Heated Pool, Kids Club for Under 4, Gym, Diving, Buffet, Swim Up Bar, Tennis, Fishing, Nightclub, Babysitting, Adult Pool, Evening Entertainment, Spa</v>
      </c>
      <c r="T358" s="71" t="str">
        <f>IFERROR(__xludf.DUMMYFUNCTION("""COMPUTED_VALUE"""),"Can't Book Two Rooms")</f>
        <v>Can't Book Two Rooms</v>
      </c>
      <c r="U358" s="76" t="str">
        <f>IFERROR(__xludf.DUMMYFUNCTION("""COMPUTED_VALUE"""),"1 King or 2 Double")</f>
        <v>1 King or 2 Double</v>
      </c>
      <c r="V358" s="74" t="b">
        <f>IFERROR(__xludf.DUMMYFUNCTION("""COMPUTED_VALUE"""),TRUE)</f>
        <v>1</v>
      </c>
      <c r="W358" s="74">
        <f>IFERROR(__xludf.DUMMYFUNCTION("""COMPUTED_VALUE"""),327.0)</f>
        <v>327</v>
      </c>
      <c r="X358" s="74">
        <f>IFERROR(__xludf.DUMMYFUNCTION("""COMPUTED_VALUE"""),2012.0)</f>
        <v>2012</v>
      </c>
      <c r="Y358" s="74">
        <f>IFERROR(__xludf.DUMMYFUNCTION("""COMPUTED_VALUE"""),2018.0)</f>
        <v>2018</v>
      </c>
      <c r="Z358" s="75">
        <f>IFERROR(__xludf.DUMMYFUNCTION("""COMPUTED_VALUE"""),15.0)</f>
        <v>15</v>
      </c>
    </row>
    <row r="359">
      <c r="A359" s="65" t="str">
        <f>IFERROR(__xludf.DUMMYFUNCTION("""COMPUTED_VALUE"""),"Hard Rock Hotel Los Cabos")</f>
        <v>Hard Rock Hotel Los Cabos</v>
      </c>
      <c r="B359" s="66">
        <f>IFERROR(__xludf.DUMMYFUNCTION("""COMPUTED_VALUE"""),86.8)</f>
        <v>86.8</v>
      </c>
      <c r="C359" s="67" t="str">
        <f>IFERROR(__xludf.DUMMYFUNCTION("""COMPUTED_VALUE"""),"Family")</f>
        <v>Family</v>
      </c>
      <c r="D359" s="68">
        <f>IFERROR(__xludf.DUMMYFUNCTION("""COMPUTED_VALUE"""),7843.0)</f>
        <v>7843</v>
      </c>
      <c r="E359" s="79">
        <f>IFERROR(__xludf.DUMMYFUNCTION("""COMPUTED_VALUE"""),10831.574365699998)</f>
        <v>10831.57437</v>
      </c>
      <c r="F359" s="69">
        <f>IFERROR(__xludf.DUMMYFUNCTION("""COMPUTED_VALUE"""),0.87)</f>
        <v>0.87</v>
      </c>
      <c r="G359" s="78">
        <f>IFERROR(__xludf.DUMMYFUNCTION("""COMPUTED_VALUE"""),4.0)</f>
        <v>4</v>
      </c>
      <c r="H359" s="74">
        <f>IFERROR(__xludf.DUMMYFUNCTION("""COMPUTED_VALUE"""),7.0)</f>
        <v>7</v>
      </c>
      <c r="I359" s="78"/>
      <c r="J359" s="78">
        <f>IFERROR(__xludf.DUMMYFUNCTION("""COMPUTED_VALUE"""),4.0)</f>
        <v>4</v>
      </c>
      <c r="K359" s="71"/>
      <c r="L359" s="76" t="str">
        <f>IFERROR(__xludf.DUMMYFUNCTION("""COMPUTED_VALUE"""),"Mexico")</f>
        <v>Mexico</v>
      </c>
      <c r="M359" s="76" t="str">
        <f>IFERROR(__xludf.DUMMYFUNCTION("""COMPUTED_VALUE"""),"Cabo San Lucas")</f>
        <v>Cabo San Lucas</v>
      </c>
      <c r="N359" s="76" t="str">
        <f>IFERROR(__xludf.DUMMYFUNCTION("""COMPUTED_VALUE"""),"Los Cabos")</f>
        <v>Los Cabos</v>
      </c>
      <c r="O359" s="78" t="b">
        <f>IFERROR(__xludf.DUMMYFUNCTION("""COMPUTED_VALUE"""),TRUE)</f>
        <v>1</v>
      </c>
      <c r="P359" s="80">
        <f>IFERROR(__xludf.DUMMYFUNCTION("""COMPUTED_VALUE"""),0.018055555555555554)</f>
        <v>0.01805555556</v>
      </c>
      <c r="Q359" s="76" t="str">
        <f>IFERROR(__xludf.DUMMYFUNCTION("""COMPUTED_VALUE"""),"Hard Rock Hotels")</f>
        <v>Hard Rock Hotels</v>
      </c>
      <c r="R359" s="71" t="str">
        <f>IFERROR(__xludf.DUMMYFUNCTION("""COMPUTED_VALUE"""),"Business, Family")</f>
        <v>Business, Family</v>
      </c>
      <c r="S359" s="71" t="str">
        <f>IFERROR(__xludf.DUMMYFUNCTION("""COMPUTED_VALUE"""),"Beach, Swim Out/Plunge Pool Rooms, Kids Club, Teen Club, Big Waterslides, Heated Pool, Gym, Tennis, Room Service, Nightclub, Wifi (Free), Babysitting, Buffet, Swim Up Bar, Evening Entertainment, Pets Allowed, Spa")</f>
        <v>Beach, Swim Out/Plunge Pool Rooms, Kids Club, Teen Club, Big Waterslides, Heated Pool, Gym, Tennis, Room Service, Nightclub, Wifi (Free), Babysitting, Buffet, Swim Up Bar, Evening Entertainment, Pets Allowed, Spa</v>
      </c>
      <c r="T359" s="71"/>
      <c r="U359" s="76" t="str">
        <f>IFERROR(__xludf.DUMMYFUNCTION("""COMPUTED_VALUE"""),"2 Queen")</f>
        <v>2 Queen</v>
      </c>
      <c r="V359" s="74" t="b">
        <f>IFERROR(__xludf.DUMMYFUNCTION("""COMPUTED_VALUE"""),TRUE)</f>
        <v>1</v>
      </c>
      <c r="W359" s="74">
        <f>IFERROR(__xludf.DUMMYFUNCTION("""COMPUTED_VALUE"""),639.0)</f>
        <v>639</v>
      </c>
      <c r="X359" s="74">
        <f>IFERROR(__xludf.DUMMYFUNCTION("""COMPUTED_VALUE"""),2018.0)</f>
        <v>2018</v>
      </c>
      <c r="Y359" s="74"/>
      <c r="Z359" s="75"/>
    </row>
    <row r="360">
      <c r="A360" s="65" t="str">
        <f>IFERROR(__xludf.DUMMYFUNCTION("""COMPUTED_VALUE"""),"Catalonia Royal Bavaro")</f>
        <v>Catalonia Royal Bavaro</v>
      </c>
      <c r="B360" s="66">
        <f>IFERROR(__xludf.DUMMYFUNCTION("""COMPUTED_VALUE"""),86.7)</f>
        <v>86.7</v>
      </c>
      <c r="C360" s="67" t="str">
        <f>IFERROR(__xludf.DUMMYFUNCTION("""COMPUTED_VALUE"""),"Adults Only")</f>
        <v>Adults Only</v>
      </c>
      <c r="D360" s="79">
        <f>IFERROR(__xludf.DUMMYFUNCTION("""COMPUTED_VALUE"""),2547.09)</f>
        <v>2547.09</v>
      </c>
      <c r="E360" s="79">
        <f>IFERROR(__xludf.DUMMYFUNCTION("""COMPUTED_VALUE"""),3517.658389791)</f>
        <v>3517.65839</v>
      </c>
      <c r="F360" s="69">
        <f>IFERROR(__xludf.DUMMYFUNCTION("""COMPUTED_VALUE"""),2.63)</f>
        <v>2.63</v>
      </c>
      <c r="G360" s="78"/>
      <c r="H360" s="74">
        <f>IFERROR(__xludf.DUMMYFUNCTION("""COMPUTED_VALUE"""),6.0)</f>
        <v>6</v>
      </c>
      <c r="I360" s="78"/>
      <c r="J360" s="78">
        <f>IFERROR(__xludf.DUMMYFUNCTION("""COMPUTED_VALUE"""),5.0)</f>
        <v>5</v>
      </c>
      <c r="K360" s="71"/>
      <c r="L360" s="76" t="str">
        <f>IFERROR(__xludf.DUMMYFUNCTION("""COMPUTED_VALUE"""),"Dominican Republic")</f>
        <v>Dominican Republic</v>
      </c>
      <c r="M360" s="76" t="str">
        <f>IFERROR(__xludf.DUMMYFUNCTION("""COMPUTED_VALUE"""),"Punta Cana")</f>
        <v>Punta Cana</v>
      </c>
      <c r="N360" s="76" t="str">
        <f>IFERROR(__xludf.DUMMYFUNCTION("""COMPUTED_VALUE"""),"Punta Cana")</f>
        <v>Punta Cana</v>
      </c>
      <c r="O360" s="78" t="b">
        <f>IFERROR(__xludf.DUMMYFUNCTION("""COMPUTED_VALUE"""),TRUE)</f>
        <v>1</v>
      </c>
      <c r="P360" s="80">
        <f>IFERROR(__xludf.DUMMYFUNCTION("""COMPUTED_VALUE"""),0.011805555555555555)</f>
        <v>0.01180555556</v>
      </c>
      <c r="Q360" s="71"/>
      <c r="R360" s="71" t="str">
        <f>IFERROR(__xludf.DUMMYFUNCTION("""COMPUTED_VALUE"""),"Quiet, Charming")</f>
        <v>Quiet, Charming</v>
      </c>
      <c r="S360" s="71" t="str">
        <f>IFERROR(__xludf.DUMMYFUNCTION("""COMPUTED_VALUE"""),"Beach, Swim Out/Plunge Pool Rooms, Gym, Casino, Buffet, Swim Up Bar, Golf Course, Tennis, Spa, Mini Golf, Evening Entertainment, Nightclub")</f>
        <v>Beach, Swim Out/Plunge Pool Rooms, Gym, Casino, Buffet, Swim Up Bar, Golf Course, Tennis, Spa, Mini Golf, Evening Entertainment, Nightclub</v>
      </c>
      <c r="T360" s="71"/>
      <c r="U360" s="76"/>
      <c r="V360" s="74" t="b">
        <f>IFERROR(__xludf.DUMMYFUNCTION("""COMPUTED_VALUE"""),FALSE)</f>
        <v>0</v>
      </c>
      <c r="W360" s="74">
        <f>IFERROR(__xludf.DUMMYFUNCTION("""COMPUTED_VALUE"""),688.0)</f>
        <v>688</v>
      </c>
      <c r="X360" s="74">
        <f>IFERROR(__xludf.DUMMYFUNCTION("""COMPUTED_VALUE"""),1998.0)</f>
        <v>1998</v>
      </c>
      <c r="Y360" s="74">
        <f>IFERROR(__xludf.DUMMYFUNCTION("""COMPUTED_VALUE"""),2013.0)</f>
        <v>2013</v>
      </c>
      <c r="Z360" s="75">
        <f>IFERROR(__xludf.DUMMYFUNCTION("""COMPUTED_VALUE"""),3.0)</f>
        <v>3</v>
      </c>
    </row>
    <row r="361">
      <c r="A361" s="65" t="str">
        <f>IFERROR(__xludf.DUMMYFUNCTION("""COMPUTED_VALUE"""),"The Westin Cozumel")</f>
        <v>The Westin Cozumel</v>
      </c>
      <c r="B361" s="66">
        <f>IFERROR(__xludf.DUMMYFUNCTION("""COMPUTED_VALUE"""),86.7)</f>
        <v>86.7</v>
      </c>
      <c r="C361" s="67" t="str">
        <f>IFERROR(__xludf.DUMMYFUNCTION("""COMPUTED_VALUE"""),"Family")</f>
        <v>Family</v>
      </c>
      <c r="D361" s="68">
        <f>IFERROR(__xludf.DUMMYFUNCTION("""COMPUTED_VALUE"""),2683.26)</f>
        <v>2683.26</v>
      </c>
      <c r="E361" s="79">
        <f>IFERROR(__xludf.DUMMYFUNCTION("""COMPUTED_VALUE"""),3705.715954674)</f>
        <v>3705.715955</v>
      </c>
      <c r="F361" s="69">
        <f>IFERROR(__xludf.DUMMYFUNCTION("""COMPUTED_VALUE"""),2.5)</f>
        <v>2.5</v>
      </c>
      <c r="G361" s="70"/>
      <c r="H361" s="70">
        <f>IFERROR(__xludf.DUMMYFUNCTION("""COMPUTED_VALUE"""),7.0)</f>
        <v>7</v>
      </c>
      <c r="I361" s="70"/>
      <c r="J361" s="70">
        <f>IFERROR(__xludf.DUMMYFUNCTION("""COMPUTED_VALUE"""),4.0)</f>
        <v>4</v>
      </c>
      <c r="K361" s="71"/>
      <c r="L361" s="76" t="str">
        <f>IFERROR(__xludf.DUMMYFUNCTION("""COMPUTED_VALUE"""),"Mexico")</f>
        <v>Mexico</v>
      </c>
      <c r="M361" s="76" t="str">
        <f>IFERROR(__xludf.DUMMYFUNCTION("""COMPUTED_VALUE"""),"Cozumel")</f>
        <v>Cozumel</v>
      </c>
      <c r="N361" s="76" t="str">
        <f>IFERROR(__xludf.DUMMYFUNCTION("""COMPUTED_VALUE"""),"Cozumel")</f>
        <v>Cozumel</v>
      </c>
      <c r="O361" s="70" t="b">
        <f>IFERROR(__xludf.DUMMYFUNCTION("""COMPUTED_VALUE"""),TRUE)</f>
        <v>1</v>
      </c>
      <c r="P361" s="73">
        <f>IFERROR(__xludf.DUMMYFUNCTION("""COMPUTED_VALUE"""),0.00625)</f>
        <v>0.00625</v>
      </c>
      <c r="Q361" s="76" t="str">
        <f>IFERROR(__xludf.DUMMYFUNCTION("""COMPUTED_VALUE"""),"Marriott")</f>
        <v>Marriott</v>
      </c>
      <c r="R361" s="71" t="str">
        <f>IFERROR(__xludf.DUMMYFUNCTION("""COMPUTED_VALUE"""),"Trendy, Great View")</f>
        <v>Trendy, Great View</v>
      </c>
      <c r="S361" s="71" t="str">
        <f>IFERROR(__xludf.DUMMYFUNCTION("""COMPUTED_VALUE"""),"Beach, Swim Out/Plunge Pool Rooms, Kids Club, Gym, Diving, Snorkelling, Pets Allowed, Spa, Wifi (Free), Babysitting, Buffet, Watersports Equipment Rentals")</f>
        <v>Beach, Swim Out/Plunge Pool Rooms, Kids Club, Gym, Diving, Snorkelling, Pets Allowed, Spa, Wifi (Free), Babysitting, Buffet, Watersports Equipment Rentals</v>
      </c>
      <c r="T361" s="71"/>
      <c r="U361" s="71" t="str">
        <f>IFERROR(__xludf.DUMMYFUNCTION("""COMPUTED_VALUE"""),"1 King or 2 Full")</f>
        <v>1 King or 2 Full</v>
      </c>
      <c r="V361" s="70" t="b">
        <f>IFERROR(__xludf.DUMMYFUNCTION("""COMPUTED_VALUE"""),TRUE)</f>
        <v>1</v>
      </c>
      <c r="W361" s="70">
        <f>IFERROR(__xludf.DUMMYFUNCTION("""COMPUTED_VALUE"""),152.0)</f>
        <v>152</v>
      </c>
      <c r="X361" s="70">
        <f>IFERROR(__xludf.DUMMYFUNCTION("""COMPUTED_VALUE"""),2016.0)</f>
        <v>2016</v>
      </c>
      <c r="Y361" s="70"/>
      <c r="Z361" s="83">
        <f>IFERROR(__xludf.DUMMYFUNCTION("""COMPUTED_VALUE"""),14.0)</f>
        <v>14</v>
      </c>
    </row>
    <row r="362">
      <c r="A362" s="65" t="str">
        <f>IFERROR(__xludf.DUMMYFUNCTION("""COMPUTED_VALUE"""),"Iberostar Waves Punta Cana (Non Refundable)")</f>
        <v>Iberostar Waves Punta Cana (Non Refundable)</v>
      </c>
      <c r="B362" s="66">
        <f>IFERROR(__xludf.DUMMYFUNCTION("""COMPUTED_VALUE"""),86.7)</f>
        <v>86.7</v>
      </c>
      <c r="C362" s="67" t="str">
        <f>IFERROR(__xludf.DUMMYFUNCTION("""COMPUTED_VALUE"""),"Family")</f>
        <v>Family</v>
      </c>
      <c r="D362" s="79">
        <f>IFERROR(__xludf.DUMMYFUNCTION("""COMPUTED_VALUE"""),3061.69)</f>
        <v>3061.69</v>
      </c>
      <c r="E362" s="79">
        <f>IFERROR(__xludf.DUMMYFUNCTION("""COMPUTED_VALUE"""),4228.346668331)</f>
        <v>4228.346668</v>
      </c>
      <c r="F362" s="69">
        <f>IFERROR(__xludf.DUMMYFUNCTION("""COMPUTED_VALUE"""),2.19)</f>
        <v>2.19</v>
      </c>
      <c r="G362" s="78"/>
      <c r="H362" s="74">
        <f>IFERROR(__xludf.DUMMYFUNCTION("""COMPUTED_VALUE"""),6.0)</f>
        <v>6</v>
      </c>
      <c r="I362" s="78"/>
      <c r="J362" s="78">
        <f>IFERROR(__xludf.DUMMYFUNCTION("""COMPUTED_VALUE"""),5.0)</f>
        <v>5</v>
      </c>
      <c r="K362" s="71" t="str">
        <f>IFERROR(__xludf.DUMMYFUNCTION("""COMPUTED_VALUE"""),"Non Refundable")</f>
        <v>Non Refundable</v>
      </c>
      <c r="L362" s="76" t="str">
        <f>IFERROR(__xludf.DUMMYFUNCTION("""COMPUTED_VALUE"""),"Dominican Republic")</f>
        <v>Dominican Republic</v>
      </c>
      <c r="M362" s="76" t="str">
        <f>IFERROR(__xludf.DUMMYFUNCTION("""COMPUTED_VALUE"""),"Punta Cana")</f>
        <v>Punta Cana</v>
      </c>
      <c r="N362" s="76" t="str">
        <f>IFERROR(__xludf.DUMMYFUNCTION("""COMPUTED_VALUE"""),"Punta Cana")</f>
        <v>Punta Cana</v>
      </c>
      <c r="O362" s="78" t="b">
        <f>IFERROR(__xludf.DUMMYFUNCTION("""COMPUTED_VALUE"""),TRUE)</f>
        <v>1</v>
      </c>
      <c r="P362" s="80">
        <f>IFERROR(__xludf.DUMMYFUNCTION("""COMPUTED_VALUE"""),0.017361111111111112)</f>
        <v>0.01736111111</v>
      </c>
      <c r="Q362" s="71" t="str">
        <f>IFERROR(__xludf.DUMMYFUNCTION("""COMPUTED_VALUE"""),"IHG")</f>
        <v>IHG</v>
      </c>
      <c r="R362" s="71" t="str">
        <f>IFERROR(__xludf.DUMMYFUNCTION("""COMPUTED_VALUE"""),"Family")</f>
        <v>Family</v>
      </c>
      <c r="S362" s="71" t="str">
        <f>IFERROR(__xludf.DUMMYFUNCTION("""COMPUTED_VALUE"""),"Beach, Family Suite, 2 Bedroom Suites, Kids Club, Teen Club, Kids Waterpark, Gym, Casino, Buffet, Diving, Golf Course, Evening Entertainment, Spa, Babysitting, Tennis, Nightclub")</f>
        <v>Beach, Family Suite, 2 Bedroom Suites, Kids Club, Teen Club, Kids Waterpark, Gym, Casino, Buffet, Diving, Golf Course, Evening Entertainment, Spa, Babysitting, Tennis, Nightclub</v>
      </c>
      <c r="T362" s="71" t="str">
        <f>IFERROR(__xludf.DUMMYFUNCTION("""COMPUTED_VALUE"""),"Yes")</f>
        <v>Yes</v>
      </c>
      <c r="U362" s="71" t="str">
        <f>IFERROR(__xludf.DUMMYFUNCTION("""COMPUTED_VALUE"""),"1 King or 2 Double")</f>
        <v>1 King or 2 Double</v>
      </c>
      <c r="V362" s="74" t="b">
        <f>IFERROR(__xludf.DUMMYFUNCTION("""COMPUTED_VALUE"""),FALSE)</f>
        <v>0</v>
      </c>
      <c r="W362" s="74">
        <f>IFERROR(__xludf.DUMMYFUNCTION("""COMPUTED_VALUE"""),427.0)</f>
        <v>427</v>
      </c>
      <c r="X362" s="74"/>
      <c r="Y362" s="74"/>
      <c r="Z362" s="75"/>
    </row>
    <row r="363">
      <c r="A363" s="65" t="str">
        <f>IFERROR(__xludf.DUMMYFUNCTION("""COMPUTED_VALUE"""),"Bahia Principe Grand Tulum")</f>
        <v>Bahia Principe Grand Tulum</v>
      </c>
      <c r="B363" s="66">
        <f>IFERROR(__xludf.DUMMYFUNCTION("""COMPUTED_VALUE"""),86.7)</f>
        <v>86.7</v>
      </c>
      <c r="C363" s="67" t="str">
        <f>IFERROR(__xludf.DUMMYFUNCTION("""COMPUTED_VALUE"""),"Family")</f>
        <v>Family</v>
      </c>
      <c r="D363" s="68">
        <f>IFERROR(__xludf.DUMMYFUNCTION("""COMPUTED_VALUE"""),3580.92)</f>
        <v>3580.92</v>
      </c>
      <c r="E363" s="79">
        <f>IFERROR(__xludf.DUMMYFUNCTION("""COMPUTED_VALUE"""),4945.429207908)</f>
        <v>4945.429208</v>
      </c>
      <c r="F363" s="69">
        <f>IFERROR(__xludf.DUMMYFUNCTION("""COMPUTED_VALUE"""),1.87)</f>
        <v>1.87</v>
      </c>
      <c r="G363" s="78"/>
      <c r="H363" s="74">
        <f>IFERROR(__xludf.DUMMYFUNCTION("""COMPUTED_VALUE"""),7.0)</f>
        <v>7</v>
      </c>
      <c r="I363" s="78"/>
      <c r="J363" s="78">
        <f>IFERROR(__xludf.DUMMYFUNCTION("""COMPUTED_VALUE"""),5.0)</f>
        <v>5</v>
      </c>
      <c r="K363" s="71"/>
      <c r="L363" s="76" t="str">
        <f>IFERROR(__xludf.DUMMYFUNCTION("""COMPUTED_VALUE"""),"Mexico")</f>
        <v>Mexico</v>
      </c>
      <c r="M363" s="76" t="str">
        <f>IFERROR(__xludf.DUMMYFUNCTION("""COMPUTED_VALUE"""),"Gran Bahia Principe")</f>
        <v>Gran Bahia Principe</v>
      </c>
      <c r="N363" s="76" t="str">
        <f>IFERROR(__xludf.DUMMYFUNCTION("""COMPUTED_VALUE"""),"Tulum")</f>
        <v>Tulum</v>
      </c>
      <c r="O363" s="78" t="b">
        <f>IFERROR(__xludf.DUMMYFUNCTION("""COMPUTED_VALUE"""),TRUE)</f>
        <v>1</v>
      </c>
      <c r="P363" s="80">
        <f>IFERROR(__xludf.DUMMYFUNCTION("""COMPUTED_VALUE"""),0.044444444444444446)</f>
        <v>0.04444444444</v>
      </c>
      <c r="Q363" s="71" t="str">
        <f>IFERROR(__xludf.DUMMYFUNCTION("""COMPUTED_VALUE"""),"Bahia Principe")</f>
        <v>Bahia Principe</v>
      </c>
      <c r="R363" s="71"/>
      <c r="S363" s="71" t="str">
        <f>IFERROR(__xludf.DUMMYFUNCTION("""COMPUTED_VALUE"""),"Beach, Family Suite, 2 Bedroom Suites, Kids Club, Teen Club, Kids Waterpark, Arcade, Gym, Casino, Buffet, Golf Course, Evening Entertainment, Nightclub, Spa, Babysitting, Swim Up Bar, Diving, Tennis")</f>
        <v>Beach, Family Suite, 2 Bedroom Suites, Kids Club, Teen Club, Kids Waterpark, Arcade, Gym, Casino, Buffet, Golf Course, Evening Entertainment, Nightclub, Spa, Babysitting, Swim Up Bar, Diving, Tennis</v>
      </c>
      <c r="T363" s="71"/>
      <c r="U363" s="71" t="str">
        <f>IFERROR(__xludf.DUMMYFUNCTION("""COMPUTED_VALUE"""),"1 King or 2 Full")</f>
        <v>1 King or 2 Full</v>
      </c>
      <c r="V363" s="74" t="b">
        <f>IFERROR(__xludf.DUMMYFUNCTION("""COMPUTED_VALUE"""),FALSE)</f>
        <v>0</v>
      </c>
      <c r="W363" s="74">
        <f>IFERROR(__xludf.DUMMYFUNCTION("""COMPUTED_VALUE"""),774.0)</f>
        <v>774</v>
      </c>
      <c r="X363" s="74">
        <f>IFERROR(__xludf.DUMMYFUNCTION("""COMPUTED_VALUE"""),1999.0)</f>
        <v>1999</v>
      </c>
      <c r="Y363" s="74">
        <f>IFERROR(__xludf.DUMMYFUNCTION("""COMPUTED_VALUE"""),2020.0)</f>
        <v>2020</v>
      </c>
      <c r="Z363" s="75">
        <f>IFERROR(__xludf.DUMMYFUNCTION("""COMPUTED_VALUE"""),3.0)</f>
        <v>3</v>
      </c>
    </row>
    <row r="364">
      <c r="A364" s="65" t="str">
        <f>IFERROR(__xludf.DUMMYFUNCTION("""COMPUTED_VALUE"""),"Oleo Cancun Playa")</f>
        <v>Oleo Cancun Playa</v>
      </c>
      <c r="B364" s="66">
        <f>IFERROR(__xludf.DUMMYFUNCTION("""COMPUTED_VALUE"""),86.7)</f>
        <v>86.7</v>
      </c>
      <c r="C364" s="67" t="str">
        <f>IFERROR(__xludf.DUMMYFUNCTION("""COMPUTED_VALUE"""),"Family")</f>
        <v>Family</v>
      </c>
      <c r="D364" s="68">
        <f>IFERROR(__xludf.DUMMYFUNCTION("""COMPUTED_VALUE"""),3627.0)</f>
        <v>3627</v>
      </c>
      <c r="E364" s="79">
        <f>IFERROR(__xludf.DUMMYFUNCTION("""COMPUTED_VALUE"""),5009.067987299999)</f>
        <v>5009.067987</v>
      </c>
      <c r="F364" s="69">
        <f>IFERROR(__xludf.DUMMYFUNCTION("""COMPUTED_VALUE"""),1.85)</f>
        <v>1.85</v>
      </c>
      <c r="G364" s="70"/>
      <c r="H364" s="70">
        <f>IFERROR(__xludf.DUMMYFUNCTION("""COMPUTED_VALUE"""),6.0)</f>
        <v>6</v>
      </c>
      <c r="I364" s="70"/>
      <c r="J364" s="70">
        <f>IFERROR(__xludf.DUMMYFUNCTION("""COMPUTED_VALUE"""),4.0)</f>
        <v>4</v>
      </c>
      <c r="K364" s="71"/>
      <c r="L364" s="76" t="str">
        <f>IFERROR(__xludf.DUMMYFUNCTION("""COMPUTED_VALUE"""),"Mexico")</f>
        <v>Mexico</v>
      </c>
      <c r="M364" s="76" t="str">
        <f>IFERROR(__xludf.DUMMYFUNCTION("""COMPUTED_VALUE"""),"Cancun")</f>
        <v>Cancun</v>
      </c>
      <c r="N364" s="76" t="str">
        <f>IFERROR(__xludf.DUMMYFUNCTION("""COMPUTED_VALUE"""),"Cancun")</f>
        <v>Cancun</v>
      </c>
      <c r="O364" s="70" t="b">
        <f>IFERROR(__xludf.DUMMYFUNCTION("""COMPUTED_VALUE"""),TRUE)</f>
        <v>1</v>
      </c>
      <c r="P364" s="73">
        <f>IFERROR(__xludf.DUMMYFUNCTION("""COMPUTED_VALUE"""),0.009722222222222222)</f>
        <v>0.009722222222</v>
      </c>
      <c r="Q364" s="71"/>
      <c r="R364" s="71" t="str">
        <f>IFERROR(__xludf.DUMMYFUNCTION("""COMPUTED_VALUE"""),"Value, Bay View")</f>
        <v>Value, Bay View</v>
      </c>
      <c r="S364" s="71" t="str">
        <f>IFERROR(__xludf.DUMMYFUNCTION("""COMPUTED_VALUE"""),"Beach, Kids Club, Gym, Snorkelling, Swim Up Bar, Tennis, Evening Entertainment, Pets Allowed, Spa, Buffet")</f>
        <v>Beach, Kids Club, Gym, Snorkelling, Swim Up Bar, Tennis, Evening Entertainment, Pets Allowed, Spa, Buffet</v>
      </c>
      <c r="T364" s="71"/>
      <c r="U364" s="71" t="str">
        <f>IFERROR(__xludf.DUMMYFUNCTION("""COMPUTED_VALUE"""),"1 King or 2 Double")</f>
        <v>1 King or 2 Double</v>
      </c>
      <c r="V364" s="70" t="b">
        <f>IFERROR(__xludf.DUMMYFUNCTION("""COMPUTED_VALUE"""),TRUE)</f>
        <v>1</v>
      </c>
      <c r="W364" s="70">
        <f>IFERROR(__xludf.DUMMYFUNCTION("""COMPUTED_VALUE"""),168.0)</f>
        <v>168</v>
      </c>
      <c r="X364" s="70">
        <f>IFERROR(__xludf.DUMMYFUNCTION("""COMPUTED_VALUE"""),1988.0)</f>
        <v>1988</v>
      </c>
      <c r="Y364" s="70">
        <f>IFERROR(__xludf.DUMMYFUNCTION("""COMPUTED_VALUE"""),2017.0)</f>
        <v>2017</v>
      </c>
      <c r="Z364" s="83"/>
    </row>
    <row r="365">
      <c r="A365" s="77" t="str">
        <f>IFERROR(__xludf.DUMMYFUNCTION("""COMPUTED_VALUE"""),"Grand Park Royal Cancun")</f>
        <v>Grand Park Royal Cancun</v>
      </c>
      <c r="B365" s="66">
        <f>IFERROR(__xludf.DUMMYFUNCTION("""COMPUTED_VALUE"""),86.7)</f>
        <v>86.7</v>
      </c>
      <c r="C365" s="78" t="str">
        <f>IFERROR(__xludf.DUMMYFUNCTION("""COMPUTED_VALUE"""),"Family")</f>
        <v>Family</v>
      </c>
      <c r="D365" s="68">
        <f>IFERROR(__xludf.DUMMYFUNCTION("""COMPUTED_VALUE"""),4190.78)</f>
        <v>4190.78</v>
      </c>
      <c r="E365" s="68">
        <f>IFERROR(__xludf.DUMMYFUNCTION("""COMPUTED_VALUE"""),5787.676299921999)</f>
        <v>5787.6763</v>
      </c>
      <c r="F365" s="69">
        <f>IFERROR(__xludf.DUMMYFUNCTION("""COMPUTED_VALUE"""),1.6)</f>
        <v>1.6</v>
      </c>
      <c r="G365" s="70"/>
      <c r="H365" s="70">
        <f>IFERROR(__xludf.DUMMYFUNCTION("""COMPUTED_VALUE"""),7.0)</f>
        <v>7</v>
      </c>
      <c r="I365" s="70"/>
      <c r="J365" s="70">
        <f>IFERROR(__xludf.DUMMYFUNCTION("""COMPUTED_VALUE"""),5.0)</f>
        <v>5</v>
      </c>
      <c r="K365" s="71"/>
      <c r="L365" s="72" t="str">
        <f>IFERROR(__xludf.DUMMYFUNCTION("""COMPUTED_VALUE"""),"Mexico")</f>
        <v>Mexico</v>
      </c>
      <c r="M365" s="76" t="str">
        <f>IFERROR(__xludf.DUMMYFUNCTION("""COMPUTED_VALUE"""),"Cancun")</f>
        <v>Cancun</v>
      </c>
      <c r="N365" s="76" t="str">
        <f>IFERROR(__xludf.DUMMYFUNCTION("""COMPUTED_VALUE"""),"Cancun")</f>
        <v>Cancun</v>
      </c>
      <c r="O365" s="70" t="b">
        <f>IFERROR(__xludf.DUMMYFUNCTION("""COMPUTED_VALUE"""),TRUE)</f>
        <v>1</v>
      </c>
      <c r="P365" s="73">
        <f>IFERROR(__xludf.DUMMYFUNCTION("""COMPUTED_VALUE"""),0.016666666666666666)</f>
        <v>0.01666666667</v>
      </c>
      <c r="Q365" s="76"/>
      <c r="R365" s="71" t="str">
        <f>IFERROR(__xludf.DUMMYFUNCTION("""COMPUTED_VALUE"""),"Great View, Green")</f>
        <v>Great View, Green</v>
      </c>
      <c r="S365" s="71" t="str">
        <f>IFERROR(__xludf.DUMMYFUNCTION("""COMPUTED_VALUE"""),"Beach, Swim Out/Plunge Pool Rooms, Kids Club, Lazy River, Gym, Buffet, Swim Up Bar, Evening Entertainment, Spa, Adult Pool, Room Service")</f>
        <v>Beach, Swim Out/Plunge Pool Rooms, Kids Club, Lazy River, Gym, Buffet, Swim Up Bar, Evening Entertainment, Spa, Adult Pool, Room Service</v>
      </c>
      <c r="T365" s="71"/>
      <c r="U365" s="71" t="str">
        <f>IFERROR(__xludf.DUMMYFUNCTION("""COMPUTED_VALUE"""),"1 King or 2 Double")</f>
        <v>1 King or 2 Double</v>
      </c>
      <c r="V365" s="74" t="b">
        <f>IFERROR(__xludf.DUMMYFUNCTION("""COMPUTED_VALUE"""),TRUE)</f>
        <v>1</v>
      </c>
      <c r="W365" s="74">
        <f>IFERROR(__xludf.DUMMYFUNCTION("""COMPUTED_VALUE"""),311.0)</f>
        <v>311</v>
      </c>
      <c r="X365" s="74">
        <f>IFERROR(__xludf.DUMMYFUNCTION("""COMPUTED_VALUE"""),1975.0)</f>
        <v>1975</v>
      </c>
      <c r="Y365" s="74">
        <f>IFERROR(__xludf.DUMMYFUNCTION("""COMPUTED_VALUE"""),2010.0)</f>
        <v>2010</v>
      </c>
      <c r="Z365" s="75">
        <f>IFERROR(__xludf.DUMMYFUNCTION("""COMPUTED_VALUE"""),7.0)</f>
        <v>7</v>
      </c>
    </row>
    <row r="366">
      <c r="A366" s="65" t="str">
        <f>IFERROR(__xludf.DUMMYFUNCTION("""COMPUTED_VALUE"""),"Villas HM Palapas del Mar")</f>
        <v>Villas HM Palapas del Mar</v>
      </c>
      <c r="B366" s="66">
        <f>IFERROR(__xludf.DUMMYFUNCTION("""COMPUTED_VALUE"""),86.7)</f>
        <v>86.7</v>
      </c>
      <c r="C366" s="67" t="str">
        <f>IFERROR(__xludf.DUMMYFUNCTION("""COMPUTED_VALUE"""),"Family")</f>
        <v>Family</v>
      </c>
      <c r="D366" s="79">
        <f>IFERROR(__xludf.DUMMYFUNCTION("""COMPUTED_VALUE"""),4389.0)</f>
        <v>4389</v>
      </c>
      <c r="E366" s="79">
        <f>IFERROR(__xludf.DUMMYFUNCTION("""COMPUTED_VALUE"""),6061.428011099999)</f>
        <v>6061.428011</v>
      </c>
      <c r="F366" s="69">
        <f>IFERROR(__xludf.DUMMYFUNCTION("""COMPUTED_VALUE"""),1.53)</f>
        <v>1.53</v>
      </c>
      <c r="G366" s="78"/>
      <c r="H366" s="74" t="str">
        <f>IFERROR(__xludf.DUMMYFUNCTION("""COMPUTED_VALUE"""),"NYR")</f>
        <v>NYR</v>
      </c>
      <c r="I366" s="78"/>
      <c r="J366" s="78">
        <f>IFERROR(__xludf.DUMMYFUNCTION("""COMPUTED_VALUE"""),4.0)</f>
        <v>4</v>
      </c>
      <c r="K366" s="76"/>
      <c r="L366" s="76" t="str">
        <f>IFERROR(__xludf.DUMMYFUNCTION("""COMPUTED_VALUE"""),"Mexico")</f>
        <v>Mexico</v>
      </c>
      <c r="M366" s="76" t="str">
        <f>IFERROR(__xludf.DUMMYFUNCTION("""COMPUTED_VALUE"""),"Holbox Island")</f>
        <v>Holbox Island</v>
      </c>
      <c r="N366" s="76" t="str">
        <f>IFERROR(__xludf.DUMMYFUNCTION("""COMPUTED_VALUE"""),"Cancun")</f>
        <v>Cancun</v>
      </c>
      <c r="O366" s="78" t="b">
        <f>IFERROR(__xludf.DUMMYFUNCTION("""COMPUTED_VALUE"""),TRUE)</f>
        <v>1</v>
      </c>
      <c r="P366" s="80"/>
      <c r="Q366" s="76"/>
      <c r="R366" s="76" t="str">
        <f>IFERROR(__xludf.DUMMYFUNCTION("""COMPUTED_VALUE"""),"Great View, Ocean View")</f>
        <v>Great View, Ocean View</v>
      </c>
      <c r="S366" s="72" t="str">
        <f>IFERROR(__xludf.DUMMYFUNCTION("""COMPUTED_VALUE"""),"Beach, Swim Out/Plunge Pool Rooms, Bicycles Available, Diving, Buffet, Swim Up Bar, Snorkelling")</f>
        <v>Beach, Swim Out/Plunge Pool Rooms, Bicycles Available, Diving, Buffet, Swim Up Bar, Snorkelling</v>
      </c>
      <c r="T366" s="72"/>
      <c r="U366" s="76" t="str">
        <f>IFERROR(__xludf.DUMMYFUNCTION("""COMPUTED_VALUE"""),"1 King or 2 Double")</f>
        <v>1 King or 2 Double</v>
      </c>
      <c r="V366" s="74" t="b">
        <f>IFERROR(__xludf.DUMMYFUNCTION("""COMPUTED_VALUE"""),FALSE)</f>
        <v>0</v>
      </c>
      <c r="W366" s="74">
        <f>IFERROR(__xludf.DUMMYFUNCTION("""COMPUTED_VALUE"""),52.0)</f>
        <v>52</v>
      </c>
      <c r="X366" s="74"/>
      <c r="Y366" s="74"/>
      <c r="Z366" s="75">
        <f>IFERROR(__xludf.DUMMYFUNCTION("""COMPUTED_VALUE"""),2.0)</f>
        <v>2</v>
      </c>
    </row>
    <row r="367">
      <c r="A367" s="65" t="str">
        <f>IFERROR(__xludf.DUMMYFUNCTION("""COMPUTED_VALUE"""),"Fiesta Americana Cozumel All Inclusive")</f>
        <v>Fiesta Americana Cozumel All Inclusive</v>
      </c>
      <c r="B367" s="66">
        <f>IFERROR(__xludf.DUMMYFUNCTION("""COMPUTED_VALUE"""),86.7)</f>
        <v>86.7</v>
      </c>
      <c r="C367" s="67" t="str">
        <f>IFERROR(__xludf.DUMMYFUNCTION("""COMPUTED_VALUE"""),"Family")</f>
        <v>Family</v>
      </c>
      <c r="D367" s="79">
        <f>IFERROR(__xludf.DUMMYFUNCTION("""COMPUTED_VALUE"""),5657.3)</f>
        <v>5657.3</v>
      </c>
      <c r="E367" s="79">
        <f>IFERROR(__xludf.DUMMYFUNCTION("""COMPUTED_VALUE"""),7813.013599269999)</f>
        <v>7813.013599</v>
      </c>
      <c r="F367" s="69">
        <f>IFERROR(__xludf.DUMMYFUNCTION("""COMPUTED_VALUE"""),1.18)</f>
        <v>1.18</v>
      </c>
      <c r="G367" s="78">
        <f>IFERROR(__xludf.DUMMYFUNCTION("""COMPUTED_VALUE"""),3.0)</f>
        <v>3</v>
      </c>
      <c r="H367" s="74">
        <f>IFERROR(__xludf.DUMMYFUNCTION("""COMPUTED_VALUE"""),7.0)</f>
        <v>7</v>
      </c>
      <c r="I367" s="78"/>
      <c r="J367" s="78">
        <f>IFERROR(__xludf.DUMMYFUNCTION("""COMPUTED_VALUE"""),4.5)</f>
        <v>4.5</v>
      </c>
      <c r="K367" s="76"/>
      <c r="L367" s="76" t="str">
        <f>IFERROR(__xludf.DUMMYFUNCTION("""COMPUTED_VALUE"""),"Mexico")</f>
        <v>Mexico</v>
      </c>
      <c r="M367" s="76" t="str">
        <f>IFERROR(__xludf.DUMMYFUNCTION("""COMPUTED_VALUE"""),"Cozumel")</f>
        <v>Cozumel</v>
      </c>
      <c r="N367" s="87" t="str">
        <f>IFERROR(__xludf.DUMMYFUNCTION("""COMPUTED_VALUE"""),"Cozumel")</f>
        <v>Cozumel</v>
      </c>
      <c r="O367" s="78" t="b">
        <f>IFERROR(__xludf.DUMMYFUNCTION("""COMPUTED_VALUE"""),TRUE)</f>
        <v>1</v>
      </c>
      <c r="P367" s="80">
        <f>IFERROR(__xludf.DUMMYFUNCTION("""COMPUTED_VALUE"""),0.0125)</f>
        <v>0.0125</v>
      </c>
      <c r="Q367" s="76" t="str">
        <f>IFERROR(__xludf.DUMMYFUNCTION("""COMPUTED_VALUE"""),"Fiesta Americana Travelty")</f>
        <v>Fiesta Americana Travelty</v>
      </c>
      <c r="R367" s="76" t="str">
        <f>IFERROR(__xludf.DUMMYFUNCTION("""COMPUTED_VALUE"""),"Modern, Bay View")</f>
        <v>Modern, Bay View</v>
      </c>
      <c r="S367" s="76" t="str">
        <f>IFERROR(__xludf.DUMMYFUNCTION("""COMPUTED_VALUE"""),"Beach, Swim Out/Plunge Pool Rooms, Family Suite, 2 Bedroom Suites, Kids Club, Swim Up Bar, Gym, Buffet, Spa, Wifi (Free), Diving, Snorkelling, Evening Entertainment")</f>
        <v>Beach, Swim Out/Plunge Pool Rooms, Family Suite, 2 Bedroom Suites, Kids Club, Swim Up Bar, Gym, Buffet, Spa, Wifi (Free), Diving, Snorkelling, Evening Entertainment</v>
      </c>
      <c r="T367" s="76"/>
      <c r="U367" s="76" t="str">
        <f>IFERROR(__xludf.DUMMYFUNCTION("""COMPUTED_VALUE"""),"1 King or 2 Double")</f>
        <v>1 King or 2 Double</v>
      </c>
      <c r="V367" s="78" t="b">
        <f>IFERROR(__xludf.DUMMYFUNCTION("""COMPUTED_VALUE"""),FALSE)</f>
        <v>0</v>
      </c>
      <c r="W367" s="78">
        <f>IFERROR(__xludf.DUMMYFUNCTION("""COMPUTED_VALUE"""),102.0)</f>
        <v>102</v>
      </c>
      <c r="X367" s="78"/>
      <c r="Y367" s="78">
        <f>IFERROR(__xludf.DUMMYFUNCTION("""COMPUTED_VALUE"""),2014.0)</f>
        <v>2014</v>
      </c>
      <c r="Z367" s="81">
        <f>IFERROR(__xludf.DUMMYFUNCTION("""COMPUTED_VALUE"""),7.0)</f>
        <v>7</v>
      </c>
    </row>
    <row r="368">
      <c r="A368" s="65" t="str">
        <f>IFERROR(__xludf.DUMMYFUNCTION("""COMPUTED_VALUE"""),"Sandals Negril (Couples only)")</f>
        <v>Sandals Negril (Couples only)</v>
      </c>
      <c r="B368" s="66">
        <f>IFERROR(__xludf.DUMMYFUNCTION("""COMPUTED_VALUE"""),86.7)</f>
        <v>86.7</v>
      </c>
      <c r="C368" s="67" t="str">
        <f>IFERROR(__xludf.DUMMYFUNCTION("""COMPUTED_VALUE"""),"Adults Only")</f>
        <v>Adults Only</v>
      </c>
      <c r="D368" s="79">
        <f>IFERROR(__xludf.DUMMYFUNCTION("""COMPUTED_VALUE"""),6342.0)</f>
        <v>6342</v>
      </c>
      <c r="E368" s="79">
        <f>IFERROR(__xludf.DUMMYFUNCTION("""COMPUTED_VALUE"""),8758.618465799998)</f>
        <v>8758.618466</v>
      </c>
      <c r="F368" s="69">
        <f>IFERROR(__xludf.DUMMYFUNCTION("""COMPUTED_VALUE"""),1.06)</f>
        <v>1.06</v>
      </c>
      <c r="G368" s="78">
        <f>IFERROR(__xludf.DUMMYFUNCTION("""COMPUTED_VALUE"""),4.0)</f>
        <v>4</v>
      </c>
      <c r="H368" s="74" t="str">
        <f>IFERROR(__xludf.DUMMYFUNCTION("""COMPUTED_VALUE"""),"NYR")</f>
        <v>NYR</v>
      </c>
      <c r="I368" s="78"/>
      <c r="J368" s="78">
        <f>IFERROR(__xludf.DUMMYFUNCTION("""COMPUTED_VALUE"""),5.0)</f>
        <v>5</v>
      </c>
      <c r="K368" s="71" t="str">
        <f>IFERROR(__xludf.DUMMYFUNCTION("""COMPUTED_VALUE"""),"Couples Only")</f>
        <v>Couples Only</v>
      </c>
      <c r="L368" s="76" t="str">
        <f>IFERROR(__xludf.DUMMYFUNCTION("""COMPUTED_VALUE"""),"Jamaica")</f>
        <v>Jamaica</v>
      </c>
      <c r="M368" s="76" t="str">
        <f>IFERROR(__xludf.DUMMYFUNCTION("""COMPUTED_VALUE"""),"Negril")</f>
        <v>Negril</v>
      </c>
      <c r="N368" s="87" t="str">
        <f>IFERROR(__xludf.DUMMYFUNCTION("""COMPUTED_VALUE"""),"Sangster")</f>
        <v>Sangster</v>
      </c>
      <c r="O368" s="78" t="b">
        <f>IFERROR(__xludf.DUMMYFUNCTION("""COMPUTED_VALUE"""),TRUE)</f>
        <v>1</v>
      </c>
      <c r="P368" s="80">
        <f>IFERROR(__xludf.DUMMYFUNCTION("""COMPUTED_VALUE"""),0.05416666666666667)</f>
        <v>0.05416666667</v>
      </c>
      <c r="Q368" s="71" t="str">
        <f>IFERROR(__xludf.DUMMYFUNCTION("""COMPUTED_VALUE"""),"Sandals")</f>
        <v>Sandals</v>
      </c>
      <c r="R368" s="71" t="str">
        <f>IFERROR(__xludf.DUMMYFUNCTION("""COMPUTED_VALUE"""),"Green, Ocean View")</f>
        <v>Green, Ocean View</v>
      </c>
      <c r="S368" s="71" t="str">
        <f>IFERROR(__xludf.DUMMYFUNCTION("""COMPUTED_VALUE"""),"Beach, Swim Out/Plunge Pool Rooms, Gym, Diving, Buffet, Evening Entertainment, Wifi (Free), Room Service, Swim Up Bar, Snorkelling, Nightclub, Spa")</f>
        <v>Beach, Swim Out/Plunge Pool Rooms, Gym, Diving, Buffet, Evening Entertainment, Wifi (Free), Room Service, Swim Up Bar, Snorkelling, Nightclub, Spa</v>
      </c>
      <c r="T368" s="71"/>
      <c r="U368" s="76"/>
      <c r="V368" s="74" t="b">
        <f>IFERROR(__xludf.DUMMYFUNCTION("""COMPUTED_VALUE"""),FALSE)</f>
        <v>0</v>
      </c>
      <c r="W368" s="74">
        <f>IFERROR(__xludf.DUMMYFUNCTION("""COMPUTED_VALUE"""),226.0)</f>
        <v>226</v>
      </c>
      <c r="X368" s="74">
        <f>IFERROR(__xludf.DUMMYFUNCTION("""COMPUTED_VALUE"""),1988.0)</f>
        <v>1988</v>
      </c>
      <c r="Y368" s="74">
        <f>IFERROR(__xludf.DUMMYFUNCTION("""COMPUTED_VALUE"""),2016.0)</f>
        <v>2016</v>
      </c>
      <c r="Z368" s="75"/>
    </row>
    <row r="369">
      <c r="A369" s="65" t="str">
        <f>IFERROR(__xludf.DUMMYFUNCTION("""COMPUTED_VALUE"""),"Sea Breeze Beach House by Ocean Hotels")</f>
        <v>Sea Breeze Beach House by Ocean Hotels</v>
      </c>
      <c r="B369" s="66">
        <f>IFERROR(__xludf.DUMMYFUNCTION("""COMPUTED_VALUE"""),86.7)</f>
        <v>86.7</v>
      </c>
      <c r="C369" s="67" t="str">
        <f>IFERROR(__xludf.DUMMYFUNCTION("""COMPUTED_VALUE"""),"Family")</f>
        <v>Family</v>
      </c>
      <c r="D369" s="79">
        <f>IFERROR(__xludf.DUMMYFUNCTION("""COMPUTED_VALUE"""),8119.3)</f>
        <v>8119.3</v>
      </c>
      <c r="E369" s="79">
        <f>IFERROR(__xludf.DUMMYFUNCTION("""COMPUTED_VALUE"""),11213.158453069998)</f>
        <v>11213.15845</v>
      </c>
      <c r="F369" s="69">
        <f>IFERROR(__xludf.DUMMYFUNCTION("""COMPUTED_VALUE"""),0.83)</f>
        <v>0.83</v>
      </c>
      <c r="G369" s="78"/>
      <c r="H369" s="74">
        <f>IFERROR(__xludf.DUMMYFUNCTION("""COMPUTED_VALUE"""),6.0)</f>
        <v>6</v>
      </c>
      <c r="I369" s="78"/>
      <c r="J369" s="78">
        <f>IFERROR(__xludf.DUMMYFUNCTION("""COMPUTED_VALUE"""),4.0)</f>
        <v>4</v>
      </c>
      <c r="K369" s="71"/>
      <c r="L369" s="76" t="str">
        <f>IFERROR(__xludf.DUMMYFUNCTION("""COMPUTED_VALUE"""),"Barbados")</f>
        <v>Barbados</v>
      </c>
      <c r="M369" s="76" t="str">
        <f>IFERROR(__xludf.DUMMYFUNCTION("""COMPUTED_VALUE"""),"Barbados")</f>
        <v>Barbados</v>
      </c>
      <c r="N369" s="76" t="str">
        <f>IFERROR(__xludf.DUMMYFUNCTION("""COMPUTED_VALUE"""),"Grantley Adams")</f>
        <v>Grantley Adams</v>
      </c>
      <c r="O369" s="78" t="b">
        <f>IFERROR(__xludf.DUMMYFUNCTION("""COMPUTED_VALUE"""),TRUE)</f>
        <v>1</v>
      </c>
      <c r="P369" s="80">
        <f>IFERROR(__xludf.DUMMYFUNCTION("""COMPUTED_VALUE"""),0.009722222222222222)</f>
        <v>0.009722222222</v>
      </c>
      <c r="Q369" s="71"/>
      <c r="R369" s="71" t="str">
        <f>IFERROR(__xludf.DUMMYFUNCTION("""COMPUTED_VALUE"""),"Ocean View, Quiet")</f>
        <v>Ocean View, Quiet</v>
      </c>
      <c r="S369" s="71" t="str">
        <f>IFERROR(__xludf.DUMMYFUNCTION("""COMPUTED_VALUE"""),"Beach, Family Suite, 2 Bedroom Suites, Kids Club, Teen Club, Gym, Wifi (Free), Babysitting, Adult Pool, Buffet, Evening Entertainment, Spa")</f>
        <v>Beach, Family Suite, 2 Bedroom Suites, Kids Club, Teen Club, Gym, Wifi (Free), Babysitting, Adult Pool, Buffet, Evening Entertainment, Spa</v>
      </c>
      <c r="T369" s="71"/>
      <c r="U369" s="76" t="str">
        <f>IFERROR(__xludf.DUMMYFUNCTION("""COMPUTED_VALUE"""),"1 King and 1 Queen Sofa Bed or 2 Queen")</f>
        <v>1 King and 1 Queen Sofa Bed or 2 Queen</v>
      </c>
      <c r="V369" s="74" t="b">
        <f>IFERROR(__xludf.DUMMYFUNCTION("""COMPUTED_VALUE"""),FALSE)</f>
        <v>0</v>
      </c>
      <c r="W369" s="74">
        <f>IFERROR(__xludf.DUMMYFUNCTION("""COMPUTED_VALUE"""),122.0)</f>
        <v>122</v>
      </c>
      <c r="X369" s="74">
        <f>IFERROR(__xludf.DUMMYFUNCTION("""COMPUTED_VALUE"""),1985.0)</f>
        <v>1985</v>
      </c>
      <c r="Y369" s="74">
        <f>IFERROR(__xludf.DUMMYFUNCTION("""COMPUTED_VALUE"""),2017.0)</f>
        <v>2017</v>
      </c>
      <c r="Z369" s="75">
        <f>IFERROR(__xludf.DUMMYFUNCTION("""COMPUTED_VALUE"""),3.0)</f>
        <v>3</v>
      </c>
    </row>
    <row r="370">
      <c r="A370" s="65" t="str">
        <f>IFERROR(__xludf.DUMMYFUNCTION("""COMPUTED_VALUE"""),"Pierre Mundo Imperial")</f>
        <v>Pierre Mundo Imperial</v>
      </c>
      <c r="B370" s="66">
        <f>IFERROR(__xludf.DUMMYFUNCTION("""COMPUTED_VALUE"""),86.7)</f>
        <v>86.7</v>
      </c>
      <c r="C370" s="67" t="str">
        <f>IFERROR(__xludf.DUMMYFUNCTION("""COMPUTED_VALUE"""),"Family")</f>
        <v>Family</v>
      </c>
      <c r="D370" s="68">
        <f>IFERROR(__xludf.DUMMYFUNCTION("""COMPUTED_VALUE"""),61256.0)</f>
        <v>61256</v>
      </c>
      <c r="E370" s="79">
        <f>IFERROR(__xludf.DUMMYFUNCTION("""COMPUTED_VALUE"""),84597.59267439999)</f>
        <v>84597.59267</v>
      </c>
      <c r="F370" s="86">
        <f>IFERROR(__xludf.DUMMYFUNCTION("""COMPUTED_VALUE"""),0.11)</f>
        <v>0.11</v>
      </c>
      <c r="G370" s="78"/>
      <c r="H370" s="78">
        <f>IFERROR(__xludf.DUMMYFUNCTION("""COMPUTED_VALUE"""),8.0)</f>
        <v>8</v>
      </c>
      <c r="I370" s="78"/>
      <c r="J370" s="78">
        <f>IFERROR(__xludf.DUMMYFUNCTION("""COMPUTED_VALUE"""),4.0)</f>
        <v>4</v>
      </c>
      <c r="K370" s="76"/>
      <c r="L370" s="76" t="str">
        <f>IFERROR(__xludf.DUMMYFUNCTION("""COMPUTED_VALUE"""),"Mexico")</f>
        <v>Mexico</v>
      </c>
      <c r="M370" s="76" t="str">
        <f>IFERROR(__xludf.DUMMYFUNCTION("""COMPUTED_VALUE"""),"Acapulco")</f>
        <v>Acapulco</v>
      </c>
      <c r="N370" s="76" t="str">
        <f>IFERROR(__xludf.DUMMYFUNCTION("""COMPUTED_VALUE"""),"Alvarez")</f>
        <v>Alvarez</v>
      </c>
      <c r="O370" s="78" t="b">
        <f>IFERROR(__xludf.DUMMYFUNCTION("""COMPUTED_VALUE"""),FALSE)</f>
        <v>0</v>
      </c>
      <c r="P370" s="80">
        <f>IFERROR(__xludf.DUMMYFUNCTION("""COMPUTED_VALUE"""),0.011111111111111112)</f>
        <v>0.01111111111</v>
      </c>
      <c r="Q370" s="76"/>
      <c r="R370" s="76" t="str">
        <f>IFERROR(__xludf.DUMMYFUNCTION("""COMPUTED_VALUE"""),"Classic, Family")</f>
        <v>Classic, Family</v>
      </c>
      <c r="S370" s="71" t="str">
        <f>IFERROR(__xludf.DUMMYFUNCTION("""COMPUTED_VALUE"""),"Beach, Kids Club, Gym, Golf Course, Buffet, Tennis, Pets Allowed, Wifi (Free), Room Service")</f>
        <v>Beach, Kids Club, Gym, Golf Course, Buffet, Tennis, Pets Allowed, Wifi (Free), Room Service</v>
      </c>
      <c r="T370" s="71"/>
      <c r="U370" s="76" t="str">
        <f>IFERROR(__xludf.DUMMYFUNCTION("""COMPUTED_VALUE"""),"2 Double")</f>
        <v>2 Double</v>
      </c>
      <c r="V370" s="78" t="b">
        <f>IFERROR(__xludf.DUMMYFUNCTION("""COMPUTED_VALUE"""),FALSE)</f>
        <v>0</v>
      </c>
      <c r="W370" s="78">
        <f>IFERROR(__xludf.DUMMYFUNCTION("""COMPUTED_VALUE"""),229.0)</f>
        <v>229</v>
      </c>
      <c r="X370" s="78">
        <f>IFERROR(__xludf.DUMMYFUNCTION("""COMPUTED_VALUE"""),1957.0)</f>
        <v>1957</v>
      </c>
      <c r="Y370" s="78">
        <f>IFERROR(__xludf.DUMMYFUNCTION("""COMPUTED_VALUE"""),2003.0)</f>
        <v>2003</v>
      </c>
      <c r="Z370" s="81">
        <f>IFERROR(__xludf.DUMMYFUNCTION("""COMPUTED_VALUE"""),5.0)</f>
        <v>5</v>
      </c>
    </row>
    <row r="371">
      <c r="A371" s="65" t="str">
        <f>IFERROR(__xludf.DUMMYFUNCTION("""COMPUTED_VALUE"""),"Grand Aston Cayo Paredón Beach Resort")</f>
        <v>Grand Aston Cayo Paredón Beach Resort</v>
      </c>
      <c r="B371" s="66">
        <f>IFERROR(__xludf.DUMMYFUNCTION("""COMPUTED_VALUE"""),86.5)</f>
        <v>86.5</v>
      </c>
      <c r="C371" s="67" t="str">
        <f>IFERROR(__xludf.DUMMYFUNCTION("""COMPUTED_VALUE"""),"Family")</f>
        <v>Family</v>
      </c>
      <c r="D371" s="68">
        <f>IFERROR(__xludf.DUMMYFUNCTION("""COMPUTED_VALUE"""),1099.0)</f>
        <v>1099</v>
      </c>
      <c r="E371" s="79">
        <f>IFERROR(__xludf.DUMMYFUNCTION("""COMPUTED_VALUE"""),1517.7738401)</f>
        <v>1517.77384</v>
      </c>
      <c r="F371" s="69">
        <f>IFERROR(__xludf.DUMMYFUNCTION("""COMPUTED_VALUE"""),5.91)</f>
        <v>5.91</v>
      </c>
      <c r="G371" s="78"/>
      <c r="H371" s="74"/>
      <c r="I371" s="78"/>
      <c r="J371" s="78">
        <f>IFERROR(__xludf.DUMMYFUNCTION("""COMPUTED_VALUE"""),4.0)</f>
        <v>4</v>
      </c>
      <c r="K371" s="71"/>
      <c r="L371" s="76" t="str">
        <f>IFERROR(__xludf.DUMMYFUNCTION("""COMPUTED_VALUE"""),"Cuba")</f>
        <v>Cuba</v>
      </c>
      <c r="M371" s="76" t="str">
        <f>IFERROR(__xludf.DUMMYFUNCTION("""COMPUTED_VALUE"""),"Cayo Coco")</f>
        <v>Cayo Coco</v>
      </c>
      <c r="N371" s="76" t="str">
        <f>IFERROR(__xludf.DUMMYFUNCTION("""COMPUTED_VALUE"""),"Cayo Coco")</f>
        <v>Cayo Coco</v>
      </c>
      <c r="O371" s="78" t="b">
        <f>IFERROR(__xludf.DUMMYFUNCTION("""COMPUTED_VALUE"""),TRUE)</f>
        <v>1</v>
      </c>
      <c r="P371" s="80">
        <f>IFERROR(__xludf.DUMMYFUNCTION("""COMPUTED_VALUE"""),0.018055555555555554)</f>
        <v>0.01805555556</v>
      </c>
      <c r="Q371" s="71"/>
      <c r="R371" s="71" t="str">
        <f>IFERROR(__xludf.DUMMYFUNCTION("""COMPUTED_VALUE"""),"Ocean View")</f>
        <v>Ocean View</v>
      </c>
      <c r="S371" s="71" t="str">
        <f>IFERROR(__xludf.DUMMYFUNCTION("""COMPUTED_VALUE"""),"Beach, Kids Club, Gym, Swim Up Bar, Tennis, Wifi (Free), Babysitting, Buffet, Evening Entertainment")</f>
        <v>Beach, Kids Club, Gym, Swim Up Bar, Tennis, Wifi (Free), Babysitting, Buffet, Evening Entertainment</v>
      </c>
      <c r="T371" s="71"/>
      <c r="U371" s="76" t="str">
        <f>IFERROR(__xludf.DUMMYFUNCTION("""COMPUTED_VALUE"""),"1 King or 2 Double")</f>
        <v>1 King or 2 Double</v>
      </c>
      <c r="V371" s="74" t="b">
        <f>IFERROR(__xludf.DUMMYFUNCTION("""COMPUTED_VALUE"""),TRUE)</f>
        <v>1</v>
      </c>
      <c r="W371" s="74"/>
      <c r="X371" s="74"/>
      <c r="Y371" s="74"/>
      <c r="Z371" s="75"/>
    </row>
    <row r="372">
      <c r="A372" s="65" t="str">
        <f>IFERROR(__xludf.DUMMYFUNCTION("""COMPUTED_VALUE"""),"Grand Memories Holguin")</f>
        <v>Grand Memories Holguin</v>
      </c>
      <c r="B372" s="66">
        <f>IFERROR(__xludf.DUMMYFUNCTION("""COMPUTED_VALUE"""),86.5)</f>
        <v>86.5</v>
      </c>
      <c r="C372" s="67" t="str">
        <f>IFERROR(__xludf.DUMMYFUNCTION("""COMPUTED_VALUE"""),"Family")</f>
        <v>Family</v>
      </c>
      <c r="D372" s="68">
        <f>IFERROR(__xludf.DUMMYFUNCTION("""COMPUTED_VALUE"""),1201.2)</f>
        <v>1201.2</v>
      </c>
      <c r="E372" s="79">
        <f>IFERROR(__xludf.DUMMYFUNCTION("""COMPUTED_VALUE"""),1658.91713988)</f>
        <v>1658.91714</v>
      </c>
      <c r="F372" s="69">
        <f>IFERROR(__xludf.DUMMYFUNCTION("""COMPUTED_VALUE"""),5.41)</f>
        <v>5.41</v>
      </c>
      <c r="G372" s="78"/>
      <c r="H372" s="74"/>
      <c r="I372" s="78"/>
      <c r="J372" s="78">
        <f>IFERROR(__xludf.DUMMYFUNCTION("""COMPUTED_VALUE"""),5.0)</f>
        <v>5</v>
      </c>
      <c r="K372" s="76"/>
      <c r="L372" s="76" t="str">
        <f>IFERROR(__xludf.DUMMYFUNCTION("""COMPUTED_VALUE"""),"Cuba")</f>
        <v>Cuba</v>
      </c>
      <c r="M372" s="76" t="str">
        <f>IFERROR(__xludf.DUMMYFUNCTION("""COMPUTED_VALUE"""),"Holguin")</f>
        <v>Holguin</v>
      </c>
      <c r="N372" s="76" t="str">
        <f>IFERROR(__xludf.DUMMYFUNCTION("""COMPUTED_VALUE"""),"Holguin")</f>
        <v>Holguin</v>
      </c>
      <c r="O372" s="78" t="b">
        <f>IFERROR(__xludf.DUMMYFUNCTION("""COMPUTED_VALUE"""),TRUE)</f>
        <v>1</v>
      </c>
      <c r="P372" s="80">
        <f>IFERROR(__xludf.DUMMYFUNCTION("""COMPUTED_VALUE"""),0.05555555555555555)</f>
        <v>0.05555555556</v>
      </c>
      <c r="Q372" s="76" t="str">
        <f>IFERROR(__xludf.DUMMYFUNCTION("""COMPUTED_VALUE"""),"Memories Hotels")</f>
        <v>Memories Hotels</v>
      </c>
      <c r="R372" s="76" t="str">
        <f>IFERROR(__xludf.DUMMYFUNCTION("""COMPUTED_VALUE"""),"Ocean View")</f>
        <v>Ocean View</v>
      </c>
      <c r="S372" s="71" t="str">
        <f>IFERROR(__xludf.DUMMYFUNCTION("""COMPUTED_VALUE"""),"Beach, Kids Club, Teen Club, Gym, Adult Pool, Buffet, Swim Up Bar, Diving, Windsurfing, Nightclub, Babysitting, Spa, Wifi (Free), Tennis, Evening Entertainment")</f>
        <v>Beach, Kids Club, Teen Club, Gym, Adult Pool, Buffet, Swim Up Bar, Diving, Windsurfing, Nightclub, Babysitting, Spa, Wifi (Free), Tennis, Evening Entertainment</v>
      </c>
      <c r="T372" s="71" t="str">
        <f>IFERROR(__xludf.DUMMYFUNCTION("""COMPUTED_VALUE"""),"Can't Book Two Rooms")</f>
        <v>Can't Book Two Rooms</v>
      </c>
      <c r="U372" s="76" t="str">
        <f>IFERROR(__xludf.DUMMYFUNCTION("""COMPUTED_VALUE"""),"1 King or 2 Queen")</f>
        <v>1 King or 2 Queen</v>
      </c>
      <c r="V372" s="74" t="b">
        <f>IFERROR(__xludf.DUMMYFUNCTION("""COMPUTED_VALUE"""),FALSE)</f>
        <v>0</v>
      </c>
      <c r="W372" s="74"/>
      <c r="X372" s="74"/>
      <c r="Y372" s="74"/>
      <c r="Z372" s="75"/>
    </row>
    <row r="373">
      <c r="A373" s="65" t="str">
        <f>IFERROR(__xludf.DUMMYFUNCTION("""COMPUTED_VALUE"""),"Starfish Cayo Largo")</f>
        <v>Starfish Cayo Largo</v>
      </c>
      <c r="B373" s="66">
        <f>IFERROR(__xludf.DUMMYFUNCTION("""COMPUTED_VALUE"""),86.5)</f>
        <v>86.5</v>
      </c>
      <c r="C373" s="67" t="str">
        <f>IFERROR(__xludf.DUMMYFUNCTION("""COMPUTED_VALUE"""),"Family")</f>
        <v>Family</v>
      </c>
      <c r="D373" s="79">
        <f>IFERROR(__xludf.DUMMYFUNCTION("""COMPUTED_VALUE"""),1378.12)</f>
        <v>1378.12</v>
      </c>
      <c r="E373" s="68">
        <f>IFERROR(__xludf.DUMMYFUNCTION("""COMPUTED_VALUE"""),1903.2524881879997)</f>
        <v>1903.252488</v>
      </c>
      <c r="F373" s="69">
        <f>IFERROR(__xludf.DUMMYFUNCTION("""COMPUTED_VALUE"""),4.72)</f>
        <v>4.72</v>
      </c>
      <c r="G373" s="78"/>
      <c r="H373" s="78"/>
      <c r="I373" s="78"/>
      <c r="J373" s="78">
        <f>IFERROR(__xludf.DUMMYFUNCTION("""COMPUTED_VALUE"""),4.0)</f>
        <v>4</v>
      </c>
      <c r="K373" s="76" t="str">
        <f>IFERROR(__xludf.DUMMYFUNCTION("""COMPUTED_VALUE"""),"Max 3 per Room")</f>
        <v>Max 3 per Room</v>
      </c>
      <c r="L373" s="76" t="str">
        <f>IFERROR(__xludf.DUMMYFUNCTION("""COMPUTED_VALUE"""),"Cuba")</f>
        <v>Cuba</v>
      </c>
      <c r="M373" s="76" t="str">
        <f>IFERROR(__xludf.DUMMYFUNCTION("""COMPUTED_VALUE"""),"Cayo Largo")</f>
        <v>Cayo Largo</v>
      </c>
      <c r="N373" s="76" t="str">
        <f>IFERROR(__xludf.DUMMYFUNCTION("""COMPUTED_VALUE"""),"Cayo Largo del Sur")</f>
        <v>Cayo Largo del Sur</v>
      </c>
      <c r="O373" s="78" t="b">
        <f>IFERROR(__xludf.DUMMYFUNCTION("""COMPUTED_VALUE"""),FALSE)</f>
        <v>0</v>
      </c>
      <c r="P373" s="80"/>
      <c r="Q373" s="76"/>
      <c r="R373" s="76"/>
      <c r="S373" s="71" t="str">
        <f>IFERROR(__xludf.DUMMYFUNCTION("""COMPUTED_VALUE"""),"Beach, Buffet, Wifi (Free), Kids Club, Evening Entertainment")</f>
        <v>Beach, Buffet, Wifi (Free), Kids Club, Evening Entertainment</v>
      </c>
      <c r="T373" s="71" t="str">
        <f>IFERROR(__xludf.DUMMYFUNCTION("""COMPUTED_VALUE"""),"Can't Book Two Rooms")</f>
        <v>Can't Book Two Rooms</v>
      </c>
      <c r="U373" s="76" t="str">
        <f>IFERROR(__xludf.DUMMYFUNCTION("""COMPUTED_VALUE"""),"1 King")</f>
        <v>1 King</v>
      </c>
      <c r="V373" s="78" t="b">
        <f>IFERROR(__xludf.DUMMYFUNCTION("""COMPUTED_VALUE"""),FALSE)</f>
        <v>0</v>
      </c>
      <c r="W373" s="78"/>
      <c r="X373" s="78"/>
      <c r="Y373" s="78"/>
      <c r="Z373" s="81"/>
    </row>
    <row r="374">
      <c r="A374" s="65" t="str">
        <f>IFERROR(__xludf.DUMMYFUNCTION("""COMPUTED_VALUE"""),"Moon Palace Cancun")</f>
        <v>Moon Palace Cancun</v>
      </c>
      <c r="B374" s="66">
        <f>IFERROR(__xludf.DUMMYFUNCTION("""COMPUTED_VALUE"""),86.5)</f>
        <v>86.5</v>
      </c>
      <c r="C374" s="67" t="str">
        <f>IFERROR(__xludf.DUMMYFUNCTION("""COMPUTED_VALUE"""),"Family")</f>
        <v>Family</v>
      </c>
      <c r="D374" s="68">
        <f>IFERROR(__xludf.DUMMYFUNCTION("""COMPUTED_VALUE"""),4501.0)</f>
        <v>4501</v>
      </c>
      <c r="E374" s="79">
        <f>IFERROR(__xludf.DUMMYFUNCTION("""COMPUTED_VALUE"""),6216.105599899999)</f>
        <v>6216.1056</v>
      </c>
      <c r="F374" s="69">
        <f>IFERROR(__xludf.DUMMYFUNCTION("""COMPUTED_VALUE"""),1.44)</f>
        <v>1.44</v>
      </c>
      <c r="G374" s="70">
        <f>IFERROR(__xludf.DUMMYFUNCTION("""COMPUTED_VALUE"""),4.0)</f>
        <v>4</v>
      </c>
      <c r="H374" s="70">
        <f>IFERROR(__xludf.DUMMYFUNCTION("""COMPUTED_VALUE"""),9.0)</f>
        <v>9</v>
      </c>
      <c r="I374" s="70"/>
      <c r="J374" s="70">
        <f>IFERROR(__xludf.DUMMYFUNCTION("""COMPUTED_VALUE"""),5.0)</f>
        <v>5</v>
      </c>
      <c r="K374" s="71"/>
      <c r="L374" s="76" t="str">
        <f>IFERROR(__xludf.DUMMYFUNCTION("""COMPUTED_VALUE"""),"Mexico")</f>
        <v>Mexico</v>
      </c>
      <c r="M374" s="76" t="str">
        <f>IFERROR(__xludf.DUMMYFUNCTION("""COMPUTED_VALUE"""),"Cancun")</f>
        <v>Cancun</v>
      </c>
      <c r="N374" s="76" t="str">
        <f>IFERROR(__xludf.DUMMYFUNCTION("""COMPUTED_VALUE"""),"Cancun")</f>
        <v>Cancun</v>
      </c>
      <c r="O374" s="70" t="b">
        <f>IFERROR(__xludf.DUMMYFUNCTION("""COMPUTED_VALUE"""),TRUE)</f>
        <v>1</v>
      </c>
      <c r="P374" s="73">
        <f>IFERROR(__xludf.DUMMYFUNCTION("""COMPUTED_VALUE"""),0.011111111111111112)</f>
        <v>0.01111111111</v>
      </c>
      <c r="Q374" s="76" t="str">
        <f>IFERROR(__xludf.DUMMYFUNCTION("""COMPUTED_VALUE"""),"Palace Resorts")</f>
        <v>Palace Resorts</v>
      </c>
      <c r="R374" s="71" t="str">
        <f>IFERROR(__xludf.DUMMYFUNCTION("""COMPUTED_VALUE"""),"Family")</f>
        <v>Family</v>
      </c>
      <c r="S374" s="71" t="str">
        <f>IFERROR(__xludf.DUMMYFUNCTION("""COMPUTED_VALUE"""),"Beach, Swim Out/Plunge Pool Rooms, Family Suite, 2 Bedroom Suites, Kids Club, Teen Club, Kids Waterpark, Pool Slide, Water Feature, Arcade, Flowrider, Gym, Bicycles Available, Wifi (Paid), Room Service, Mini Golf, Watersports Equipment Rentals, Evening En"&amp;"tertainment, Babysitting, Buffet, Swim Up Bar, Diving, Golf Course, Tennis, Nightclub, Spa")</f>
        <v>Beach, Swim Out/Plunge Pool Rooms, Family Suite, 2 Bedroom Suites, Kids Club, Teen Club, Kids Waterpark, Pool Slide, Water Feature, Arcade, Flowrider, Gym, Bicycles Available, Wifi (Paid), Room Service, Mini Golf, Watersports Equipment Rentals, Evening Entertainment, Babysitting, Buffet, Swim Up Bar, Diving, Golf Course, Tennis, Nightclub, Spa</v>
      </c>
      <c r="T374" s="71" t="str">
        <f>IFERROR(__xludf.DUMMYFUNCTION("""COMPUTED_VALUE"""),"Yes")</f>
        <v>Yes</v>
      </c>
      <c r="U374" s="71" t="str">
        <f>IFERROR(__xludf.DUMMYFUNCTION("""COMPUTED_VALUE"""),"1 King or 2 Double")</f>
        <v>1 King or 2 Double</v>
      </c>
      <c r="V374" s="70" t="b">
        <f>IFERROR(__xludf.DUMMYFUNCTION("""COMPUTED_VALUE"""),FALSE)</f>
        <v>0</v>
      </c>
      <c r="W374" s="70">
        <f>IFERROR(__xludf.DUMMYFUNCTION("""COMPUTED_VALUE"""),2404.0)</f>
        <v>2404</v>
      </c>
      <c r="X374" s="70">
        <f>IFERROR(__xludf.DUMMYFUNCTION("""COMPUTED_VALUE"""),1996.0)</f>
        <v>1996</v>
      </c>
      <c r="Y374" s="70">
        <f>IFERROR(__xludf.DUMMYFUNCTION("""COMPUTED_VALUE"""),2014.0)</f>
        <v>2014</v>
      </c>
      <c r="Z374" s="83"/>
    </row>
    <row r="375">
      <c r="A375" s="65" t="str">
        <f>IFERROR(__xludf.DUMMYFUNCTION("""COMPUTED_VALUE"""),"Fiesta Americana Puerto Vallarta All Inclusive &amp; Spa")</f>
        <v>Fiesta Americana Puerto Vallarta All Inclusive &amp; Spa</v>
      </c>
      <c r="B375" s="66">
        <f>IFERROR(__xludf.DUMMYFUNCTION("""COMPUTED_VALUE"""),86.5)</f>
        <v>86.5</v>
      </c>
      <c r="C375" s="67" t="str">
        <f>IFERROR(__xludf.DUMMYFUNCTION("""COMPUTED_VALUE"""),"Family")</f>
        <v>Family</v>
      </c>
      <c r="D375" s="68">
        <f>IFERROR(__xludf.DUMMYFUNCTION("""COMPUTED_VALUE"""),7664.0)</f>
        <v>7664</v>
      </c>
      <c r="E375" s="79">
        <f>IFERROR(__xludf.DUMMYFUNCTION("""COMPUTED_VALUE"""),10584.366433599998)</f>
        <v>10584.36643</v>
      </c>
      <c r="F375" s="69">
        <f>IFERROR(__xludf.DUMMYFUNCTION("""COMPUTED_VALUE"""),0.85)</f>
        <v>0.85</v>
      </c>
      <c r="G375" s="78">
        <f>IFERROR(__xludf.DUMMYFUNCTION("""COMPUTED_VALUE"""),4.0)</f>
        <v>4</v>
      </c>
      <c r="H375" s="74">
        <f>IFERROR(__xludf.DUMMYFUNCTION("""COMPUTED_VALUE"""),7.0)</f>
        <v>7</v>
      </c>
      <c r="I375" s="78"/>
      <c r="J375" s="78">
        <f>IFERROR(__xludf.DUMMYFUNCTION("""COMPUTED_VALUE"""),4.0)</f>
        <v>4</v>
      </c>
      <c r="K375" s="71"/>
      <c r="L375" s="76" t="str">
        <f>IFERROR(__xludf.DUMMYFUNCTION("""COMPUTED_VALUE"""),"Mexico")</f>
        <v>Mexico</v>
      </c>
      <c r="M375" s="76" t="str">
        <f>IFERROR(__xludf.DUMMYFUNCTION("""COMPUTED_VALUE"""),"Puerto Vallarta")</f>
        <v>Puerto Vallarta</v>
      </c>
      <c r="N375" s="76" t="str">
        <f>IFERROR(__xludf.DUMMYFUNCTION("""COMPUTED_VALUE"""),"Ordaz")</f>
        <v>Ordaz</v>
      </c>
      <c r="O375" s="78" t="b">
        <f>IFERROR(__xludf.DUMMYFUNCTION("""COMPUTED_VALUE"""),TRUE)</f>
        <v>1</v>
      </c>
      <c r="P375" s="80">
        <f>IFERROR(__xludf.DUMMYFUNCTION("""COMPUTED_VALUE"""),0.006944444444444444)</f>
        <v>0.006944444444</v>
      </c>
      <c r="Q375" s="76" t="str">
        <f>IFERROR(__xludf.DUMMYFUNCTION("""COMPUTED_VALUE"""),"Fiesta Americana Travelty")</f>
        <v>Fiesta Americana Travelty</v>
      </c>
      <c r="R375" s="71" t="str">
        <f>IFERROR(__xludf.DUMMYFUNCTION("""COMPUTED_VALUE"""),"Great View, Ocean View")</f>
        <v>Great View, Ocean View</v>
      </c>
      <c r="S375" s="71" t="str">
        <f>IFERROR(__xludf.DUMMYFUNCTION("""COMPUTED_VALUE"""),"Beach, Kids Club, Teen Club, Heated Pool, Gym, Buffet, Swim Up Bar, Wifi (Free), Babysitting, Room Service, Evening Entertainment, Spa")</f>
        <v>Beach, Kids Club, Teen Club, Heated Pool, Gym, Buffet, Swim Up Bar, Wifi (Free), Babysitting, Room Service, Evening Entertainment, Spa</v>
      </c>
      <c r="T375" s="71"/>
      <c r="U375" s="76" t="str">
        <f>IFERROR(__xludf.DUMMYFUNCTION("""COMPUTED_VALUE"""),"1 King or 2 Double")</f>
        <v>1 King or 2 Double</v>
      </c>
      <c r="V375" s="74" t="b">
        <f>IFERROR(__xludf.DUMMYFUNCTION("""COMPUTED_VALUE"""),TRUE)</f>
        <v>1</v>
      </c>
      <c r="W375" s="74">
        <f>IFERROR(__xludf.DUMMYFUNCTION("""COMPUTED_VALUE"""),291.0)</f>
        <v>291</v>
      </c>
      <c r="X375" s="74">
        <f>IFERROR(__xludf.DUMMYFUNCTION("""COMPUTED_VALUE"""),1979.0)</f>
        <v>1979</v>
      </c>
      <c r="Y375" s="74">
        <f>IFERROR(__xludf.DUMMYFUNCTION("""COMPUTED_VALUE"""),2021.0)</f>
        <v>2021</v>
      </c>
      <c r="Z375" s="75">
        <f>IFERROR(__xludf.DUMMYFUNCTION("""COMPUTED_VALUE"""),9.0)</f>
        <v>9</v>
      </c>
    </row>
    <row r="376">
      <c r="A376" s="65" t="str">
        <f>IFERROR(__xludf.DUMMYFUNCTION("""COMPUTED_VALUE"""),"Nickelodeon Hotels &amp; Resorts Riviera Maya - Gourmet All Inclusive by Karisma")</f>
        <v>Nickelodeon Hotels &amp; Resorts Riviera Maya - Gourmet All Inclusive by Karisma</v>
      </c>
      <c r="B376" s="66">
        <f>IFERROR(__xludf.DUMMYFUNCTION("""COMPUTED_VALUE"""),86.5)</f>
        <v>86.5</v>
      </c>
      <c r="C376" s="67" t="str">
        <f>IFERROR(__xludf.DUMMYFUNCTION("""COMPUTED_VALUE"""),"Family")</f>
        <v>Family</v>
      </c>
      <c r="D376" s="79">
        <f>IFERROR(__xludf.DUMMYFUNCTION("""COMPUTED_VALUE"""),11689.96)</f>
        <v>11689.96</v>
      </c>
      <c r="E376" s="79">
        <f>IFERROR(__xludf.DUMMYFUNCTION("""COMPUTED_VALUE"""),16144.418089003997)</f>
        <v>16144.41809</v>
      </c>
      <c r="F376" s="69">
        <f>IFERROR(__xludf.DUMMYFUNCTION("""COMPUTED_VALUE"""),0.56)</f>
        <v>0.56</v>
      </c>
      <c r="G376" s="78"/>
      <c r="H376" s="74" t="str">
        <f>IFERROR(__xludf.DUMMYFUNCTION("""COMPUTED_VALUE"""),"NYR")</f>
        <v>NYR</v>
      </c>
      <c r="I376" s="78"/>
      <c r="J376" s="78">
        <f>IFERROR(__xludf.DUMMYFUNCTION("""COMPUTED_VALUE"""),5.0)</f>
        <v>5</v>
      </c>
      <c r="K376" s="76"/>
      <c r="L376" s="76" t="str">
        <f>IFERROR(__xludf.DUMMYFUNCTION("""COMPUTED_VALUE"""),"Mexico")</f>
        <v>Mexico</v>
      </c>
      <c r="M376" s="76" t="str">
        <f>IFERROR(__xludf.DUMMYFUNCTION("""COMPUTED_VALUE"""),"Playa Paraiso")</f>
        <v>Playa Paraiso</v>
      </c>
      <c r="N376" s="76" t="str">
        <f>IFERROR(__xludf.DUMMYFUNCTION("""COMPUTED_VALUE"""),"Cancun")</f>
        <v>Cancun</v>
      </c>
      <c r="O376" s="78" t="b">
        <f>IFERROR(__xludf.DUMMYFUNCTION("""COMPUTED_VALUE"""),TRUE)</f>
        <v>1</v>
      </c>
      <c r="P376" s="80">
        <f>IFERROR(__xludf.DUMMYFUNCTION("""COMPUTED_VALUE"""),0.018055555555555554)</f>
        <v>0.01805555556</v>
      </c>
      <c r="Q376" s="76" t="str">
        <f>IFERROR(__xludf.DUMMYFUNCTION("""COMPUTED_VALUE"""),"Karisma Hotels")</f>
        <v>Karisma Hotels</v>
      </c>
      <c r="R376" s="76" t="str">
        <f>IFERROR(__xludf.DUMMYFUNCTION("""COMPUTED_VALUE"""),"Ocean View")</f>
        <v>Ocean View</v>
      </c>
      <c r="S376" s="72" t="str">
        <f>IFERROR(__xludf.DUMMYFUNCTION("""COMPUTED_VALUE"""),"Swim Out/Plunge Pool Rooms, Kids Club, Lazy River, Kids Waterpark, Big Waterslides, Gym, Adult Pool, Buffet, Evening Entertainment, Wifi (Free), Babysitting, Room Service, Snorkelling, Spa")</f>
        <v>Swim Out/Plunge Pool Rooms, Kids Club, Lazy River, Kids Waterpark, Big Waterslides, Gym, Adult Pool, Buffet, Evening Entertainment, Wifi (Free), Babysitting, Room Service, Snorkelling, Spa</v>
      </c>
      <c r="T376" s="72" t="str">
        <f>IFERROR(__xludf.DUMMYFUNCTION("""COMPUTED_VALUE"""),"Can't Book Two Rooms")</f>
        <v>Can't Book Two Rooms</v>
      </c>
      <c r="U376" s="76" t="str">
        <f>IFERROR(__xludf.DUMMYFUNCTION("""COMPUTED_VALUE"""),"1 King and 1 Murphy Bed and 1 Double Sofa Bed")</f>
        <v>1 King and 1 Murphy Bed and 1 Double Sofa Bed</v>
      </c>
      <c r="V376" s="74" t="b">
        <f>IFERROR(__xludf.DUMMYFUNCTION("""COMPUTED_VALUE"""),TRUE)</f>
        <v>1</v>
      </c>
      <c r="W376" s="74">
        <f>IFERROR(__xludf.DUMMYFUNCTION("""COMPUTED_VALUE"""),280.0)</f>
        <v>280</v>
      </c>
      <c r="X376" s="74">
        <f>IFERROR(__xludf.DUMMYFUNCTION("""COMPUTED_VALUE"""),2021.0)</f>
        <v>2021</v>
      </c>
      <c r="Y376" s="74"/>
      <c r="Z376" s="75"/>
    </row>
    <row r="377">
      <c r="A377" s="65" t="str">
        <f>IFERROR(__xludf.DUMMYFUNCTION("""COMPUTED_VALUE"""),"Royalton Hicacos Varadero Resort &amp; Spa")</f>
        <v>Royalton Hicacos Varadero Resort &amp; Spa</v>
      </c>
      <c r="B377" s="66">
        <f>IFERROR(__xludf.DUMMYFUNCTION("""COMPUTED_VALUE"""),86.3)</f>
        <v>86.3</v>
      </c>
      <c r="C377" s="67" t="str">
        <f>IFERROR(__xludf.DUMMYFUNCTION("""COMPUTED_VALUE"""),"Adults Only")</f>
        <v>Adults Only</v>
      </c>
      <c r="D377" s="68">
        <f>IFERROR(__xludf.DUMMYFUNCTION("""COMPUTED_VALUE"""),1925.56)</f>
        <v>1925.56</v>
      </c>
      <c r="E377" s="79">
        <f>IFERROR(__xludf.DUMMYFUNCTION("""COMPUTED_VALUE"""),2659.2944454439994)</f>
        <v>2659.294445</v>
      </c>
      <c r="F377" s="69">
        <f>IFERROR(__xludf.DUMMYFUNCTION("""COMPUTED_VALUE"""),3.27)</f>
        <v>3.27</v>
      </c>
      <c r="G377" s="78"/>
      <c r="H377" s="74">
        <f>IFERROR(__xludf.DUMMYFUNCTION("""COMPUTED_VALUE"""),7.0)</f>
        <v>7</v>
      </c>
      <c r="I377" s="78"/>
      <c r="J377" s="78">
        <f>IFERROR(__xludf.DUMMYFUNCTION("""COMPUTED_VALUE"""),5.0)</f>
        <v>5</v>
      </c>
      <c r="K377" s="71"/>
      <c r="L377" s="76" t="str">
        <f>IFERROR(__xludf.DUMMYFUNCTION("""COMPUTED_VALUE"""),"Cuba")</f>
        <v>Cuba</v>
      </c>
      <c r="M377" s="76" t="str">
        <f>IFERROR(__xludf.DUMMYFUNCTION("""COMPUTED_VALUE"""),"Varadero")</f>
        <v>Varadero</v>
      </c>
      <c r="N377" s="76" t="str">
        <f>IFERROR(__xludf.DUMMYFUNCTION("""COMPUTED_VALUE"""),"Varadero")</f>
        <v>Varadero</v>
      </c>
      <c r="O377" s="78" t="b">
        <f>IFERROR(__xludf.DUMMYFUNCTION("""COMPUTED_VALUE"""),TRUE)</f>
        <v>1</v>
      </c>
      <c r="P377" s="80">
        <f>IFERROR(__xludf.DUMMYFUNCTION("""COMPUTED_VALUE"""),0.02361111111111111)</f>
        <v>0.02361111111</v>
      </c>
      <c r="Q377" s="71" t="str">
        <f>IFERROR(__xludf.DUMMYFUNCTION("""COMPUTED_VALUE"""),"Royalton")</f>
        <v>Royalton</v>
      </c>
      <c r="R377" s="71" t="str">
        <f>IFERROR(__xludf.DUMMYFUNCTION("""COMPUTED_VALUE"""),"Romantic, Quiet")</f>
        <v>Romantic, Quiet</v>
      </c>
      <c r="S377" s="71" t="str">
        <f>IFERROR(__xludf.DUMMYFUNCTION("""COMPUTED_VALUE"""),"Beach, Great Beach, Gym, Room Service, Swim Up Bar, Diving, Watersports Equipment Rentals, Evening Entertainment, Nightclub, Yoga Classes, Buffet, Snorkelling, Spa")</f>
        <v>Beach, Great Beach, Gym, Room Service, Swim Up Bar, Diving, Watersports Equipment Rentals, Evening Entertainment, Nightclub, Yoga Classes, Buffet, Snorkelling, Spa</v>
      </c>
      <c r="T377" s="71"/>
      <c r="U377" s="76"/>
      <c r="V377" s="74" t="b">
        <f>IFERROR(__xludf.DUMMYFUNCTION("""COMPUTED_VALUE"""),FALSE)</f>
        <v>0</v>
      </c>
      <c r="W377" s="74">
        <f>IFERROR(__xludf.DUMMYFUNCTION("""COMPUTED_VALUE"""),404.0)</f>
        <v>404</v>
      </c>
      <c r="X377" s="74">
        <f>IFERROR(__xludf.DUMMYFUNCTION("""COMPUTED_VALUE"""),2002.0)</f>
        <v>2002</v>
      </c>
      <c r="Y377" s="74">
        <f>IFERROR(__xludf.DUMMYFUNCTION("""COMPUTED_VALUE"""),2015.0)</f>
        <v>2015</v>
      </c>
      <c r="Z377" s="75">
        <f>IFERROR(__xludf.DUMMYFUNCTION("""COMPUTED_VALUE"""),3.0)</f>
        <v>3</v>
      </c>
    </row>
    <row r="378">
      <c r="A378" s="65" t="str">
        <f>IFERROR(__xludf.DUMMYFUNCTION("""COMPUTED_VALUE"""),"Punta Cana Princess")</f>
        <v>Punta Cana Princess</v>
      </c>
      <c r="B378" s="66">
        <f>IFERROR(__xludf.DUMMYFUNCTION("""COMPUTED_VALUE"""),86.3)</f>
        <v>86.3</v>
      </c>
      <c r="C378" s="67" t="str">
        <f>IFERROR(__xludf.DUMMYFUNCTION("""COMPUTED_VALUE"""),"Adults Only")</f>
        <v>Adults Only</v>
      </c>
      <c r="D378" s="79">
        <f>IFERROR(__xludf.DUMMYFUNCTION("""COMPUTED_VALUE"""),2841.16)</f>
        <v>2841.16</v>
      </c>
      <c r="E378" s="79">
        <f>IFERROR(__xludf.DUMMYFUNCTION("""COMPUTED_VALUE"""),3923.7837338839995)</f>
        <v>3923.783734</v>
      </c>
      <c r="F378" s="69">
        <f>IFERROR(__xludf.DUMMYFUNCTION("""COMPUTED_VALUE"""),2.22)</f>
        <v>2.22</v>
      </c>
      <c r="G378" s="78"/>
      <c r="H378" s="74">
        <f>IFERROR(__xludf.DUMMYFUNCTION("""COMPUTED_VALUE"""),6.0)</f>
        <v>6</v>
      </c>
      <c r="I378" s="78"/>
      <c r="J378" s="78">
        <f>IFERROR(__xludf.DUMMYFUNCTION("""COMPUTED_VALUE"""),5.0)</f>
        <v>5</v>
      </c>
      <c r="K378" s="76"/>
      <c r="L378" s="76" t="str">
        <f>IFERROR(__xludf.DUMMYFUNCTION("""COMPUTED_VALUE"""),"Dominican Republic")</f>
        <v>Dominican Republic</v>
      </c>
      <c r="M378" s="76" t="str">
        <f>IFERROR(__xludf.DUMMYFUNCTION("""COMPUTED_VALUE"""),"Punta Cana")</f>
        <v>Punta Cana</v>
      </c>
      <c r="N378" s="76" t="str">
        <f>IFERROR(__xludf.DUMMYFUNCTION("""COMPUTED_VALUE"""),"Punta Cana")</f>
        <v>Punta Cana</v>
      </c>
      <c r="O378" s="78" t="b">
        <f>IFERROR(__xludf.DUMMYFUNCTION("""COMPUTED_VALUE"""),TRUE)</f>
        <v>1</v>
      </c>
      <c r="P378" s="80">
        <f>IFERROR(__xludf.DUMMYFUNCTION("""COMPUTED_VALUE"""),0.019444444444444445)</f>
        <v>0.01944444444</v>
      </c>
      <c r="Q378" s="76"/>
      <c r="R378" s="76" t="str">
        <f>IFERROR(__xludf.DUMMYFUNCTION("""COMPUTED_VALUE"""),"Value, Charming")</f>
        <v>Value, Charming</v>
      </c>
      <c r="S378" s="72" t="str">
        <f>IFERROR(__xludf.DUMMYFUNCTION("""COMPUTED_VALUE"""),"Beach, Gym, Diving, Wifi (Paid), Buffet, Swim Up Bar, Tennis, Evening Entertainment, Spa")</f>
        <v>Beach, Gym, Diving, Wifi (Paid), Buffet, Swim Up Bar, Tennis, Evening Entertainment, Spa</v>
      </c>
      <c r="T378" s="72"/>
      <c r="U378" s="76"/>
      <c r="V378" s="74" t="b">
        <f>IFERROR(__xludf.DUMMYFUNCTION("""COMPUTED_VALUE"""),FALSE)</f>
        <v>0</v>
      </c>
      <c r="W378" s="74">
        <f>IFERROR(__xludf.DUMMYFUNCTION("""COMPUTED_VALUE"""),263.0)</f>
        <v>263</v>
      </c>
      <c r="X378" s="74"/>
      <c r="Y378" s="74"/>
      <c r="Z378" s="75">
        <f>IFERROR(__xludf.DUMMYFUNCTION("""COMPUTED_VALUE"""),2.0)</f>
        <v>2</v>
      </c>
    </row>
    <row r="379">
      <c r="A379" s="65" t="str">
        <f>IFERROR(__xludf.DUMMYFUNCTION("""COMPUTED_VALUE"""),"Decameron La Marina Guayabitos, Ramada All-inclusive Resort")</f>
        <v>Decameron La Marina Guayabitos, Ramada All-inclusive Resort</v>
      </c>
      <c r="B379" s="66">
        <f>IFERROR(__xludf.DUMMYFUNCTION("""COMPUTED_VALUE"""),86.3)</f>
        <v>86.3</v>
      </c>
      <c r="C379" s="67" t="str">
        <f>IFERROR(__xludf.DUMMYFUNCTION("""COMPUTED_VALUE"""),"Family")</f>
        <v>Family</v>
      </c>
      <c r="D379" s="68">
        <f>IFERROR(__xludf.DUMMYFUNCTION("""COMPUTED_VALUE"""),3236.38)</f>
        <v>3236.38</v>
      </c>
      <c r="E379" s="79">
        <f>IFERROR(__xludf.DUMMYFUNCTION("""COMPUTED_VALUE"""),4469.602275362)</f>
        <v>4469.602275</v>
      </c>
      <c r="F379" s="69">
        <f>IFERROR(__xludf.DUMMYFUNCTION("""COMPUTED_VALUE"""),1.95)</f>
        <v>1.95</v>
      </c>
      <c r="G379" s="78"/>
      <c r="H379" s="74"/>
      <c r="I379" s="78"/>
      <c r="J379" s="78">
        <f>IFERROR(__xludf.DUMMYFUNCTION("""COMPUTED_VALUE"""),3.0)</f>
        <v>3</v>
      </c>
      <c r="K379" s="71"/>
      <c r="L379" s="76" t="str">
        <f>IFERROR(__xludf.DUMMYFUNCTION("""COMPUTED_VALUE"""),"Mexico")</f>
        <v>Mexico</v>
      </c>
      <c r="M379" s="76" t="str">
        <f>IFERROR(__xludf.DUMMYFUNCTION("""COMPUTED_VALUE"""),"Rincon de Guayabitos")</f>
        <v>Rincon de Guayabitos</v>
      </c>
      <c r="N379" s="76" t="str">
        <f>IFERROR(__xludf.DUMMYFUNCTION("""COMPUTED_VALUE"""),"Ordaz")</f>
        <v>Ordaz</v>
      </c>
      <c r="O379" s="78" t="b">
        <f>IFERROR(__xludf.DUMMYFUNCTION("""COMPUTED_VALUE"""),TRUE)</f>
        <v>1</v>
      </c>
      <c r="P379" s="80">
        <f>IFERROR(__xludf.DUMMYFUNCTION("""COMPUTED_VALUE"""),0.04375)</f>
        <v>0.04375</v>
      </c>
      <c r="Q379" s="71" t="str">
        <f>IFERROR(__xludf.DUMMYFUNCTION("""COMPUTED_VALUE"""),"Wyndham Hotels")</f>
        <v>Wyndham Hotels</v>
      </c>
      <c r="R379" s="71" t="str">
        <f>IFERROR(__xludf.DUMMYFUNCTION("""COMPUTED_VALUE"""),"Charming, Mid-Range")</f>
        <v>Charming, Mid-Range</v>
      </c>
      <c r="S379" s="71" t="str">
        <f>IFERROR(__xludf.DUMMYFUNCTION("""COMPUTED_VALUE"""),"Beach, Wifi (Free), Buffet, Evening Entertainment")</f>
        <v>Beach, Wifi (Free), Buffet, Evening Entertainment</v>
      </c>
      <c r="T379" s="71"/>
      <c r="U379" s="76" t="str">
        <f>IFERROR(__xludf.DUMMYFUNCTION("""COMPUTED_VALUE"""),"1 King or 2 Double")</f>
        <v>1 King or 2 Double</v>
      </c>
      <c r="V379" s="74" t="b">
        <f>IFERROR(__xludf.DUMMYFUNCTION("""COMPUTED_VALUE"""),TRUE)</f>
        <v>1</v>
      </c>
      <c r="W379" s="74"/>
      <c r="X379" s="74"/>
      <c r="Y379" s="74"/>
      <c r="Z379" s="75"/>
    </row>
    <row r="380">
      <c r="A380" s="65" t="str">
        <f>IFERROR(__xludf.DUMMYFUNCTION("""COMPUTED_VALUE"""),"Barcelo Maya Grand Resort")</f>
        <v>Barcelo Maya Grand Resort</v>
      </c>
      <c r="B380" s="66">
        <f>IFERROR(__xludf.DUMMYFUNCTION("""COMPUTED_VALUE"""),86.3)</f>
        <v>86.3</v>
      </c>
      <c r="C380" s="67" t="str">
        <f>IFERROR(__xludf.DUMMYFUNCTION("""COMPUTED_VALUE"""),"Family")</f>
        <v>Family</v>
      </c>
      <c r="D380" s="79">
        <f>IFERROR(__xludf.DUMMYFUNCTION("""COMPUTED_VALUE"""),3353.0)</f>
        <v>3353</v>
      </c>
      <c r="E380" s="79">
        <f>IFERROR(__xludf.DUMMYFUNCTION("""COMPUTED_VALUE"""),4630.6603147)</f>
        <v>4630.660315</v>
      </c>
      <c r="F380" s="69">
        <f>IFERROR(__xludf.DUMMYFUNCTION("""COMPUTED_VALUE"""),1.88)</f>
        <v>1.88</v>
      </c>
      <c r="G380" s="78"/>
      <c r="H380" s="74">
        <f>IFERROR(__xludf.DUMMYFUNCTION("""COMPUTED_VALUE"""),7.0)</f>
        <v>7</v>
      </c>
      <c r="I380" s="78"/>
      <c r="J380" s="78">
        <f>IFERROR(__xludf.DUMMYFUNCTION("""COMPUTED_VALUE"""),5.0)</f>
        <v>5</v>
      </c>
      <c r="K380" s="76"/>
      <c r="L380" s="76" t="str">
        <f>IFERROR(__xludf.DUMMYFUNCTION("""COMPUTED_VALUE"""),"Mexico")</f>
        <v>Mexico</v>
      </c>
      <c r="M380" s="76" t="str">
        <f>IFERROR(__xludf.DUMMYFUNCTION("""COMPUTED_VALUE"""),"Barcelo Maya")</f>
        <v>Barcelo Maya</v>
      </c>
      <c r="N380" s="76" t="str">
        <f>IFERROR(__xludf.DUMMYFUNCTION("""COMPUTED_VALUE"""),"Cancun")</f>
        <v>Cancun</v>
      </c>
      <c r="O380" s="78" t="b">
        <f>IFERROR(__xludf.DUMMYFUNCTION("""COMPUTED_VALUE"""),TRUE)</f>
        <v>1</v>
      </c>
      <c r="P380" s="80">
        <f>IFERROR(__xludf.DUMMYFUNCTION("""COMPUTED_VALUE"""),0.043055555555555555)</f>
        <v>0.04305555556</v>
      </c>
      <c r="Q380" s="76" t="str">
        <f>IFERROR(__xludf.DUMMYFUNCTION("""COMPUTED_VALUE"""),"Barcelo")</f>
        <v>Barcelo</v>
      </c>
      <c r="R380" s="76" t="str">
        <f>IFERROR(__xludf.DUMMYFUNCTION("""COMPUTED_VALUE"""),"Family, Green")</f>
        <v>Family, Green</v>
      </c>
      <c r="S380" s="72" t="str">
        <f>IFERROR(__xludf.DUMMYFUNCTION("""COMPUTED_VALUE"""),"Beach, Swim Out/Plunge Pool Rooms, Kids Club, Kids Waterpark, Pool Slide, Water Feature, Gym, Adult Pool, Room Service, Swim Up Bar, Diving, Snorkelling, Evening Entertainment, Spa, Babysitting, Wifi (Paid), Buffet, Mini Golf, Tennis, Nightclub")</f>
        <v>Beach, Swim Out/Plunge Pool Rooms, Kids Club, Kids Waterpark, Pool Slide, Water Feature, Gym, Adult Pool, Room Service, Swim Up Bar, Diving, Snorkelling, Evening Entertainment, Spa, Babysitting, Wifi (Paid), Buffet, Mini Golf, Tennis, Nightclub</v>
      </c>
      <c r="T380" s="72"/>
      <c r="U380" s="76" t="str">
        <f>IFERROR(__xludf.DUMMYFUNCTION("""COMPUTED_VALUE"""),"1 King or 2 Double")</f>
        <v>1 King or 2 Double</v>
      </c>
      <c r="V380" s="74" t="b">
        <f>IFERROR(__xludf.DUMMYFUNCTION("""COMPUTED_VALUE"""),FALSE)</f>
        <v>0</v>
      </c>
      <c r="W380" s="74">
        <f>IFERROR(__xludf.DUMMYFUNCTION("""COMPUTED_VALUE"""),630.0)</f>
        <v>630</v>
      </c>
      <c r="X380" s="74">
        <f>IFERROR(__xludf.DUMMYFUNCTION("""COMPUTED_VALUE"""),1999.0)</f>
        <v>1999</v>
      </c>
      <c r="Y380" s="74">
        <f>IFERROR(__xludf.DUMMYFUNCTION("""COMPUTED_VALUE"""),2013.0)</f>
        <v>2013</v>
      </c>
      <c r="Z380" s="75">
        <f>IFERROR(__xludf.DUMMYFUNCTION("""COMPUTED_VALUE"""),3.0)</f>
        <v>3</v>
      </c>
    </row>
    <row r="381">
      <c r="A381" s="65" t="str">
        <f>IFERROR(__xludf.DUMMYFUNCTION("""COMPUTED_VALUE"""),"Franklyn D. Resort &amp; Spa")</f>
        <v>Franklyn D. Resort &amp; Spa</v>
      </c>
      <c r="B381" s="66">
        <f>IFERROR(__xludf.DUMMYFUNCTION("""COMPUTED_VALUE"""),86.3)</f>
        <v>86.3</v>
      </c>
      <c r="C381" s="67" t="str">
        <f>IFERROR(__xludf.DUMMYFUNCTION("""COMPUTED_VALUE"""),"Family")</f>
        <v>Family</v>
      </c>
      <c r="D381" s="68">
        <f>IFERROR(__xludf.DUMMYFUNCTION("""COMPUTED_VALUE"""),7510.0)</f>
        <v>7510</v>
      </c>
      <c r="E381" s="79">
        <f>IFERROR(__xludf.DUMMYFUNCTION("""COMPUTED_VALUE"""),10371.684748999998)</f>
        <v>10371.68475</v>
      </c>
      <c r="F381" s="69">
        <f>IFERROR(__xludf.DUMMYFUNCTION("""COMPUTED_VALUE"""),0.84)</f>
        <v>0.84</v>
      </c>
      <c r="G381" s="78"/>
      <c r="H381" s="74">
        <f>IFERROR(__xludf.DUMMYFUNCTION("""COMPUTED_VALUE"""),7.0)</f>
        <v>7</v>
      </c>
      <c r="I381" s="78"/>
      <c r="J381" s="78">
        <f>IFERROR(__xludf.DUMMYFUNCTION("""COMPUTED_VALUE"""),3.0)</f>
        <v>3</v>
      </c>
      <c r="K381" s="76"/>
      <c r="L381" s="76" t="str">
        <f>IFERROR(__xludf.DUMMYFUNCTION("""COMPUTED_VALUE"""),"Jamaica")</f>
        <v>Jamaica</v>
      </c>
      <c r="M381" s="76" t="str">
        <f>IFERROR(__xludf.DUMMYFUNCTION("""COMPUTED_VALUE"""),"Runaway Bay")</f>
        <v>Runaway Bay</v>
      </c>
      <c r="N381" s="76" t="str">
        <f>IFERROR(__xludf.DUMMYFUNCTION("""COMPUTED_VALUE"""),"Sangster")</f>
        <v>Sangster</v>
      </c>
      <c r="O381" s="78" t="b">
        <f>IFERROR(__xludf.DUMMYFUNCTION("""COMPUTED_VALUE"""),TRUE)</f>
        <v>1</v>
      </c>
      <c r="P381" s="80">
        <f>IFERROR(__xludf.DUMMYFUNCTION("""COMPUTED_VALUE"""),0.04791666666666667)</f>
        <v>0.04791666667</v>
      </c>
      <c r="Q381" s="76"/>
      <c r="R381" s="76" t="str">
        <f>IFERROR(__xludf.DUMMYFUNCTION("""COMPUTED_VALUE"""),"Family")</f>
        <v>Family</v>
      </c>
      <c r="S381" s="71" t="str">
        <f>IFERROR(__xludf.DUMMYFUNCTION("""COMPUTED_VALUE"""),"Beach, Family Suite, 2 Bedroom Suites, Kids Club, Pool Slide, Water Feature, Gym, Diving, Yoga Classes, Buffet, Snorkelling, Evening Entertainment, Wifi (Free), Babysitting, Mini Golf, Tennis, Fishing, Nightclub, Spa")</f>
        <v>Beach, Family Suite, 2 Bedroom Suites, Kids Club, Pool Slide, Water Feature, Gym, Diving, Yoga Classes, Buffet, Snorkelling, Evening Entertainment, Wifi (Free), Babysitting, Mini Golf, Tennis, Fishing, Nightclub, Spa</v>
      </c>
      <c r="T381" s="71"/>
      <c r="U381" s="76" t="str">
        <f>IFERROR(__xludf.DUMMYFUNCTION("""COMPUTED_VALUE"""),"1 King and 2 Single")</f>
        <v>1 King and 2 Single</v>
      </c>
      <c r="V381" s="74" t="b">
        <f>IFERROR(__xludf.DUMMYFUNCTION("""COMPUTED_VALUE"""),FALSE)</f>
        <v>0</v>
      </c>
      <c r="W381" s="74">
        <f>IFERROR(__xludf.DUMMYFUNCTION("""COMPUTED_VALUE"""),78.0)</f>
        <v>78</v>
      </c>
      <c r="X381" s="74">
        <f>IFERROR(__xludf.DUMMYFUNCTION("""COMPUTED_VALUE"""),1990.0)</f>
        <v>1990</v>
      </c>
      <c r="Y381" s="74">
        <f>IFERROR(__xludf.DUMMYFUNCTION("""COMPUTED_VALUE"""),2013.0)</f>
        <v>2013</v>
      </c>
      <c r="Z381" s="75">
        <f>IFERROR(__xludf.DUMMYFUNCTION("""COMPUTED_VALUE"""),2.0)</f>
        <v>2</v>
      </c>
    </row>
    <row r="382">
      <c r="A382" s="65" t="str">
        <f>IFERROR(__xludf.DUMMYFUNCTION("""COMPUTED_VALUE"""),"Gran Muthu Imperial Hotel")</f>
        <v>Gran Muthu Imperial Hotel</v>
      </c>
      <c r="B382" s="66">
        <f>IFERROR(__xludf.DUMMYFUNCTION("""COMPUTED_VALUE"""),86.0)</f>
        <v>86</v>
      </c>
      <c r="C382" s="67" t="str">
        <f>IFERROR(__xludf.DUMMYFUNCTION("""COMPUTED_VALUE"""),"Adults Only")</f>
        <v>Adults Only</v>
      </c>
      <c r="D382" s="68">
        <f>IFERROR(__xludf.DUMMYFUNCTION("""COMPUTED_VALUE"""),1451.8)</f>
        <v>1451.8</v>
      </c>
      <c r="E382" s="79">
        <f>IFERROR(__xludf.DUMMYFUNCTION("""COMPUTED_VALUE"""),2005.0082448199996)</f>
        <v>2005.008245</v>
      </c>
      <c r="F382" s="69">
        <f>IFERROR(__xludf.DUMMYFUNCTION("""COMPUTED_VALUE"""),4.13)</f>
        <v>4.13</v>
      </c>
      <c r="G382" s="78"/>
      <c r="H382" s="74"/>
      <c r="I382" s="78"/>
      <c r="J382" s="78">
        <f>IFERROR(__xludf.DUMMYFUNCTION("""COMPUTED_VALUE"""),5.0)</f>
        <v>5</v>
      </c>
      <c r="K382" s="76"/>
      <c r="L382" s="76" t="str">
        <f>IFERROR(__xludf.DUMMYFUNCTION("""COMPUTED_VALUE"""),"Cuba")</f>
        <v>Cuba</v>
      </c>
      <c r="M382" s="76" t="str">
        <f>IFERROR(__xludf.DUMMYFUNCTION("""COMPUTED_VALUE"""),"Cayo Guillermo")</f>
        <v>Cayo Guillermo</v>
      </c>
      <c r="N382" s="76" t="str">
        <f>IFERROR(__xludf.DUMMYFUNCTION("""COMPUTED_VALUE"""),"Cayo Coco")</f>
        <v>Cayo Coco</v>
      </c>
      <c r="O382" s="78" t="b">
        <f>IFERROR(__xludf.DUMMYFUNCTION("""COMPUTED_VALUE"""),TRUE)</f>
        <v>1</v>
      </c>
      <c r="P382" s="80">
        <f>IFERROR(__xludf.DUMMYFUNCTION("""COMPUTED_VALUE"""),0.025)</f>
        <v>0.025</v>
      </c>
      <c r="Q382" s="76"/>
      <c r="R382" s="76" t="str">
        <f>IFERROR(__xludf.DUMMYFUNCTION("""COMPUTED_VALUE"""),"Romantic, Ocean View")</f>
        <v>Romantic, Ocean View</v>
      </c>
      <c r="S382" s="71" t="str">
        <f>IFERROR(__xludf.DUMMYFUNCTION("""COMPUTED_VALUE"""),"Beach, Gym, Diving, Swim Up Bar, Snorkelling, Watersports Equipment Rentals, Evening Entertainment, Buffet, Horseback Riding, Tennis, Windsurfing, Fishing")</f>
        <v>Beach, Gym, Diving, Swim Up Bar, Snorkelling, Watersports Equipment Rentals, Evening Entertainment, Buffet, Horseback Riding, Tennis, Windsurfing, Fishing</v>
      </c>
      <c r="T382" s="71"/>
      <c r="U382" s="76"/>
      <c r="V382" s="74" t="b">
        <f>IFERROR(__xludf.DUMMYFUNCTION("""COMPUTED_VALUE"""),FALSE)</f>
        <v>0</v>
      </c>
      <c r="W382" s="74"/>
      <c r="X382" s="74"/>
      <c r="Y382" s="74"/>
      <c r="Z382" s="75"/>
    </row>
    <row r="383">
      <c r="A383" s="65" t="str">
        <f>IFERROR(__xludf.DUMMYFUNCTION("""COMPUTED_VALUE"""),"Meliá Varadero")</f>
        <v>Meliá Varadero</v>
      </c>
      <c r="B383" s="66">
        <f>IFERROR(__xludf.DUMMYFUNCTION("""COMPUTED_VALUE"""),86.0)</f>
        <v>86</v>
      </c>
      <c r="C383" s="67" t="str">
        <f>IFERROR(__xludf.DUMMYFUNCTION("""COMPUTED_VALUE"""),"Family")</f>
        <v>Family</v>
      </c>
      <c r="D383" s="79">
        <f>IFERROR(__xludf.DUMMYFUNCTION("""COMPUTED_VALUE"""),1540.0)</f>
        <v>1540</v>
      </c>
      <c r="E383" s="79">
        <f>IFERROR(__xludf.DUMMYFUNCTION("""COMPUTED_VALUE"""),2126.8168459999997)</f>
        <v>2126.816846</v>
      </c>
      <c r="F383" s="69">
        <f>IFERROR(__xludf.DUMMYFUNCTION("""COMPUTED_VALUE"""),3.9)</f>
        <v>3.9</v>
      </c>
      <c r="G383" s="78"/>
      <c r="H383" s="74">
        <f>IFERROR(__xludf.DUMMYFUNCTION("""COMPUTED_VALUE"""),6.0)</f>
        <v>6</v>
      </c>
      <c r="I383" s="78"/>
      <c r="J383" s="78">
        <f>IFERROR(__xludf.DUMMYFUNCTION("""COMPUTED_VALUE"""),5.0)</f>
        <v>5</v>
      </c>
      <c r="K383" s="76" t="str">
        <f>IFERROR(__xludf.DUMMYFUNCTION("""COMPUTED_VALUE"""),"Max 3 per Room")</f>
        <v>Max 3 per Room</v>
      </c>
      <c r="L383" s="76" t="str">
        <f>IFERROR(__xludf.DUMMYFUNCTION("""COMPUTED_VALUE"""),"Cuba")</f>
        <v>Cuba</v>
      </c>
      <c r="M383" s="76" t="str">
        <f>IFERROR(__xludf.DUMMYFUNCTION("""COMPUTED_VALUE"""),"Varadero")</f>
        <v>Varadero</v>
      </c>
      <c r="N383" s="76" t="str">
        <f>IFERROR(__xludf.DUMMYFUNCTION("""COMPUTED_VALUE"""),"Varadero")</f>
        <v>Varadero</v>
      </c>
      <c r="O383" s="78" t="b">
        <f>IFERROR(__xludf.DUMMYFUNCTION("""COMPUTED_VALUE"""),TRUE)</f>
        <v>1</v>
      </c>
      <c r="P383" s="80">
        <f>IFERROR(__xludf.DUMMYFUNCTION("""COMPUTED_VALUE"""),0.020833333333333332)</f>
        <v>0.02083333333</v>
      </c>
      <c r="Q383" s="76" t="str">
        <f>IFERROR(__xludf.DUMMYFUNCTION("""COMPUTED_VALUE"""),"Melia")</f>
        <v>Melia</v>
      </c>
      <c r="R383" s="76" t="str">
        <f>IFERROR(__xludf.DUMMYFUNCTION("""COMPUTED_VALUE"""),"Bay View, Family")</f>
        <v>Bay View, Family</v>
      </c>
      <c r="S383" s="72" t="str">
        <f>IFERROR(__xludf.DUMMYFUNCTION("""COMPUTED_VALUE"""),"Great Beach, Kids Club, Beach, Gym, Diving, Snorkelling, Evening Entertainment, Nightclub, Spa, Babysitting, Swim Up Bar, Buffet, Tennis")</f>
        <v>Great Beach, Kids Club, Beach, Gym, Diving, Snorkelling, Evening Entertainment, Nightclub, Spa, Babysitting, Swim Up Bar, Buffet, Tennis</v>
      </c>
      <c r="T383" s="72" t="str">
        <f>IFERROR(__xludf.DUMMYFUNCTION("""COMPUTED_VALUE"""),"Can't Book Two Rooms")</f>
        <v>Can't Book Two Rooms</v>
      </c>
      <c r="U383" s="76" t="str">
        <f>IFERROR(__xludf.DUMMYFUNCTION("""COMPUTED_VALUE"""),"1 King")</f>
        <v>1 King</v>
      </c>
      <c r="V383" s="74" t="b">
        <f>IFERROR(__xludf.DUMMYFUNCTION("""COMPUTED_VALUE"""),FALSE)</f>
        <v>0</v>
      </c>
      <c r="W383" s="74">
        <f>IFERROR(__xludf.DUMMYFUNCTION("""COMPUTED_VALUE"""),490.0)</f>
        <v>490</v>
      </c>
      <c r="X383" s="74">
        <f>IFERROR(__xludf.DUMMYFUNCTION("""COMPUTED_VALUE"""),1991.0)</f>
        <v>1991</v>
      </c>
      <c r="Y383" s="74">
        <f>IFERROR(__xludf.DUMMYFUNCTION("""COMPUTED_VALUE"""),2013.0)</f>
        <v>2013</v>
      </c>
      <c r="Z383" s="75">
        <f>IFERROR(__xludf.DUMMYFUNCTION("""COMPUTED_VALUE"""),6.0)</f>
        <v>6</v>
      </c>
    </row>
    <row r="384">
      <c r="A384" s="65" t="str">
        <f>IFERROR(__xludf.DUMMYFUNCTION("""COMPUTED_VALUE"""),"Emporio Ixtapa")</f>
        <v>Emporio Ixtapa</v>
      </c>
      <c r="B384" s="66">
        <f>IFERROR(__xludf.DUMMYFUNCTION("""COMPUTED_VALUE"""),86.0)</f>
        <v>86</v>
      </c>
      <c r="C384" s="67" t="str">
        <f>IFERROR(__xludf.DUMMYFUNCTION("""COMPUTED_VALUE"""),"Family")</f>
        <v>Family</v>
      </c>
      <c r="D384" s="68">
        <f>IFERROR(__xludf.DUMMYFUNCTION("""COMPUTED_VALUE"""),1914.0)</f>
        <v>1914</v>
      </c>
      <c r="E384" s="79">
        <f>IFERROR(__xludf.DUMMYFUNCTION("""COMPUTED_VALUE"""),2643.3295086)</f>
        <v>2643.329509</v>
      </c>
      <c r="F384" s="69">
        <f>IFERROR(__xludf.DUMMYFUNCTION("""COMPUTED_VALUE"""),3.13)</f>
        <v>3.13</v>
      </c>
      <c r="G384" s="78"/>
      <c r="H384" s="74">
        <f>IFERROR(__xludf.DUMMYFUNCTION("""COMPUTED_VALUE"""),4.0)</f>
        <v>4</v>
      </c>
      <c r="I384" s="78"/>
      <c r="J384" s="78">
        <f>IFERROR(__xludf.DUMMYFUNCTION("""COMPUTED_VALUE"""),4.5)</f>
        <v>4.5</v>
      </c>
      <c r="K384" s="71"/>
      <c r="L384" s="76" t="str">
        <f>IFERROR(__xludf.DUMMYFUNCTION("""COMPUTED_VALUE"""),"Mexico")</f>
        <v>Mexico</v>
      </c>
      <c r="M384" s="76" t="str">
        <f>IFERROR(__xludf.DUMMYFUNCTION("""COMPUTED_VALUE"""),"Ixtapa")</f>
        <v>Ixtapa</v>
      </c>
      <c r="N384" s="76" t="str">
        <f>IFERROR(__xludf.DUMMYFUNCTION("""COMPUTED_VALUE"""),"Aeropuerto Internacional de Zihuatanejo")</f>
        <v>Aeropuerto Internacional de Zihuatanejo</v>
      </c>
      <c r="O384" s="78" t="b">
        <f>IFERROR(__xludf.DUMMYFUNCTION("""COMPUTED_VALUE"""),TRUE)</f>
        <v>1</v>
      </c>
      <c r="P384" s="80">
        <f>IFERROR(__xludf.DUMMYFUNCTION("""COMPUTED_VALUE"""),0.01597222222222222)</f>
        <v>0.01597222222</v>
      </c>
      <c r="Q384" s="71" t="str">
        <f>IFERROR(__xludf.DUMMYFUNCTION("""COMPUTED_VALUE"""),"Emporio Hotels &amp; Resorts")</f>
        <v>Emporio Hotels &amp; Resorts</v>
      </c>
      <c r="R384" s="71" t="str">
        <f>IFERROR(__xludf.DUMMYFUNCTION("""COMPUTED_VALUE"""),"Family, Mid-Range")</f>
        <v>Family, Mid-Range</v>
      </c>
      <c r="S384" s="71" t="str">
        <f>IFERROR(__xludf.DUMMYFUNCTION("""COMPUTED_VALUE"""),"Beach, 2 Bedroom Suites, Heated Pool, Kids Waterpark, Gym, Bicycles Available, Adult Pool, Buffet, Tennis, Babysitting, Kids Club, Spa, Swim Up Bar, Evening Entertainment")</f>
        <v>Beach, 2 Bedroom Suites, Heated Pool, Kids Waterpark, Gym, Bicycles Available, Adult Pool, Buffet, Tennis, Babysitting, Kids Club, Spa, Swim Up Bar, Evening Entertainment</v>
      </c>
      <c r="T384" s="71"/>
      <c r="U384" s="76" t="str">
        <f>IFERROR(__xludf.DUMMYFUNCTION("""COMPUTED_VALUE"""),"2 Double")</f>
        <v>2 Double</v>
      </c>
      <c r="V384" s="74" t="b">
        <f>IFERROR(__xludf.DUMMYFUNCTION("""COMPUTED_VALUE"""),TRUE)</f>
        <v>1</v>
      </c>
      <c r="W384" s="74">
        <f>IFERROR(__xludf.DUMMYFUNCTION("""COMPUTED_VALUE"""),219.0)</f>
        <v>219</v>
      </c>
      <c r="X384" s="74">
        <f>IFERROR(__xludf.DUMMYFUNCTION("""COMPUTED_VALUE"""),1978.0)</f>
        <v>1978</v>
      </c>
      <c r="Y384" s="74">
        <f>IFERROR(__xludf.DUMMYFUNCTION("""COMPUTED_VALUE"""),2005.0)</f>
        <v>2005</v>
      </c>
      <c r="Z384" s="75">
        <f>IFERROR(__xludf.DUMMYFUNCTION("""COMPUTED_VALUE"""),11.0)</f>
        <v>11</v>
      </c>
    </row>
    <row r="385">
      <c r="A385" s="65" t="str">
        <f>IFERROR(__xludf.DUMMYFUNCTION("""COMPUTED_VALUE"""),"Sol Palmeras")</f>
        <v>Sol Palmeras</v>
      </c>
      <c r="B385" s="66">
        <f>IFERROR(__xludf.DUMMYFUNCTION("""COMPUTED_VALUE"""),86.0)</f>
        <v>86</v>
      </c>
      <c r="C385" s="67" t="str">
        <f>IFERROR(__xludf.DUMMYFUNCTION("""COMPUTED_VALUE"""),"Family")</f>
        <v>Family</v>
      </c>
      <c r="D385" s="68">
        <f>IFERROR(__xludf.DUMMYFUNCTION("""COMPUTED_VALUE"""),2485.0)</f>
        <v>2485</v>
      </c>
      <c r="E385" s="79">
        <f>IFERROR(__xludf.DUMMYFUNCTION("""COMPUTED_VALUE"""),3431.9090014999997)</f>
        <v>3431.909002</v>
      </c>
      <c r="F385" s="69">
        <f>IFERROR(__xludf.DUMMYFUNCTION("""COMPUTED_VALUE"""),2.41)</f>
        <v>2.41</v>
      </c>
      <c r="G385" s="78"/>
      <c r="H385" s="74">
        <f>IFERROR(__xludf.DUMMYFUNCTION("""COMPUTED_VALUE"""),4.0)</f>
        <v>4</v>
      </c>
      <c r="I385" s="78"/>
      <c r="J385" s="78">
        <f>IFERROR(__xludf.DUMMYFUNCTION("""COMPUTED_VALUE"""),4.5)</f>
        <v>4.5</v>
      </c>
      <c r="K385" s="71"/>
      <c r="L385" s="76" t="str">
        <f>IFERROR(__xludf.DUMMYFUNCTION("""COMPUTED_VALUE"""),"Cuba")</f>
        <v>Cuba</v>
      </c>
      <c r="M385" s="76" t="str">
        <f>IFERROR(__xludf.DUMMYFUNCTION("""COMPUTED_VALUE"""),"Varadero")</f>
        <v>Varadero</v>
      </c>
      <c r="N385" s="76" t="str">
        <f>IFERROR(__xludf.DUMMYFUNCTION("""COMPUTED_VALUE"""),"Varadero")</f>
        <v>Varadero</v>
      </c>
      <c r="O385" s="78" t="b">
        <f>IFERROR(__xludf.DUMMYFUNCTION("""COMPUTED_VALUE"""),TRUE)</f>
        <v>1</v>
      </c>
      <c r="P385" s="80">
        <f>IFERROR(__xludf.DUMMYFUNCTION("""COMPUTED_VALUE"""),0.021527777777777778)</f>
        <v>0.02152777778</v>
      </c>
      <c r="Q385" s="76"/>
      <c r="R385" s="71" t="str">
        <f>IFERROR(__xludf.DUMMYFUNCTION("""COMPUTED_VALUE"""),"Value, Family")</f>
        <v>Value, Family</v>
      </c>
      <c r="S385" s="71" t="str">
        <f>IFERROR(__xludf.DUMMYFUNCTION("""COMPUTED_VALUE"""),"Beach, Great Beach, Family Suite, 2 Bedroom Suites, Kids Club, Babysitting, Buffet, Mini Golf, Tennis, Gym, Yoga Classes, Diving, Snorkelling, Evening Entertainment, Nightclub")</f>
        <v>Beach, Great Beach, Family Suite, 2 Bedroom Suites, Kids Club, Babysitting, Buffet, Mini Golf, Tennis, Gym, Yoga Classes, Diving, Snorkelling, Evening Entertainment, Nightclub</v>
      </c>
      <c r="T385" s="71"/>
      <c r="U385" s="76" t="str">
        <f>IFERROR(__xludf.DUMMYFUNCTION("""COMPUTED_VALUE"""),"1 King")</f>
        <v>1 King</v>
      </c>
      <c r="V385" s="74" t="b">
        <f>IFERROR(__xludf.DUMMYFUNCTION("""COMPUTED_VALUE"""),FALSE)</f>
        <v>0</v>
      </c>
      <c r="W385" s="74">
        <f>IFERROR(__xludf.DUMMYFUNCTION("""COMPUTED_VALUE"""),608.0)</f>
        <v>608</v>
      </c>
      <c r="X385" s="74">
        <f>IFERROR(__xludf.DUMMYFUNCTION("""COMPUTED_VALUE"""),1990.0)</f>
        <v>1990</v>
      </c>
      <c r="Y385" s="74">
        <f>IFERROR(__xludf.DUMMYFUNCTION("""COMPUTED_VALUE"""),2002.0)</f>
        <v>2002</v>
      </c>
      <c r="Z385" s="75">
        <f>IFERROR(__xludf.DUMMYFUNCTION("""COMPUTED_VALUE"""),4.0)</f>
        <v>4</v>
      </c>
    </row>
    <row r="386">
      <c r="A386" s="65" t="str">
        <f>IFERROR(__xludf.DUMMYFUNCTION("""COMPUTED_VALUE"""),"Hotel Riu Yucatan")</f>
        <v>Hotel Riu Yucatan</v>
      </c>
      <c r="B386" s="66">
        <f>IFERROR(__xludf.DUMMYFUNCTION("""COMPUTED_VALUE"""),86.0)</f>
        <v>86</v>
      </c>
      <c r="C386" s="67" t="str">
        <f>IFERROR(__xludf.DUMMYFUNCTION("""COMPUTED_VALUE"""),"Family")</f>
        <v>Family</v>
      </c>
      <c r="D386" s="79">
        <f>IFERROR(__xludf.DUMMYFUNCTION("""COMPUTED_VALUE"""),2548.0)</f>
        <v>2548</v>
      </c>
      <c r="E386" s="79">
        <f>IFERROR(__xludf.DUMMYFUNCTION("""COMPUTED_VALUE"""),3518.9151451999996)</f>
        <v>3518.915145</v>
      </c>
      <c r="F386" s="69">
        <f>IFERROR(__xludf.DUMMYFUNCTION("""COMPUTED_VALUE"""),2.35)</f>
        <v>2.35</v>
      </c>
      <c r="G386" s="78"/>
      <c r="H386" s="74">
        <f>IFERROR(__xludf.DUMMYFUNCTION("""COMPUTED_VALUE"""),6.0)</f>
        <v>6</v>
      </c>
      <c r="I386" s="78"/>
      <c r="J386" s="78">
        <f>IFERROR(__xludf.DUMMYFUNCTION("""COMPUTED_VALUE"""),5.0)</f>
        <v>5</v>
      </c>
      <c r="K386" s="71"/>
      <c r="L386" s="76" t="str">
        <f>IFERROR(__xludf.DUMMYFUNCTION("""COMPUTED_VALUE"""),"Mexico")</f>
        <v>Mexico</v>
      </c>
      <c r="M386" s="76" t="str">
        <f>IFERROR(__xludf.DUMMYFUNCTION("""COMPUTED_VALUE"""),"Playa del Carmen")</f>
        <v>Playa del Carmen</v>
      </c>
      <c r="N386" s="76" t="str">
        <f>IFERROR(__xludf.DUMMYFUNCTION("""COMPUTED_VALUE"""),"Cancun")</f>
        <v>Cancun</v>
      </c>
      <c r="O386" s="78" t="b">
        <f>IFERROR(__xludf.DUMMYFUNCTION("""COMPUTED_VALUE"""),TRUE)</f>
        <v>1</v>
      </c>
      <c r="P386" s="80">
        <f>IFERROR(__xludf.DUMMYFUNCTION("""COMPUTED_VALUE"""),0.04375)</f>
        <v>0.04375</v>
      </c>
      <c r="Q386" s="71" t="str">
        <f>IFERROR(__xludf.DUMMYFUNCTION("""COMPUTED_VALUE"""),"Riu")</f>
        <v>Riu</v>
      </c>
      <c r="R386" s="71" t="str">
        <f>IFERROR(__xludf.DUMMYFUNCTION("""COMPUTED_VALUE"""),"Family")</f>
        <v>Family</v>
      </c>
      <c r="S386" s="71" t="str">
        <f>IFERROR(__xludf.DUMMYFUNCTION("""COMPUTED_VALUE"""),"Beach, Kids Club, Kids Waterpark, Gym, Buffet, Diving, Watersports Equipment Rentals, Nightclub, Babysitting, Swim Up Bar, Snorkelling, Windsurfing, Evening Entertainment, Spa")</f>
        <v>Beach, Kids Club, Kids Waterpark, Gym, Buffet, Diving, Watersports Equipment Rentals, Nightclub, Babysitting, Swim Up Bar, Snorkelling, Windsurfing, Evening Entertainment, Spa</v>
      </c>
      <c r="T386" s="71"/>
      <c r="U386" s="76" t="str">
        <f>IFERROR(__xludf.DUMMYFUNCTION("""COMPUTED_VALUE"""),"2 Small Double")</f>
        <v>2 Small Double</v>
      </c>
      <c r="V386" s="74" t="b">
        <f>IFERROR(__xludf.DUMMYFUNCTION("""COMPUTED_VALUE"""),FALSE)</f>
        <v>0</v>
      </c>
      <c r="W386" s="74">
        <f>IFERROR(__xludf.DUMMYFUNCTION("""COMPUTED_VALUE"""),507.0)</f>
        <v>507</v>
      </c>
      <c r="X386" s="74">
        <f>IFERROR(__xludf.DUMMYFUNCTION("""COMPUTED_VALUE"""),1997.0)</f>
        <v>1997</v>
      </c>
      <c r="Y386" s="74">
        <f>IFERROR(__xludf.DUMMYFUNCTION("""COMPUTED_VALUE"""),2013.0)</f>
        <v>2013</v>
      </c>
      <c r="Z386" s="75">
        <f>IFERROR(__xludf.DUMMYFUNCTION("""COMPUTED_VALUE"""),3.0)</f>
        <v>3</v>
      </c>
    </row>
    <row r="387">
      <c r="A387" s="65" t="str">
        <f>IFERROR(__xludf.DUMMYFUNCTION("""COMPUTED_VALUE"""),"Delta Hotels by Marriott Riviera Nayarit, An All-Inclusive Resort")</f>
        <v>Delta Hotels by Marriott Riviera Nayarit, An All-Inclusive Resort</v>
      </c>
      <c r="B387" s="66">
        <f>IFERROR(__xludf.DUMMYFUNCTION("""COMPUTED_VALUE"""),86.0)</f>
        <v>86</v>
      </c>
      <c r="C387" s="67" t="str">
        <f>IFERROR(__xludf.DUMMYFUNCTION("""COMPUTED_VALUE"""),"Family")</f>
        <v>Family</v>
      </c>
      <c r="D387" s="68">
        <f>IFERROR(__xludf.DUMMYFUNCTION("""COMPUTED_VALUE"""),2584.0)</f>
        <v>2584</v>
      </c>
      <c r="E387" s="79">
        <f>IFERROR(__xludf.DUMMYFUNCTION("""COMPUTED_VALUE"""),3568.6329415999994)</f>
        <v>3568.632942</v>
      </c>
      <c r="F387" s="69">
        <f>IFERROR(__xludf.DUMMYFUNCTION("""COMPUTED_VALUE"""),2.32)</f>
        <v>2.32</v>
      </c>
      <c r="G387" s="78">
        <f>IFERROR(__xludf.DUMMYFUNCTION("""COMPUTED_VALUE"""),4.0)</f>
        <v>4</v>
      </c>
      <c r="H387" s="70" t="str">
        <f>IFERROR(__xludf.DUMMYFUNCTION("""COMPUTED_VALUE"""),"NYR")</f>
        <v>NYR</v>
      </c>
      <c r="I387" s="78"/>
      <c r="J387" s="70">
        <f>IFERROR(__xludf.DUMMYFUNCTION("""COMPUTED_VALUE"""),5.0)</f>
        <v>5</v>
      </c>
      <c r="K387" s="71"/>
      <c r="L387" s="76" t="str">
        <f>IFERROR(__xludf.DUMMYFUNCTION("""COMPUTED_VALUE"""),"Mexico")</f>
        <v>Mexico</v>
      </c>
      <c r="M387" s="76" t="str">
        <f>IFERROR(__xludf.DUMMYFUNCTION("""COMPUTED_VALUE"""),"La Cruz de Huanacaxtle")</f>
        <v>La Cruz de Huanacaxtle</v>
      </c>
      <c r="N387" s="76" t="str">
        <f>IFERROR(__xludf.DUMMYFUNCTION("""COMPUTED_VALUE"""),"Ordaz")</f>
        <v>Ordaz</v>
      </c>
      <c r="O387" s="70" t="b">
        <f>IFERROR(__xludf.DUMMYFUNCTION("""COMPUTED_VALUE"""),TRUE)</f>
        <v>1</v>
      </c>
      <c r="P387" s="73">
        <f>IFERROR(__xludf.DUMMYFUNCTION("""COMPUTED_VALUE"""),0.025694444444444443)</f>
        <v>0.02569444444</v>
      </c>
      <c r="Q387" s="71" t="str">
        <f>IFERROR(__xludf.DUMMYFUNCTION("""COMPUTED_VALUE"""),"Marriott")</f>
        <v>Marriott</v>
      </c>
      <c r="R387" s="71" t="str">
        <f>IFERROR(__xludf.DUMMYFUNCTION("""COMPUTED_VALUE"""),"Quaint, Mid-Range")</f>
        <v>Quaint, Mid-Range</v>
      </c>
      <c r="S387" s="71" t="str">
        <f>IFERROR(__xludf.DUMMYFUNCTION("""COMPUTED_VALUE"""),"Beach, Lazy River, Gym, Wifi (Free), Spa, Buffet")</f>
        <v>Beach, Lazy River, Gym, Wifi (Free), Spa, Buffet</v>
      </c>
      <c r="T387" s="71"/>
      <c r="U387" s="71" t="str">
        <f>IFERROR(__xludf.DUMMYFUNCTION("""COMPUTED_VALUE"""),"1 King or 2 Queen")</f>
        <v>1 King or 2 Queen</v>
      </c>
      <c r="V387" s="70" t="b">
        <f>IFERROR(__xludf.DUMMYFUNCTION("""COMPUTED_VALUE"""),TRUE)</f>
        <v>1</v>
      </c>
      <c r="W387" s="70">
        <f>IFERROR(__xludf.DUMMYFUNCTION("""COMPUTED_VALUE"""),117.0)</f>
        <v>117</v>
      </c>
      <c r="X387" s="70">
        <f>IFERROR(__xludf.DUMMYFUNCTION("""COMPUTED_VALUE"""),2021.0)</f>
        <v>2021</v>
      </c>
      <c r="Y387" s="70"/>
      <c r="Z387" s="83">
        <f>IFERROR(__xludf.DUMMYFUNCTION("""COMPUTED_VALUE"""),5.0)</f>
        <v>5</v>
      </c>
    </row>
    <row r="388">
      <c r="A388" s="77" t="str">
        <f>IFERROR(__xludf.DUMMYFUNCTION("""COMPUTED_VALUE"""),"Decameron Los Cocos Guayabitos, Ramada All-inclusive Resort")</f>
        <v>Decameron Los Cocos Guayabitos, Ramada All-inclusive Resort</v>
      </c>
      <c r="B388" s="66">
        <f>IFERROR(__xludf.DUMMYFUNCTION("""COMPUTED_VALUE"""),86.0)</f>
        <v>86</v>
      </c>
      <c r="C388" s="78" t="str">
        <f>IFERROR(__xludf.DUMMYFUNCTION("""COMPUTED_VALUE"""),"Family")</f>
        <v>Family</v>
      </c>
      <c r="D388" s="68">
        <f>IFERROR(__xludf.DUMMYFUNCTION("""COMPUTED_VALUE"""),3236.38)</f>
        <v>3236.38</v>
      </c>
      <c r="E388" s="68">
        <f>IFERROR(__xludf.DUMMYFUNCTION("""COMPUTED_VALUE"""),4469.602275362)</f>
        <v>4469.602275</v>
      </c>
      <c r="F388" s="69">
        <f>IFERROR(__xludf.DUMMYFUNCTION("""COMPUTED_VALUE"""),1.85)</f>
        <v>1.85</v>
      </c>
      <c r="G388" s="74"/>
      <c r="H388" s="74" t="str">
        <f>IFERROR(__xludf.DUMMYFUNCTION("""COMPUTED_VALUE"""),"NYR")</f>
        <v>NYR</v>
      </c>
      <c r="I388" s="74"/>
      <c r="J388" s="74">
        <f>IFERROR(__xludf.DUMMYFUNCTION("""COMPUTED_VALUE"""),3.0)</f>
        <v>3</v>
      </c>
      <c r="K388" s="71"/>
      <c r="L388" s="76" t="str">
        <f>IFERROR(__xludf.DUMMYFUNCTION("""COMPUTED_VALUE"""),"Mexico")</f>
        <v>Mexico</v>
      </c>
      <c r="M388" s="76" t="str">
        <f>IFERROR(__xludf.DUMMYFUNCTION("""COMPUTED_VALUE"""),"Rincon de Guayabitos")</f>
        <v>Rincon de Guayabitos</v>
      </c>
      <c r="N388" s="76" t="str">
        <f>IFERROR(__xludf.DUMMYFUNCTION("""COMPUTED_VALUE"""),"Ordaz")</f>
        <v>Ordaz</v>
      </c>
      <c r="O388" s="74" t="b">
        <f>IFERROR(__xludf.DUMMYFUNCTION("""COMPUTED_VALUE"""),TRUE)</f>
        <v>1</v>
      </c>
      <c r="P388" s="73">
        <f>IFERROR(__xludf.DUMMYFUNCTION("""COMPUTED_VALUE"""),0.04027777777777778)</f>
        <v>0.04027777778</v>
      </c>
      <c r="Q388" s="71" t="str">
        <f>IFERROR(__xludf.DUMMYFUNCTION("""COMPUTED_VALUE"""),"Wyndham Hotels")</f>
        <v>Wyndham Hotels</v>
      </c>
      <c r="R388" s="71" t="str">
        <f>IFERROR(__xludf.DUMMYFUNCTION("""COMPUTED_VALUE"""),"Bay View, Centrally Located")</f>
        <v>Bay View, Centrally Located</v>
      </c>
      <c r="S388" s="72" t="str">
        <f>IFERROR(__xludf.DUMMYFUNCTION("""COMPUTED_VALUE"""),"Beach, Gym, Tennis, Buffet, Evening Entertainment, Kids Club, Spa, Adult Pool, Fishing")</f>
        <v>Beach, Gym, Tennis, Buffet, Evening Entertainment, Kids Club, Spa, Adult Pool, Fishing</v>
      </c>
      <c r="T388" s="72"/>
      <c r="U388" s="72" t="str">
        <f>IFERROR(__xludf.DUMMYFUNCTION("""COMPUTED_VALUE"""),"1 King or 2 Double")</f>
        <v>1 King or 2 Double</v>
      </c>
      <c r="V388" s="74" t="b">
        <f>IFERROR(__xludf.DUMMYFUNCTION("""COMPUTED_VALUE"""),FALSE)</f>
        <v>0</v>
      </c>
      <c r="W388" s="74">
        <f>IFERROR(__xludf.DUMMYFUNCTION("""COMPUTED_VALUE"""),240.0)</f>
        <v>240</v>
      </c>
      <c r="X388" s="74">
        <f>IFERROR(__xludf.DUMMYFUNCTION("""COMPUTED_VALUE"""),1996.0)</f>
        <v>1996</v>
      </c>
      <c r="Y388" s="74"/>
      <c r="Z388" s="75">
        <f>IFERROR(__xludf.DUMMYFUNCTION("""COMPUTED_VALUE"""),4.0)</f>
        <v>4</v>
      </c>
    </row>
    <row r="389">
      <c r="A389" s="65" t="str">
        <f>IFERROR(__xludf.DUMMYFUNCTION("""COMPUTED_VALUE"""),"Hyatt Zilara Riviera Maya")</f>
        <v>Hyatt Zilara Riviera Maya</v>
      </c>
      <c r="B389" s="66">
        <f>IFERROR(__xludf.DUMMYFUNCTION("""COMPUTED_VALUE"""),86.0)</f>
        <v>86</v>
      </c>
      <c r="C389" s="67" t="str">
        <f>IFERROR(__xludf.DUMMYFUNCTION("""COMPUTED_VALUE"""),"Adults Only")</f>
        <v>Adults Only</v>
      </c>
      <c r="D389" s="79">
        <f>IFERROR(__xludf.DUMMYFUNCTION("""COMPUTED_VALUE"""),4025.7)</f>
        <v>4025.7</v>
      </c>
      <c r="E389" s="79">
        <f>IFERROR(__xludf.DUMMYFUNCTION("""COMPUTED_VALUE"""),5559.692582429999)</f>
        <v>5559.692582</v>
      </c>
      <c r="F389" s="69">
        <f>IFERROR(__xludf.DUMMYFUNCTION("""COMPUTED_VALUE"""),1.49)</f>
        <v>1.49</v>
      </c>
      <c r="G389" s="78"/>
      <c r="H389" s="74">
        <f>IFERROR(__xludf.DUMMYFUNCTION("""COMPUTED_VALUE"""),8.0)</f>
        <v>8</v>
      </c>
      <c r="I389" s="78" t="str">
        <f>IFERROR(__xludf.DUMMYFUNCTION("""COMPUTED_VALUE"""),"C")</f>
        <v>C</v>
      </c>
      <c r="J389" s="78">
        <f>IFERROR(__xludf.DUMMYFUNCTION("""COMPUTED_VALUE"""),5.0)</f>
        <v>5</v>
      </c>
      <c r="K389" s="71"/>
      <c r="L389" s="76" t="str">
        <f>IFERROR(__xludf.DUMMYFUNCTION("""COMPUTED_VALUE"""),"Mexico")</f>
        <v>Mexico</v>
      </c>
      <c r="M389" s="76" t="str">
        <f>IFERROR(__xludf.DUMMYFUNCTION("""COMPUTED_VALUE"""),"Solidaridad")</f>
        <v>Solidaridad</v>
      </c>
      <c r="N389" s="76" t="str">
        <f>IFERROR(__xludf.DUMMYFUNCTION("""COMPUTED_VALUE"""),"Cancun")</f>
        <v>Cancun</v>
      </c>
      <c r="O389" s="78" t="b">
        <f>IFERROR(__xludf.DUMMYFUNCTION("""COMPUTED_VALUE"""),TRUE)</f>
        <v>1</v>
      </c>
      <c r="P389" s="80">
        <f>IFERROR(__xludf.DUMMYFUNCTION("""COMPUTED_VALUE"""),0.025694444444444443)</f>
        <v>0.02569444444</v>
      </c>
      <c r="Q389" s="71" t="str">
        <f>IFERROR(__xludf.DUMMYFUNCTION("""COMPUTED_VALUE"""),"Hyatt")</f>
        <v>Hyatt</v>
      </c>
      <c r="R389" s="71"/>
      <c r="S389" s="71" t="str">
        <f>IFERROR(__xludf.DUMMYFUNCTION("""COMPUTED_VALUE"""),"Beach, Swim Out/Plunge Pool Rooms, Gym, Wifi (Free), Buffet, Evening Entertainment, Spa")</f>
        <v>Beach, Swim Out/Plunge Pool Rooms, Gym, Wifi (Free), Buffet, Evening Entertainment, Spa</v>
      </c>
      <c r="T389" s="71"/>
      <c r="U389" s="71"/>
      <c r="V389" s="74" t="b">
        <f>IFERROR(__xludf.DUMMYFUNCTION("""COMPUTED_VALUE"""),FALSE)</f>
        <v>0</v>
      </c>
      <c r="W389" s="74">
        <f>IFERROR(__xludf.DUMMYFUNCTION("""COMPUTED_VALUE"""),291.0)</f>
        <v>291</v>
      </c>
      <c r="X389" s="74">
        <f>IFERROR(__xludf.DUMMYFUNCTION("""COMPUTED_VALUE"""),2003.0)</f>
        <v>2003</v>
      </c>
      <c r="Y389" s="74">
        <f>IFERROR(__xludf.DUMMYFUNCTION("""COMPUTED_VALUE"""),2022.0)</f>
        <v>2022</v>
      </c>
      <c r="Z389" s="75">
        <f>IFERROR(__xludf.DUMMYFUNCTION("""COMPUTED_VALUE"""),4.0)</f>
        <v>4</v>
      </c>
    </row>
    <row r="390">
      <c r="A390" s="82" t="str">
        <f>IFERROR(__xludf.DUMMYFUNCTION("""COMPUTED_VALUE"""),"Ventus at Marina El Cid Spa &amp; Beach Resort")</f>
        <v>Ventus at Marina El Cid Spa &amp; Beach Resort</v>
      </c>
      <c r="B390" s="66">
        <f>IFERROR(__xludf.DUMMYFUNCTION("""COMPUTED_VALUE"""),86.0)</f>
        <v>86</v>
      </c>
      <c r="C390" s="78" t="str">
        <f>IFERROR(__xludf.DUMMYFUNCTION("""COMPUTED_VALUE"""),"Family")</f>
        <v>Family</v>
      </c>
      <c r="D390" s="68">
        <f>IFERROR(__xludf.DUMMYFUNCTION("""COMPUTED_VALUE"""),4140.91)</f>
        <v>4140.91</v>
      </c>
      <c r="E390" s="68">
        <f>IFERROR(__xludf.DUMMYFUNCTION("""COMPUTED_VALUE"""),5718.803341408999)</f>
        <v>5718.803341</v>
      </c>
      <c r="F390" s="69">
        <f>IFERROR(__xludf.DUMMYFUNCTION("""COMPUTED_VALUE"""),1.45)</f>
        <v>1.45</v>
      </c>
      <c r="G390" s="70"/>
      <c r="H390" s="70">
        <f>IFERROR(__xludf.DUMMYFUNCTION("""COMPUTED_VALUE"""),7.0)</f>
        <v>7</v>
      </c>
      <c r="I390" s="70"/>
      <c r="J390" s="70">
        <f>IFERROR(__xludf.DUMMYFUNCTION("""COMPUTED_VALUE"""),4.0)</f>
        <v>4</v>
      </c>
      <c r="K390" s="71"/>
      <c r="L390" s="76" t="str">
        <f>IFERROR(__xludf.DUMMYFUNCTION("""COMPUTED_VALUE"""),"Mexico")</f>
        <v>Mexico</v>
      </c>
      <c r="M390" s="76" t="str">
        <f>IFERROR(__xludf.DUMMYFUNCTION("""COMPUTED_VALUE"""),"Puerto Morelos")</f>
        <v>Puerto Morelos</v>
      </c>
      <c r="N390" s="76" t="str">
        <f>IFERROR(__xludf.DUMMYFUNCTION("""COMPUTED_VALUE"""),"Cancun")</f>
        <v>Cancun</v>
      </c>
      <c r="O390" s="70" t="b">
        <f>IFERROR(__xludf.DUMMYFUNCTION("""COMPUTED_VALUE"""),TRUE)</f>
        <v>1</v>
      </c>
      <c r="P390" s="73">
        <f>IFERROR(__xludf.DUMMYFUNCTION("""COMPUTED_VALUE"""),0.02361111111111111)</f>
        <v>0.02361111111</v>
      </c>
      <c r="Q390" s="76" t="str">
        <f>IFERROR(__xludf.DUMMYFUNCTION("""COMPUTED_VALUE"""),"El Cid Resorts")</f>
        <v>El Cid Resorts</v>
      </c>
      <c r="R390" s="71" t="str">
        <f>IFERROR(__xludf.DUMMYFUNCTION("""COMPUTED_VALUE"""),"Great View, Family")</f>
        <v>Great View, Family</v>
      </c>
      <c r="S390" s="71" t="str">
        <f>IFERROR(__xludf.DUMMYFUNCTION("""COMPUTED_VALUE"""),"Beach, Swim Out/Plunge Pool Rooms, Kids Club, Teen Club, Pool Slide, Water Feature, Gym, Bicycles Available, Adult Pool, Buffet, Evening Entertainment, Spa, Babysitting, Wifi (Paid), Swim Up Bar")</f>
        <v>Beach, Swim Out/Plunge Pool Rooms, Kids Club, Teen Club, Pool Slide, Water Feature, Gym, Bicycles Available, Adult Pool, Buffet, Evening Entertainment, Spa, Babysitting, Wifi (Paid), Swim Up Bar</v>
      </c>
      <c r="T390" s="71"/>
      <c r="U390" s="71" t="str">
        <f>IFERROR(__xludf.DUMMYFUNCTION("""COMPUTED_VALUE"""),"2 Double")</f>
        <v>2 Double</v>
      </c>
      <c r="V390" s="74" t="b">
        <f>IFERROR(__xludf.DUMMYFUNCTION("""COMPUTED_VALUE"""),FALSE)</f>
        <v>0</v>
      </c>
      <c r="W390" s="74">
        <f>IFERROR(__xludf.DUMMYFUNCTION("""COMPUTED_VALUE"""),290.0)</f>
        <v>290</v>
      </c>
      <c r="X390" s="74">
        <f>IFERROR(__xludf.DUMMYFUNCTION("""COMPUTED_VALUE"""),2017.0)</f>
        <v>2017</v>
      </c>
      <c r="Y390" s="74"/>
      <c r="Z390" s="75">
        <f>IFERROR(__xludf.DUMMYFUNCTION("""COMPUTED_VALUE"""),5.0)</f>
        <v>5</v>
      </c>
    </row>
    <row r="391">
      <c r="A391" s="77" t="str">
        <f>IFERROR(__xludf.DUMMYFUNCTION("""COMPUTED_VALUE"""),"Bahia Principe Luxury Esmeralda")</f>
        <v>Bahia Principe Luxury Esmeralda</v>
      </c>
      <c r="B391" s="66">
        <f>IFERROR(__xludf.DUMMYFUNCTION("""COMPUTED_VALUE"""),86.0)</f>
        <v>86</v>
      </c>
      <c r="C391" s="78" t="str">
        <f>IFERROR(__xludf.DUMMYFUNCTION("""COMPUTED_VALUE"""),"Family")</f>
        <v>Family</v>
      </c>
      <c r="D391" s="68">
        <f>IFERROR(__xludf.DUMMYFUNCTION("""COMPUTED_VALUE"""),4752.75)</f>
        <v>4752.75</v>
      </c>
      <c r="E391" s="68">
        <f>IFERROR(__xludf.DUMMYFUNCTION("""COMPUTED_VALUE"""),6563.784912224999)</f>
        <v>6563.784912</v>
      </c>
      <c r="F391" s="69">
        <f>IFERROR(__xludf.DUMMYFUNCTION("""COMPUTED_VALUE"""),1.26)</f>
        <v>1.26</v>
      </c>
      <c r="G391" s="70">
        <f>IFERROR(__xludf.DUMMYFUNCTION("""COMPUTED_VALUE"""),3.0)</f>
        <v>3</v>
      </c>
      <c r="H391" s="70">
        <f>IFERROR(__xludf.DUMMYFUNCTION("""COMPUTED_VALUE"""),7.0)</f>
        <v>7</v>
      </c>
      <c r="I391" s="70"/>
      <c r="J391" s="70">
        <f>IFERROR(__xludf.DUMMYFUNCTION("""COMPUTED_VALUE"""),5.0)</f>
        <v>5</v>
      </c>
      <c r="K391" s="71"/>
      <c r="L391" s="72" t="str">
        <f>IFERROR(__xludf.DUMMYFUNCTION("""COMPUTED_VALUE"""),"Dominican Republic")</f>
        <v>Dominican Republic</v>
      </c>
      <c r="M391" s="72" t="str">
        <f>IFERROR(__xludf.DUMMYFUNCTION("""COMPUTED_VALUE"""),"Punta Cana")</f>
        <v>Punta Cana</v>
      </c>
      <c r="N391" s="72" t="str">
        <f>IFERROR(__xludf.DUMMYFUNCTION("""COMPUTED_VALUE"""),"Punta Cana")</f>
        <v>Punta Cana</v>
      </c>
      <c r="O391" s="74" t="b">
        <f>IFERROR(__xludf.DUMMYFUNCTION("""COMPUTED_VALUE"""),TRUE)</f>
        <v>1</v>
      </c>
      <c r="P391" s="73">
        <f>IFERROR(__xludf.DUMMYFUNCTION("""COMPUTED_VALUE"""),0.01875)</f>
        <v>0.01875</v>
      </c>
      <c r="Q391" s="71" t="str">
        <f>IFERROR(__xludf.DUMMYFUNCTION("""COMPUTED_VALUE"""),"Bahia Principe")</f>
        <v>Bahia Principe</v>
      </c>
      <c r="R391" s="71" t="str">
        <f>IFERROR(__xludf.DUMMYFUNCTION("""COMPUTED_VALUE"""),"Family")</f>
        <v>Family</v>
      </c>
      <c r="S391" s="71" t="str">
        <f>IFERROR(__xludf.DUMMYFUNCTION("""COMPUTED_VALUE"""),"Beach, Swim Out/Plunge Pool Rooms, Kids Club, Teen Club, Kids Waterpark, Gym, Tennis, Swim Up Bar, Spa, Diving, Adult Pool, Buffet, Evening Entertainment, Nightclub")</f>
        <v>Beach, Swim Out/Plunge Pool Rooms, Kids Club, Teen Club, Kids Waterpark, Gym, Tennis, Swim Up Bar, Spa, Diving, Adult Pool, Buffet, Evening Entertainment, Nightclub</v>
      </c>
      <c r="T391" s="71" t="str">
        <f>IFERROR(__xludf.DUMMYFUNCTION("""COMPUTED_VALUE"""),"Yes")</f>
        <v>Yes</v>
      </c>
      <c r="U391" s="72" t="str">
        <f>IFERROR(__xludf.DUMMYFUNCTION("""COMPUTED_VALUE"""),"1 King or 2 Double")</f>
        <v>1 King or 2 Double</v>
      </c>
      <c r="V391" s="74" t="b">
        <f>IFERROR(__xludf.DUMMYFUNCTION("""COMPUTED_VALUE"""),FALSE)</f>
        <v>0</v>
      </c>
      <c r="W391" s="74">
        <f>IFERROR(__xludf.DUMMYFUNCTION("""COMPUTED_VALUE"""),570.0)</f>
        <v>570</v>
      </c>
      <c r="X391" s="74">
        <f>IFERROR(__xludf.DUMMYFUNCTION("""COMPUTED_VALUE"""),2008.0)</f>
        <v>2008</v>
      </c>
      <c r="Y391" s="74">
        <f>IFERROR(__xludf.DUMMYFUNCTION("""COMPUTED_VALUE"""),2023.0)</f>
        <v>2023</v>
      </c>
      <c r="Z391" s="75">
        <f>IFERROR(__xludf.DUMMYFUNCTION("""COMPUTED_VALUE"""),3.0)</f>
        <v>3</v>
      </c>
    </row>
    <row r="392">
      <c r="A392" s="65" t="str">
        <f>IFERROR(__xludf.DUMMYFUNCTION("""COMPUTED_VALUE"""),"Grand Palladium Costa Mujeres Resort &amp; Spa")</f>
        <v>Grand Palladium Costa Mujeres Resort &amp; Spa</v>
      </c>
      <c r="B392" s="66">
        <f>IFERROR(__xludf.DUMMYFUNCTION("""COMPUTED_VALUE"""),86.0)</f>
        <v>86</v>
      </c>
      <c r="C392" s="67" t="str">
        <f>IFERROR(__xludf.DUMMYFUNCTION("""COMPUTED_VALUE"""),"Family")</f>
        <v>Family</v>
      </c>
      <c r="D392" s="68">
        <f>IFERROR(__xludf.DUMMYFUNCTION("""COMPUTED_VALUE"""),4909.7)</f>
        <v>4909.7</v>
      </c>
      <c r="E392" s="79">
        <f>IFERROR(__xludf.DUMMYFUNCTION("""COMPUTED_VALUE"""),6780.540694029999)</f>
        <v>6780.540694</v>
      </c>
      <c r="F392" s="69">
        <f>IFERROR(__xludf.DUMMYFUNCTION("""COMPUTED_VALUE"""),1.22)</f>
        <v>1.22</v>
      </c>
      <c r="G392" s="78"/>
      <c r="H392" s="74" t="str">
        <f>IFERROR(__xludf.DUMMYFUNCTION("""COMPUTED_VALUE"""),"NYR")</f>
        <v>NYR</v>
      </c>
      <c r="I392" s="78"/>
      <c r="J392" s="78">
        <f>IFERROR(__xludf.DUMMYFUNCTION("""COMPUTED_VALUE"""),5.0)</f>
        <v>5</v>
      </c>
      <c r="K392" s="76"/>
      <c r="L392" s="76" t="str">
        <f>IFERROR(__xludf.DUMMYFUNCTION("""COMPUTED_VALUE"""),"Mexico")</f>
        <v>Mexico</v>
      </c>
      <c r="M392" s="76" t="str">
        <f>IFERROR(__xludf.DUMMYFUNCTION("""COMPUTED_VALUE"""),"Playa Mujeres")</f>
        <v>Playa Mujeres</v>
      </c>
      <c r="N392" s="76" t="str">
        <f>IFERROR(__xludf.DUMMYFUNCTION("""COMPUTED_VALUE"""),"Cancun")</f>
        <v>Cancun</v>
      </c>
      <c r="O392" s="78" t="b">
        <f>IFERROR(__xludf.DUMMYFUNCTION("""COMPUTED_VALUE"""),TRUE)</f>
        <v>1</v>
      </c>
      <c r="P392" s="80">
        <f>IFERROR(__xludf.DUMMYFUNCTION("""COMPUTED_VALUE"""),0.03611111111111111)</f>
        <v>0.03611111111</v>
      </c>
      <c r="Q392" s="76" t="str">
        <f>IFERROR(__xludf.DUMMYFUNCTION("""COMPUTED_VALUE"""),"Wyndham Hotels")</f>
        <v>Wyndham Hotels</v>
      </c>
      <c r="R392" s="76" t="str">
        <f>IFERROR(__xludf.DUMMYFUNCTION("""COMPUTED_VALUE"""),"Business, Family")</f>
        <v>Business, Family</v>
      </c>
      <c r="S392" s="71" t="str">
        <f>IFERROR(__xludf.DUMMYFUNCTION("""COMPUTED_VALUE"""),"Beach, Swim Out/Plunge Pool Rooms, Kids Club, Teen Club, Kids Waterpark, Pool Slide, Water Feature, Kids Club for Under 4, Gym, Tennis, Spa, Wifi (Free), Babysitting, Buffet, Swim Up Bar, Evening Entertainment")</f>
        <v>Beach, Swim Out/Plunge Pool Rooms, Kids Club, Teen Club, Kids Waterpark, Pool Slide, Water Feature, Kids Club for Under 4, Gym, Tennis, Spa, Wifi (Free), Babysitting, Buffet, Swim Up Bar, Evening Entertainment</v>
      </c>
      <c r="T392" s="71"/>
      <c r="U392" s="71" t="str">
        <f>IFERROR(__xludf.DUMMYFUNCTION("""COMPUTED_VALUE"""),"1 King or 2 Double")</f>
        <v>1 King or 2 Double</v>
      </c>
      <c r="V392" s="74" t="b">
        <f>IFERROR(__xludf.DUMMYFUNCTION("""COMPUTED_VALUE"""),FALSE)</f>
        <v>0</v>
      </c>
      <c r="W392" s="74">
        <f>IFERROR(__xludf.DUMMYFUNCTION("""COMPUTED_VALUE"""),670.0)</f>
        <v>670</v>
      </c>
      <c r="X392" s="74"/>
      <c r="Y392" s="74"/>
      <c r="Z392" s="75"/>
    </row>
    <row r="393">
      <c r="A393" s="65" t="str">
        <f>IFERROR(__xludf.DUMMYFUNCTION("""COMPUTED_VALUE"""),"Marina Fiesta Resort &amp; Spa")</f>
        <v>Marina Fiesta Resort &amp; Spa</v>
      </c>
      <c r="B393" s="66">
        <f>IFERROR(__xludf.DUMMYFUNCTION("""COMPUTED_VALUE"""),86.0)</f>
        <v>86</v>
      </c>
      <c r="C393" s="67" t="str">
        <f>IFERROR(__xludf.DUMMYFUNCTION("""COMPUTED_VALUE"""),"Family")</f>
        <v>Family</v>
      </c>
      <c r="D393" s="68">
        <f>IFERROR(__xludf.DUMMYFUNCTION("""COMPUTED_VALUE"""),5002.83)</f>
        <v>5002.83</v>
      </c>
      <c r="E393" s="79">
        <f>IFERROR(__xludf.DUMMYFUNCTION("""COMPUTED_VALUE"""),6909.157871216999)</f>
        <v>6909.157871</v>
      </c>
      <c r="F393" s="69">
        <f>IFERROR(__xludf.DUMMYFUNCTION("""COMPUTED_VALUE"""),1.2)</f>
        <v>1.2</v>
      </c>
      <c r="G393" s="78">
        <f>IFERROR(__xludf.DUMMYFUNCTION("""COMPUTED_VALUE"""),3.0)</f>
        <v>3</v>
      </c>
      <c r="H393" s="74">
        <f>IFERROR(__xludf.DUMMYFUNCTION("""COMPUTED_VALUE"""),6.0)</f>
        <v>6</v>
      </c>
      <c r="I393" s="78"/>
      <c r="J393" s="78">
        <f>IFERROR(__xludf.DUMMYFUNCTION("""COMPUTED_VALUE"""),4.0)</f>
        <v>4</v>
      </c>
      <c r="K393" s="71"/>
      <c r="L393" s="76" t="str">
        <f>IFERROR(__xludf.DUMMYFUNCTION("""COMPUTED_VALUE"""),"Mexico")</f>
        <v>Mexico</v>
      </c>
      <c r="M393" s="76" t="str">
        <f>IFERROR(__xludf.DUMMYFUNCTION("""COMPUTED_VALUE"""),"Cabo San Lucas")</f>
        <v>Cabo San Lucas</v>
      </c>
      <c r="N393" s="76" t="str">
        <f>IFERROR(__xludf.DUMMYFUNCTION("""COMPUTED_VALUE"""),"Los Cabos")</f>
        <v>Los Cabos</v>
      </c>
      <c r="O393" s="78" t="b">
        <f>IFERROR(__xludf.DUMMYFUNCTION("""COMPUTED_VALUE"""),TRUE)</f>
        <v>1</v>
      </c>
      <c r="P393" s="73">
        <f>IFERROR(__xludf.DUMMYFUNCTION("""COMPUTED_VALUE"""),0.027777777777777776)</f>
        <v>0.02777777778</v>
      </c>
      <c r="Q393" s="71" t="str">
        <f>IFERROR(__xludf.DUMMYFUNCTION("""COMPUTED_VALUE"""),"Mexico Grand Hotels")</f>
        <v>Mexico Grand Hotels</v>
      </c>
      <c r="R393" s="71" t="str">
        <f>IFERROR(__xludf.DUMMYFUNCTION("""COMPUTED_VALUE"""),"Marina View, Centrally Located")</f>
        <v>Marina View, Centrally Located</v>
      </c>
      <c r="S393" s="71" t="str">
        <f>IFERROR(__xludf.DUMMYFUNCTION("""COMPUTED_VALUE"""),"Family Suite, 2 Bedroom Suites, Kids Club, Kids Waterpark, Heated Pool, Gym, Snorkelling, Fishing, Spa, Diving, Wifi (Paid), Buffet, Swim Up Bar, Pets Allowed")</f>
        <v>Family Suite, 2 Bedroom Suites, Kids Club, Kids Waterpark, Heated Pool, Gym, Snorkelling, Fishing, Spa, Diving, Wifi (Paid), Buffet, Swim Up Bar, Pets Allowed</v>
      </c>
      <c r="T393" s="71"/>
      <c r="U393" s="71" t="str">
        <f>IFERROR(__xludf.DUMMYFUNCTION("""COMPUTED_VALUE"""),"1 Queen and 1 Sofa Bed or 1 King or 2 Queen")</f>
        <v>1 Queen and 1 Sofa Bed or 1 King or 2 Queen</v>
      </c>
      <c r="V393" s="74" t="b">
        <f>IFERROR(__xludf.DUMMYFUNCTION("""COMPUTED_VALUE"""),FALSE)</f>
        <v>0</v>
      </c>
      <c r="W393" s="74">
        <f>IFERROR(__xludf.DUMMYFUNCTION("""COMPUTED_VALUE"""),155.0)</f>
        <v>155</v>
      </c>
      <c r="X393" s="74">
        <f>IFERROR(__xludf.DUMMYFUNCTION("""COMPUTED_VALUE"""),1992.0)</f>
        <v>1992</v>
      </c>
      <c r="Y393" s="74">
        <f>IFERROR(__xludf.DUMMYFUNCTION("""COMPUTED_VALUE"""),2010.0)</f>
        <v>2010</v>
      </c>
      <c r="Z393" s="75">
        <f>IFERROR(__xludf.DUMMYFUNCTION("""COMPUTED_VALUE"""),7.0)</f>
        <v>7</v>
      </c>
    </row>
    <row r="394">
      <c r="A394" s="65" t="str">
        <f>IFERROR(__xludf.DUMMYFUNCTION("""COMPUTED_VALUE"""),"Hilton Rose Hall Resort &amp; Spa")</f>
        <v>Hilton Rose Hall Resort &amp; Spa</v>
      </c>
      <c r="B394" s="66">
        <f>IFERROR(__xludf.DUMMYFUNCTION("""COMPUTED_VALUE"""),86.0)</f>
        <v>86</v>
      </c>
      <c r="C394" s="67" t="str">
        <f>IFERROR(__xludf.DUMMYFUNCTION("""COMPUTED_VALUE"""),"Family")</f>
        <v>Family</v>
      </c>
      <c r="D394" s="85">
        <f>IFERROR(__xludf.DUMMYFUNCTION("""COMPUTED_VALUE"""),5329.66)</f>
        <v>5329.66</v>
      </c>
      <c r="E394" s="79">
        <f>IFERROR(__xludf.DUMMYFUNCTION("""COMPUTED_VALUE"""),7360.526410033999)</f>
        <v>7360.52641</v>
      </c>
      <c r="F394" s="69">
        <f>IFERROR(__xludf.DUMMYFUNCTION("""COMPUTED_VALUE"""),1.13)</f>
        <v>1.13</v>
      </c>
      <c r="G394" s="78">
        <f>IFERROR(__xludf.DUMMYFUNCTION("""COMPUTED_VALUE"""),3.0)</f>
        <v>3</v>
      </c>
      <c r="H394" s="74">
        <f>IFERROR(__xludf.DUMMYFUNCTION("""COMPUTED_VALUE"""),7.0)</f>
        <v>7</v>
      </c>
      <c r="I394" s="78"/>
      <c r="J394" s="78">
        <f>IFERROR(__xludf.DUMMYFUNCTION("""COMPUTED_VALUE"""),4.0)</f>
        <v>4</v>
      </c>
      <c r="K394" s="76"/>
      <c r="L394" s="76" t="str">
        <f>IFERROR(__xludf.DUMMYFUNCTION("""COMPUTED_VALUE"""),"Jamaica")</f>
        <v>Jamaica</v>
      </c>
      <c r="M394" s="76" t="str">
        <f>IFERROR(__xludf.DUMMYFUNCTION("""COMPUTED_VALUE"""),"Montego Bay")</f>
        <v>Montego Bay</v>
      </c>
      <c r="N394" s="76" t="str">
        <f>IFERROR(__xludf.DUMMYFUNCTION("""COMPUTED_VALUE"""),"Sangster")</f>
        <v>Sangster</v>
      </c>
      <c r="O394" s="78" t="b">
        <f>IFERROR(__xludf.DUMMYFUNCTION("""COMPUTED_VALUE"""),TRUE)</f>
        <v>1</v>
      </c>
      <c r="P394" s="80">
        <f>IFERROR(__xludf.DUMMYFUNCTION("""COMPUTED_VALUE"""),0.011805555555555555)</f>
        <v>0.01180555556</v>
      </c>
      <c r="Q394" s="76" t="str">
        <f>IFERROR(__xludf.DUMMYFUNCTION("""COMPUTED_VALUE"""),"Hilton")</f>
        <v>Hilton</v>
      </c>
      <c r="R394" s="76" t="str">
        <f>IFERROR(__xludf.DUMMYFUNCTION("""COMPUTED_VALUE"""),"Park View, Green")</f>
        <v>Park View, Green</v>
      </c>
      <c r="S394" s="72" t="str">
        <f>IFERROR(__xludf.DUMMYFUNCTION("""COMPUTED_VALUE"""),"Beach, Teen Club, Lazy River, Gym, Wifi (Paid), Buffet, Tennis, Evening Entertainment, Spa, Babysitting, Swim Up Bar, Golf Course, Nightclub, Kids Club")</f>
        <v>Beach, Teen Club, Lazy River, Gym, Wifi (Paid), Buffet, Tennis, Evening Entertainment, Spa, Babysitting, Swim Up Bar, Golf Course, Nightclub, Kids Club</v>
      </c>
      <c r="T394" s="72" t="str">
        <f>IFERROR(__xludf.DUMMYFUNCTION("""COMPUTED_VALUE"""),"$60 per Night")</f>
        <v>$60 per Night</v>
      </c>
      <c r="U394" s="76" t="str">
        <f>IFERROR(__xludf.DUMMYFUNCTION("""COMPUTED_VALUE"""),"1 King or 2 Queen")</f>
        <v>1 King or 2 Queen</v>
      </c>
      <c r="V394" s="74" t="b">
        <f>IFERROR(__xludf.DUMMYFUNCTION("""COMPUTED_VALUE"""),TRUE)</f>
        <v>1</v>
      </c>
      <c r="W394" s="74">
        <f>IFERROR(__xludf.DUMMYFUNCTION("""COMPUTED_VALUE"""),495.0)</f>
        <v>495</v>
      </c>
      <c r="X394" s="74">
        <f>IFERROR(__xludf.DUMMYFUNCTION("""COMPUTED_VALUE"""),1974.0)</f>
        <v>1974</v>
      </c>
      <c r="Y394" s="74">
        <f>IFERROR(__xludf.DUMMYFUNCTION("""COMPUTED_VALUE"""),2019.0)</f>
        <v>2019</v>
      </c>
      <c r="Z394" s="75">
        <f>IFERROR(__xludf.DUMMYFUNCTION("""COMPUTED_VALUE"""),1.0)</f>
        <v>1</v>
      </c>
    </row>
    <row r="395">
      <c r="A395" s="65" t="str">
        <f>IFERROR(__xludf.DUMMYFUNCTION("""COMPUTED_VALUE"""),"Sandals Royal Caribbean Resort and Private Island")</f>
        <v>Sandals Royal Caribbean Resort and Private Island</v>
      </c>
      <c r="B395" s="66">
        <f>IFERROR(__xludf.DUMMYFUNCTION("""COMPUTED_VALUE"""),86.0)</f>
        <v>86</v>
      </c>
      <c r="C395" s="67" t="str">
        <f>IFERROR(__xludf.DUMMYFUNCTION("""COMPUTED_VALUE"""),"Adults Only")</f>
        <v>Adults Only</v>
      </c>
      <c r="D395" s="68">
        <f>IFERROR(__xludf.DUMMYFUNCTION("""COMPUTED_VALUE"""),6090.0)</f>
        <v>6090</v>
      </c>
      <c r="E395" s="79">
        <f>IFERROR(__xludf.DUMMYFUNCTION("""COMPUTED_VALUE"""),8410.593890999999)</f>
        <v>8410.593891</v>
      </c>
      <c r="F395" s="69">
        <f>IFERROR(__xludf.DUMMYFUNCTION("""COMPUTED_VALUE"""),0.99)</f>
        <v>0.99</v>
      </c>
      <c r="G395" s="70">
        <f>IFERROR(__xludf.DUMMYFUNCTION("""COMPUTED_VALUE"""),4.0)</f>
        <v>4</v>
      </c>
      <c r="H395" s="70" t="str">
        <f>IFERROR(__xludf.DUMMYFUNCTION("""COMPUTED_VALUE"""),"NYR")</f>
        <v>NYR</v>
      </c>
      <c r="I395" s="70"/>
      <c r="J395" s="70">
        <f>IFERROR(__xludf.DUMMYFUNCTION("""COMPUTED_VALUE"""),4.0)</f>
        <v>4</v>
      </c>
      <c r="K395" s="71"/>
      <c r="L395" s="76" t="str">
        <f>IFERROR(__xludf.DUMMYFUNCTION("""COMPUTED_VALUE"""),"Jamaica")</f>
        <v>Jamaica</v>
      </c>
      <c r="M395" s="76" t="str">
        <f>IFERROR(__xludf.DUMMYFUNCTION("""COMPUTED_VALUE"""),"Montego Bay")</f>
        <v>Montego Bay</v>
      </c>
      <c r="N395" s="76" t="str">
        <f>IFERROR(__xludf.DUMMYFUNCTION("""COMPUTED_VALUE"""),"Sangster")</f>
        <v>Sangster</v>
      </c>
      <c r="O395" s="70" t="b">
        <f>IFERROR(__xludf.DUMMYFUNCTION("""COMPUTED_VALUE"""),TRUE)</f>
        <v>1</v>
      </c>
      <c r="P395" s="73">
        <f>IFERROR(__xludf.DUMMYFUNCTION("""COMPUTED_VALUE"""),0.005555555555555556)</f>
        <v>0.005555555556</v>
      </c>
      <c r="Q395" s="71" t="str">
        <f>IFERROR(__xludf.DUMMYFUNCTION("""COMPUTED_VALUE"""),"Sandals")</f>
        <v>Sandals</v>
      </c>
      <c r="R395" s="71" t="str">
        <f>IFERROR(__xludf.DUMMYFUNCTION("""COMPUTED_VALUE"""),"Ocean View, Great View")</f>
        <v>Ocean View, Great View</v>
      </c>
      <c r="S395" s="71" t="str">
        <f>IFERROR(__xludf.DUMMYFUNCTION("""COMPUTED_VALUE"""),"Beach, Swim Out/Plunge Pool Rooms, Gym, Diving, Buffet, Swim Up Bar, Snorkelling, Fishing, Spa, Room Service, Tennis, Evening Entertainment, Nightclub")</f>
        <v>Beach, Swim Out/Plunge Pool Rooms, Gym, Diving, Buffet, Swim Up Bar, Snorkelling, Fishing, Spa, Room Service, Tennis, Evening Entertainment, Nightclub</v>
      </c>
      <c r="T395" s="71"/>
      <c r="U395" s="71"/>
      <c r="V395" s="70" t="b">
        <f>IFERROR(__xludf.DUMMYFUNCTION("""COMPUTED_VALUE"""),FALSE)</f>
        <v>0</v>
      </c>
      <c r="W395" s="70">
        <f>IFERROR(__xludf.DUMMYFUNCTION("""COMPUTED_VALUE"""),232.0)</f>
        <v>232</v>
      </c>
      <c r="X395" s="70">
        <f>IFERROR(__xludf.DUMMYFUNCTION("""COMPUTED_VALUE"""),1956.0)</f>
        <v>1956</v>
      </c>
      <c r="Y395" s="70">
        <f>IFERROR(__xludf.DUMMYFUNCTION("""COMPUTED_VALUE"""),2016.0)</f>
        <v>2016</v>
      </c>
      <c r="Z395" s="83"/>
    </row>
    <row r="396">
      <c r="A396" s="65" t="str">
        <f>IFERROR(__xludf.DUMMYFUNCTION("""COMPUTED_VALUE"""),"Ocean El Faro Resort")</f>
        <v>Ocean El Faro Resort</v>
      </c>
      <c r="B396" s="66">
        <f>IFERROR(__xludf.DUMMYFUNCTION("""COMPUTED_VALUE"""),86.0)</f>
        <v>86</v>
      </c>
      <c r="C396" s="67" t="str">
        <f>IFERROR(__xludf.DUMMYFUNCTION("""COMPUTED_VALUE"""),"Family")</f>
        <v>Family</v>
      </c>
      <c r="D396" s="68">
        <f>IFERROR(__xludf.DUMMYFUNCTION("""COMPUTED_VALUE"""),6426.0)</f>
        <v>6426</v>
      </c>
      <c r="E396" s="79">
        <f>IFERROR(__xludf.DUMMYFUNCTION("""COMPUTED_VALUE"""),8874.626657399998)</f>
        <v>8874.626657</v>
      </c>
      <c r="F396" s="69">
        <f>IFERROR(__xludf.DUMMYFUNCTION("""COMPUTED_VALUE"""),0.93)</f>
        <v>0.93</v>
      </c>
      <c r="G396" s="78"/>
      <c r="H396" s="74" t="str">
        <f>IFERROR(__xludf.DUMMYFUNCTION("""COMPUTED_VALUE"""),"NYR")</f>
        <v>NYR</v>
      </c>
      <c r="I396" s="78"/>
      <c r="J396" s="78">
        <f>IFERROR(__xludf.DUMMYFUNCTION("""COMPUTED_VALUE"""),5.0)</f>
        <v>5</v>
      </c>
      <c r="K396" s="76"/>
      <c r="L396" s="76" t="str">
        <f>IFERROR(__xludf.DUMMYFUNCTION("""COMPUTED_VALUE"""),"Dominican Republic")</f>
        <v>Dominican Republic</v>
      </c>
      <c r="M396" s="76" t="str">
        <f>IFERROR(__xludf.DUMMYFUNCTION("""COMPUTED_VALUE"""),"Uvero Alto")</f>
        <v>Uvero Alto</v>
      </c>
      <c r="N396" s="76" t="str">
        <f>IFERROR(__xludf.DUMMYFUNCTION("""COMPUTED_VALUE"""),"Punta Cana")</f>
        <v>Punta Cana</v>
      </c>
      <c r="O396" s="78" t="b">
        <f>IFERROR(__xludf.DUMMYFUNCTION("""COMPUTED_VALUE"""),TRUE)</f>
        <v>1</v>
      </c>
      <c r="P396" s="80">
        <f>IFERROR(__xludf.DUMMYFUNCTION("""COMPUTED_VALUE"""),0.02361111111111111)</f>
        <v>0.02361111111</v>
      </c>
      <c r="Q396" s="76" t="str">
        <f>IFERROR(__xludf.DUMMYFUNCTION("""COMPUTED_VALUE"""),"H10 Hotels")</f>
        <v>H10 Hotels</v>
      </c>
      <c r="R396" s="76" t="str">
        <f>IFERROR(__xludf.DUMMYFUNCTION("""COMPUTED_VALUE"""),"Great View")</f>
        <v>Great View</v>
      </c>
      <c r="S396" s="71" t="str">
        <f>IFERROR(__xludf.DUMMYFUNCTION("""COMPUTED_VALUE"""),"Beach, Swim Out/Plunge Pool Rooms, Adults Only Rooms, Kids Club, Teen Club, Lazy River, Kids Waterpark, Pool Slide, Water Feature, Gym, Archery, Casino, Tennis, Watersports Equipment Rentals, Evening Entertainment, Spa, Wifi (Free), Babysitting, Buffet, S"&amp;"wim Up Bar, Nightclub")</f>
        <v>Beach, Swim Out/Plunge Pool Rooms, Adults Only Rooms, Kids Club, Teen Club, Lazy River, Kids Waterpark, Pool Slide, Water Feature, Gym, Archery, Casino, Tennis, Watersports Equipment Rentals, Evening Entertainment, Spa, Wifi (Free), Babysitting, Buffet, Swim Up Bar, Nightclub</v>
      </c>
      <c r="T396" s="71"/>
      <c r="U396" s="71" t="str">
        <f>IFERROR(__xludf.DUMMYFUNCTION("""COMPUTED_VALUE"""),"1 King or 2 Double")</f>
        <v>1 King or 2 Double</v>
      </c>
      <c r="V396" s="74" t="b">
        <f>IFERROR(__xludf.DUMMYFUNCTION("""COMPUTED_VALUE"""),FALSE)</f>
        <v>0</v>
      </c>
      <c r="W396" s="74">
        <f>IFERROR(__xludf.DUMMYFUNCTION("""COMPUTED_VALUE"""),618.0)</f>
        <v>618</v>
      </c>
      <c r="X396" s="74">
        <f>IFERROR(__xludf.DUMMYFUNCTION("""COMPUTED_VALUE"""),2018.0)</f>
        <v>2018</v>
      </c>
      <c r="Y396" s="74"/>
      <c r="Z396" s="75"/>
    </row>
    <row r="397">
      <c r="A397" s="65" t="str">
        <f>IFERROR(__xludf.DUMMYFUNCTION("""COMPUTED_VALUE"""),"Hilton Cancun, an All-Inclusive Resort")</f>
        <v>Hilton Cancun, an All-Inclusive Resort</v>
      </c>
      <c r="B397" s="66">
        <f>IFERROR(__xludf.DUMMYFUNCTION("""COMPUTED_VALUE"""),86.0)</f>
        <v>86</v>
      </c>
      <c r="C397" s="67" t="str">
        <f>IFERROR(__xludf.DUMMYFUNCTION("""COMPUTED_VALUE"""),"Family")</f>
        <v>Family</v>
      </c>
      <c r="D397" s="79">
        <f>IFERROR(__xludf.DUMMYFUNCTION("""COMPUTED_VALUE"""),6912.15)</f>
        <v>6912.15</v>
      </c>
      <c r="E397" s="79">
        <f>IFERROR(__xludf.DUMMYFUNCTION("""COMPUTED_VALUE"""),9546.024066285)</f>
        <v>9546.024066</v>
      </c>
      <c r="F397" s="69">
        <f>IFERROR(__xludf.DUMMYFUNCTION("""COMPUTED_VALUE"""),0.87)</f>
        <v>0.87</v>
      </c>
      <c r="G397" s="78">
        <f>IFERROR(__xludf.DUMMYFUNCTION("""COMPUTED_VALUE"""),4.0)</f>
        <v>4</v>
      </c>
      <c r="H397" s="74" t="str">
        <f>IFERROR(__xludf.DUMMYFUNCTION("""COMPUTED_VALUE"""),"NYR")</f>
        <v>NYR</v>
      </c>
      <c r="I397" s="78"/>
      <c r="J397" s="78">
        <f>IFERROR(__xludf.DUMMYFUNCTION("""COMPUTED_VALUE"""),5.0)</f>
        <v>5</v>
      </c>
      <c r="K397" s="71"/>
      <c r="L397" s="76" t="str">
        <f>IFERROR(__xludf.DUMMYFUNCTION("""COMPUTED_VALUE"""),"Mexico")</f>
        <v>Mexico</v>
      </c>
      <c r="M397" s="76" t="str">
        <f>IFERROR(__xludf.DUMMYFUNCTION("""COMPUTED_VALUE"""),"Cancun")</f>
        <v>Cancun</v>
      </c>
      <c r="N397" s="76" t="str">
        <f>IFERROR(__xludf.DUMMYFUNCTION("""COMPUTED_VALUE"""),"Cancun")</f>
        <v>Cancun</v>
      </c>
      <c r="O397" s="78" t="b">
        <f>IFERROR(__xludf.DUMMYFUNCTION("""COMPUTED_VALUE"""),TRUE)</f>
        <v>1</v>
      </c>
      <c r="P397" s="80">
        <f>IFERROR(__xludf.DUMMYFUNCTION("""COMPUTED_VALUE"""),0.01597222222222222)</f>
        <v>0.01597222222</v>
      </c>
      <c r="Q397" s="71" t="str">
        <f>IFERROR(__xludf.DUMMYFUNCTION("""COMPUTED_VALUE"""),"Hilton")</f>
        <v>Hilton</v>
      </c>
      <c r="R397" s="71" t="str">
        <f>IFERROR(__xludf.DUMMYFUNCTION("""COMPUTED_VALUE"""),"Business")</f>
        <v>Business</v>
      </c>
      <c r="S397" s="71" t="str">
        <f>IFERROR(__xludf.DUMMYFUNCTION("""COMPUTED_VALUE"""),"Beach, Swim Out/Plunge Pool Rooms, Family Suite, 2 Bedroom Suites, Kids Club, Teen Club, Kids Waterpark, Heated Pool, Gym, Yoga Classes, Evening Entertainment, Pets Allowed, Wifi (Free), Babysitting, Spa")</f>
        <v>Beach, Swim Out/Plunge Pool Rooms, Family Suite, 2 Bedroom Suites, Kids Club, Teen Club, Kids Waterpark, Heated Pool, Gym, Yoga Classes, Evening Entertainment, Pets Allowed, Wifi (Free), Babysitting, Spa</v>
      </c>
      <c r="T397" s="71" t="str">
        <f>IFERROR(__xludf.DUMMYFUNCTION("""COMPUTED_VALUE"""),"Yes")</f>
        <v>Yes</v>
      </c>
      <c r="U397" s="71" t="str">
        <f>IFERROR(__xludf.DUMMYFUNCTION("""COMPUTED_VALUE"""),"2 Queen")</f>
        <v>2 Queen</v>
      </c>
      <c r="V397" s="74" t="b">
        <f>IFERROR(__xludf.DUMMYFUNCTION("""COMPUTED_VALUE"""),FALSE)</f>
        <v>0</v>
      </c>
      <c r="W397" s="74">
        <f>IFERROR(__xludf.DUMMYFUNCTION("""COMPUTED_VALUE"""),715.0)</f>
        <v>715</v>
      </c>
      <c r="X397" s="74">
        <f>IFERROR(__xludf.DUMMYFUNCTION("""COMPUTED_VALUE"""),2021.0)</f>
        <v>2021</v>
      </c>
      <c r="Y397" s="74"/>
      <c r="Z397" s="75"/>
    </row>
    <row r="398">
      <c r="A398" s="65" t="str">
        <f>IFERROR(__xludf.DUMMYFUNCTION("""COMPUTED_VALUE"""),"Sandals Royal Curacao (Couples only)")</f>
        <v>Sandals Royal Curacao (Couples only)</v>
      </c>
      <c r="B398" s="66">
        <f>IFERROR(__xludf.DUMMYFUNCTION("""COMPUTED_VALUE"""),86.0)</f>
        <v>86</v>
      </c>
      <c r="C398" s="67" t="str">
        <f>IFERROR(__xludf.DUMMYFUNCTION("""COMPUTED_VALUE"""),"Adults Only")</f>
        <v>Adults Only</v>
      </c>
      <c r="D398" s="68">
        <f>IFERROR(__xludf.DUMMYFUNCTION("""COMPUTED_VALUE"""),7077.4)</f>
        <v>7077.4</v>
      </c>
      <c r="E398" s="79">
        <f>IFERROR(__xludf.DUMMYFUNCTION("""COMPUTED_VALUE"""),9774.242562259999)</f>
        <v>9774.242562</v>
      </c>
      <c r="F398" s="69">
        <f>IFERROR(__xludf.DUMMYFUNCTION("""COMPUTED_VALUE"""),0.85)</f>
        <v>0.85</v>
      </c>
      <c r="G398" s="78"/>
      <c r="H398" s="74" t="str">
        <f>IFERROR(__xludf.DUMMYFUNCTION("""COMPUTED_VALUE"""),"NYR")</f>
        <v>NYR</v>
      </c>
      <c r="I398" s="78"/>
      <c r="J398" s="78">
        <f>IFERROR(__xludf.DUMMYFUNCTION("""COMPUTED_VALUE"""),5.0)</f>
        <v>5</v>
      </c>
      <c r="K398" s="71" t="str">
        <f>IFERROR(__xludf.DUMMYFUNCTION("""COMPUTED_VALUE"""),"Couples Only")</f>
        <v>Couples Only</v>
      </c>
      <c r="L398" s="76" t="str">
        <f>IFERROR(__xludf.DUMMYFUNCTION("""COMPUTED_VALUE"""),"Curaçao")</f>
        <v>Curaçao</v>
      </c>
      <c r="M398" s="76" t="str">
        <f>IFERROR(__xludf.DUMMYFUNCTION("""COMPUTED_VALUE"""),"Nieuwpoort")</f>
        <v>Nieuwpoort</v>
      </c>
      <c r="N398" s="76" t="str">
        <f>IFERROR(__xludf.DUMMYFUNCTION("""COMPUTED_VALUE"""),"Aeropuerto Hato")</f>
        <v>Aeropuerto Hato</v>
      </c>
      <c r="O398" s="78" t="b">
        <f>IFERROR(__xludf.DUMMYFUNCTION("""COMPUTED_VALUE"""),TRUE)</f>
        <v>1</v>
      </c>
      <c r="P398" s="80">
        <f>IFERROR(__xludf.DUMMYFUNCTION("""COMPUTED_VALUE"""),0.030555555555555555)</f>
        <v>0.03055555556</v>
      </c>
      <c r="Q398" s="71" t="str">
        <f>IFERROR(__xludf.DUMMYFUNCTION("""COMPUTED_VALUE"""),"Sandals")</f>
        <v>Sandals</v>
      </c>
      <c r="R398" s="71" t="str">
        <f>IFERROR(__xludf.DUMMYFUNCTION("""COMPUTED_VALUE"""),"Luxury")</f>
        <v>Luxury</v>
      </c>
      <c r="S398" s="71" t="str">
        <f>IFERROR(__xludf.DUMMYFUNCTION("""COMPUTED_VALUE"""),"Beach, Swim Out/Plunge Pool Rooms, Gym, Diving, Buffet, Nightclub, Wifi (Free), Swim Up Bar, Snorkelling, Evening Entertainment, Spa")</f>
        <v>Beach, Swim Out/Plunge Pool Rooms, Gym, Diving, Buffet, Nightclub, Wifi (Free), Swim Up Bar, Snorkelling, Evening Entertainment, Spa</v>
      </c>
      <c r="T398" s="71"/>
      <c r="U398" s="76"/>
      <c r="V398" s="74" t="b">
        <f>IFERROR(__xludf.DUMMYFUNCTION("""COMPUTED_VALUE"""),FALSE)</f>
        <v>0</v>
      </c>
      <c r="W398" s="74">
        <f>IFERROR(__xludf.DUMMYFUNCTION("""COMPUTED_VALUE"""),350.0)</f>
        <v>350</v>
      </c>
      <c r="X398" s="74">
        <f>IFERROR(__xludf.DUMMYFUNCTION("""COMPUTED_VALUE"""),2010.0)</f>
        <v>2010</v>
      </c>
      <c r="Y398" s="74">
        <f>IFERROR(__xludf.DUMMYFUNCTION("""COMPUTED_VALUE"""),2021.0)</f>
        <v>2021</v>
      </c>
      <c r="Z398" s="75">
        <f>IFERROR(__xludf.DUMMYFUNCTION("""COMPUTED_VALUE"""),4.0)</f>
        <v>4</v>
      </c>
    </row>
    <row r="399">
      <c r="A399" s="65" t="str">
        <f>IFERROR(__xludf.DUMMYFUNCTION("""COMPUTED_VALUE"""),"Beaches Negril")</f>
        <v>Beaches Negril</v>
      </c>
      <c r="B399" s="66">
        <f>IFERROR(__xludf.DUMMYFUNCTION("""COMPUTED_VALUE"""),86.0)</f>
        <v>86</v>
      </c>
      <c r="C399" s="67" t="str">
        <f>IFERROR(__xludf.DUMMYFUNCTION("""COMPUTED_VALUE"""),"Family")</f>
        <v>Family</v>
      </c>
      <c r="D399" s="68">
        <f>IFERROR(__xludf.DUMMYFUNCTION("""COMPUTED_VALUE"""),8709.0)</f>
        <v>8709</v>
      </c>
      <c r="E399" s="79">
        <f>IFERROR(__xludf.DUMMYFUNCTION("""COMPUTED_VALUE"""),12027.563579099999)</f>
        <v>12027.56358</v>
      </c>
      <c r="F399" s="69">
        <f>IFERROR(__xludf.DUMMYFUNCTION("""COMPUTED_VALUE"""),0.69)</f>
        <v>0.69</v>
      </c>
      <c r="G399" s="70"/>
      <c r="H399" s="70" t="str">
        <f>IFERROR(__xludf.DUMMYFUNCTION("""COMPUTED_VALUE"""),"NYR")</f>
        <v>NYR</v>
      </c>
      <c r="I399" s="70"/>
      <c r="J399" s="70">
        <f>IFERROR(__xludf.DUMMYFUNCTION("""COMPUTED_VALUE"""),3.0)</f>
        <v>3</v>
      </c>
      <c r="K399" s="71"/>
      <c r="L399" s="76" t="str">
        <f>IFERROR(__xludf.DUMMYFUNCTION("""COMPUTED_VALUE"""),"Jamaica")</f>
        <v>Jamaica</v>
      </c>
      <c r="M399" s="76" t="str">
        <f>IFERROR(__xludf.DUMMYFUNCTION("""COMPUTED_VALUE"""),"Negril")</f>
        <v>Negril</v>
      </c>
      <c r="N399" s="76" t="str">
        <f>IFERROR(__xludf.DUMMYFUNCTION("""COMPUTED_VALUE"""),"Sangster")</f>
        <v>Sangster</v>
      </c>
      <c r="O399" s="70" t="b">
        <f>IFERROR(__xludf.DUMMYFUNCTION("""COMPUTED_VALUE"""),TRUE)</f>
        <v>1</v>
      </c>
      <c r="P399" s="73">
        <f>IFERROR(__xludf.DUMMYFUNCTION("""COMPUTED_VALUE"""),0.05763888888888889)</f>
        <v>0.05763888889</v>
      </c>
      <c r="Q399" s="71" t="str">
        <f>IFERROR(__xludf.DUMMYFUNCTION("""COMPUTED_VALUE"""),"Beaches Resorts")</f>
        <v>Beaches Resorts</v>
      </c>
      <c r="R399" s="71" t="str">
        <f>IFERROR(__xludf.DUMMYFUNCTION("""COMPUTED_VALUE"""),"Family")</f>
        <v>Family</v>
      </c>
      <c r="S399" s="71" t="str">
        <f>IFERROR(__xludf.DUMMYFUNCTION("""COMPUTED_VALUE"""),"Beach, Great Beach, Family Suite, 2 Bedroom Suites, Kids Club, Lazy River, Kids Waterpark, Big Waterslides, Kids Club for Under 4, Gym, Diving, Buffet, Snorkelling, Fishing, Babysitting, Wifi (Paid), Swim Up Bar, Tennis, Evening Entertainment, Nightclub, "&amp;"Spa")</f>
        <v>Beach, Great Beach, Family Suite, 2 Bedroom Suites, Kids Club, Lazy River, Kids Waterpark, Big Waterslides, Kids Club for Under 4, Gym, Diving, Buffet, Snorkelling, Fishing, Babysitting, Wifi (Paid), Swim Up Bar, Tennis, Evening Entertainment, Nightclub, Spa</v>
      </c>
      <c r="T399" s="71" t="str">
        <f>IFERROR(__xludf.DUMMYFUNCTION("""COMPUTED_VALUE"""),"Yes")</f>
        <v>Yes</v>
      </c>
      <c r="U399" s="71" t="str">
        <f>IFERROR(__xludf.DUMMYFUNCTION("""COMPUTED_VALUE"""),"1 King or 2 Double")</f>
        <v>1 King or 2 Double</v>
      </c>
      <c r="V399" s="70" t="b">
        <f>IFERROR(__xludf.DUMMYFUNCTION("""COMPUTED_VALUE"""),FALSE)</f>
        <v>0</v>
      </c>
      <c r="W399" s="70">
        <f>IFERROR(__xludf.DUMMYFUNCTION("""COMPUTED_VALUE"""),186.0)</f>
        <v>186</v>
      </c>
      <c r="X399" s="70">
        <f>IFERROR(__xludf.DUMMYFUNCTION("""COMPUTED_VALUE"""),1997.0)</f>
        <v>1997</v>
      </c>
      <c r="Y399" s="70">
        <f>IFERROR(__xludf.DUMMYFUNCTION("""COMPUTED_VALUE"""),2020.0)</f>
        <v>2020</v>
      </c>
      <c r="Z399" s="83"/>
    </row>
    <row r="400">
      <c r="A400" s="77" t="str">
        <f>IFERROR(__xludf.DUMMYFUNCTION("""COMPUTED_VALUE"""),"Club Med Les Boucaniers - Martinique")</f>
        <v>Club Med Les Boucaniers - Martinique</v>
      </c>
      <c r="B400" s="66">
        <f>IFERROR(__xludf.DUMMYFUNCTION("""COMPUTED_VALUE"""),86.0)</f>
        <v>86</v>
      </c>
      <c r="C400" s="78" t="str">
        <f>IFERROR(__xludf.DUMMYFUNCTION("""COMPUTED_VALUE"""),"Family")</f>
        <v>Family</v>
      </c>
      <c r="D400" s="68">
        <f>IFERROR(__xludf.DUMMYFUNCTION("""COMPUTED_VALUE"""),9064.38)</f>
        <v>9064.38</v>
      </c>
      <c r="E400" s="68">
        <f>IFERROR(__xludf.DUMMYFUNCTION("""COMPUTED_VALUE"""),12518.361092561998)</f>
        <v>12518.36109</v>
      </c>
      <c r="F400" s="69">
        <f>IFERROR(__xludf.DUMMYFUNCTION("""COMPUTED_VALUE"""),0.66)</f>
        <v>0.66</v>
      </c>
      <c r="G400" s="70"/>
      <c r="H400" s="70">
        <f>IFERROR(__xludf.DUMMYFUNCTION("""COMPUTED_VALUE"""),6.0)</f>
        <v>6</v>
      </c>
      <c r="I400" s="70"/>
      <c r="J400" s="70">
        <f>IFERROR(__xludf.DUMMYFUNCTION("""COMPUTED_VALUE"""),4.0)</f>
        <v>4</v>
      </c>
      <c r="K400" s="71"/>
      <c r="L400" s="72" t="str">
        <f>IFERROR(__xludf.DUMMYFUNCTION("""COMPUTED_VALUE"""),"Martinique")</f>
        <v>Martinique</v>
      </c>
      <c r="M400" s="72" t="str">
        <f>IFERROR(__xludf.DUMMYFUNCTION("""COMPUTED_VALUE"""),"Sainte-Anne")</f>
        <v>Sainte-Anne</v>
      </c>
      <c r="N400" s="72" t="str">
        <f>IFERROR(__xludf.DUMMYFUNCTION("""COMPUTED_VALUE"""),"Lamentin")</f>
        <v>Lamentin</v>
      </c>
      <c r="O400" s="74" t="b">
        <f>IFERROR(__xludf.DUMMYFUNCTION("""COMPUTED_VALUE"""),TRUE)</f>
        <v>1</v>
      </c>
      <c r="P400" s="73">
        <f>IFERROR(__xludf.DUMMYFUNCTION("""COMPUTED_VALUE"""),0.03888888888888889)</f>
        <v>0.03888888889</v>
      </c>
      <c r="Q400" s="71" t="str">
        <f>IFERROR(__xludf.DUMMYFUNCTION("""COMPUTED_VALUE"""),"Club Med")</f>
        <v>Club Med</v>
      </c>
      <c r="R400" s="71" t="str">
        <f>IFERROR(__xludf.DUMMYFUNCTION("""COMPUTED_VALUE"""),"Quiet, Great View")</f>
        <v>Quiet, Great View</v>
      </c>
      <c r="S400" s="71" t="str">
        <f>IFERROR(__xludf.DUMMYFUNCTION("""COMPUTED_VALUE"""),"Beach, Teen Club, Lazy River, Kids Club, Kids Club for Under 4, Gym, Wifi (Paid), Tennis, Windsurfing, Nightclub, Yoga Classes, Buffet, Diving, Watersports Equipment Rentals, Evening Entertainment, Spa")</f>
        <v>Beach, Teen Club, Lazy River, Kids Club, Kids Club for Under 4, Gym, Wifi (Paid), Tennis, Windsurfing, Nightclub, Yoga Classes, Buffet, Diving, Watersports Equipment Rentals, Evening Entertainment, Spa</v>
      </c>
      <c r="T400" s="71"/>
      <c r="U400" s="72" t="str">
        <f>IFERROR(__xludf.DUMMYFUNCTION("""COMPUTED_VALUE"""),"?")</f>
        <v>?</v>
      </c>
      <c r="V400" s="74" t="b">
        <f>IFERROR(__xludf.DUMMYFUNCTION("""COMPUTED_VALUE"""),FALSE)</f>
        <v>0</v>
      </c>
      <c r="W400" s="74">
        <f>IFERROR(__xludf.DUMMYFUNCTION("""COMPUTED_VALUE"""),139.0)</f>
        <v>139</v>
      </c>
      <c r="X400" s="74">
        <f>IFERROR(__xludf.DUMMYFUNCTION("""COMPUTED_VALUE"""),1969.0)</f>
        <v>1969</v>
      </c>
      <c r="Y400" s="74">
        <f>IFERROR(__xludf.DUMMYFUNCTION("""COMPUTED_VALUE"""),2023.0)</f>
        <v>2023</v>
      </c>
      <c r="Z400" s="75">
        <f>IFERROR(__xludf.DUMMYFUNCTION("""COMPUTED_VALUE"""),4.0)</f>
        <v>4</v>
      </c>
    </row>
    <row r="401">
      <c r="A401" s="65" t="str">
        <f>IFERROR(__xludf.DUMMYFUNCTION("""COMPUTED_VALUE"""),"Beaches Turks &amp; Caicos")</f>
        <v>Beaches Turks &amp; Caicos</v>
      </c>
      <c r="B401" s="66">
        <f>IFERROR(__xludf.DUMMYFUNCTION("""COMPUTED_VALUE"""),86.0)</f>
        <v>86</v>
      </c>
      <c r="C401" s="67" t="str">
        <f>IFERROR(__xludf.DUMMYFUNCTION("""COMPUTED_VALUE"""),"Family")</f>
        <v>Family</v>
      </c>
      <c r="D401" s="68">
        <f>IFERROR(__xludf.DUMMYFUNCTION("""COMPUTED_VALUE"""),9882.0)</f>
        <v>9882</v>
      </c>
      <c r="E401" s="79">
        <f>IFERROR(__xludf.DUMMYFUNCTION("""COMPUTED_VALUE"""),13647.535111799998)</f>
        <v>13647.53511</v>
      </c>
      <c r="F401" s="69">
        <f>IFERROR(__xludf.DUMMYFUNCTION("""COMPUTED_VALUE"""),0.61)</f>
        <v>0.61</v>
      </c>
      <c r="G401" s="78"/>
      <c r="H401" s="74" t="str">
        <f>IFERROR(__xludf.DUMMYFUNCTION("""COMPUTED_VALUE"""),"NYR")</f>
        <v>NYR</v>
      </c>
      <c r="I401" s="78"/>
      <c r="J401" s="78">
        <f>IFERROR(__xludf.DUMMYFUNCTION("""COMPUTED_VALUE"""),5.0)</f>
        <v>5</v>
      </c>
      <c r="K401" s="71"/>
      <c r="L401" s="76" t="str">
        <f>IFERROR(__xludf.DUMMYFUNCTION("""COMPUTED_VALUE"""),"Turks and Caicos")</f>
        <v>Turks and Caicos</v>
      </c>
      <c r="M401" s="76" t="str">
        <f>IFERROR(__xludf.DUMMYFUNCTION("""COMPUTED_VALUE"""),"Providenciales")</f>
        <v>Providenciales</v>
      </c>
      <c r="N401" s="76" t="str">
        <f>IFERROR(__xludf.DUMMYFUNCTION("""COMPUTED_VALUE"""),"Providenciales")</f>
        <v>Providenciales</v>
      </c>
      <c r="O401" s="78" t="b">
        <f>IFERROR(__xludf.DUMMYFUNCTION("""COMPUTED_VALUE"""),TRUE)</f>
        <v>1</v>
      </c>
      <c r="P401" s="73">
        <f>IFERROR(__xludf.DUMMYFUNCTION("""COMPUTED_VALUE"""),0.009027777777777777)</f>
        <v>0.009027777778</v>
      </c>
      <c r="Q401" s="76" t="str">
        <f>IFERROR(__xludf.DUMMYFUNCTION("""COMPUTED_VALUE"""),"Beaches Resorts")</f>
        <v>Beaches Resorts</v>
      </c>
      <c r="R401" s="71" t="str">
        <f>IFERROR(__xludf.DUMMYFUNCTION("""COMPUTED_VALUE"""),"Family, Green")</f>
        <v>Family, Green</v>
      </c>
      <c r="S401" s="71" t="str">
        <f>IFERROR(__xludf.DUMMYFUNCTION("""COMPUTED_VALUE"""),"Beach, Family Suite, 2 Bedroom Suites, Kids Club, Teen Club, Lazy River, Big Waterslides, Flowrider, Heated Pool, Kids Club for Under 4, Babysitting, Adult Pool, Buffet, Tennis, Evening Entertainment, Gym, Diving, Wifi (Paid), Swim Up Bar, Snorkelling, Sp"&amp;"a")</f>
        <v>Beach, Family Suite, 2 Bedroom Suites, Kids Club, Teen Club, Lazy River, Big Waterslides, Flowrider, Heated Pool, Kids Club for Under 4, Babysitting, Adult Pool, Buffet, Tennis, Evening Entertainment, Gym, Diving, Wifi (Paid), Swim Up Bar, Snorkelling, Spa</v>
      </c>
      <c r="T401" s="71" t="str">
        <f>IFERROR(__xludf.DUMMYFUNCTION("""COMPUTED_VALUE"""),"Can't Book Two Rooms")</f>
        <v>Can't Book Two Rooms</v>
      </c>
      <c r="U401" s="71" t="str">
        <f>IFERROR(__xludf.DUMMYFUNCTION("""COMPUTED_VALUE"""),"2 Double")</f>
        <v>2 Double</v>
      </c>
      <c r="V401" s="74" t="b">
        <f>IFERROR(__xludf.DUMMYFUNCTION("""COMPUTED_VALUE"""),FALSE)</f>
        <v>0</v>
      </c>
      <c r="W401" s="74">
        <f>IFERROR(__xludf.DUMMYFUNCTION("""COMPUTED_VALUE"""),758.0)</f>
        <v>758</v>
      </c>
      <c r="X401" s="74">
        <f>IFERROR(__xludf.DUMMYFUNCTION("""COMPUTED_VALUE"""),1995.0)</f>
        <v>1995</v>
      </c>
      <c r="Y401" s="74">
        <f>IFERROR(__xludf.DUMMYFUNCTION("""COMPUTED_VALUE"""),2013.0)</f>
        <v>2013</v>
      </c>
      <c r="Z401" s="75"/>
    </row>
    <row r="402">
      <c r="A402" s="65" t="str">
        <f>IFERROR(__xludf.DUMMYFUNCTION("""COMPUTED_VALUE"""),"Occidental at Xcaret Destination")</f>
        <v>Occidental at Xcaret Destination</v>
      </c>
      <c r="B402" s="66">
        <f>IFERROR(__xludf.DUMMYFUNCTION("""COMPUTED_VALUE"""),85.8)</f>
        <v>85.8</v>
      </c>
      <c r="C402" s="67" t="str">
        <f>IFERROR(__xludf.DUMMYFUNCTION("""COMPUTED_VALUE"""),"Family")</f>
        <v>Family</v>
      </c>
      <c r="D402" s="68">
        <f>IFERROR(__xludf.DUMMYFUNCTION("""COMPUTED_VALUE"""),2523.29)</f>
        <v>2523.29</v>
      </c>
      <c r="E402" s="79">
        <f>IFERROR(__xludf.DUMMYFUNCTION("""COMPUTED_VALUE"""),3484.7894021709994)</f>
        <v>3484.789402</v>
      </c>
      <c r="F402" s="69">
        <f>IFERROR(__xludf.DUMMYFUNCTION("""COMPUTED_VALUE"""),2.3)</f>
        <v>2.3</v>
      </c>
      <c r="G402" s="70"/>
      <c r="H402" s="70">
        <f>IFERROR(__xludf.DUMMYFUNCTION("""COMPUTED_VALUE"""),8.0)</f>
        <v>8</v>
      </c>
      <c r="I402" s="70"/>
      <c r="J402" s="70">
        <f>IFERROR(__xludf.DUMMYFUNCTION("""COMPUTED_VALUE"""),5.0)</f>
        <v>5</v>
      </c>
      <c r="K402" s="71"/>
      <c r="L402" s="76" t="str">
        <f>IFERROR(__xludf.DUMMYFUNCTION("""COMPUTED_VALUE"""),"Mexico")</f>
        <v>Mexico</v>
      </c>
      <c r="M402" s="76" t="str">
        <f>IFERROR(__xludf.DUMMYFUNCTION("""COMPUTED_VALUE"""),"Solidaridad")</f>
        <v>Solidaridad</v>
      </c>
      <c r="N402" s="76" t="str">
        <f>IFERROR(__xludf.DUMMYFUNCTION("""COMPUTED_VALUE"""),"Cancun")</f>
        <v>Cancun</v>
      </c>
      <c r="O402" s="70" t="b">
        <f>IFERROR(__xludf.DUMMYFUNCTION("""COMPUTED_VALUE"""),TRUE)</f>
        <v>1</v>
      </c>
      <c r="P402" s="73">
        <f>IFERROR(__xludf.DUMMYFUNCTION("""COMPUTED_VALUE"""),0.034027777777777775)</f>
        <v>0.03402777778</v>
      </c>
      <c r="Q402" s="71" t="str">
        <f>IFERROR(__xludf.DUMMYFUNCTION("""COMPUTED_VALUE"""),"Barcelo")</f>
        <v>Barcelo</v>
      </c>
      <c r="R402" s="71" t="str">
        <f>IFERROR(__xludf.DUMMYFUNCTION("""COMPUTED_VALUE"""),"Park View, Family")</f>
        <v>Park View, Family</v>
      </c>
      <c r="S402" s="71" t="str">
        <f>IFERROR(__xludf.DUMMYFUNCTION("""COMPUTED_VALUE"""),"Beach, Kids Club, Gym, Mini Golf, Adult Pool, Tennis, Spa, Buffet, Swim Up Bar, Snorkelling, Evening Entertainment, Nightclub")</f>
        <v>Beach, Kids Club, Gym, Mini Golf, Adult Pool, Tennis, Spa, Buffet, Swim Up Bar, Snorkelling, Evening Entertainment, Nightclub</v>
      </c>
      <c r="T402" s="71"/>
      <c r="U402" s="71" t="str">
        <f>IFERROR(__xludf.DUMMYFUNCTION("""COMPUTED_VALUE"""),"1 King or 2 Double")</f>
        <v>1 King or 2 Double</v>
      </c>
      <c r="V402" s="70" t="b">
        <f>IFERROR(__xludf.DUMMYFUNCTION("""COMPUTED_VALUE"""),FALSE)</f>
        <v>0</v>
      </c>
      <c r="W402" s="70">
        <f>IFERROR(__xludf.DUMMYFUNCTION("""COMPUTED_VALUE"""),765.0)</f>
        <v>765</v>
      </c>
      <c r="X402" s="70">
        <f>IFERROR(__xludf.DUMMYFUNCTION("""COMPUTED_VALUE"""),2002.0)</f>
        <v>2002</v>
      </c>
      <c r="Y402" s="70">
        <f>IFERROR(__xludf.DUMMYFUNCTION("""COMPUTED_VALUE"""),2016.0)</f>
        <v>2016</v>
      </c>
      <c r="Z402" s="83">
        <f>IFERROR(__xludf.DUMMYFUNCTION("""COMPUTED_VALUE"""),3.0)</f>
        <v>3</v>
      </c>
    </row>
    <row r="403">
      <c r="A403" s="65" t="str">
        <f>IFERROR(__xludf.DUMMYFUNCTION("""COMPUTED_VALUE"""),"Paradisus Cancun")</f>
        <v>Paradisus Cancun</v>
      </c>
      <c r="B403" s="66">
        <f>IFERROR(__xludf.DUMMYFUNCTION("""COMPUTED_VALUE"""),85.8)</f>
        <v>85.8</v>
      </c>
      <c r="C403" s="67" t="str">
        <f>IFERROR(__xludf.DUMMYFUNCTION("""COMPUTED_VALUE"""),"Family")</f>
        <v>Family</v>
      </c>
      <c r="D403" s="79">
        <f>IFERROR(__xludf.DUMMYFUNCTION("""COMPUTED_VALUE"""),4893.0)</f>
        <v>4893</v>
      </c>
      <c r="E403" s="79">
        <f>IFERROR(__xludf.DUMMYFUNCTION("""COMPUTED_VALUE"""),6757.477160699999)</f>
        <v>6757.477161</v>
      </c>
      <c r="F403" s="69">
        <f>IFERROR(__xludf.DUMMYFUNCTION("""COMPUTED_VALUE"""),1.19)</f>
        <v>1.19</v>
      </c>
      <c r="G403" s="78"/>
      <c r="H403" s="74">
        <f>IFERROR(__xludf.DUMMYFUNCTION("""COMPUTED_VALUE"""),8.0)</f>
        <v>8</v>
      </c>
      <c r="I403" s="78"/>
      <c r="J403" s="78">
        <f>IFERROR(__xludf.DUMMYFUNCTION("""COMPUTED_VALUE"""),5.0)</f>
        <v>5</v>
      </c>
      <c r="K403" s="71"/>
      <c r="L403" s="76" t="str">
        <f>IFERROR(__xludf.DUMMYFUNCTION("""COMPUTED_VALUE"""),"Mexico")</f>
        <v>Mexico</v>
      </c>
      <c r="M403" s="76" t="str">
        <f>IFERROR(__xludf.DUMMYFUNCTION("""COMPUTED_VALUE"""),"Cancun")</f>
        <v>Cancun</v>
      </c>
      <c r="N403" s="76" t="str">
        <f>IFERROR(__xludf.DUMMYFUNCTION("""COMPUTED_VALUE"""),"Cancun")</f>
        <v>Cancun</v>
      </c>
      <c r="O403" s="78" t="b">
        <f>IFERROR(__xludf.DUMMYFUNCTION("""COMPUTED_VALUE"""),TRUE)</f>
        <v>1</v>
      </c>
      <c r="P403" s="80">
        <f>IFERROR(__xludf.DUMMYFUNCTION("""COMPUTED_VALUE"""),0.013888888888888888)</f>
        <v>0.01388888889</v>
      </c>
      <c r="Q403" s="71" t="str">
        <f>IFERROR(__xludf.DUMMYFUNCTION("""COMPUTED_VALUE"""),"Melia")</f>
        <v>Melia</v>
      </c>
      <c r="R403" s="71" t="str">
        <f>IFERROR(__xludf.DUMMYFUNCTION("""COMPUTED_VALUE"""),"Lagoon View, Great View")</f>
        <v>Lagoon View, Great View</v>
      </c>
      <c r="S403" s="71" t="str">
        <f>IFERROR(__xludf.DUMMYFUNCTION("""COMPUTED_VALUE"""),"Beach, Family Suite, 2 Bedroom Suites, Kids Club, Gym, Diving, Buffet, Swim Up Bar, Golf Course, Evening Entertainment, Adult Pool, Babysitting, Room Service, Tennis, Nightclub, Spa")</f>
        <v>Beach, Family Suite, 2 Bedroom Suites, Kids Club, Gym, Diving, Buffet, Swim Up Bar, Golf Course, Evening Entertainment, Adult Pool, Babysitting, Room Service, Tennis, Nightclub, Spa</v>
      </c>
      <c r="T403" s="71"/>
      <c r="U403" s="76" t="str">
        <f>IFERROR(__xludf.DUMMYFUNCTION("""COMPUTED_VALUE"""),"1 King or 2 Double")</f>
        <v>1 King or 2 Double</v>
      </c>
      <c r="V403" s="74" t="b">
        <f>IFERROR(__xludf.DUMMYFUNCTION("""COMPUTED_VALUE"""),TRUE)</f>
        <v>1</v>
      </c>
      <c r="W403" s="74">
        <f>IFERROR(__xludf.DUMMYFUNCTION("""COMPUTED_VALUE"""),687.0)</f>
        <v>687</v>
      </c>
      <c r="X403" s="74">
        <f>IFERROR(__xludf.DUMMYFUNCTION("""COMPUTED_VALUE"""),1989.0)</f>
        <v>1989</v>
      </c>
      <c r="Y403" s="74">
        <f>IFERROR(__xludf.DUMMYFUNCTION("""COMPUTED_VALUE"""),2012.0)</f>
        <v>2012</v>
      </c>
      <c r="Z403" s="75">
        <f>IFERROR(__xludf.DUMMYFUNCTION("""COMPUTED_VALUE"""),9.0)</f>
        <v>9</v>
      </c>
    </row>
    <row r="404">
      <c r="A404" s="65" t="str">
        <f>IFERROR(__xludf.DUMMYFUNCTION("""COMPUTED_VALUE"""),"Breathless Riviera Cancun Resort &amp; Spa")</f>
        <v>Breathless Riviera Cancun Resort &amp; Spa</v>
      </c>
      <c r="B404" s="66">
        <f>IFERROR(__xludf.DUMMYFUNCTION("""COMPUTED_VALUE"""),85.8)</f>
        <v>85.8</v>
      </c>
      <c r="C404" s="67" t="str">
        <f>IFERROR(__xludf.DUMMYFUNCTION("""COMPUTED_VALUE"""),"Adults Only")</f>
        <v>Adults Only</v>
      </c>
      <c r="D404" s="79">
        <f>IFERROR(__xludf.DUMMYFUNCTION("""COMPUTED_VALUE"""),5542.0)</f>
        <v>5542</v>
      </c>
      <c r="E404" s="79">
        <f>IFERROR(__xludf.DUMMYFUNCTION("""COMPUTED_VALUE"""),7653.778545799999)</f>
        <v>7653.778546</v>
      </c>
      <c r="F404" s="69">
        <f>IFERROR(__xludf.DUMMYFUNCTION("""COMPUTED_VALUE"""),1.05)</f>
        <v>1.05</v>
      </c>
      <c r="G404" s="78"/>
      <c r="H404" s="74">
        <f>IFERROR(__xludf.DUMMYFUNCTION("""COMPUTED_VALUE"""),7.0)</f>
        <v>7</v>
      </c>
      <c r="I404" s="78" t="str">
        <f>IFERROR(__xludf.DUMMYFUNCTION("""COMPUTED_VALUE"""),"C")</f>
        <v>C</v>
      </c>
      <c r="J404" s="78">
        <f>IFERROR(__xludf.DUMMYFUNCTION("""COMPUTED_VALUE"""),4.5)</f>
        <v>4.5</v>
      </c>
      <c r="K404" s="76"/>
      <c r="L404" s="76" t="str">
        <f>IFERROR(__xludf.DUMMYFUNCTION("""COMPUTED_VALUE"""),"Mexico")</f>
        <v>Mexico</v>
      </c>
      <c r="M404" s="76" t="str">
        <f>IFERROR(__xludf.DUMMYFUNCTION("""COMPUTED_VALUE"""),"Caracol")</f>
        <v>Caracol</v>
      </c>
      <c r="N404" s="76" t="str">
        <f>IFERROR(__xludf.DUMMYFUNCTION("""COMPUTED_VALUE"""),"Cancun")</f>
        <v>Cancun</v>
      </c>
      <c r="O404" s="78" t="b">
        <f>IFERROR(__xludf.DUMMYFUNCTION("""COMPUTED_VALUE"""),TRUE)</f>
        <v>1</v>
      </c>
      <c r="P404" s="80">
        <f>IFERROR(__xludf.DUMMYFUNCTION("""COMPUTED_VALUE"""),0.018055555555555554)</f>
        <v>0.01805555556</v>
      </c>
      <c r="Q404" s="76" t="str">
        <f>IFERROR(__xludf.DUMMYFUNCTION("""COMPUTED_VALUE"""),"Hyatt")</f>
        <v>Hyatt</v>
      </c>
      <c r="R404" s="76" t="str">
        <f>IFERROR(__xludf.DUMMYFUNCTION("""COMPUTED_VALUE"""),"Trendy")</f>
        <v>Trendy</v>
      </c>
      <c r="S404" s="72" t="str">
        <f>IFERROR(__xludf.DUMMYFUNCTION("""COMPUTED_VALUE"""),"Swim Out/Plunge Pool Rooms, Great for Parties, Heated Pool, Gym, Buffet, Evening Entertainment, Wifi (Free), Swim Up Bar, Nightclub, Spa")</f>
        <v>Swim Out/Plunge Pool Rooms, Great for Parties, Heated Pool, Gym, Buffet, Evening Entertainment, Wifi (Free), Swim Up Bar, Nightclub, Spa</v>
      </c>
      <c r="T404" s="72"/>
      <c r="U404" s="76"/>
      <c r="V404" s="74" t="b">
        <f>IFERROR(__xludf.DUMMYFUNCTION("""COMPUTED_VALUE"""),FALSE)</f>
        <v>0</v>
      </c>
      <c r="W404" s="74">
        <f>IFERROR(__xludf.DUMMYFUNCTION("""COMPUTED_VALUE"""),362.0)</f>
        <v>362</v>
      </c>
      <c r="X404" s="74">
        <f>IFERROR(__xludf.DUMMYFUNCTION("""COMPUTED_VALUE"""),2016.0)</f>
        <v>2016</v>
      </c>
      <c r="Y404" s="74">
        <f>IFERROR(__xludf.DUMMYFUNCTION("""COMPUTED_VALUE"""),2020.0)</f>
        <v>2020</v>
      </c>
      <c r="Z404" s="75">
        <f>IFERROR(__xludf.DUMMYFUNCTION("""COMPUTED_VALUE"""),4.0)</f>
        <v>4</v>
      </c>
    </row>
    <row r="405">
      <c r="A405" s="65" t="str">
        <f>IFERROR(__xludf.DUMMYFUNCTION("""COMPUTED_VALUE"""),"The Verandah Resort &amp; Spa")</f>
        <v>The Verandah Resort &amp; Spa</v>
      </c>
      <c r="B405" s="66">
        <f>IFERROR(__xludf.DUMMYFUNCTION("""COMPUTED_VALUE"""),85.8)</f>
        <v>85.8</v>
      </c>
      <c r="C405" s="67" t="str">
        <f>IFERROR(__xludf.DUMMYFUNCTION("""COMPUTED_VALUE"""),"Adults Only")</f>
        <v>Adults Only</v>
      </c>
      <c r="D405" s="85">
        <f>IFERROR(__xludf.DUMMYFUNCTION("""COMPUTED_VALUE"""),5592.16)</f>
        <v>5592.16</v>
      </c>
      <c r="E405" s="79">
        <f>IFERROR(__xludf.DUMMYFUNCTION("""COMPUTED_VALUE"""),7723.052008783999)</f>
        <v>7723.052009</v>
      </c>
      <c r="F405" s="90">
        <f>IFERROR(__xludf.DUMMYFUNCTION("""COMPUTED_VALUE"""),1.04)</f>
        <v>1.04</v>
      </c>
      <c r="G405" s="78"/>
      <c r="H405" s="74">
        <f>IFERROR(__xludf.DUMMYFUNCTION("""COMPUTED_VALUE"""),7.0)</f>
        <v>7</v>
      </c>
      <c r="I405" s="78"/>
      <c r="J405" s="78"/>
      <c r="K405" s="76"/>
      <c r="L405" s="76" t="str">
        <f>IFERROR(__xludf.DUMMYFUNCTION("""COMPUTED_VALUE"""),"Antigua")</f>
        <v>Antigua</v>
      </c>
      <c r="M405" s="76" t="str">
        <f>IFERROR(__xludf.DUMMYFUNCTION("""COMPUTED_VALUE"""),"Saint Phillips")</f>
        <v>Saint Phillips</v>
      </c>
      <c r="N405" s="76" t="str">
        <f>IFERROR(__xludf.DUMMYFUNCTION("""COMPUTED_VALUE"""),"V.C. Bird")</f>
        <v>V.C. Bird</v>
      </c>
      <c r="O405" s="78" t="b">
        <f>IFERROR(__xludf.DUMMYFUNCTION("""COMPUTED_VALUE"""),TRUE)</f>
        <v>1</v>
      </c>
      <c r="P405" s="80">
        <f>IFERROR(__xludf.DUMMYFUNCTION("""COMPUTED_VALUE"""),0.02013888888888889)</f>
        <v>0.02013888889</v>
      </c>
      <c r="Q405" s="76"/>
      <c r="R405" s="71" t="str">
        <f>IFERROR(__xludf.DUMMYFUNCTION("""COMPUTED_VALUE"""),"Ocean View")</f>
        <v>Ocean View</v>
      </c>
      <c r="S405" s="71" t="str">
        <f>IFERROR(__xludf.DUMMYFUNCTION("""COMPUTED_VALUE"""),"Beach, Gym, Buffet, Mini Golf, Tennis, Evening Entertainment, Snorkelling, Watersports Equipment Rentals, Fishing, Spa")</f>
        <v>Beach, Gym, Buffet, Mini Golf, Tennis, Evening Entertainment, Snorkelling, Watersports Equipment Rentals, Fishing, Spa</v>
      </c>
      <c r="T405" s="71"/>
      <c r="U405" s="76"/>
      <c r="V405" s="74" t="b">
        <f>IFERROR(__xludf.DUMMYFUNCTION("""COMPUTED_VALUE"""),FALSE)</f>
        <v>0</v>
      </c>
      <c r="W405" s="74">
        <f>IFERROR(__xludf.DUMMYFUNCTION("""COMPUTED_VALUE"""),185.0)</f>
        <v>185</v>
      </c>
      <c r="X405" s="74">
        <f>IFERROR(__xludf.DUMMYFUNCTION("""COMPUTED_VALUE"""),2007.0)</f>
        <v>2007</v>
      </c>
      <c r="Y405" s="74">
        <f>IFERROR(__xludf.DUMMYFUNCTION("""COMPUTED_VALUE"""),2023.0)</f>
        <v>2023</v>
      </c>
      <c r="Z405" s="75">
        <f>IFERROR(__xludf.DUMMYFUNCTION("""COMPUTED_VALUE"""),1.0)</f>
        <v>1</v>
      </c>
    </row>
    <row r="406">
      <c r="A406" s="77" t="str">
        <f>IFERROR(__xludf.DUMMYFUNCTION("""COMPUTED_VALUE"""),"Planet Hollywood Costa Rica")</f>
        <v>Planet Hollywood Costa Rica</v>
      </c>
      <c r="B406" s="66">
        <f>IFERROR(__xludf.DUMMYFUNCTION("""COMPUTED_VALUE"""),85.8)</f>
        <v>85.8</v>
      </c>
      <c r="C406" s="78" t="str">
        <f>IFERROR(__xludf.DUMMYFUNCTION("""COMPUTED_VALUE"""),"Family")</f>
        <v>Family</v>
      </c>
      <c r="D406" s="68">
        <f>IFERROR(__xludf.DUMMYFUNCTION("""COMPUTED_VALUE"""),5783.78)</f>
        <v>5783.78</v>
      </c>
      <c r="E406" s="68">
        <f>IFERROR(__xludf.DUMMYFUNCTION("""COMPUTED_VALUE"""),7987.688790621999)</f>
        <v>7987.688791</v>
      </c>
      <c r="F406" s="69">
        <f>IFERROR(__xludf.DUMMYFUNCTION("""COMPUTED_VALUE"""),1.0)</f>
        <v>1</v>
      </c>
      <c r="G406" s="70"/>
      <c r="H406" s="70">
        <f>IFERROR(__xludf.DUMMYFUNCTION("""COMPUTED_VALUE"""),7.0)</f>
        <v>7</v>
      </c>
      <c r="I406" s="70"/>
      <c r="J406" s="70">
        <f>IFERROR(__xludf.DUMMYFUNCTION("""COMPUTED_VALUE"""),5.0)</f>
        <v>5</v>
      </c>
      <c r="K406" s="71"/>
      <c r="L406" s="76" t="str">
        <f>IFERROR(__xludf.DUMMYFUNCTION("""COMPUTED_VALUE"""),"Costa Rica")</f>
        <v>Costa Rica</v>
      </c>
      <c r="M406" s="76" t="str">
        <f>IFERROR(__xludf.DUMMYFUNCTION("""COMPUTED_VALUE"""),"Culebra")</f>
        <v>Culebra</v>
      </c>
      <c r="N406" s="76" t="str">
        <f>IFERROR(__xludf.DUMMYFUNCTION("""COMPUTED_VALUE"""),"Liberia")</f>
        <v>Liberia</v>
      </c>
      <c r="O406" s="70" t="b">
        <f>IFERROR(__xludf.DUMMYFUNCTION("""COMPUTED_VALUE"""),TRUE)</f>
        <v>1</v>
      </c>
      <c r="P406" s="73">
        <f>IFERROR(__xludf.DUMMYFUNCTION("""COMPUTED_VALUE"""),0.03263888888888889)</f>
        <v>0.03263888889</v>
      </c>
      <c r="Q406" s="71" t="str">
        <f>IFERROR(__xludf.DUMMYFUNCTION("""COMPUTED_VALUE"""),"Marriott")</f>
        <v>Marriott</v>
      </c>
      <c r="R406" s="71"/>
      <c r="S406" s="71" t="str">
        <f>IFERROR(__xludf.DUMMYFUNCTION("""COMPUTED_VALUE"""),"Beach, Family Suite, 2 Bedroom Suites, Kids Club, Gym, Buffet, Swim Up Bar, Nightclub, Wifi (Free), Babysitting, Evening Entertainment, Spa")</f>
        <v>Beach, Family Suite, 2 Bedroom Suites, Kids Club, Gym, Buffet, Swim Up Bar, Nightclub, Wifi (Free), Babysitting, Evening Entertainment, Spa</v>
      </c>
      <c r="T406" s="71"/>
      <c r="U406" s="71" t="str">
        <f>IFERROR(__xludf.DUMMYFUNCTION("""COMPUTED_VALUE"""),"1 King or 2 Queen")</f>
        <v>1 King or 2 Queen</v>
      </c>
      <c r="V406" s="74" t="b">
        <f>IFERROR(__xludf.DUMMYFUNCTION("""COMPUTED_VALUE"""),FALSE)</f>
        <v>0</v>
      </c>
      <c r="W406" s="74">
        <f>IFERROR(__xludf.DUMMYFUNCTION("""COMPUTED_VALUE"""),292.0)</f>
        <v>292</v>
      </c>
      <c r="X406" s="74">
        <f>IFERROR(__xludf.DUMMYFUNCTION("""COMPUTED_VALUE"""),2018.0)</f>
        <v>2018</v>
      </c>
      <c r="Y406" s="74"/>
      <c r="Z406" s="75">
        <f>IFERROR(__xludf.DUMMYFUNCTION("""COMPUTED_VALUE"""),3.0)</f>
        <v>3</v>
      </c>
    </row>
    <row r="407">
      <c r="A407" s="65" t="str">
        <f>IFERROR(__xludf.DUMMYFUNCTION("""COMPUTED_VALUE"""),"Coral Costa Caribe Hotel")</f>
        <v>Coral Costa Caribe Hotel</v>
      </c>
      <c r="B407" s="66">
        <f>IFERROR(__xludf.DUMMYFUNCTION("""COMPUTED_VALUE"""),85.7)</f>
        <v>85.7</v>
      </c>
      <c r="C407" s="67" t="str">
        <f>IFERROR(__xludf.DUMMYFUNCTION("""COMPUTED_VALUE"""),"Family")</f>
        <v>Family</v>
      </c>
      <c r="D407" s="79">
        <f>IFERROR(__xludf.DUMMYFUNCTION("""COMPUTED_VALUE"""),2067.0)</f>
        <v>2067</v>
      </c>
      <c r="E407" s="79">
        <f>IFERROR(__xludf.DUMMYFUNCTION("""COMPUTED_VALUE"""),2854.6301433)</f>
        <v>2854.630143</v>
      </c>
      <c r="F407" s="69">
        <f>IFERROR(__xludf.DUMMYFUNCTION("""COMPUTED_VALUE"""),2.76)</f>
        <v>2.76</v>
      </c>
      <c r="G407" s="78"/>
      <c r="H407" s="74">
        <f>IFERROR(__xludf.DUMMYFUNCTION("""COMPUTED_VALUE"""),4.0)</f>
        <v>4</v>
      </c>
      <c r="I407" s="78"/>
      <c r="J407" s="78">
        <f>IFERROR(__xludf.DUMMYFUNCTION("""COMPUTED_VALUE"""),4.0)</f>
        <v>4</v>
      </c>
      <c r="K407" s="71"/>
      <c r="L407" s="76" t="str">
        <f>IFERROR(__xludf.DUMMYFUNCTION("""COMPUTED_VALUE"""),"Dominican Republic")</f>
        <v>Dominican Republic</v>
      </c>
      <c r="M407" s="76" t="str">
        <f>IFERROR(__xludf.DUMMYFUNCTION("""COMPUTED_VALUE"""),"Juan Dolio")</f>
        <v>Juan Dolio</v>
      </c>
      <c r="N407" s="72" t="str">
        <f>IFERROR(__xludf.DUMMYFUNCTION("""COMPUTED_VALUE"""),"Punta Cana")</f>
        <v>Punta Cana</v>
      </c>
      <c r="O407" s="78" t="b">
        <f>IFERROR(__xludf.DUMMYFUNCTION("""COMPUTED_VALUE"""),TRUE)</f>
        <v>1</v>
      </c>
      <c r="P407" s="80">
        <f>IFERROR(__xludf.DUMMYFUNCTION("""COMPUTED_VALUE"""),0.06180555555555556)</f>
        <v>0.06180555556</v>
      </c>
      <c r="Q407" s="71"/>
      <c r="R407" s="71" t="str">
        <f>IFERROR(__xludf.DUMMYFUNCTION("""COMPUTED_VALUE"""),"Ocean View, Family")</f>
        <v>Ocean View, Family</v>
      </c>
      <c r="S407" s="71" t="str">
        <f>IFERROR(__xludf.DUMMYFUNCTION("""COMPUTED_VALUE"""),"Beach, Kids Club, Gym, Tennis, Buffet, Evening Entertainment, Spa, Babysitting, Swim Up Bar, Nightclub")</f>
        <v>Beach, Kids Club, Gym, Tennis, Buffet, Evening Entertainment, Spa, Babysitting, Swim Up Bar, Nightclub</v>
      </c>
      <c r="T407" s="71" t="str">
        <f>IFERROR(__xludf.DUMMYFUNCTION("""COMPUTED_VALUE"""),"Can't Book Two Rooms")</f>
        <v>Can't Book Two Rooms</v>
      </c>
      <c r="U407" s="71" t="str">
        <f>IFERROR(__xludf.DUMMYFUNCTION("""COMPUTED_VALUE"""),"2 Queen")</f>
        <v>2 Queen</v>
      </c>
      <c r="V407" s="74" t="b">
        <f>IFERROR(__xludf.DUMMYFUNCTION("""COMPUTED_VALUE"""),FALSE)</f>
        <v>0</v>
      </c>
      <c r="W407" s="74">
        <f>IFERROR(__xludf.DUMMYFUNCTION("""COMPUTED_VALUE"""),422.0)</f>
        <v>422</v>
      </c>
      <c r="X407" s="74">
        <f>IFERROR(__xludf.DUMMYFUNCTION("""COMPUTED_VALUE"""),1995.0)</f>
        <v>1995</v>
      </c>
      <c r="Y407" s="74">
        <f>IFERROR(__xludf.DUMMYFUNCTION("""COMPUTED_VALUE"""),2003.0)</f>
        <v>2003</v>
      </c>
      <c r="Z407" s="75"/>
    </row>
    <row r="408">
      <c r="A408" s="65" t="str">
        <f>IFERROR(__xludf.DUMMYFUNCTION("""COMPUTED_VALUE"""),"Dreams Estrella del Mar Mazatlán Golf &amp; Spa Resort")</f>
        <v>Dreams Estrella del Mar Mazatlán Golf &amp; Spa Resort</v>
      </c>
      <c r="B408" s="66">
        <f>IFERROR(__xludf.DUMMYFUNCTION("""COMPUTED_VALUE"""),85.7)</f>
        <v>85.7</v>
      </c>
      <c r="C408" s="67" t="str">
        <f>IFERROR(__xludf.DUMMYFUNCTION("""COMPUTED_VALUE"""),"Family")</f>
        <v>Family</v>
      </c>
      <c r="D408" s="79">
        <f>IFERROR(__xludf.DUMMYFUNCTION("""COMPUTED_VALUE"""),2143.0)</f>
        <v>2143</v>
      </c>
      <c r="E408" s="79">
        <f>IFERROR(__xludf.DUMMYFUNCTION("""COMPUTED_VALUE"""),2959.5899357)</f>
        <v>2959.589936</v>
      </c>
      <c r="F408" s="69">
        <f>IFERROR(__xludf.DUMMYFUNCTION("""COMPUTED_VALUE"""),2.66)</f>
        <v>2.66</v>
      </c>
      <c r="G408" s="78"/>
      <c r="H408" s="74" t="str">
        <f>IFERROR(__xludf.DUMMYFUNCTION("""COMPUTED_VALUE"""),"NYR")</f>
        <v>NYR</v>
      </c>
      <c r="I408" s="78" t="str">
        <f>IFERROR(__xludf.DUMMYFUNCTION("""COMPUTED_VALUE"""),"B")</f>
        <v>B</v>
      </c>
      <c r="J408" s="78">
        <f>IFERROR(__xludf.DUMMYFUNCTION("""COMPUTED_VALUE"""),5.0)</f>
        <v>5</v>
      </c>
      <c r="K408" s="76"/>
      <c r="L408" s="76" t="str">
        <f>IFERROR(__xludf.DUMMYFUNCTION("""COMPUTED_VALUE"""),"Mexico")</f>
        <v>Mexico</v>
      </c>
      <c r="M408" s="76" t="str">
        <f>IFERROR(__xludf.DUMMYFUNCTION("""COMPUTED_VALUE"""),"Mazatlan")</f>
        <v>Mazatlan</v>
      </c>
      <c r="N408" s="76" t="str">
        <f>IFERROR(__xludf.DUMMYFUNCTION("""COMPUTED_VALUE"""),"Gen Rafael Buelna")</f>
        <v>Gen Rafael Buelna</v>
      </c>
      <c r="O408" s="78" t="b">
        <f>IFERROR(__xludf.DUMMYFUNCTION("""COMPUTED_VALUE"""),FALSE)</f>
        <v>0</v>
      </c>
      <c r="P408" s="80">
        <f>IFERROR(__xludf.DUMMYFUNCTION("""COMPUTED_VALUE"""),0.01875)</f>
        <v>0.01875</v>
      </c>
      <c r="Q408" s="76" t="str">
        <f>IFERROR(__xludf.DUMMYFUNCTION("""COMPUTED_VALUE"""),"Hyatt")</f>
        <v>Hyatt</v>
      </c>
      <c r="R408" s="76" t="str">
        <f>IFERROR(__xludf.DUMMYFUNCTION("""COMPUTED_VALUE"""),"Luxury, Business")</f>
        <v>Luxury, Business</v>
      </c>
      <c r="S408" s="71" t="str">
        <f>IFERROR(__xludf.DUMMYFUNCTION("""COMPUTED_VALUE"""),"Beach, Swim Out/Plunge Pool Rooms, Kids Club, Big Waterslides, Lazy River, Kids Waterpark, Heated Pool, Kids Club for Under 4, Gym, Buffet, Swim Up Bar, Evening Entertainment, Wifi (Free), Babysitting, Yoga Classes, Room Service, Golf Course, Spa")</f>
        <v>Beach, Swim Out/Plunge Pool Rooms, Kids Club, Big Waterslides, Lazy River, Kids Waterpark, Heated Pool, Kids Club for Under 4, Gym, Buffet, Swim Up Bar, Evening Entertainment, Wifi (Free), Babysitting, Yoga Classes, Room Service, Golf Course, Spa</v>
      </c>
      <c r="T408" s="71" t="str">
        <f>IFERROR(__xludf.DUMMYFUNCTION("""COMPUTED_VALUE"""),"Can't Book Two Rooms")</f>
        <v>Can't Book Two Rooms</v>
      </c>
      <c r="U408" s="76" t="str">
        <f>IFERROR(__xludf.DUMMYFUNCTION("""COMPUTED_VALUE"""),"1 King or 2 Double")</f>
        <v>1 King or 2 Double</v>
      </c>
      <c r="V408" s="74" t="b">
        <f>IFERROR(__xludf.DUMMYFUNCTION("""COMPUTED_VALUE"""),FALSE)</f>
        <v>0</v>
      </c>
      <c r="W408" s="74">
        <f>IFERROR(__xludf.DUMMYFUNCTION("""COMPUTED_VALUE"""),358.0)</f>
        <v>358</v>
      </c>
      <c r="X408" s="74">
        <f>IFERROR(__xludf.DUMMYFUNCTION("""COMPUTED_VALUE"""),2024.0)</f>
        <v>2024</v>
      </c>
      <c r="Y408" s="74"/>
      <c r="Z408" s="75">
        <f>IFERROR(__xludf.DUMMYFUNCTION("""COMPUTED_VALUE"""),8.0)</f>
        <v>8</v>
      </c>
    </row>
    <row r="409">
      <c r="A409" s="65" t="str">
        <f>IFERROR(__xludf.DUMMYFUNCTION("""COMPUTED_VALUE"""),"Caribe Deluxe Princess")</f>
        <v>Caribe Deluxe Princess</v>
      </c>
      <c r="B409" s="66">
        <f>IFERROR(__xludf.DUMMYFUNCTION("""COMPUTED_VALUE"""),85.7)</f>
        <v>85.7</v>
      </c>
      <c r="C409" s="67" t="str">
        <f>IFERROR(__xludf.DUMMYFUNCTION("""COMPUTED_VALUE"""),"Family")</f>
        <v>Family</v>
      </c>
      <c r="D409" s="79">
        <f>IFERROR(__xludf.DUMMYFUNCTION("""COMPUTED_VALUE"""),3698.52)</f>
        <v>3698.52</v>
      </c>
      <c r="E409" s="79">
        <f>IFERROR(__xludf.DUMMYFUNCTION("""COMPUTED_VALUE"""),5107.840676147999)</f>
        <v>5107.840676</v>
      </c>
      <c r="F409" s="69">
        <f>IFERROR(__xludf.DUMMYFUNCTION("""COMPUTED_VALUE"""),1.54)</f>
        <v>1.54</v>
      </c>
      <c r="G409" s="78"/>
      <c r="H409" s="74">
        <f>IFERROR(__xludf.DUMMYFUNCTION("""COMPUTED_VALUE"""),6.0)</f>
        <v>6</v>
      </c>
      <c r="I409" s="78"/>
      <c r="J409" s="78">
        <f>IFERROR(__xludf.DUMMYFUNCTION("""COMPUTED_VALUE"""),5.0)</f>
        <v>5</v>
      </c>
      <c r="K409" s="71"/>
      <c r="L409" s="76" t="str">
        <f>IFERROR(__xludf.DUMMYFUNCTION("""COMPUTED_VALUE"""),"Dominican Republic")</f>
        <v>Dominican Republic</v>
      </c>
      <c r="M409" s="76" t="str">
        <f>IFERROR(__xludf.DUMMYFUNCTION("""COMPUTED_VALUE"""),"Bavaro")</f>
        <v>Bavaro</v>
      </c>
      <c r="N409" s="76" t="str">
        <f>IFERROR(__xludf.DUMMYFUNCTION("""COMPUTED_VALUE"""),"Punta Cana")</f>
        <v>Punta Cana</v>
      </c>
      <c r="O409" s="78" t="b">
        <f>IFERROR(__xludf.DUMMYFUNCTION("""COMPUTED_VALUE"""),TRUE)</f>
        <v>1</v>
      </c>
      <c r="P409" s="80">
        <f>IFERROR(__xludf.DUMMYFUNCTION("""COMPUTED_VALUE"""),0.017361111111111112)</f>
        <v>0.01736111111</v>
      </c>
      <c r="Q409" s="71" t="str">
        <f>IFERROR(__xludf.DUMMYFUNCTION("""COMPUTED_VALUE"""),"Princess Hotels")</f>
        <v>Princess Hotels</v>
      </c>
      <c r="R409" s="71" t="str">
        <f>IFERROR(__xludf.DUMMYFUNCTION("""COMPUTED_VALUE"""),"Bay View, Family")</f>
        <v>Bay View, Family</v>
      </c>
      <c r="S409" s="71" t="str">
        <f>IFERROR(__xludf.DUMMYFUNCTION("""COMPUTED_VALUE"""),"Beach, Kids Club, Teen Club, Gym, Archery, Room Service, Tennis, Nightclub, Spa, Babysitting, Buffet, Swim Up Bar, Diving, Mini Golf, Evening Entertainment")</f>
        <v>Beach, Kids Club, Teen Club, Gym, Archery, Room Service, Tennis, Nightclub, Spa, Babysitting, Buffet, Swim Up Bar, Diving, Mini Golf, Evening Entertainment</v>
      </c>
      <c r="T409" s="71"/>
      <c r="U409" s="76" t="str">
        <f>IFERROR(__xludf.DUMMYFUNCTION("""COMPUTED_VALUE"""),"1 King and 1 Sofa Bed or 2 Queen")</f>
        <v>1 King and 1 Sofa Bed or 2 Queen</v>
      </c>
      <c r="V409" s="74" t="b">
        <f>IFERROR(__xludf.DUMMYFUNCTION("""COMPUTED_VALUE"""),FALSE)</f>
        <v>0</v>
      </c>
      <c r="W409" s="74">
        <f>IFERROR(__xludf.DUMMYFUNCTION("""COMPUTED_VALUE"""),355.0)</f>
        <v>355</v>
      </c>
      <c r="X409" s="74"/>
      <c r="Y409" s="74"/>
      <c r="Z409" s="75">
        <f>IFERROR(__xludf.DUMMYFUNCTION("""COMPUTED_VALUE"""),2.0)</f>
        <v>2</v>
      </c>
    </row>
    <row r="410">
      <c r="A410" s="65" t="str">
        <f>IFERROR(__xludf.DUMMYFUNCTION("""COMPUTED_VALUE"""),"Bahia Principe Fantasia Punta Cana")</f>
        <v>Bahia Principe Fantasia Punta Cana</v>
      </c>
      <c r="B410" s="66">
        <f>IFERROR(__xludf.DUMMYFUNCTION("""COMPUTED_VALUE"""),85.7)</f>
        <v>85.7</v>
      </c>
      <c r="C410" s="67" t="str">
        <f>IFERROR(__xludf.DUMMYFUNCTION("""COMPUTED_VALUE"""),"Family")</f>
        <v>Family</v>
      </c>
      <c r="D410" s="68">
        <f>IFERROR(__xludf.DUMMYFUNCTION("""COMPUTED_VALUE"""),3976.98)</f>
        <v>3976.98</v>
      </c>
      <c r="E410" s="79">
        <f>IFERROR(__xludf.DUMMYFUNCTION("""COMPUTED_VALUE"""),5492.407831301999)</f>
        <v>5492.407831</v>
      </c>
      <c r="F410" s="69">
        <f>IFERROR(__xludf.DUMMYFUNCTION("""COMPUTED_VALUE"""),1.43)</f>
        <v>1.43</v>
      </c>
      <c r="G410" s="70"/>
      <c r="H410" s="70">
        <f>IFERROR(__xludf.DUMMYFUNCTION("""COMPUTED_VALUE"""),7.0)</f>
        <v>7</v>
      </c>
      <c r="I410" s="70"/>
      <c r="J410" s="70">
        <f>IFERROR(__xludf.DUMMYFUNCTION("""COMPUTED_VALUE"""),5.0)</f>
        <v>5</v>
      </c>
      <c r="K410" s="71"/>
      <c r="L410" s="76" t="str">
        <f>IFERROR(__xludf.DUMMYFUNCTION("""COMPUTED_VALUE"""),"Dominican Republic")</f>
        <v>Dominican Republic</v>
      </c>
      <c r="M410" s="76" t="str">
        <f>IFERROR(__xludf.DUMMYFUNCTION("""COMPUTED_VALUE"""),"Punta Cana")</f>
        <v>Punta Cana</v>
      </c>
      <c r="N410" s="76" t="str">
        <f>IFERROR(__xludf.DUMMYFUNCTION("""COMPUTED_VALUE"""),"Punta Cana")</f>
        <v>Punta Cana</v>
      </c>
      <c r="O410" s="70" t="b">
        <f>IFERROR(__xludf.DUMMYFUNCTION("""COMPUTED_VALUE"""),TRUE)</f>
        <v>1</v>
      </c>
      <c r="P410" s="73">
        <f>IFERROR(__xludf.DUMMYFUNCTION("""COMPUTED_VALUE"""),0.018055555555555554)</f>
        <v>0.01805555556</v>
      </c>
      <c r="Q410" s="71" t="str">
        <f>IFERROR(__xludf.DUMMYFUNCTION("""COMPUTED_VALUE"""),"Bahia Principe")</f>
        <v>Bahia Principe</v>
      </c>
      <c r="R410" s="71" t="str">
        <f>IFERROR(__xludf.DUMMYFUNCTION("""COMPUTED_VALUE"""),"Family")</f>
        <v>Family</v>
      </c>
      <c r="S410" s="71" t="str">
        <f>IFERROR(__xludf.DUMMYFUNCTION("""COMPUTED_VALUE"""),"Beach, Kids Club, Teen Club, Kids Waterpark, Pool Slide, Water Feature, Gym, Mini Golf, Swim Up Bar, Tennis, Evening Entertainment, Nightclub, Wifi (Free), Babysitting, Buffet, Spa")</f>
        <v>Beach, Kids Club, Teen Club, Kids Waterpark, Pool Slide, Water Feature, Gym, Mini Golf, Swim Up Bar, Tennis, Evening Entertainment, Nightclub, Wifi (Free), Babysitting, Buffet, Spa</v>
      </c>
      <c r="T410" s="71"/>
      <c r="U410" s="71" t="str">
        <f>IFERROR(__xludf.DUMMYFUNCTION("""COMPUTED_VALUE"""),"1 King or 2 Full")</f>
        <v>1 King or 2 Full</v>
      </c>
      <c r="V410" s="70" t="b">
        <f>IFERROR(__xludf.DUMMYFUNCTION("""COMPUTED_VALUE"""),FALSE)</f>
        <v>0</v>
      </c>
      <c r="W410" s="70">
        <f>IFERROR(__xludf.DUMMYFUNCTION("""COMPUTED_VALUE"""),512.0)</f>
        <v>512</v>
      </c>
      <c r="X410" s="70">
        <f>IFERROR(__xludf.DUMMYFUNCTION("""COMPUTED_VALUE"""),2016.0)</f>
        <v>2016</v>
      </c>
      <c r="Y410" s="70"/>
      <c r="Z410" s="83">
        <f>IFERROR(__xludf.DUMMYFUNCTION("""COMPUTED_VALUE"""),3.0)</f>
        <v>3</v>
      </c>
    </row>
    <row r="411">
      <c r="A411" s="65" t="str">
        <f>IFERROR(__xludf.DUMMYFUNCTION("""COMPUTED_VALUE"""),"Sandals Regency La Toc (Couples only)")</f>
        <v>Sandals Regency La Toc (Couples only)</v>
      </c>
      <c r="B411" s="66">
        <f>IFERROR(__xludf.DUMMYFUNCTION("""COMPUTED_VALUE"""),85.7)</f>
        <v>85.7</v>
      </c>
      <c r="C411" s="67" t="str">
        <f>IFERROR(__xludf.DUMMYFUNCTION("""COMPUTED_VALUE"""),"Adults Only")</f>
        <v>Adults Only</v>
      </c>
      <c r="D411" s="85">
        <f>IFERROR(__xludf.DUMMYFUNCTION("""COMPUTED_VALUE"""),5934.0)</f>
        <v>5934</v>
      </c>
      <c r="E411" s="79">
        <f>IFERROR(__xludf.DUMMYFUNCTION("""COMPUTED_VALUE"""),8195.150106599998)</f>
        <v>8195.150107</v>
      </c>
      <c r="F411" s="69">
        <f>IFERROR(__xludf.DUMMYFUNCTION("""COMPUTED_VALUE"""),0.96)</f>
        <v>0.96</v>
      </c>
      <c r="G411" s="78">
        <f>IFERROR(__xludf.DUMMYFUNCTION("""COMPUTED_VALUE"""),4.0)</f>
        <v>4</v>
      </c>
      <c r="H411" s="74" t="str">
        <f>IFERROR(__xludf.DUMMYFUNCTION("""COMPUTED_VALUE"""),"NYR")</f>
        <v>NYR</v>
      </c>
      <c r="I411" s="78"/>
      <c r="J411" s="78">
        <f>IFERROR(__xludf.DUMMYFUNCTION("""COMPUTED_VALUE"""),5.0)</f>
        <v>5</v>
      </c>
      <c r="K411" s="76" t="str">
        <f>IFERROR(__xludf.DUMMYFUNCTION("""COMPUTED_VALUE"""),"Couples Only")</f>
        <v>Couples Only</v>
      </c>
      <c r="L411" s="76" t="str">
        <f>IFERROR(__xludf.DUMMYFUNCTION("""COMPUTED_VALUE"""),"Saint Lucia")</f>
        <v>Saint Lucia</v>
      </c>
      <c r="M411" s="76" t="str">
        <f>IFERROR(__xludf.DUMMYFUNCTION("""COMPUTED_VALUE"""),"Castries")</f>
        <v>Castries</v>
      </c>
      <c r="N411" s="76" t="str">
        <f>IFERROR(__xludf.DUMMYFUNCTION("""COMPUTED_VALUE"""),"Hewanorra")</f>
        <v>Hewanorra</v>
      </c>
      <c r="O411" s="78" t="b">
        <f>IFERROR(__xludf.DUMMYFUNCTION("""COMPUTED_VALUE"""),FALSE)</f>
        <v>0</v>
      </c>
      <c r="P411" s="80">
        <f>IFERROR(__xludf.DUMMYFUNCTION("""COMPUTED_VALUE"""),0.044444444444444446)</f>
        <v>0.04444444444</v>
      </c>
      <c r="Q411" s="76" t="str">
        <f>IFERROR(__xludf.DUMMYFUNCTION("""COMPUTED_VALUE"""),"Sandals")</f>
        <v>Sandals</v>
      </c>
      <c r="R411" s="76" t="str">
        <f>IFERROR(__xludf.DUMMYFUNCTION("""COMPUTED_VALUE"""),"Ocean View, Romantic")</f>
        <v>Ocean View, Romantic</v>
      </c>
      <c r="S411" s="72" t="str">
        <f>IFERROR(__xludf.DUMMYFUNCTION("""COMPUTED_VALUE"""),"Beach, Swim Out/Plunge Pool Rooms, Gym, Diving, Buffet, Snorkelling, Evening Entertainment, Nightclub, Spa, Swim Up Bar, Golf Course, Tennis")</f>
        <v>Beach, Swim Out/Plunge Pool Rooms, Gym, Diving, Buffet, Snorkelling, Evening Entertainment, Nightclub, Spa, Swim Up Bar, Golf Course, Tennis</v>
      </c>
      <c r="T411" s="72"/>
      <c r="U411" s="76"/>
      <c r="V411" s="74" t="b">
        <f>IFERROR(__xludf.DUMMYFUNCTION("""COMPUTED_VALUE"""),FALSE)</f>
        <v>0</v>
      </c>
      <c r="W411" s="74">
        <f>IFERROR(__xludf.DUMMYFUNCTION("""COMPUTED_VALUE"""),331.0)</f>
        <v>331</v>
      </c>
      <c r="X411" s="74">
        <f>IFERROR(__xludf.DUMMYFUNCTION("""COMPUTED_VALUE"""),1973.0)</f>
        <v>1973</v>
      </c>
      <c r="Y411" s="74">
        <f>IFERROR(__xludf.DUMMYFUNCTION("""COMPUTED_VALUE"""),2013.0)</f>
        <v>2013</v>
      </c>
      <c r="Z411" s="75"/>
    </row>
    <row r="412">
      <c r="A412" s="65" t="str">
        <f>IFERROR(__xludf.DUMMYFUNCTION("""COMPUTED_VALUE"""),"Wyndham Reef Resort")</f>
        <v>Wyndham Reef Resort</v>
      </c>
      <c r="B412" s="66">
        <f>IFERROR(__xludf.DUMMYFUNCTION("""COMPUTED_VALUE"""),85.7)</f>
        <v>85.7</v>
      </c>
      <c r="C412" s="67" t="str">
        <f>IFERROR(__xludf.DUMMYFUNCTION("""COMPUTED_VALUE"""),"Family")</f>
        <v>Family</v>
      </c>
      <c r="D412" s="79">
        <f>IFERROR(__xludf.DUMMYFUNCTION("""COMPUTED_VALUE"""),6305.67)</f>
        <v>6305.67</v>
      </c>
      <c r="E412" s="79">
        <f>IFERROR(__xludf.DUMMYFUNCTION("""COMPUTED_VALUE"""),8708.444922932998)</f>
        <v>8708.444923</v>
      </c>
      <c r="F412" s="69">
        <f>IFERROR(__xludf.DUMMYFUNCTION("""COMPUTED_VALUE"""),0.9)</f>
        <v>0.9</v>
      </c>
      <c r="G412" s="78"/>
      <c r="H412" s="74">
        <f>IFERROR(__xludf.DUMMYFUNCTION("""COMPUTED_VALUE"""),6.0)</f>
        <v>6</v>
      </c>
      <c r="I412" s="78"/>
      <c r="J412" s="78">
        <f>IFERROR(__xludf.DUMMYFUNCTION("""COMPUTED_VALUE"""),3.0)</f>
        <v>3</v>
      </c>
      <c r="K412" s="76"/>
      <c r="L412" s="76" t="str">
        <f>IFERROR(__xludf.DUMMYFUNCTION("""COMPUTED_VALUE"""),"Grand Cayman")</f>
        <v>Grand Cayman</v>
      </c>
      <c r="M412" s="76" t="str">
        <f>IFERROR(__xludf.DUMMYFUNCTION("""COMPUTED_VALUE"""),"East End")</f>
        <v>East End</v>
      </c>
      <c r="N412" s="76" t="str">
        <f>IFERROR(__xludf.DUMMYFUNCTION("""COMPUTED_VALUE"""),"Owen Roberts")</f>
        <v>Owen Roberts</v>
      </c>
      <c r="O412" s="78" t="b">
        <f>IFERROR(__xludf.DUMMYFUNCTION("""COMPUTED_VALUE"""),FALSE)</f>
        <v>0</v>
      </c>
      <c r="P412" s="80">
        <f>IFERROR(__xludf.DUMMYFUNCTION("""COMPUTED_VALUE"""),0.03333333333333333)</f>
        <v>0.03333333333</v>
      </c>
      <c r="Q412" s="76" t="str">
        <f>IFERROR(__xludf.DUMMYFUNCTION("""COMPUTED_VALUE"""),"Wyndham Hotels")</f>
        <v>Wyndham Hotels</v>
      </c>
      <c r="R412" s="76" t="str">
        <f>IFERROR(__xludf.DUMMYFUNCTION("""COMPUTED_VALUE"""),"Ocean View")</f>
        <v>Ocean View</v>
      </c>
      <c r="S412" s="71" t="str">
        <f>IFERROR(__xludf.DUMMYFUNCTION("""COMPUTED_VALUE"""),"Beach, Family Suite, 2 Bedroom Suites, Kids Club, Gym, Diving, Wifi (Paid), Snorkelling, Wifi (Free), Babysitting, Tennis, Spa")</f>
        <v>Beach, Family Suite, 2 Bedroom Suites, Kids Club, Gym, Diving, Wifi (Paid), Snorkelling, Wifi (Free), Babysitting, Tennis, Spa</v>
      </c>
      <c r="T412" s="71"/>
      <c r="U412" s="76" t="str">
        <f>IFERROR(__xludf.DUMMYFUNCTION("""COMPUTED_VALUE"""),"1 King and 2 Twin Murphy Beds")</f>
        <v>1 King and 2 Twin Murphy Beds</v>
      </c>
      <c r="V412" s="74" t="b">
        <f>IFERROR(__xludf.DUMMYFUNCTION("""COMPUTED_VALUE"""),FALSE)</f>
        <v>0</v>
      </c>
      <c r="W412" s="74">
        <f>IFERROR(__xludf.DUMMYFUNCTION("""COMPUTED_VALUE"""),152.0)</f>
        <v>152</v>
      </c>
      <c r="X412" s="74">
        <f>IFERROR(__xludf.DUMMYFUNCTION("""COMPUTED_VALUE"""),2000.0)</f>
        <v>2000</v>
      </c>
      <c r="Y412" s="74">
        <f>IFERROR(__xludf.DUMMYFUNCTION("""COMPUTED_VALUE"""),2014.0)</f>
        <v>2014</v>
      </c>
      <c r="Z412" s="75">
        <f>IFERROR(__xludf.DUMMYFUNCTION("""COMPUTED_VALUE"""),3.0)</f>
        <v>3</v>
      </c>
    </row>
    <row r="413">
      <c r="A413" s="65" t="str">
        <f>IFERROR(__xludf.DUMMYFUNCTION("""COMPUTED_VALUE"""),"Tamarind by Elegant Hotels")</f>
        <v>Tamarind by Elegant Hotels</v>
      </c>
      <c r="B413" s="66">
        <f>IFERROR(__xludf.DUMMYFUNCTION("""COMPUTED_VALUE"""),85.7)</f>
        <v>85.7</v>
      </c>
      <c r="C413" s="67" t="str">
        <f>IFERROR(__xludf.DUMMYFUNCTION("""COMPUTED_VALUE"""),"Family")</f>
        <v>Family</v>
      </c>
      <c r="D413" s="79"/>
      <c r="E413" s="79"/>
      <c r="F413" s="69"/>
      <c r="G413" s="78" t="str">
        <f>IFERROR(__xludf.DUMMYFUNCTION("""COMPUTED_VALUE"""),"Approved")</f>
        <v>Approved</v>
      </c>
      <c r="H413" s="74">
        <f>IFERROR(__xludf.DUMMYFUNCTION("""COMPUTED_VALUE"""),7.0)</f>
        <v>7</v>
      </c>
      <c r="I413" s="78"/>
      <c r="J413" s="78">
        <f>IFERROR(__xludf.DUMMYFUNCTION("""COMPUTED_VALUE"""),4.0)</f>
        <v>4</v>
      </c>
      <c r="K413" s="71"/>
      <c r="L413" s="76" t="str">
        <f>IFERROR(__xludf.DUMMYFUNCTION("""COMPUTED_VALUE"""),"Barbados")</f>
        <v>Barbados</v>
      </c>
      <c r="M413" s="76" t="str">
        <f>IFERROR(__xludf.DUMMYFUNCTION("""COMPUTED_VALUE"""),"Barbados")</f>
        <v>Barbados</v>
      </c>
      <c r="N413" s="76" t="str">
        <f>IFERROR(__xludf.DUMMYFUNCTION("""COMPUTED_VALUE"""),"Grantley Adams")</f>
        <v>Grantley Adams</v>
      </c>
      <c r="O413" s="78" t="b">
        <f>IFERROR(__xludf.DUMMYFUNCTION("""COMPUTED_VALUE"""),TRUE)</f>
        <v>1</v>
      </c>
      <c r="P413" s="80">
        <f>IFERROR(__xludf.DUMMYFUNCTION("""COMPUTED_VALUE"""),0.02013888888888889)</f>
        <v>0.02013888889</v>
      </c>
      <c r="Q413" s="76" t="str">
        <f>IFERROR(__xludf.DUMMYFUNCTION("""COMPUTED_VALUE"""),"Marriott")</f>
        <v>Marriott</v>
      </c>
      <c r="R413" s="71" t="str">
        <f>IFERROR(__xludf.DUMMYFUNCTION("""COMPUTED_VALUE"""),"Green")</f>
        <v>Green</v>
      </c>
      <c r="S413" s="72" t="str">
        <f>IFERROR(__xludf.DUMMYFUNCTION("""COMPUTED_VALUE"""),"Beach, Kids Club, Teen Club, Gym, Yoga Classes, Snorkelling, Evening Entertainment, Wifi (Free), Adult Pool, Buffet, Watersports Equipment Rentals, Spa")</f>
        <v>Beach, Kids Club, Teen Club, Gym, Yoga Classes, Snorkelling, Evening Entertainment, Wifi (Free), Adult Pool, Buffet, Watersports Equipment Rentals, Spa</v>
      </c>
      <c r="T413" s="72" t="str">
        <f>IFERROR(__xludf.DUMMYFUNCTION("""COMPUTED_VALUE"""),"Yes")</f>
        <v>Yes</v>
      </c>
      <c r="U413" s="76" t="str">
        <f>IFERROR(__xludf.DUMMYFUNCTION("""COMPUTED_VALUE"""),"1 King and 1 Sofa Bed")</f>
        <v>1 King and 1 Sofa Bed</v>
      </c>
      <c r="V413" s="74" t="b">
        <f>IFERROR(__xludf.DUMMYFUNCTION("""COMPUTED_VALUE"""),FALSE)</f>
        <v>0</v>
      </c>
      <c r="W413" s="74">
        <f>IFERROR(__xludf.DUMMYFUNCTION("""COMPUTED_VALUE"""),104.0)</f>
        <v>104</v>
      </c>
      <c r="X413" s="74">
        <f>IFERROR(__xludf.DUMMYFUNCTION("""COMPUTED_VALUE"""),1969.0)</f>
        <v>1969</v>
      </c>
      <c r="Y413" s="74">
        <f>IFERROR(__xludf.DUMMYFUNCTION("""COMPUTED_VALUE"""),2014.0)</f>
        <v>2014</v>
      </c>
      <c r="Z413" s="75">
        <f>IFERROR(__xludf.DUMMYFUNCTION("""COMPUTED_VALUE"""),3.0)</f>
        <v>3</v>
      </c>
    </row>
    <row r="414">
      <c r="A414" s="65" t="str">
        <f>IFERROR(__xludf.DUMMYFUNCTION("""COMPUTED_VALUE"""),"Sol Rio de Luna y Mares")</f>
        <v>Sol Rio de Luna y Mares</v>
      </c>
      <c r="B414" s="66">
        <f>IFERROR(__xludf.DUMMYFUNCTION("""COMPUTED_VALUE"""),85.5)</f>
        <v>85.5</v>
      </c>
      <c r="C414" s="67" t="str">
        <f>IFERROR(__xludf.DUMMYFUNCTION("""COMPUTED_VALUE"""),"Family")</f>
        <v>Family</v>
      </c>
      <c r="D414" s="68">
        <f>IFERROR(__xludf.DUMMYFUNCTION("""COMPUTED_VALUE"""),2016.0)</f>
        <v>2016</v>
      </c>
      <c r="E414" s="79">
        <f>IFERROR(__xludf.DUMMYFUNCTION("""COMPUTED_VALUE"""),2784.1965984)</f>
        <v>2784.196598</v>
      </c>
      <c r="F414" s="69">
        <f>IFERROR(__xludf.DUMMYFUNCTION("""COMPUTED_VALUE"""),2.73)</f>
        <v>2.73</v>
      </c>
      <c r="G414" s="70"/>
      <c r="H414" s="70" t="str">
        <f>IFERROR(__xludf.DUMMYFUNCTION("""COMPUTED_VALUE"""),"NYR")</f>
        <v>NYR</v>
      </c>
      <c r="I414" s="70"/>
      <c r="J414" s="70">
        <f>IFERROR(__xludf.DUMMYFUNCTION("""COMPUTED_VALUE"""),4.0)</f>
        <v>4</v>
      </c>
      <c r="K414" s="71"/>
      <c r="L414" s="76" t="str">
        <f>IFERROR(__xludf.DUMMYFUNCTION("""COMPUTED_VALUE"""),"Cuba")</f>
        <v>Cuba</v>
      </c>
      <c r="M414" s="76" t="str">
        <f>IFERROR(__xludf.DUMMYFUNCTION("""COMPUTED_VALUE"""),"Guardalavaca")</f>
        <v>Guardalavaca</v>
      </c>
      <c r="N414" s="76" t="str">
        <f>IFERROR(__xludf.DUMMYFUNCTION("""COMPUTED_VALUE"""),"Holguin")</f>
        <v>Holguin</v>
      </c>
      <c r="O414" s="70" t="b">
        <f>IFERROR(__xludf.DUMMYFUNCTION("""COMPUTED_VALUE"""),TRUE)</f>
        <v>1</v>
      </c>
      <c r="P414" s="73">
        <f>IFERROR(__xludf.DUMMYFUNCTION("""COMPUTED_VALUE"""),0.04583333333333333)</f>
        <v>0.04583333333</v>
      </c>
      <c r="Q414" s="71"/>
      <c r="R414" s="71"/>
      <c r="S414" s="71" t="str">
        <f>IFERROR(__xludf.DUMMYFUNCTION("""COMPUTED_VALUE"""),"Beach, Family Suite, 2 Bedroom Suites, Kids Club, Gym, Diving, Buffet, Tennis, Fishing, Nightclub, Babysitting, Swim Up Bar, Snorkelling, Evening Entertainment, Spa")</f>
        <v>Beach, Family Suite, 2 Bedroom Suites, Kids Club, Gym, Diving, Buffet, Tennis, Fishing, Nightclub, Babysitting, Swim Up Bar, Snorkelling, Evening Entertainment, Spa</v>
      </c>
      <c r="T414" s="71"/>
      <c r="U414" s="71" t="str">
        <f>IFERROR(__xludf.DUMMYFUNCTION("""COMPUTED_VALUE"""),"1 King")</f>
        <v>1 King</v>
      </c>
      <c r="V414" s="70" t="b">
        <f>IFERROR(__xludf.DUMMYFUNCTION("""COMPUTED_VALUE"""),FALSE)</f>
        <v>0</v>
      </c>
      <c r="W414" s="70">
        <f>IFERROR(__xludf.DUMMYFUNCTION("""COMPUTED_VALUE"""),464.0)</f>
        <v>464</v>
      </c>
      <c r="X414" s="70">
        <f>IFERROR(__xludf.DUMMYFUNCTION("""COMPUTED_VALUE"""),1991.0)</f>
        <v>1991</v>
      </c>
      <c r="Y414" s="70">
        <f>IFERROR(__xludf.DUMMYFUNCTION("""COMPUTED_VALUE"""),2012.0)</f>
        <v>2012</v>
      </c>
      <c r="Z414" s="83">
        <f>IFERROR(__xludf.DUMMYFUNCTION("""COMPUTED_VALUE"""),3.0)</f>
        <v>3</v>
      </c>
    </row>
    <row r="415">
      <c r="A415" s="65" t="str">
        <f>IFERROR(__xludf.DUMMYFUNCTION("""COMPUTED_VALUE"""),"Playa Pesquero Hotel")</f>
        <v>Playa Pesquero Hotel</v>
      </c>
      <c r="B415" s="66">
        <f>IFERROR(__xludf.DUMMYFUNCTION("""COMPUTED_VALUE"""),85.5)</f>
        <v>85.5</v>
      </c>
      <c r="C415" s="67" t="str">
        <f>IFERROR(__xludf.DUMMYFUNCTION("""COMPUTED_VALUE"""),"Family")</f>
        <v>Family</v>
      </c>
      <c r="D415" s="79">
        <f>IFERROR(__xludf.DUMMYFUNCTION("""COMPUTED_VALUE"""),2227.75)</f>
        <v>2227.75</v>
      </c>
      <c r="E415" s="79">
        <f>IFERROR(__xludf.DUMMYFUNCTION("""COMPUTED_VALUE"""),3076.6339147249996)</f>
        <v>3076.633915</v>
      </c>
      <c r="F415" s="69">
        <f>IFERROR(__xludf.DUMMYFUNCTION("""COMPUTED_VALUE"""),2.47)</f>
        <v>2.47</v>
      </c>
      <c r="G415" s="78"/>
      <c r="H415" s="74">
        <f>IFERROR(__xludf.DUMMYFUNCTION("""COMPUTED_VALUE"""),6.0)</f>
        <v>6</v>
      </c>
      <c r="I415" s="78"/>
      <c r="J415" s="78">
        <f>IFERROR(__xludf.DUMMYFUNCTION("""COMPUTED_VALUE"""),5.0)</f>
        <v>5</v>
      </c>
      <c r="K415" s="76"/>
      <c r="L415" s="76" t="str">
        <f>IFERROR(__xludf.DUMMYFUNCTION("""COMPUTED_VALUE"""),"Cuba")</f>
        <v>Cuba</v>
      </c>
      <c r="M415" s="76" t="str">
        <f>IFERROR(__xludf.DUMMYFUNCTION("""COMPUTED_VALUE"""),"Rafael Freyre")</f>
        <v>Rafael Freyre</v>
      </c>
      <c r="N415" s="76" t="str">
        <f>IFERROR(__xludf.DUMMYFUNCTION("""COMPUTED_VALUE"""),"Holguin")</f>
        <v>Holguin</v>
      </c>
      <c r="O415" s="78" t="b">
        <f>IFERROR(__xludf.DUMMYFUNCTION("""COMPUTED_VALUE"""),TRUE)</f>
        <v>1</v>
      </c>
      <c r="P415" s="80">
        <f>IFERROR(__xludf.DUMMYFUNCTION("""COMPUTED_VALUE"""),0.043055555555555555)</f>
        <v>0.04305555556</v>
      </c>
      <c r="Q415" s="76"/>
      <c r="R415" s="76" t="str">
        <f>IFERROR(__xludf.DUMMYFUNCTION("""COMPUTED_VALUE"""),"Ocean View")</f>
        <v>Ocean View</v>
      </c>
      <c r="S415" s="71" t="str">
        <f>IFERROR(__xludf.DUMMYFUNCTION("""COMPUTED_VALUE"""),"Beach, Kids Club, Teen Club, Gym, Diving, Buffet, Swim Up Bar, Evening Entertainment, Nightclub, Spa, Fishing")</f>
        <v>Beach, Kids Club, Teen Club, Gym, Diving, Buffet, Swim Up Bar, Evening Entertainment, Nightclub, Spa, Fishing</v>
      </c>
      <c r="T415" s="71"/>
      <c r="U415" s="76" t="str">
        <f>IFERROR(__xludf.DUMMYFUNCTION("""COMPUTED_VALUE"""),"1 Double or 2 Single")</f>
        <v>1 Double or 2 Single</v>
      </c>
      <c r="V415" s="74" t="b">
        <f>IFERROR(__xludf.DUMMYFUNCTION("""COMPUTED_VALUE"""),FALSE)</f>
        <v>0</v>
      </c>
      <c r="W415" s="74">
        <f>IFERROR(__xludf.DUMMYFUNCTION("""COMPUTED_VALUE"""),968.0)</f>
        <v>968</v>
      </c>
      <c r="X415" s="74">
        <f>IFERROR(__xludf.DUMMYFUNCTION("""COMPUTED_VALUE"""),2003.0)</f>
        <v>2003</v>
      </c>
      <c r="Y415" s="74"/>
      <c r="Z415" s="75">
        <f>IFERROR(__xludf.DUMMYFUNCTION("""COMPUTED_VALUE"""),2.0)</f>
        <v>2</v>
      </c>
    </row>
    <row r="416">
      <c r="A416" s="77" t="str">
        <f>IFERROR(__xludf.DUMMYFUNCTION("""COMPUTED_VALUE"""),"GR Caribe by Solaris")</f>
        <v>GR Caribe by Solaris</v>
      </c>
      <c r="B416" s="66">
        <f>IFERROR(__xludf.DUMMYFUNCTION("""COMPUTED_VALUE"""),85.5)</f>
        <v>85.5</v>
      </c>
      <c r="C416" s="78" t="str">
        <f>IFERROR(__xludf.DUMMYFUNCTION("""COMPUTED_VALUE"""),"Family")</f>
        <v>Family</v>
      </c>
      <c r="D416" s="68">
        <f>IFERROR(__xludf.DUMMYFUNCTION("""COMPUTED_VALUE"""),3112.2)</f>
        <v>3112.2</v>
      </c>
      <c r="E416" s="68">
        <f>IFERROR(__xludf.DUMMYFUNCTION("""COMPUTED_VALUE"""),4298.103498779999)</f>
        <v>4298.103499</v>
      </c>
      <c r="F416" s="69">
        <f>IFERROR(__xludf.DUMMYFUNCTION("""COMPUTED_VALUE"""),1.77)</f>
        <v>1.77</v>
      </c>
      <c r="G416" s="70"/>
      <c r="H416" s="70">
        <f>IFERROR(__xludf.DUMMYFUNCTION("""COMPUTED_VALUE"""),7.0)</f>
        <v>7</v>
      </c>
      <c r="I416" s="70"/>
      <c r="J416" s="70">
        <f>IFERROR(__xludf.DUMMYFUNCTION("""COMPUTED_VALUE"""),5.0)</f>
        <v>5</v>
      </c>
      <c r="K416" s="71"/>
      <c r="L416" s="72" t="str">
        <f>IFERROR(__xludf.DUMMYFUNCTION("""COMPUTED_VALUE"""),"Mexico")</f>
        <v>Mexico</v>
      </c>
      <c r="M416" s="72" t="str">
        <f>IFERROR(__xludf.DUMMYFUNCTION("""COMPUTED_VALUE"""),"Cancun")</f>
        <v>Cancun</v>
      </c>
      <c r="N416" s="72" t="str">
        <f>IFERROR(__xludf.DUMMYFUNCTION("""COMPUTED_VALUE"""),"Cancun")</f>
        <v>Cancun</v>
      </c>
      <c r="O416" s="74" t="b">
        <f>IFERROR(__xludf.DUMMYFUNCTION("""COMPUTED_VALUE"""),TRUE)</f>
        <v>1</v>
      </c>
      <c r="P416" s="73">
        <f>IFERROR(__xludf.DUMMYFUNCTION("""COMPUTED_VALUE"""),0.008333333333333333)</f>
        <v>0.008333333333</v>
      </c>
      <c r="Q416" s="71"/>
      <c r="R416" s="71" t="str">
        <f>IFERROR(__xludf.DUMMYFUNCTION("""COMPUTED_VALUE"""),"Bay View, Classic")</f>
        <v>Bay View, Classic</v>
      </c>
      <c r="S416" s="71" t="str">
        <f>IFERROR(__xludf.DUMMYFUNCTION("""COMPUTED_VALUE"""),"Beach, Kids Club, Kids Waterpark, Pool Slide, Water Feature, Heated Pool, Gym, Buffet, Swim Up Bar, Spa, Babysitting, Room Service, Evening Entertainment")</f>
        <v>Beach, Kids Club, Kids Waterpark, Pool Slide, Water Feature, Heated Pool, Gym, Buffet, Swim Up Bar, Spa, Babysitting, Room Service, Evening Entertainment</v>
      </c>
      <c r="T416" s="71"/>
      <c r="U416" s="72" t="str">
        <f>IFERROR(__xludf.DUMMYFUNCTION("""COMPUTED_VALUE"""),"1 King or 2 Double")</f>
        <v>1 King or 2 Double</v>
      </c>
      <c r="V416" s="74" t="b">
        <f>IFERROR(__xludf.DUMMYFUNCTION("""COMPUTED_VALUE"""),FALSE)</f>
        <v>0</v>
      </c>
      <c r="W416" s="74">
        <f>IFERROR(__xludf.DUMMYFUNCTION("""COMPUTED_VALUE"""),200.0)</f>
        <v>200</v>
      </c>
      <c r="X416" s="74"/>
      <c r="Y416" s="74"/>
      <c r="Z416" s="75">
        <f>IFERROR(__xludf.DUMMYFUNCTION("""COMPUTED_VALUE"""),7.0)</f>
        <v>7</v>
      </c>
    </row>
    <row r="417">
      <c r="A417" s="65" t="str">
        <f>IFERROR(__xludf.DUMMYFUNCTION("""COMPUTED_VALUE"""),"Dreams Sapphire Resort &amp; Spa")</f>
        <v>Dreams Sapphire Resort &amp; Spa</v>
      </c>
      <c r="B417" s="66">
        <f>IFERROR(__xludf.DUMMYFUNCTION("""COMPUTED_VALUE"""),85.5)</f>
        <v>85.5</v>
      </c>
      <c r="C417" s="67" t="str">
        <f>IFERROR(__xludf.DUMMYFUNCTION("""COMPUTED_VALUE"""),"Family")</f>
        <v>Family</v>
      </c>
      <c r="D417" s="79">
        <f>IFERROR(__xludf.DUMMYFUNCTION("""COMPUTED_VALUE"""),4963.0)</f>
        <v>4963</v>
      </c>
      <c r="E417" s="79">
        <f>IFERROR(__xludf.DUMMYFUNCTION("""COMPUTED_VALUE"""),6854.1506537)</f>
        <v>6854.150654</v>
      </c>
      <c r="F417" s="69">
        <f>IFERROR(__xludf.DUMMYFUNCTION("""COMPUTED_VALUE"""),1.11)</f>
        <v>1.11</v>
      </c>
      <c r="G417" s="78"/>
      <c r="H417" s="74">
        <f>IFERROR(__xludf.DUMMYFUNCTION("""COMPUTED_VALUE"""),7.0)</f>
        <v>7</v>
      </c>
      <c r="I417" s="78" t="str">
        <f>IFERROR(__xludf.DUMMYFUNCTION("""COMPUTED_VALUE"""),"B")</f>
        <v>B</v>
      </c>
      <c r="J417" s="78">
        <f>IFERROR(__xludf.DUMMYFUNCTION("""COMPUTED_VALUE"""),4.5)</f>
        <v>4.5</v>
      </c>
      <c r="K417" s="76"/>
      <c r="L417" s="76" t="str">
        <f>IFERROR(__xludf.DUMMYFUNCTION("""COMPUTED_VALUE"""),"Mexico")</f>
        <v>Mexico</v>
      </c>
      <c r="M417" s="76" t="str">
        <f>IFERROR(__xludf.DUMMYFUNCTION("""COMPUTED_VALUE"""),"Puerto Morelos")</f>
        <v>Puerto Morelos</v>
      </c>
      <c r="N417" s="76" t="str">
        <f>IFERROR(__xludf.DUMMYFUNCTION("""COMPUTED_VALUE"""),"Cancun")</f>
        <v>Cancun</v>
      </c>
      <c r="O417" s="78" t="b">
        <f>IFERROR(__xludf.DUMMYFUNCTION("""COMPUTED_VALUE"""),TRUE)</f>
        <v>1</v>
      </c>
      <c r="P417" s="80">
        <f>IFERROR(__xludf.DUMMYFUNCTION("""COMPUTED_VALUE"""),0.013888888888888888)</f>
        <v>0.01388888889</v>
      </c>
      <c r="Q417" s="76" t="str">
        <f>IFERROR(__xludf.DUMMYFUNCTION("""COMPUTED_VALUE"""),"Hyatt")</f>
        <v>Hyatt</v>
      </c>
      <c r="R417" s="76" t="str">
        <f>IFERROR(__xludf.DUMMYFUNCTION("""COMPUTED_VALUE"""),"Family, Great View")</f>
        <v>Family, Great View</v>
      </c>
      <c r="S417" s="72" t="str">
        <f>IFERROR(__xludf.DUMMYFUNCTION("""COMPUTED_VALUE"""),"Beach, Swim Out/Plunge Pool Rooms, Family Suite, 2 Bedroom Suites, Kids Club, Teen Club, Kids Club for Under 4, Gym, Diving, Yoga Classes, Room Service, Snorkelling, Fishing, Wifi (Free), Babysitting, Adult Pool, Buffet, Swim Up Bar, Tennis, Evening Enter"&amp;"tainment, Nightclub, Spa")</f>
        <v>Beach, Swim Out/Plunge Pool Rooms, Family Suite, 2 Bedroom Suites, Kids Club, Teen Club, Kids Club for Under 4, Gym, Diving, Yoga Classes, Room Service, Snorkelling, Fishing, Wifi (Free), Babysitting, Adult Pool, Buffet, Swim Up Bar, Tennis, Evening Entertainment, Nightclub, Spa</v>
      </c>
      <c r="T417" s="72" t="str">
        <f>IFERROR(__xludf.DUMMYFUNCTION("""COMPUTED_VALUE"""),"Yes")</f>
        <v>Yes</v>
      </c>
      <c r="U417" s="76" t="str">
        <f>IFERROR(__xludf.DUMMYFUNCTION("""COMPUTED_VALUE"""),"1 King or 2 Double")</f>
        <v>1 King or 2 Double</v>
      </c>
      <c r="V417" s="74" t="b">
        <f>IFERROR(__xludf.DUMMYFUNCTION("""COMPUTED_VALUE"""),FALSE)</f>
        <v>0</v>
      </c>
      <c r="W417" s="74">
        <f>IFERROR(__xludf.DUMMYFUNCTION("""COMPUTED_VALUE"""),488.0)</f>
        <v>488</v>
      </c>
      <c r="X417" s="74">
        <f>IFERROR(__xludf.DUMMYFUNCTION("""COMPUTED_VALUE"""),2001.0)</f>
        <v>2001</v>
      </c>
      <c r="Y417" s="74">
        <f>IFERROR(__xludf.DUMMYFUNCTION("""COMPUTED_VALUE"""),2019.0)</f>
        <v>2019</v>
      </c>
      <c r="Z417" s="75">
        <f>IFERROR(__xludf.DUMMYFUNCTION("""COMPUTED_VALUE"""),3.0)</f>
        <v>3</v>
      </c>
    </row>
    <row r="418">
      <c r="A418" s="65" t="str">
        <f>IFERROR(__xludf.DUMMYFUNCTION("""COMPUTED_VALUE"""),"Club Med Turkoise Turks &amp; Caicos")</f>
        <v>Club Med Turkoise Turks &amp; Caicos</v>
      </c>
      <c r="B418" s="66">
        <f>IFERROR(__xludf.DUMMYFUNCTION("""COMPUTED_VALUE"""),85.5)</f>
        <v>85.5</v>
      </c>
      <c r="C418" s="67" t="str">
        <f>IFERROR(__xludf.DUMMYFUNCTION("""COMPUTED_VALUE"""),"Family")</f>
        <v>Family</v>
      </c>
      <c r="D418" s="68">
        <f>IFERROR(__xludf.DUMMYFUNCTION("""COMPUTED_VALUE"""),6308.0)</f>
        <v>6308</v>
      </c>
      <c r="E418" s="79">
        <f>IFERROR(__xludf.DUMMYFUNCTION("""COMPUTED_VALUE"""),8711.662769199998)</f>
        <v>8711.662769</v>
      </c>
      <c r="F418" s="69">
        <f>IFERROR(__xludf.DUMMYFUNCTION("""COMPUTED_VALUE"""),0.87)</f>
        <v>0.87</v>
      </c>
      <c r="G418" s="70"/>
      <c r="H418" s="70">
        <f>IFERROR(__xludf.DUMMYFUNCTION("""COMPUTED_VALUE"""),6.0)</f>
        <v>6</v>
      </c>
      <c r="I418" s="70"/>
      <c r="J418" s="70">
        <f>IFERROR(__xludf.DUMMYFUNCTION("""COMPUTED_VALUE"""),3.0)</f>
        <v>3</v>
      </c>
      <c r="K418" s="71"/>
      <c r="L418" s="76" t="str">
        <f>IFERROR(__xludf.DUMMYFUNCTION("""COMPUTED_VALUE"""),"Turks and Caicos")</f>
        <v>Turks and Caicos</v>
      </c>
      <c r="M418" s="76" t="str">
        <f>IFERROR(__xludf.DUMMYFUNCTION("""COMPUTED_VALUE"""),"Grace Bay")</f>
        <v>Grace Bay</v>
      </c>
      <c r="N418" s="76" t="str">
        <f>IFERROR(__xludf.DUMMYFUNCTION("""COMPUTED_VALUE"""),"Providenciales")</f>
        <v>Providenciales</v>
      </c>
      <c r="O418" s="78" t="b">
        <f>IFERROR(__xludf.DUMMYFUNCTION("""COMPUTED_VALUE"""),TRUE)</f>
        <v>1</v>
      </c>
      <c r="P418" s="73">
        <f>IFERROR(__xludf.DUMMYFUNCTION("""COMPUTED_VALUE"""),0.013194444444444444)</f>
        <v>0.01319444444</v>
      </c>
      <c r="Q418" s="71" t="str">
        <f>IFERROR(__xludf.DUMMYFUNCTION("""COMPUTED_VALUE"""),"Club Med")</f>
        <v>Club Med</v>
      </c>
      <c r="R418" s="71" t="str">
        <f>IFERROR(__xludf.DUMMYFUNCTION("""COMPUTED_VALUE"""),"Mid-Range, Bay View")</f>
        <v>Mid-Range, Bay View</v>
      </c>
      <c r="S418" s="71" t="str">
        <f>IFERROR(__xludf.DUMMYFUNCTION("""COMPUTED_VALUE"""),"Beach, Kids Club, Kids Club for Under 4, Gym, Diving, Buffet, Snorkelling, Spa, Adult Pool, Tennis, Evening Entertainment, Nightclub")</f>
        <v>Beach, Kids Club, Kids Club for Under 4, Gym, Diving, Buffet, Snorkelling, Spa, Adult Pool, Tennis, Evening Entertainment, Nightclub</v>
      </c>
      <c r="T418" s="71"/>
      <c r="U418" s="71"/>
      <c r="V418" s="74" t="b">
        <f>IFERROR(__xludf.DUMMYFUNCTION("""COMPUTED_VALUE"""),FALSE)</f>
        <v>0</v>
      </c>
      <c r="W418" s="74">
        <f>IFERROR(__xludf.DUMMYFUNCTION("""COMPUTED_VALUE"""),291.0)</f>
        <v>291</v>
      </c>
      <c r="X418" s="74">
        <f>IFERROR(__xludf.DUMMYFUNCTION("""COMPUTED_VALUE"""),1984.0)</f>
        <v>1984</v>
      </c>
      <c r="Y418" s="74">
        <f>IFERROR(__xludf.DUMMYFUNCTION("""COMPUTED_VALUE"""),2012.0)</f>
        <v>2012</v>
      </c>
      <c r="Z418" s="75">
        <f>IFERROR(__xludf.DUMMYFUNCTION("""COMPUTED_VALUE"""),2.0)</f>
        <v>2</v>
      </c>
    </row>
    <row r="419">
      <c r="A419" s="65" t="str">
        <f>IFERROR(__xludf.DUMMYFUNCTION("""COMPUTED_VALUE"""),"Dreams Aventuras Riviera Maya")</f>
        <v>Dreams Aventuras Riviera Maya</v>
      </c>
      <c r="B419" s="66">
        <f>IFERROR(__xludf.DUMMYFUNCTION("""COMPUTED_VALUE"""),85.3)</f>
        <v>85.3</v>
      </c>
      <c r="C419" s="67" t="str">
        <f>IFERROR(__xludf.DUMMYFUNCTION("""COMPUTED_VALUE"""),"Family")</f>
        <v>Family</v>
      </c>
      <c r="D419" s="79">
        <f>IFERROR(__xludf.DUMMYFUNCTION("""COMPUTED_VALUE"""),2464.0)</f>
        <v>2464</v>
      </c>
      <c r="E419" s="79">
        <f>IFERROR(__xludf.DUMMYFUNCTION("""COMPUTED_VALUE"""),3402.9069535999997)</f>
        <v>3402.906954</v>
      </c>
      <c r="F419" s="69">
        <f>IFERROR(__xludf.DUMMYFUNCTION("""COMPUTED_VALUE"""),2.15)</f>
        <v>2.15</v>
      </c>
      <c r="G419" s="78">
        <f>IFERROR(__xludf.DUMMYFUNCTION("""COMPUTED_VALUE"""),3.0)</f>
        <v>3</v>
      </c>
      <c r="H419" s="74">
        <f>IFERROR(__xludf.DUMMYFUNCTION("""COMPUTED_VALUE"""),7.0)</f>
        <v>7</v>
      </c>
      <c r="I419" s="78" t="str">
        <f>IFERROR(__xludf.DUMMYFUNCTION("""COMPUTED_VALUE"""),"B")</f>
        <v>B</v>
      </c>
      <c r="J419" s="78">
        <f>IFERROR(__xludf.DUMMYFUNCTION("""COMPUTED_VALUE"""),4.5)</f>
        <v>4.5</v>
      </c>
      <c r="K419" s="71"/>
      <c r="L419" s="76" t="str">
        <f>IFERROR(__xludf.DUMMYFUNCTION("""COMPUTED_VALUE"""),"Mexico")</f>
        <v>Mexico</v>
      </c>
      <c r="M419" s="76" t="str">
        <f>IFERROR(__xludf.DUMMYFUNCTION("""COMPUTED_VALUE"""),"Puerto Aventuras")</f>
        <v>Puerto Aventuras</v>
      </c>
      <c r="N419" s="87" t="str">
        <f>IFERROR(__xludf.DUMMYFUNCTION("""COMPUTED_VALUE"""),"Cancun")</f>
        <v>Cancun</v>
      </c>
      <c r="O419" s="78" t="b">
        <f>IFERROR(__xludf.DUMMYFUNCTION("""COMPUTED_VALUE"""),TRUE)</f>
        <v>1</v>
      </c>
      <c r="P419" s="80">
        <f>IFERROR(__xludf.DUMMYFUNCTION("""COMPUTED_VALUE"""),0.04652777777777778)</f>
        <v>0.04652777778</v>
      </c>
      <c r="Q419" s="71" t="str">
        <f>IFERROR(__xludf.DUMMYFUNCTION("""COMPUTED_VALUE"""),"Hyatt")</f>
        <v>Hyatt</v>
      </c>
      <c r="R419" s="71" t="str">
        <f>IFERROR(__xludf.DUMMYFUNCTION("""COMPUTED_VALUE"""),"Family")</f>
        <v>Family</v>
      </c>
      <c r="S419" s="71" t="str">
        <f>IFERROR(__xludf.DUMMYFUNCTION("""COMPUTED_VALUE"""),"Beach, Swim Out/Plunge Pool Rooms, Adults Only Rooms, Family Suite, 2 Bedroom Suites, Kids Club, Kids Waterpark, Big Waterslides, Arcade, Heated Pool, Kids Club for Under 4, Gym, Diving, Yoga Classes, Room Service, Swim Up Bar, Evening Entertainment, Baby"&amp;"sitting, Adult Pool, Buffet, Snorkelling, Spa")</f>
        <v>Beach, Swim Out/Plunge Pool Rooms, Adults Only Rooms, Family Suite, 2 Bedroom Suites, Kids Club, Kids Waterpark, Big Waterslides, Arcade, Heated Pool, Kids Club for Under 4, Gym, Diving, Yoga Classes, Room Service, Swim Up Bar, Evening Entertainment, Babysitting, Adult Pool, Buffet, Snorkelling, Spa</v>
      </c>
      <c r="T419" s="71" t="str">
        <f>IFERROR(__xludf.DUMMYFUNCTION("""COMPUTED_VALUE"""),"Yes")</f>
        <v>Yes</v>
      </c>
      <c r="U419" s="76" t="str">
        <f>IFERROR(__xludf.DUMMYFUNCTION("""COMPUTED_VALUE"""),"2 Double")</f>
        <v>2 Double</v>
      </c>
      <c r="V419" s="74" t="b">
        <f>IFERROR(__xludf.DUMMYFUNCTION("""COMPUTED_VALUE"""),FALSE)</f>
        <v>0</v>
      </c>
      <c r="W419" s="74">
        <f>IFERROR(__xludf.DUMMYFUNCTION("""COMPUTED_VALUE"""),305.0)</f>
        <v>305</v>
      </c>
      <c r="X419" s="74">
        <f>IFERROR(__xludf.DUMMYFUNCTION("""COMPUTED_VALUE"""),1988.0)</f>
        <v>1988</v>
      </c>
      <c r="Y419" s="74">
        <f>IFERROR(__xludf.DUMMYFUNCTION("""COMPUTED_VALUE"""),2008.0)</f>
        <v>2008</v>
      </c>
      <c r="Z419" s="75">
        <f>IFERROR(__xludf.DUMMYFUNCTION("""COMPUTED_VALUE"""),7.0)</f>
        <v>7</v>
      </c>
    </row>
    <row r="420">
      <c r="A420" s="77" t="str">
        <f>IFERROR(__xludf.DUMMYFUNCTION("""COMPUTED_VALUE"""),"Azul Ixtapa Hotels Beach Resort &amp; Convention Center")</f>
        <v>Azul Ixtapa Hotels Beach Resort &amp; Convention Center</v>
      </c>
      <c r="B420" s="66">
        <f>IFERROR(__xludf.DUMMYFUNCTION("""COMPUTED_VALUE"""),85.3)</f>
        <v>85.3</v>
      </c>
      <c r="C420" s="78" t="str">
        <f>IFERROR(__xludf.DUMMYFUNCTION("""COMPUTED_VALUE"""),"Family")</f>
        <v>Family</v>
      </c>
      <c r="D420" s="68">
        <f>IFERROR(__xludf.DUMMYFUNCTION("""COMPUTED_VALUE"""),2651.26)</f>
        <v>2651.26</v>
      </c>
      <c r="E420" s="68">
        <f>IFERROR(__xludf.DUMMYFUNCTION("""COMPUTED_VALUE"""),3661.5223578739997)</f>
        <v>3661.522358</v>
      </c>
      <c r="F420" s="69">
        <f>IFERROR(__xludf.DUMMYFUNCTION("""COMPUTED_VALUE"""),2.0)</f>
        <v>2</v>
      </c>
      <c r="G420" s="74"/>
      <c r="H420" s="74">
        <f>IFERROR(__xludf.DUMMYFUNCTION("""COMPUTED_VALUE"""),6.0)</f>
        <v>6</v>
      </c>
      <c r="I420" s="74"/>
      <c r="J420" s="74">
        <f>IFERROR(__xludf.DUMMYFUNCTION("""COMPUTED_VALUE"""),5.0)</f>
        <v>5</v>
      </c>
      <c r="K420" s="71"/>
      <c r="L420" s="72" t="str">
        <f>IFERROR(__xludf.DUMMYFUNCTION("""COMPUTED_VALUE"""),"Mexico")</f>
        <v>Mexico</v>
      </c>
      <c r="M420" s="72" t="str">
        <f>IFERROR(__xludf.DUMMYFUNCTION("""COMPUTED_VALUE"""),"Ixtapa")</f>
        <v>Ixtapa</v>
      </c>
      <c r="N420" s="72" t="str">
        <f>IFERROR(__xludf.DUMMYFUNCTION("""COMPUTED_VALUE"""),"Ixtapa-Zihuatanejo")</f>
        <v>Ixtapa-Zihuatanejo</v>
      </c>
      <c r="O420" s="74" t="b">
        <f>IFERROR(__xludf.DUMMYFUNCTION("""COMPUTED_VALUE"""),TRUE)</f>
        <v>1</v>
      </c>
      <c r="P420" s="73">
        <f>IFERROR(__xludf.DUMMYFUNCTION("""COMPUTED_VALUE"""),0.02361111111111111)</f>
        <v>0.02361111111</v>
      </c>
      <c r="Q420" s="71" t="str">
        <f>IFERROR(__xludf.DUMMYFUNCTION("""COMPUTED_VALUE"""),"Azul")</f>
        <v>Azul</v>
      </c>
      <c r="R420" s="71" t="str">
        <f>IFERROR(__xludf.DUMMYFUNCTION("""COMPUTED_VALUE"""),"Modern, Family")</f>
        <v>Modern, Family</v>
      </c>
      <c r="S420" s="72" t="str">
        <f>IFERROR(__xludf.DUMMYFUNCTION("""COMPUTED_VALUE"""),"Beach, Kids Waterpark, Family Suite, Kids Club, Teen Club, Gym, Archery, Buffet, Swim Up Bar, Snorkelling, Evening Entertainment, Wifi (Paid), Mini Golf, Tennis, Nightclub, Spa")</f>
        <v>Beach, Kids Waterpark, Family Suite, Kids Club, Teen Club, Gym, Archery, Buffet, Swim Up Bar, Snorkelling, Evening Entertainment, Wifi (Paid), Mini Golf, Tennis, Nightclub, Spa</v>
      </c>
      <c r="T420" s="72"/>
      <c r="U420" s="72" t="str">
        <f>IFERROR(__xludf.DUMMYFUNCTION("""COMPUTED_VALUE"""),"2 Queen")</f>
        <v>2 Queen</v>
      </c>
      <c r="V420" s="74" t="b">
        <f>IFERROR(__xludf.DUMMYFUNCTION("""COMPUTED_VALUE"""),FALSE)</f>
        <v>0</v>
      </c>
      <c r="W420" s="74">
        <f>IFERROR(__xludf.DUMMYFUNCTION("""COMPUTED_VALUE"""),400.0)</f>
        <v>400</v>
      </c>
      <c r="X420" s="74">
        <f>IFERROR(__xludf.DUMMYFUNCTION("""COMPUTED_VALUE"""),1999.0)</f>
        <v>1999</v>
      </c>
      <c r="Y420" s="74">
        <f>IFERROR(__xludf.DUMMYFUNCTION("""COMPUTED_VALUE"""),2009.0)</f>
        <v>2009</v>
      </c>
      <c r="Z420" s="75">
        <f>IFERROR(__xludf.DUMMYFUNCTION("""COMPUTED_VALUE"""),10.0)</f>
        <v>10</v>
      </c>
    </row>
    <row r="421">
      <c r="A421" s="65" t="str">
        <f>IFERROR(__xludf.DUMMYFUNCTION("""COMPUTED_VALUE"""),"Barceló Karmina")</f>
        <v>Barceló Karmina</v>
      </c>
      <c r="B421" s="66">
        <f>IFERROR(__xludf.DUMMYFUNCTION("""COMPUTED_VALUE"""),85.3)</f>
        <v>85.3</v>
      </c>
      <c r="C421" s="67" t="str">
        <f>IFERROR(__xludf.DUMMYFUNCTION("""COMPUTED_VALUE"""),"Family")</f>
        <v>Family</v>
      </c>
      <c r="D421" s="68">
        <f>IFERROR(__xludf.DUMMYFUNCTION("""COMPUTED_VALUE"""),2651.87)</f>
        <v>2651.87</v>
      </c>
      <c r="E421" s="68">
        <f>IFERROR(__xludf.DUMMYFUNCTION("""COMPUTED_VALUE"""),3662.3647983129995)</f>
        <v>3662.364798</v>
      </c>
      <c r="F421" s="69">
        <f>IFERROR(__xludf.DUMMYFUNCTION("""COMPUTED_VALUE"""),2.0)</f>
        <v>2</v>
      </c>
      <c r="G421" s="70"/>
      <c r="H421" s="70">
        <f>IFERROR(__xludf.DUMMYFUNCTION("""COMPUTED_VALUE"""),6.0)</f>
        <v>6</v>
      </c>
      <c r="I421" s="70"/>
      <c r="J421" s="70">
        <f>IFERROR(__xludf.DUMMYFUNCTION("""COMPUTED_VALUE"""),5.0)</f>
        <v>5</v>
      </c>
      <c r="K421" s="71"/>
      <c r="L421" s="72" t="str">
        <f>IFERROR(__xludf.DUMMYFUNCTION("""COMPUTED_VALUE"""),"Mexico")</f>
        <v>Mexico</v>
      </c>
      <c r="M421" s="72" t="str">
        <f>IFERROR(__xludf.DUMMYFUNCTION("""COMPUTED_VALUE"""),"Manzanillo")</f>
        <v>Manzanillo</v>
      </c>
      <c r="N421" s="72" t="str">
        <f>IFERROR(__xludf.DUMMYFUNCTION("""COMPUTED_VALUE"""),"Manzanillo")</f>
        <v>Manzanillo</v>
      </c>
      <c r="O421" s="70" t="b">
        <f>IFERROR(__xludf.DUMMYFUNCTION("""COMPUTED_VALUE"""),FALSE)</f>
        <v>0</v>
      </c>
      <c r="P421" s="73">
        <f>IFERROR(__xludf.DUMMYFUNCTION("""COMPUTED_VALUE"""),0.022916666666666665)</f>
        <v>0.02291666667</v>
      </c>
      <c r="Q421" s="76" t="str">
        <f>IFERROR(__xludf.DUMMYFUNCTION("""COMPUTED_VALUE"""),"Barcelo")</f>
        <v>Barcelo</v>
      </c>
      <c r="R421" s="71" t="str">
        <f>IFERROR(__xludf.DUMMYFUNCTION("""COMPUTED_VALUE"""),"Great View")</f>
        <v>Great View</v>
      </c>
      <c r="S421" s="71" t="str">
        <f>IFERROR(__xludf.DUMMYFUNCTION("""COMPUTED_VALUE"""),"Beach, Swim Out/Plunge Pool Rooms, Kids Club, Pool Slide, Water Feature, Gym, Tennis, Buffet, Spa, Babysitting, Adult Pool, Room Service, Evening Entertainment, Nightclub")</f>
        <v>Beach, Swim Out/Plunge Pool Rooms, Kids Club, Pool Slide, Water Feature, Gym, Tennis, Buffet, Spa, Babysitting, Adult Pool, Room Service, Evening Entertainment, Nightclub</v>
      </c>
      <c r="T421" s="71"/>
      <c r="U421" s="71" t="str">
        <f>IFERROR(__xludf.DUMMYFUNCTION("""COMPUTED_VALUE"""),"1 King and Sofa Bed or 2 Double")</f>
        <v>1 King and Sofa Bed or 2 Double</v>
      </c>
      <c r="V421" s="74" t="b">
        <f>IFERROR(__xludf.DUMMYFUNCTION("""COMPUTED_VALUE"""),TRUE)</f>
        <v>1</v>
      </c>
      <c r="W421" s="74">
        <f>IFERROR(__xludf.DUMMYFUNCTION("""COMPUTED_VALUE"""),324.0)</f>
        <v>324</v>
      </c>
      <c r="X421" s="74">
        <f>IFERROR(__xludf.DUMMYFUNCTION("""COMPUTED_VALUE"""),1999.0)</f>
        <v>1999</v>
      </c>
      <c r="Y421" s="74">
        <f>IFERROR(__xludf.DUMMYFUNCTION("""COMPUTED_VALUE"""),2006.0)</f>
        <v>2006</v>
      </c>
      <c r="Z421" s="75">
        <f>IFERROR(__xludf.DUMMYFUNCTION("""COMPUTED_VALUE"""),7.0)</f>
        <v>7</v>
      </c>
    </row>
    <row r="422">
      <c r="A422" s="77" t="str">
        <f>IFERROR(__xludf.DUMMYFUNCTION("""COMPUTED_VALUE"""),"Bahia Principe Grand Coba")</f>
        <v>Bahia Principe Grand Coba</v>
      </c>
      <c r="B422" s="66">
        <f>IFERROR(__xludf.DUMMYFUNCTION("""COMPUTED_VALUE"""),85.3)</f>
        <v>85.3</v>
      </c>
      <c r="C422" s="78" t="str">
        <f>IFERROR(__xludf.DUMMYFUNCTION("""COMPUTED_VALUE"""),"Family")</f>
        <v>Family</v>
      </c>
      <c r="D422" s="68">
        <f>IFERROR(__xludf.DUMMYFUNCTION("""COMPUTED_VALUE"""),2816.94)</f>
        <v>2816.94</v>
      </c>
      <c r="E422" s="68">
        <f>IFERROR(__xludf.DUMMYFUNCTION("""COMPUTED_VALUE"""),3890.3347053059997)</f>
        <v>3890.334705</v>
      </c>
      <c r="F422" s="69">
        <f>IFERROR(__xludf.DUMMYFUNCTION("""COMPUTED_VALUE"""),1.88)</f>
        <v>1.88</v>
      </c>
      <c r="G422" s="91"/>
      <c r="H422" s="91">
        <f>IFERROR(__xludf.DUMMYFUNCTION("""COMPUTED_VALUE"""),6.0)</f>
        <v>6</v>
      </c>
      <c r="I422" s="91"/>
      <c r="J422" s="91">
        <f>IFERROR(__xludf.DUMMYFUNCTION("""COMPUTED_VALUE"""),5.0)</f>
        <v>5</v>
      </c>
      <c r="K422" s="71"/>
      <c r="L422" s="72" t="str">
        <f>IFERROR(__xludf.DUMMYFUNCTION("""COMPUTED_VALUE"""),"Mexico")</f>
        <v>Mexico</v>
      </c>
      <c r="M422" s="72" t="str">
        <f>IFERROR(__xludf.DUMMYFUNCTION("""COMPUTED_VALUE"""),"Chacalal")</f>
        <v>Chacalal</v>
      </c>
      <c r="N422" s="72" t="str">
        <f>IFERROR(__xludf.DUMMYFUNCTION("""COMPUTED_VALUE"""),"Tulum")</f>
        <v>Tulum</v>
      </c>
      <c r="O422" s="74" t="b">
        <f>IFERROR(__xludf.DUMMYFUNCTION("""COMPUTED_VALUE"""),TRUE)</f>
        <v>1</v>
      </c>
      <c r="P422" s="73">
        <f>IFERROR(__xludf.DUMMYFUNCTION("""COMPUTED_VALUE"""),0.04375)</f>
        <v>0.04375</v>
      </c>
      <c r="Q422" s="71" t="str">
        <f>IFERROR(__xludf.DUMMYFUNCTION("""COMPUTED_VALUE"""),"Bahia Principe")</f>
        <v>Bahia Principe</v>
      </c>
      <c r="R422" s="71"/>
      <c r="S422" s="72" t="str">
        <f>IFERROR(__xludf.DUMMYFUNCTION("""COMPUTED_VALUE"""),"Beach, Kids Club, Teen Club, Kids Waterpark, Pool Slide, Water Feature, Gym, Golf Course, Buffet, Nightclub, Spa, Casino, Babysitting, Adult Pool, Swim Up Bar, Tennis, Evening Entertainment")</f>
        <v>Beach, Kids Club, Teen Club, Kids Waterpark, Pool Slide, Water Feature, Gym, Golf Course, Buffet, Nightclub, Spa, Casino, Babysitting, Adult Pool, Swim Up Bar, Tennis, Evening Entertainment</v>
      </c>
      <c r="T422" s="72"/>
      <c r="U422" s="72" t="str">
        <f>IFERROR(__xludf.DUMMYFUNCTION("""COMPUTED_VALUE"""),"1 King or 2 Full")</f>
        <v>1 King or 2 Full</v>
      </c>
      <c r="V422" s="74" t="b">
        <f>IFERROR(__xludf.DUMMYFUNCTION("""COMPUTED_VALUE"""),FALSE)</f>
        <v>0</v>
      </c>
      <c r="W422" s="74">
        <f>IFERROR(__xludf.DUMMYFUNCTION("""COMPUTED_VALUE"""),1110.0)</f>
        <v>1110</v>
      </c>
      <c r="X422" s="74">
        <f>IFERROR(__xludf.DUMMYFUNCTION("""COMPUTED_VALUE"""),2005.0)</f>
        <v>2005</v>
      </c>
      <c r="Y422" s="74"/>
      <c r="Z422" s="75">
        <f>IFERROR(__xludf.DUMMYFUNCTION("""COMPUTED_VALUE"""),3.0)</f>
        <v>3</v>
      </c>
    </row>
    <row r="423">
      <c r="A423" s="65" t="str">
        <f>IFERROR(__xludf.DUMMYFUNCTION("""COMPUTED_VALUE"""),"Ocean Blue &amp; Sand Beach Resort")</f>
        <v>Ocean Blue &amp; Sand Beach Resort</v>
      </c>
      <c r="B423" s="66">
        <f>IFERROR(__xludf.DUMMYFUNCTION("""COMPUTED_VALUE"""),85.3)</f>
        <v>85.3</v>
      </c>
      <c r="C423" s="67" t="str">
        <f>IFERROR(__xludf.DUMMYFUNCTION("""COMPUTED_VALUE"""),"Family")</f>
        <v>Family</v>
      </c>
      <c r="D423" s="79">
        <f>IFERROR(__xludf.DUMMYFUNCTION("""COMPUTED_VALUE"""),3568.3)</f>
        <v>3568.3</v>
      </c>
      <c r="E423" s="79">
        <f>IFERROR(__xludf.DUMMYFUNCTION("""COMPUTED_VALUE"""),4928.000358169999)</f>
        <v>4928.000358</v>
      </c>
      <c r="F423" s="69">
        <f>IFERROR(__xludf.DUMMYFUNCTION("""COMPUTED_VALUE"""),1.49)</f>
        <v>1.49</v>
      </c>
      <c r="G423" s="78"/>
      <c r="H423" s="74">
        <f>IFERROR(__xludf.DUMMYFUNCTION("""COMPUTED_VALUE"""),6.0)</f>
        <v>6</v>
      </c>
      <c r="I423" s="78"/>
      <c r="J423" s="78"/>
      <c r="K423" s="71"/>
      <c r="L423" s="76" t="str">
        <f>IFERROR(__xludf.DUMMYFUNCTION("""COMPUTED_VALUE"""),"Dominican Republic")</f>
        <v>Dominican Republic</v>
      </c>
      <c r="M423" s="76" t="str">
        <f>IFERROR(__xludf.DUMMYFUNCTION("""COMPUTED_VALUE"""),"Bavaro")</f>
        <v>Bavaro</v>
      </c>
      <c r="N423" s="76" t="str">
        <f>IFERROR(__xludf.DUMMYFUNCTION("""COMPUTED_VALUE"""),"Punta Cana")</f>
        <v>Punta Cana</v>
      </c>
      <c r="O423" s="78" t="b">
        <f>IFERROR(__xludf.DUMMYFUNCTION("""COMPUTED_VALUE"""),TRUE)</f>
        <v>1</v>
      </c>
      <c r="P423" s="80">
        <f>IFERROR(__xludf.DUMMYFUNCTION("""COMPUTED_VALUE"""),0.016666666666666666)</f>
        <v>0.01666666667</v>
      </c>
      <c r="Q423" s="71" t="str">
        <f>IFERROR(__xludf.DUMMYFUNCTION("""COMPUTED_VALUE"""),"H10 Hotels")</f>
        <v>H10 Hotels</v>
      </c>
      <c r="R423" s="71" t="str">
        <f>IFERROR(__xludf.DUMMYFUNCTION("""COMPUTED_VALUE"""),"Mid-Range, Family")</f>
        <v>Mid-Range, Family</v>
      </c>
      <c r="S423" s="71" t="str">
        <f>IFERROR(__xludf.DUMMYFUNCTION("""COMPUTED_VALUE"""),"Beach, Kids Club, Teen Club, Lazy River, Gym, Casino, Swim Up Bar, Diving, Nightclub, Spa, Wifi (Free), Babysitting, Buffet, Tennis, Evening Entertainment")</f>
        <v>Beach, Kids Club, Teen Club, Lazy River, Gym, Casino, Swim Up Bar, Diving, Nightclub, Spa, Wifi (Free), Babysitting, Buffet, Tennis, Evening Entertainment</v>
      </c>
      <c r="T423" s="71"/>
      <c r="U423" s="76" t="str">
        <f>IFERROR(__xludf.DUMMYFUNCTION("""COMPUTED_VALUE"""),"1 Double and 1 Sofa Bed")</f>
        <v>1 Double and 1 Sofa Bed</v>
      </c>
      <c r="V423" s="74" t="b">
        <f>IFERROR(__xludf.DUMMYFUNCTION("""COMPUTED_VALUE"""),FALSE)</f>
        <v>0</v>
      </c>
      <c r="W423" s="74">
        <f>IFERROR(__xludf.DUMMYFUNCTION("""COMPUTED_VALUE"""),708.0)</f>
        <v>708</v>
      </c>
      <c r="X423" s="74">
        <f>IFERROR(__xludf.DUMMYFUNCTION("""COMPUTED_VALUE"""),2005.0)</f>
        <v>2005</v>
      </c>
      <c r="Y423" s="74"/>
      <c r="Z423" s="75"/>
    </row>
    <row r="424">
      <c r="A424" s="65" t="str">
        <f>IFERROR(__xludf.DUMMYFUNCTION("""COMPUTED_VALUE"""),"Grand Palladium Lady Hamilton Resort &amp; Spa")</f>
        <v>Grand Palladium Lady Hamilton Resort &amp; Spa</v>
      </c>
      <c r="B424" s="66">
        <f>IFERROR(__xludf.DUMMYFUNCTION("""COMPUTED_VALUE"""),85.3)</f>
        <v>85.3</v>
      </c>
      <c r="C424" s="67" t="str">
        <f>IFERROR(__xludf.DUMMYFUNCTION("""COMPUTED_VALUE"""),"Family")</f>
        <v>Family</v>
      </c>
      <c r="D424" s="68">
        <f>IFERROR(__xludf.DUMMYFUNCTION("""COMPUTED_VALUE"""),3612.24)</f>
        <v>3612.24</v>
      </c>
      <c r="E424" s="79">
        <f>IFERROR(__xludf.DUMMYFUNCTION("""COMPUTED_VALUE"""),4988.683690775999)</f>
        <v>4988.683691</v>
      </c>
      <c r="F424" s="69">
        <f>IFERROR(__xludf.DUMMYFUNCTION("""COMPUTED_VALUE"""),1.47)</f>
        <v>1.47</v>
      </c>
      <c r="G424" s="70"/>
      <c r="H424" s="70">
        <f>IFERROR(__xludf.DUMMYFUNCTION("""COMPUTED_VALUE"""),6.0)</f>
        <v>6</v>
      </c>
      <c r="I424" s="70"/>
      <c r="J424" s="70">
        <f>IFERROR(__xludf.DUMMYFUNCTION("""COMPUTED_VALUE"""),5.0)</f>
        <v>5</v>
      </c>
      <c r="K424" s="71"/>
      <c r="L424" s="76" t="str">
        <f>IFERROR(__xludf.DUMMYFUNCTION("""COMPUTED_VALUE"""),"Jamaica")</f>
        <v>Jamaica</v>
      </c>
      <c r="M424" s="76" t="str">
        <f>IFERROR(__xludf.DUMMYFUNCTION("""COMPUTED_VALUE"""),"Lucea")</f>
        <v>Lucea</v>
      </c>
      <c r="N424" s="76" t="str">
        <f>IFERROR(__xludf.DUMMYFUNCTION("""COMPUTED_VALUE"""),"Sangster")</f>
        <v>Sangster</v>
      </c>
      <c r="O424" s="70" t="b">
        <f>IFERROR(__xludf.DUMMYFUNCTION("""COMPUTED_VALUE"""),TRUE)</f>
        <v>1</v>
      </c>
      <c r="P424" s="73">
        <f>IFERROR(__xludf.DUMMYFUNCTION("""COMPUTED_VALUE"""),0.03819444444444445)</f>
        <v>0.03819444444</v>
      </c>
      <c r="Q424" s="71" t="str">
        <f>IFERROR(__xludf.DUMMYFUNCTION("""COMPUTED_VALUE"""),"Wyndham Hotels")</f>
        <v>Wyndham Hotels</v>
      </c>
      <c r="R424" s="71" t="str">
        <f>IFERROR(__xludf.DUMMYFUNCTION("""COMPUTED_VALUE"""),"Bay View")</f>
        <v>Bay View</v>
      </c>
      <c r="S424" s="71" t="str">
        <f>IFERROR(__xludf.DUMMYFUNCTION("""COMPUTED_VALUE"""),"Beach, Kids Club, Teen Club, Kids Waterpark, Kids Club for Under 4, Gym, Diving, Yoga Classes, Buffet, Evening Entertainment, Spa, Babysitting, Swim Up Bar, Tennis, Nightclub")</f>
        <v>Beach, Kids Club, Teen Club, Kids Waterpark, Kids Club for Under 4, Gym, Diving, Yoga Classes, Buffet, Evening Entertainment, Spa, Babysitting, Swim Up Bar, Tennis, Nightclub</v>
      </c>
      <c r="T424" s="71"/>
      <c r="U424" s="71" t="str">
        <f>IFERROR(__xludf.DUMMYFUNCTION("""COMPUTED_VALUE"""),"1 King or 2 Full")</f>
        <v>1 King or 2 Full</v>
      </c>
      <c r="V424" s="70" t="b">
        <f>IFERROR(__xludf.DUMMYFUNCTION("""COMPUTED_VALUE"""),FALSE)</f>
        <v>0</v>
      </c>
      <c r="W424" s="70">
        <f>IFERROR(__xludf.DUMMYFUNCTION("""COMPUTED_VALUE"""),517.0)</f>
        <v>517</v>
      </c>
      <c r="X424" s="70">
        <f>IFERROR(__xludf.DUMMYFUNCTION("""COMPUTED_VALUE"""),2008.0)</f>
        <v>2008</v>
      </c>
      <c r="Y424" s="70">
        <f>IFERROR(__xludf.DUMMYFUNCTION("""COMPUTED_VALUE"""),2015.0)</f>
        <v>2015</v>
      </c>
      <c r="Z424" s="83">
        <f>IFERROR(__xludf.DUMMYFUNCTION("""COMPUTED_VALUE"""),1.0)</f>
        <v>1</v>
      </c>
    </row>
    <row r="425">
      <c r="A425" s="65" t="str">
        <f>IFERROR(__xludf.DUMMYFUNCTION("""COMPUTED_VALUE"""),"Hotel Riu Palace Punta Cana")</f>
        <v>Hotel Riu Palace Punta Cana</v>
      </c>
      <c r="B425" s="66">
        <f>IFERROR(__xludf.DUMMYFUNCTION("""COMPUTED_VALUE"""),85.3)</f>
        <v>85.3</v>
      </c>
      <c r="C425" s="67" t="str">
        <f>IFERROR(__xludf.DUMMYFUNCTION("""COMPUTED_VALUE"""),"Family")</f>
        <v>Family</v>
      </c>
      <c r="D425" s="79">
        <f>IFERROR(__xludf.DUMMYFUNCTION("""COMPUTED_VALUE"""),3626.14)</f>
        <v>3626.14</v>
      </c>
      <c r="E425" s="79">
        <f>IFERROR(__xludf.DUMMYFUNCTION("""COMPUTED_VALUE"""),5007.880284385999)</f>
        <v>5007.880284</v>
      </c>
      <c r="F425" s="69">
        <f>IFERROR(__xludf.DUMMYFUNCTION("""COMPUTED_VALUE"""),1.46)</f>
        <v>1.46</v>
      </c>
      <c r="G425" s="70"/>
      <c r="H425" s="70">
        <f>IFERROR(__xludf.DUMMYFUNCTION("""COMPUTED_VALUE"""),8.0)</f>
        <v>8</v>
      </c>
      <c r="I425" s="78"/>
      <c r="J425" s="78">
        <f>IFERROR(__xludf.DUMMYFUNCTION("""COMPUTED_VALUE"""),4.5)</f>
        <v>4.5</v>
      </c>
      <c r="K425" s="71"/>
      <c r="L425" s="76" t="str">
        <f>IFERROR(__xludf.DUMMYFUNCTION("""COMPUTED_VALUE"""),"Dominican Republic")</f>
        <v>Dominican Republic</v>
      </c>
      <c r="M425" s="76" t="str">
        <f>IFERROR(__xludf.DUMMYFUNCTION("""COMPUTED_VALUE"""),"Punta Cana")</f>
        <v>Punta Cana</v>
      </c>
      <c r="N425" s="76" t="str">
        <f>IFERROR(__xludf.DUMMYFUNCTION("""COMPUTED_VALUE"""),"Punta Cana")</f>
        <v>Punta Cana</v>
      </c>
      <c r="O425" s="78" t="b">
        <f>IFERROR(__xludf.DUMMYFUNCTION("""COMPUTED_VALUE"""),TRUE)</f>
        <v>1</v>
      </c>
      <c r="P425" s="80">
        <f>IFERROR(__xludf.DUMMYFUNCTION("""COMPUTED_VALUE"""),0.01875)</f>
        <v>0.01875</v>
      </c>
      <c r="Q425" s="71" t="str">
        <f>IFERROR(__xludf.DUMMYFUNCTION("""COMPUTED_VALUE"""),"Riu")</f>
        <v>Riu</v>
      </c>
      <c r="R425" s="76" t="str">
        <f>IFERROR(__xludf.DUMMYFUNCTION("""COMPUTED_VALUE"""),"Great View")</f>
        <v>Great View</v>
      </c>
      <c r="S425" s="76" t="str">
        <f>IFERROR(__xludf.DUMMYFUNCTION("""COMPUTED_VALUE"""),"Beach, Kids Club, Kids Waterpark, Gym, Swim Up Bar, Evening Entertainment, Babysitting, Buffet, Spa")</f>
        <v>Beach, Kids Club, Kids Waterpark, Gym, Swim Up Bar, Evening Entertainment, Babysitting, Buffet, Spa</v>
      </c>
      <c r="T425" s="76"/>
      <c r="U425" s="76" t="str">
        <f>IFERROR(__xludf.DUMMYFUNCTION("""COMPUTED_VALUE"""),"1 King or 2 Small Double")</f>
        <v>1 King or 2 Small Double</v>
      </c>
      <c r="V425" s="70" t="b">
        <f>IFERROR(__xludf.DUMMYFUNCTION("""COMPUTED_VALUE"""),FALSE)</f>
        <v>0</v>
      </c>
      <c r="W425" s="70">
        <f>IFERROR(__xludf.DUMMYFUNCTION("""COMPUTED_VALUE"""),676.0)</f>
        <v>676</v>
      </c>
      <c r="X425" s="70">
        <f>IFERROR(__xludf.DUMMYFUNCTION("""COMPUTED_VALUE"""),2006.0)</f>
        <v>2006</v>
      </c>
      <c r="Y425" s="70">
        <f>IFERROR(__xludf.DUMMYFUNCTION("""COMPUTED_VALUE"""),2018.0)</f>
        <v>2018</v>
      </c>
      <c r="Z425" s="83">
        <f>IFERROR(__xludf.DUMMYFUNCTION("""COMPUTED_VALUE"""),4.0)</f>
        <v>4</v>
      </c>
    </row>
    <row r="426">
      <c r="A426" s="65" t="str">
        <f>IFERROR(__xludf.DUMMYFUNCTION("""COMPUTED_VALUE"""),"Hotel Riu Palace Tropical Bay")</f>
        <v>Hotel Riu Palace Tropical Bay</v>
      </c>
      <c r="B426" s="66">
        <f>IFERROR(__xludf.DUMMYFUNCTION("""COMPUTED_VALUE"""),85.3)</f>
        <v>85.3</v>
      </c>
      <c r="C426" s="67" t="str">
        <f>IFERROR(__xludf.DUMMYFUNCTION("""COMPUTED_VALUE"""),"Family")</f>
        <v>Family</v>
      </c>
      <c r="D426" s="68">
        <f>IFERROR(__xludf.DUMMYFUNCTION("""COMPUTED_VALUE"""),3640.0)</f>
        <v>3640</v>
      </c>
      <c r="E426" s="79">
        <f>IFERROR(__xludf.DUMMYFUNCTION("""COMPUTED_VALUE"""),5027.0216359999995)</f>
        <v>5027.021636</v>
      </c>
      <c r="F426" s="69">
        <f>IFERROR(__xludf.DUMMYFUNCTION("""COMPUTED_VALUE"""),1.46)</f>
        <v>1.46</v>
      </c>
      <c r="G426" s="78"/>
      <c r="H426" s="78">
        <f>IFERROR(__xludf.DUMMYFUNCTION("""COMPUTED_VALUE"""),6.0)</f>
        <v>6</v>
      </c>
      <c r="I426" s="78"/>
      <c r="J426" s="78">
        <f>IFERROR(__xludf.DUMMYFUNCTION("""COMPUTED_VALUE"""),4.5)</f>
        <v>4.5</v>
      </c>
      <c r="K426" s="76"/>
      <c r="L426" s="76" t="str">
        <f>IFERROR(__xludf.DUMMYFUNCTION("""COMPUTED_VALUE"""),"Jamaica")</f>
        <v>Jamaica</v>
      </c>
      <c r="M426" s="76" t="str">
        <f>IFERROR(__xludf.DUMMYFUNCTION("""COMPUTED_VALUE"""),"Negril")</f>
        <v>Negril</v>
      </c>
      <c r="N426" s="76" t="str">
        <f>IFERROR(__xludf.DUMMYFUNCTION("""COMPUTED_VALUE"""),"Sangster")</f>
        <v>Sangster</v>
      </c>
      <c r="O426" s="70" t="b">
        <f>IFERROR(__xludf.DUMMYFUNCTION("""COMPUTED_VALUE"""),TRUE)</f>
        <v>1</v>
      </c>
      <c r="P426" s="73">
        <f>IFERROR(__xludf.DUMMYFUNCTION("""COMPUTED_VALUE"""),0.05347222222222222)</f>
        <v>0.05347222222</v>
      </c>
      <c r="Q426" s="76" t="str">
        <f>IFERROR(__xludf.DUMMYFUNCTION("""COMPUTED_VALUE"""),"Riu")</f>
        <v>Riu</v>
      </c>
      <c r="R426" s="76" t="str">
        <f>IFERROR(__xludf.DUMMYFUNCTION("""COMPUTED_VALUE"""),"Great View, Family")</f>
        <v>Great View, Family</v>
      </c>
      <c r="S426" s="71" t="str">
        <f>IFERROR(__xludf.DUMMYFUNCTION("""COMPUTED_VALUE"""),"Beach, Great Beach, Kids Club, Gym, Diving, Buffet, Evening Entertainment, Swim Up Bar, Tennis, Fishing, Spa")</f>
        <v>Beach, Great Beach, Kids Club, Gym, Diving, Buffet, Evening Entertainment, Swim Up Bar, Tennis, Fishing, Spa</v>
      </c>
      <c r="T426" s="71"/>
      <c r="U426" s="71" t="str">
        <f>IFERROR(__xludf.DUMMYFUNCTION("""COMPUTED_VALUE"""),"2 Small Double")</f>
        <v>2 Small Double</v>
      </c>
      <c r="V426" s="78" t="b">
        <f>IFERROR(__xludf.DUMMYFUNCTION("""COMPUTED_VALUE"""),FALSE)</f>
        <v>0</v>
      </c>
      <c r="W426" s="78">
        <f>IFERROR(__xludf.DUMMYFUNCTION("""COMPUTED_VALUE"""),452.0)</f>
        <v>452</v>
      </c>
      <c r="X426" s="78">
        <f>IFERROR(__xludf.DUMMYFUNCTION("""COMPUTED_VALUE"""),2001.0)</f>
        <v>2001</v>
      </c>
      <c r="Y426" s="78">
        <f>IFERROR(__xludf.DUMMYFUNCTION("""COMPUTED_VALUE"""),2018.0)</f>
        <v>2018</v>
      </c>
      <c r="Z426" s="81">
        <f>IFERROR(__xludf.DUMMYFUNCTION("""COMPUTED_VALUE"""),2.0)</f>
        <v>2</v>
      </c>
    </row>
    <row r="427">
      <c r="A427" s="65" t="str">
        <f>IFERROR(__xludf.DUMMYFUNCTION("""COMPUTED_VALUE"""),"Mia Reef Isla Mujeres")</f>
        <v>Mia Reef Isla Mujeres</v>
      </c>
      <c r="B427" s="66">
        <f>IFERROR(__xludf.DUMMYFUNCTION("""COMPUTED_VALUE"""),85.3)</f>
        <v>85.3</v>
      </c>
      <c r="C427" s="67" t="str">
        <f>IFERROR(__xludf.DUMMYFUNCTION("""COMPUTED_VALUE"""),"Family")</f>
        <v>Family</v>
      </c>
      <c r="D427" s="68">
        <f>IFERROR(__xludf.DUMMYFUNCTION("""COMPUTED_VALUE"""),3651.15)</f>
        <v>3651.15</v>
      </c>
      <c r="E427" s="79">
        <f>IFERROR(__xludf.DUMMYFUNCTION("""COMPUTED_VALUE"""),5042.4203423849995)</f>
        <v>5042.420342</v>
      </c>
      <c r="F427" s="69">
        <f>IFERROR(__xludf.DUMMYFUNCTION("""COMPUTED_VALUE"""),1.45)</f>
        <v>1.45</v>
      </c>
      <c r="G427" s="78"/>
      <c r="H427" s="78">
        <f>IFERROR(__xludf.DUMMYFUNCTION("""COMPUTED_VALUE"""),6.0)</f>
        <v>6</v>
      </c>
      <c r="I427" s="78"/>
      <c r="J427" s="78">
        <f>IFERROR(__xludf.DUMMYFUNCTION("""COMPUTED_VALUE"""),5.0)</f>
        <v>5</v>
      </c>
      <c r="K427" s="76"/>
      <c r="L427" s="76" t="str">
        <f>IFERROR(__xludf.DUMMYFUNCTION("""COMPUTED_VALUE"""),"Mexico")</f>
        <v>Mexico</v>
      </c>
      <c r="M427" s="76" t="str">
        <f>IFERROR(__xludf.DUMMYFUNCTION("""COMPUTED_VALUE"""),"Isla Mujeres")</f>
        <v>Isla Mujeres</v>
      </c>
      <c r="N427" s="76" t="str">
        <f>IFERROR(__xludf.DUMMYFUNCTION("""COMPUTED_VALUE"""),"Cancun")</f>
        <v>Cancun</v>
      </c>
      <c r="O427" s="78" t="b">
        <f>IFERROR(__xludf.DUMMYFUNCTION("""COMPUTED_VALUE"""),TRUE)</f>
        <v>1</v>
      </c>
      <c r="P427" s="80">
        <f>IFERROR(__xludf.DUMMYFUNCTION("""COMPUTED_VALUE"""),0.049305555555555554)</f>
        <v>0.04930555556</v>
      </c>
      <c r="Q427" s="76"/>
      <c r="R427" s="76" t="str">
        <f>IFERROR(__xludf.DUMMYFUNCTION("""COMPUTED_VALUE"""),"Great View, Family")</f>
        <v>Great View, Family</v>
      </c>
      <c r="S427" s="71" t="str">
        <f>IFERROR(__xludf.DUMMYFUNCTION("""COMPUTED_VALUE"""),"Beach, Great Food, Adults Only Rooms, Kids Club, Gym, Bicycles Available, Yoga Classes, Diving, Watersports Equipment Rentals, Evening Entertainment, Nightclub, Spa, Buffet, Swim Up Bar, Snorkelling")</f>
        <v>Beach, Great Food, Adults Only Rooms, Kids Club, Gym, Bicycles Available, Yoga Classes, Diving, Watersports Equipment Rentals, Evening Entertainment, Nightclub, Spa, Buffet, Swim Up Bar, Snorkelling</v>
      </c>
      <c r="T427" s="71" t="str">
        <f>IFERROR(__xludf.DUMMYFUNCTION("""COMPUTED_VALUE"""),"Can't Book Two Rooms")</f>
        <v>Can't Book Two Rooms</v>
      </c>
      <c r="U427" s="71" t="str">
        <f>IFERROR(__xludf.DUMMYFUNCTION("""COMPUTED_VALUE"""),"1 King or 2 Double")</f>
        <v>1 King or 2 Double</v>
      </c>
      <c r="V427" s="78" t="b">
        <f>IFERROR(__xludf.DUMMYFUNCTION("""COMPUTED_VALUE"""),TRUE)</f>
        <v>1</v>
      </c>
      <c r="W427" s="78">
        <f>IFERROR(__xludf.DUMMYFUNCTION("""COMPUTED_VALUE"""),163.0)</f>
        <v>163</v>
      </c>
      <c r="X427" s="78">
        <f>IFERROR(__xludf.DUMMYFUNCTION("""COMPUTED_VALUE"""),2001.0)</f>
        <v>2001</v>
      </c>
      <c r="Y427" s="78">
        <f>IFERROR(__xludf.DUMMYFUNCTION("""COMPUTED_VALUE"""),2004.0)</f>
        <v>2004</v>
      </c>
      <c r="Z427" s="81">
        <f>IFERROR(__xludf.DUMMYFUNCTION("""COMPUTED_VALUE"""),5.0)</f>
        <v>5</v>
      </c>
    </row>
    <row r="428">
      <c r="A428" s="65" t="str">
        <f>IFERROR(__xludf.DUMMYFUNCTION("""COMPUTED_VALUE"""),"Hotel Riu Palace Cabo San Lucas")</f>
        <v>Hotel Riu Palace Cabo San Lucas</v>
      </c>
      <c r="B428" s="66">
        <f>IFERROR(__xludf.DUMMYFUNCTION("""COMPUTED_VALUE"""),85.3)</f>
        <v>85.3</v>
      </c>
      <c r="C428" s="67" t="str">
        <f>IFERROR(__xludf.DUMMYFUNCTION("""COMPUTED_VALUE"""),"Family")</f>
        <v>Family</v>
      </c>
      <c r="D428" s="68">
        <f>IFERROR(__xludf.DUMMYFUNCTION("""COMPUTED_VALUE"""),3948.0)</f>
        <v>3948</v>
      </c>
      <c r="E428" s="79">
        <f>IFERROR(__xludf.DUMMYFUNCTION("""COMPUTED_VALUE"""),5452.385005199999)</f>
        <v>5452.385005</v>
      </c>
      <c r="F428" s="69">
        <f>IFERROR(__xludf.DUMMYFUNCTION("""COMPUTED_VALUE"""),1.34)</f>
        <v>1.34</v>
      </c>
      <c r="G428" s="78"/>
      <c r="H428" s="74">
        <f>IFERROR(__xludf.DUMMYFUNCTION("""COMPUTED_VALUE"""),7.0)</f>
        <v>7</v>
      </c>
      <c r="I428" s="78"/>
      <c r="J428" s="78">
        <f>IFERROR(__xludf.DUMMYFUNCTION("""COMPUTED_VALUE"""),4.5)</f>
        <v>4.5</v>
      </c>
      <c r="K428" s="71"/>
      <c r="L428" s="76" t="str">
        <f>IFERROR(__xludf.DUMMYFUNCTION("""COMPUTED_VALUE"""),"Mexico")</f>
        <v>Mexico</v>
      </c>
      <c r="M428" s="76" t="str">
        <f>IFERROR(__xludf.DUMMYFUNCTION("""COMPUTED_VALUE"""),"Cabo San Lucas")</f>
        <v>Cabo San Lucas</v>
      </c>
      <c r="N428" s="87" t="str">
        <f>IFERROR(__xludf.DUMMYFUNCTION("""COMPUTED_VALUE"""),"Los Cabos")</f>
        <v>Los Cabos</v>
      </c>
      <c r="O428" s="78" t="b">
        <f>IFERROR(__xludf.DUMMYFUNCTION("""COMPUTED_VALUE"""),TRUE)</f>
        <v>1</v>
      </c>
      <c r="P428" s="80">
        <f>IFERROR(__xludf.DUMMYFUNCTION("""COMPUTED_VALUE"""),0.025694444444444443)</f>
        <v>0.02569444444</v>
      </c>
      <c r="Q428" s="76" t="str">
        <f>IFERROR(__xludf.DUMMYFUNCTION("""COMPUTED_VALUE"""),"Riu")</f>
        <v>Riu</v>
      </c>
      <c r="R428" s="71" t="str">
        <f>IFERROR(__xludf.DUMMYFUNCTION("""COMPUTED_VALUE"""),"Bay View, Family")</f>
        <v>Bay View, Family</v>
      </c>
      <c r="S428" s="71" t="str">
        <f>IFERROR(__xludf.DUMMYFUNCTION("""COMPUTED_VALUE"""),"Beach, Swim Out/Plunge Pool Rooms, Adults Only Rooms, Kids Club, Gym, Diving, Buffet, Swim Up Bar, Evening Entertainment, Babysitting, Fishing, Spa")</f>
        <v>Beach, Swim Out/Plunge Pool Rooms, Adults Only Rooms, Kids Club, Gym, Diving, Buffet, Swim Up Bar, Evening Entertainment, Babysitting, Fishing, Spa</v>
      </c>
      <c r="T428" s="71"/>
      <c r="U428" s="76" t="str">
        <f>IFERROR(__xludf.DUMMYFUNCTION("""COMPUTED_VALUE"""),"1 King or 2 Double")</f>
        <v>1 King or 2 Double</v>
      </c>
      <c r="V428" s="74" t="b">
        <f>IFERROR(__xludf.DUMMYFUNCTION("""COMPUTED_VALUE"""),FALSE)</f>
        <v>0</v>
      </c>
      <c r="W428" s="74">
        <f>IFERROR(__xludf.DUMMYFUNCTION("""COMPUTED_VALUE"""),692.0)</f>
        <v>692</v>
      </c>
      <c r="X428" s="74">
        <f>IFERROR(__xludf.DUMMYFUNCTION("""COMPUTED_VALUE"""),2004.0)</f>
        <v>2004</v>
      </c>
      <c r="Y428" s="74">
        <f>IFERROR(__xludf.DUMMYFUNCTION("""COMPUTED_VALUE"""),2016.0)</f>
        <v>2016</v>
      </c>
      <c r="Z428" s="75">
        <f>IFERROR(__xludf.DUMMYFUNCTION("""COMPUTED_VALUE"""),4.0)</f>
        <v>4</v>
      </c>
    </row>
    <row r="429">
      <c r="A429" s="65" t="str">
        <f>IFERROR(__xludf.DUMMYFUNCTION("""COMPUTED_VALUE"""),"Secrets Wild Orchid Montego Bay")</f>
        <v>Secrets Wild Orchid Montego Bay</v>
      </c>
      <c r="B429" s="66">
        <f>IFERROR(__xludf.DUMMYFUNCTION("""COMPUTED_VALUE"""),85.3)</f>
        <v>85.3</v>
      </c>
      <c r="C429" s="67" t="str">
        <f>IFERROR(__xludf.DUMMYFUNCTION("""COMPUTED_VALUE"""),"Adults Only")</f>
        <v>Adults Only</v>
      </c>
      <c r="D429" s="79">
        <f>IFERROR(__xludf.DUMMYFUNCTION("""COMPUTED_VALUE"""),4551.0)</f>
        <v>4551</v>
      </c>
      <c r="E429" s="79">
        <f>IFERROR(__xludf.DUMMYFUNCTION("""COMPUTED_VALUE"""),6285.158094899999)</f>
        <v>6285.158095</v>
      </c>
      <c r="F429" s="69">
        <f>IFERROR(__xludf.DUMMYFUNCTION("""COMPUTED_VALUE"""),1.16)</f>
        <v>1.16</v>
      </c>
      <c r="G429" s="78">
        <f>IFERROR(__xludf.DUMMYFUNCTION("""COMPUTED_VALUE"""),4.0)</f>
        <v>4</v>
      </c>
      <c r="H429" s="74">
        <f>IFERROR(__xludf.DUMMYFUNCTION("""COMPUTED_VALUE"""),9.0)</f>
        <v>9</v>
      </c>
      <c r="I429" s="78" t="str">
        <f>IFERROR(__xludf.DUMMYFUNCTION("""COMPUTED_VALUE"""),"D")</f>
        <v>D</v>
      </c>
      <c r="J429" s="78">
        <f>IFERROR(__xludf.DUMMYFUNCTION("""COMPUTED_VALUE"""),5.0)</f>
        <v>5</v>
      </c>
      <c r="K429" s="71"/>
      <c r="L429" s="76" t="str">
        <f>IFERROR(__xludf.DUMMYFUNCTION("""COMPUTED_VALUE"""),"Jamaica")</f>
        <v>Jamaica</v>
      </c>
      <c r="M429" s="76" t="str">
        <f>IFERROR(__xludf.DUMMYFUNCTION("""COMPUTED_VALUE"""),"Montego Bay")</f>
        <v>Montego Bay</v>
      </c>
      <c r="N429" s="76" t="str">
        <f>IFERROR(__xludf.DUMMYFUNCTION("""COMPUTED_VALUE"""),"Sangster")</f>
        <v>Sangster</v>
      </c>
      <c r="O429" s="78" t="b">
        <f>IFERROR(__xludf.DUMMYFUNCTION("""COMPUTED_VALUE"""),TRUE)</f>
        <v>1</v>
      </c>
      <c r="P429" s="80">
        <f>IFERROR(__xludf.DUMMYFUNCTION("""COMPUTED_VALUE"""),0.013194444444444444)</f>
        <v>0.01319444444</v>
      </c>
      <c r="Q429" s="76" t="str">
        <f>IFERROR(__xludf.DUMMYFUNCTION("""COMPUTED_VALUE"""),"Hyatt")</f>
        <v>Hyatt</v>
      </c>
      <c r="R429" s="71" t="str">
        <f>IFERROR(__xludf.DUMMYFUNCTION("""COMPUTED_VALUE"""),"Luxury, Modern")</f>
        <v>Luxury, Modern</v>
      </c>
      <c r="S429" s="71" t="str">
        <f>IFERROR(__xludf.DUMMYFUNCTION("""COMPUTED_VALUE"""),"Great Food, Beach, Gym, Casino, Wifi (Paid), Room Service, Swim Up Bar, Diving, Spa, Buffet, Tennis, Evening Entertainment, Nightclub")</f>
        <v>Great Food, Beach, Gym, Casino, Wifi (Paid), Room Service, Swim Up Bar, Diving, Spa, Buffet, Tennis, Evening Entertainment, Nightclub</v>
      </c>
      <c r="T429" s="71"/>
      <c r="U429" s="76"/>
      <c r="V429" s="74" t="b">
        <f>IFERROR(__xludf.DUMMYFUNCTION("""COMPUTED_VALUE"""),FALSE)</f>
        <v>0</v>
      </c>
      <c r="W429" s="74">
        <f>IFERROR(__xludf.DUMMYFUNCTION("""COMPUTED_VALUE"""),350.0)</f>
        <v>350</v>
      </c>
      <c r="X429" s="74">
        <f>IFERROR(__xludf.DUMMYFUNCTION("""COMPUTED_VALUE"""),2010.0)</f>
        <v>2010</v>
      </c>
      <c r="Y429" s="74">
        <f>IFERROR(__xludf.DUMMYFUNCTION("""COMPUTED_VALUE"""),2019.0)</f>
        <v>2019</v>
      </c>
      <c r="Z429" s="75">
        <f>IFERROR(__xludf.DUMMYFUNCTION("""COMPUTED_VALUE"""),5.0)</f>
        <v>5</v>
      </c>
    </row>
    <row r="430">
      <c r="A430" s="65" t="str">
        <f>IFERROR(__xludf.DUMMYFUNCTION("""COMPUTED_VALUE"""),"The Abidah By Accra")</f>
        <v>The Abidah By Accra</v>
      </c>
      <c r="B430" s="66">
        <f>IFERROR(__xludf.DUMMYFUNCTION("""COMPUTED_VALUE"""),85.3)</f>
        <v>85.3</v>
      </c>
      <c r="C430" s="67" t="str">
        <f>IFERROR(__xludf.DUMMYFUNCTION("""COMPUTED_VALUE"""),"Adults Only")</f>
        <v>Adults Only</v>
      </c>
      <c r="D430" s="79">
        <f>IFERROR(__xludf.DUMMYFUNCTION("""COMPUTED_VALUE"""),5051.2)</f>
        <v>5051.2</v>
      </c>
      <c r="E430" s="79">
        <f>IFERROR(__xludf.DUMMYFUNCTION("""COMPUTED_VALUE"""),6975.959254879999)</f>
        <v>6975.959255</v>
      </c>
      <c r="F430" s="69">
        <f>IFERROR(__xludf.DUMMYFUNCTION("""COMPUTED_VALUE"""),1.05)</f>
        <v>1.05</v>
      </c>
      <c r="G430" s="78"/>
      <c r="H430" s="74">
        <f>IFERROR(__xludf.DUMMYFUNCTION("""COMPUTED_VALUE"""),7.0)</f>
        <v>7</v>
      </c>
      <c r="I430" s="78"/>
      <c r="J430" s="78">
        <f>IFERROR(__xludf.DUMMYFUNCTION("""COMPUTED_VALUE"""),4.0)</f>
        <v>4</v>
      </c>
      <c r="K430" s="71"/>
      <c r="L430" s="76" t="str">
        <f>IFERROR(__xludf.DUMMYFUNCTION("""COMPUTED_VALUE"""),"Barbados")</f>
        <v>Barbados</v>
      </c>
      <c r="M430" s="76" t="str">
        <f>IFERROR(__xludf.DUMMYFUNCTION("""COMPUTED_VALUE"""),"Barbados")</f>
        <v>Barbados</v>
      </c>
      <c r="N430" s="76" t="str">
        <f>IFERROR(__xludf.DUMMYFUNCTION("""COMPUTED_VALUE"""),"Grantley Adams")</f>
        <v>Grantley Adams</v>
      </c>
      <c r="O430" s="78" t="b">
        <f>IFERROR(__xludf.DUMMYFUNCTION("""COMPUTED_VALUE"""),TRUE)</f>
        <v>1</v>
      </c>
      <c r="P430" s="80">
        <f>IFERROR(__xludf.DUMMYFUNCTION("""COMPUTED_VALUE"""),0.007638888888888889)</f>
        <v>0.007638888889</v>
      </c>
      <c r="Q430" s="71"/>
      <c r="R430" s="71"/>
      <c r="S430" s="71" t="str">
        <f>IFERROR(__xludf.DUMMYFUNCTION("""COMPUTED_VALUE"""),"Beach, Gym, Wifi (Free), Buffet")</f>
        <v>Beach, Gym, Wifi (Free), Buffet</v>
      </c>
      <c r="T430" s="71"/>
      <c r="U430" s="71"/>
      <c r="V430" s="74" t="b">
        <f>IFERROR(__xludf.DUMMYFUNCTION("""COMPUTED_VALUE"""),FALSE)</f>
        <v>0</v>
      </c>
      <c r="W430" s="74">
        <f>IFERROR(__xludf.DUMMYFUNCTION("""COMPUTED_VALUE"""),43.0)</f>
        <v>43</v>
      </c>
      <c r="X430" s="74">
        <f>IFERROR(__xludf.DUMMYFUNCTION("""COMPUTED_VALUE"""),2019.0)</f>
        <v>2019</v>
      </c>
      <c r="Y430" s="74"/>
      <c r="Z430" s="75"/>
    </row>
    <row r="431">
      <c r="A431" s="65" t="str">
        <f>IFERROR(__xludf.DUMMYFUNCTION("""COMPUTED_VALUE"""),"Breathless Montego Bay Resort &amp; Spa")</f>
        <v>Breathless Montego Bay Resort &amp; Spa</v>
      </c>
      <c r="B431" s="66">
        <f>IFERROR(__xludf.DUMMYFUNCTION("""COMPUTED_VALUE"""),85.3)</f>
        <v>85.3</v>
      </c>
      <c r="C431" s="67" t="str">
        <f>IFERROR(__xludf.DUMMYFUNCTION("""COMPUTED_VALUE"""),"Adults Only")</f>
        <v>Adults Only</v>
      </c>
      <c r="D431" s="79">
        <f>IFERROR(__xludf.DUMMYFUNCTION("""COMPUTED_VALUE"""),5792.0)</f>
        <v>5792</v>
      </c>
      <c r="E431" s="79">
        <f>IFERROR(__xludf.DUMMYFUNCTION("""COMPUTED_VALUE"""),7999.041020799999)</f>
        <v>7999.041021</v>
      </c>
      <c r="F431" s="69">
        <f>IFERROR(__xludf.DUMMYFUNCTION("""COMPUTED_VALUE"""),0.92)</f>
        <v>0.92</v>
      </c>
      <c r="G431" s="78">
        <f>IFERROR(__xludf.DUMMYFUNCTION("""COMPUTED_VALUE"""),4.0)</f>
        <v>4</v>
      </c>
      <c r="H431" s="74">
        <f>IFERROR(__xludf.DUMMYFUNCTION("""COMPUTED_VALUE"""),8.0)</f>
        <v>8</v>
      </c>
      <c r="I431" s="78" t="str">
        <f>IFERROR(__xludf.DUMMYFUNCTION("""COMPUTED_VALUE"""),"D")</f>
        <v>D</v>
      </c>
      <c r="J431" s="78">
        <f>IFERROR(__xludf.DUMMYFUNCTION("""COMPUTED_VALUE"""),5.0)</f>
        <v>5</v>
      </c>
      <c r="K431" s="76"/>
      <c r="L431" s="76" t="str">
        <f>IFERROR(__xludf.DUMMYFUNCTION("""COMPUTED_VALUE"""),"Jamaica")</f>
        <v>Jamaica</v>
      </c>
      <c r="M431" s="76" t="str">
        <f>IFERROR(__xludf.DUMMYFUNCTION("""COMPUTED_VALUE"""),"Montego Bay")</f>
        <v>Montego Bay</v>
      </c>
      <c r="N431" s="76" t="str">
        <f>IFERROR(__xludf.DUMMYFUNCTION("""COMPUTED_VALUE"""),"Sangster")</f>
        <v>Sangster</v>
      </c>
      <c r="O431" s="78" t="b">
        <f>IFERROR(__xludf.DUMMYFUNCTION("""COMPUTED_VALUE"""),TRUE)</f>
        <v>1</v>
      </c>
      <c r="P431" s="80">
        <f>IFERROR(__xludf.DUMMYFUNCTION("""COMPUTED_VALUE"""),0.010416666666666666)</f>
        <v>0.01041666667</v>
      </c>
      <c r="Q431" s="76" t="str">
        <f>IFERROR(__xludf.DUMMYFUNCTION("""COMPUTED_VALUE"""),"Hyatt")</f>
        <v>Hyatt</v>
      </c>
      <c r="R431" s="76" t="str">
        <f>IFERROR(__xludf.DUMMYFUNCTION("""COMPUTED_VALUE"""),"Trendy, Modern")</f>
        <v>Trendy, Modern</v>
      </c>
      <c r="S431" s="72" t="str">
        <f>IFERROR(__xludf.DUMMYFUNCTION("""COMPUTED_VALUE"""),"Beach, Swim Out/Plunge Pool Rooms, Great for Parties, Gym, Swim Up Bar, Evening Entertainment, Spa, Wifi (Free), Tennis, Buffet, Nightclub")</f>
        <v>Beach, Swim Out/Plunge Pool Rooms, Great for Parties, Gym, Swim Up Bar, Evening Entertainment, Spa, Wifi (Free), Tennis, Buffet, Nightclub</v>
      </c>
      <c r="T431" s="72"/>
      <c r="U431" s="76"/>
      <c r="V431" s="74" t="b">
        <f>IFERROR(__xludf.DUMMYFUNCTION("""COMPUTED_VALUE"""),TRUE)</f>
        <v>1</v>
      </c>
      <c r="W431" s="74">
        <f>IFERROR(__xludf.DUMMYFUNCTION("""COMPUTED_VALUE"""),150.0)</f>
        <v>150</v>
      </c>
      <c r="X431" s="74">
        <f>IFERROR(__xludf.DUMMYFUNCTION("""COMPUTED_VALUE"""),2017.0)</f>
        <v>2017</v>
      </c>
      <c r="Y431" s="74"/>
      <c r="Z431" s="75">
        <f>IFERROR(__xludf.DUMMYFUNCTION("""COMPUTED_VALUE"""),5.0)</f>
        <v>5</v>
      </c>
    </row>
    <row r="432">
      <c r="A432" s="65" t="str">
        <f>IFERROR(__xludf.DUMMYFUNCTION("""COMPUTED_VALUE"""),"Secrets Riviera Cancun Resort &amp; Spa")</f>
        <v>Secrets Riviera Cancun Resort &amp; Spa</v>
      </c>
      <c r="B432" s="66">
        <f>IFERROR(__xludf.DUMMYFUNCTION("""COMPUTED_VALUE"""),85.3)</f>
        <v>85.3</v>
      </c>
      <c r="C432" s="67" t="str">
        <f>IFERROR(__xludf.DUMMYFUNCTION("""COMPUTED_VALUE"""),"Adults Only")</f>
        <v>Adults Only</v>
      </c>
      <c r="D432" s="68">
        <f>IFERROR(__xludf.DUMMYFUNCTION("""COMPUTED_VALUE"""),7462.0)</f>
        <v>7462</v>
      </c>
      <c r="E432" s="79">
        <f>IFERROR(__xludf.DUMMYFUNCTION("""COMPUTED_VALUE"""),10305.394353799998)</f>
        <v>10305.39435</v>
      </c>
      <c r="F432" s="69">
        <f>IFERROR(__xludf.DUMMYFUNCTION("""COMPUTED_VALUE"""),0.71)</f>
        <v>0.71</v>
      </c>
      <c r="G432" s="78"/>
      <c r="H432" s="74">
        <f>IFERROR(__xludf.DUMMYFUNCTION("""COMPUTED_VALUE"""),9.0)</f>
        <v>9</v>
      </c>
      <c r="I432" s="78" t="str">
        <f>IFERROR(__xludf.DUMMYFUNCTION("""COMPUTED_VALUE"""),"D")</f>
        <v>D</v>
      </c>
      <c r="J432" s="78">
        <f>IFERROR(__xludf.DUMMYFUNCTION("""COMPUTED_VALUE"""),5.0)</f>
        <v>5</v>
      </c>
      <c r="K432" s="76"/>
      <c r="L432" s="76" t="str">
        <f>IFERROR(__xludf.DUMMYFUNCTION("""COMPUTED_VALUE"""),"Mexico")</f>
        <v>Mexico</v>
      </c>
      <c r="M432" s="76" t="str">
        <f>IFERROR(__xludf.DUMMYFUNCTION("""COMPUTED_VALUE"""),"Caracol")</f>
        <v>Caracol</v>
      </c>
      <c r="N432" s="76" t="str">
        <f>IFERROR(__xludf.DUMMYFUNCTION("""COMPUTED_VALUE"""),"Cancun")</f>
        <v>Cancun</v>
      </c>
      <c r="O432" s="78" t="b">
        <f>IFERROR(__xludf.DUMMYFUNCTION("""COMPUTED_VALUE"""),TRUE)</f>
        <v>1</v>
      </c>
      <c r="P432" s="80">
        <f>IFERROR(__xludf.DUMMYFUNCTION("""COMPUTED_VALUE"""),0.014583333333333334)</f>
        <v>0.01458333333</v>
      </c>
      <c r="Q432" s="76" t="str">
        <f>IFERROR(__xludf.DUMMYFUNCTION("""COMPUTED_VALUE"""),"Hyatt")</f>
        <v>Hyatt</v>
      </c>
      <c r="R432" s="76" t="str">
        <f>IFERROR(__xludf.DUMMYFUNCTION("""COMPUTED_VALUE"""),"Charming, Romantic")</f>
        <v>Charming, Romantic</v>
      </c>
      <c r="S432" s="71" t="str">
        <f>IFERROR(__xludf.DUMMYFUNCTION("""COMPUTED_VALUE"""),"Beach, Great Food, Swim Out/Plunge Pool Rooms, Gym, Buffet, Swim Up Bar, Nightclub, Wifi (Free), Evening Entertainment, Spa")</f>
        <v>Beach, Great Food, Swim Out/Plunge Pool Rooms, Gym, Buffet, Swim Up Bar, Nightclub, Wifi (Free), Evening Entertainment, Spa</v>
      </c>
      <c r="T432" s="71"/>
      <c r="U432" s="71"/>
      <c r="V432" s="74" t="b">
        <f>IFERROR(__xludf.DUMMYFUNCTION("""COMPUTED_VALUE"""),FALSE)</f>
        <v>0</v>
      </c>
      <c r="W432" s="74">
        <f>IFERROR(__xludf.DUMMYFUNCTION("""COMPUTED_VALUE"""),164.0)</f>
        <v>164</v>
      </c>
      <c r="X432" s="74">
        <f>IFERROR(__xludf.DUMMYFUNCTION("""COMPUTED_VALUE"""),2016.0)</f>
        <v>2016</v>
      </c>
      <c r="Y432" s="74">
        <f>IFERROR(__xludf.DUMMYFUNCTION("""COMPUTED_VALUE"""),2020.0)</f>
        <v>2020</v>
      </c>
      <c r="Z432" s="75">
        <f>IFERROR(__xludf.DUMMYFUNCTION("""COMPUTED_VALUE"""),4.0)</f>
        <v>4</v>
      </c>
    </row>
    <row r="433">
      <c r="A433" s="65" t="str">
        <f>IFERROR(__xludf.DUMMYFUNCTION("""COMPUTED_VALUE"""),"Iberostar Origin Playa Alameda")</f>
        <v>Iberostar Origin Playa Alameda</v>
      </c>
      <c r="B433" s="66">
        <f>IFERROR(__xludf.DUMMYFUNCTION("""COMPUTED_VALUE"""),85.0)</f>
        <v>85</v>
      </c>
      <c r="C433" s="67" t="str">
        <f>IFERROR(__xludf.DUMMYFUNCTION("""COMPUTED_VALUE"""),"Adults Only")</f>
        <v>Adults Only</v>
      </c>
      <c r="D433" s="79">
        <f>IFERROR(__xludf.DUMMYFUNCTION("""COMPUTED_VALUE"""),1263.8)</f>
        <v>1263.8</v>
      </c>
      <c r="E433" s="79">
        <f>IFERROR(__xludf.DUMMYFUNCTION("""COMPUTED_VALUE"""),1745.3708636199997)</f>
        <v>1745.370864</v>
      </c>
      <c r="F433" s="69">
        <f>IFERROR(__xludf.DUMMYFUNCTION("""COMPUTED_VALUE"""),3.96)</f>
        <v>3.96</v>
      </c>
      <c r="G433" s="78"/>
      <c r="H433" s="74" t="str">
        <f>IFERROR(__xludf.DUMMYFUNCTION("""COMPUTED_VALUE"""),"NYR")</f>
        <v>NYR</v>
      </c>
      <c r="I433" s="78"/>
      <c r="J433" s="78">
        <f>IFERROR(__xludf.DUMMYFUNCTION("""COMPUTED_VALUE"""),4.0)</f>
        <v>4</v>
      </c>
      <c r="K433" s="71"/>
      <c r="L433" s="76" t="str">
        <f>IFERROR(__xludf.DUMMYFUNCTION("""COMPUTED_VALUE"""),"Cuba")</f>
        <v>Cuba</v>
      </c>
      <c r="M433" s="76" t="str">
        <f>IFERROR(__xludf.DUMMYFUNCTION("""COMPUTED_VALUE"""),"Varadero")</f>
        <v>Varadero</v>
      </c>
      <c r="N433" s="87" t="str">
        <f>IFERROR(__xludf.DUMMYFUNCTION("""COMPUTED_VALUE"""),"Varadero")</f>
        <v>Varadero</v>
      </c>
      <c r="O433" s="78" t="b">
        <f>IFERROR(__xludf.DUMMYFUNCTION("""COMPUTED_VALUE"""),TRUE)</f>
        <v>1</v>
      </c>
      <c r="P433" s="80">
        <f>IFERROR(__xludf.DUMMYFUNCTION("""COMPUTED_VALUE"""),0.025694444444444443)</f>
        <v>0.02569444444</v>
      </c>
      <c r="Q433" s="71" t="str">
        <f>IFERROR(__xludf.DUMMYFUNCTION("""COMPUTED_VALUE"""),"IHG")</f>
        <v>IHG</v>
      </c>
      <c r="R433" s="71" t="str">
        <f>IFERROR(__xludf.DUMMYFUNCTION("""COMPUTED_VALUE"""),"Family, Park View")</f>
        <v>Family, Park View</v>
      </c>
      <c r="S433" s="71" t="str">
        <f>IFERROR(__xludf.DUMMYFUNCTION("""COMPUTED_VALUE"""),"Beach, Great Beach, Gym, Tennis, Yoga Classes, Evening Entertainment, Nightclub, Buffet, Watersports Equipment Rentals, Spa")</f>
        <v>Beach, Great Beach, Gym, Tennis, Yoga Classes, Evening Entertainment, Nightclub, Buffet, Watersports Equipment Rentals, Spa</v>
      </c>
      <c r="T433" s="71"/>
      <c r="U433" s="76"/>
      <c r="V433" s="74" t="b">
        <f>IFERROR(__xludf.DUMMYFUNCTION("""COMPUTED_VALUE"""),FALSE)</f>
        <v>0</v>
      </c>
      <c r="W433" s="74">
        <f>IFERROR(__xludf.DUMMYFUNCTION("""COMPUTED_VALUE"""),391.0)</f>
        <v>391</v>
      </c>
      <c r="X433" s="74">
        <f>IFERROR(__xludf.DUMMYFUNCTION("""COMPUTED_VALUE"""),2002.0)</f>
        <v>2002</v>
      </c>
      <c r="Y433" s="74"/>
      <c r="Z433" s="75">
        <f>IFERROR(__xludf.DUMMYFUNCTION("""COMPUTED_VALUE"""),3.0)</f>
        <v>3</v>
      </c>
    </row>
    <row r="434">
      <c r="A434" s="65" t="str">
        <f>IFERROR(__xludf.DUMMYFUNCTION("""COMPUTED_VALUE"""),"Sanctuary At Grand Memories Varadero")</f>
        <v>Sanctuary At Grand Memories Varadero</v>
      </c>
      <c r="B434" s="66">
        <f>IFERROR(__xludf.DUMMYFUNCTION("""COMPUTED_VALUE"""),85.0)</f>
        <v>85</v>
      </c>
      <c r="C434" s="67" t="str">
        <f>IFERROR(__xludf.DUMMYFUNCTION("""COMPUTED_VALUE"""),"Adults Only")</f>
        <v>Adults Only</v>
      </c>
      <c r="D434" s="79">
        <f>IFERROR(__xludf.DUMMYFUNCTION("""COMPUTED_VALUE"""),1386.0)</f>
        <v>1386</v>
      </c>
      <c r="E434" s="79">
        <f>IFERROR(__xludf.DUMMYFUNCTION("""COMPUTED_VALUE"""),1914.1351613999998)</f>
        <v>1914.135161</v>
      </c>
      <c r="F434" s="69">
        <f>IFERROR(__xludf.DUMMYFUNCTION("""COMPUTED_VALUE"""),3.61)</f>
        <v>3.61</v>
      </c>
      <c r="G434" s="78"/>
      <c r="H434" s="74">
        <f>IFERROR(__xludf.DUMMYFUNCTION("""COMPUTED_VALUE"""),7.0)</f>
        <v>7</v>
      </c>
      <c r="I434" s="78"/>
      <c r="J434" s="78">
        <f>IFERROR(__xludf.DUMMYFUNCTION("""COMPUTED_VALUE"""),5.0)</f>
        <v>5</v>
      </c>
      <c r="K434" s="71"/>
      <c r="L434" s="76" t="str">
        <f>IFERROR(__xludf.DUMMYFUNCTION("""COMPUTED_VALUE"""),"Cuba")</f>
        <v>Cuba</v>
      </c>
      <c r="M434" s="76" t="str">
        <f>IFERROR(__xludf.DUMMYFUNCTION("""COMPUTED_VALUE"""),"Varadero")</f>
        <v>Varadero</v>
      </c>
      <c r="N434" s="76" t="str">
        <f>IFERROR(__xludf.DUMMYFUNCTION("""COMPUTED_VALUE"""),"Varadero")</f>
        <v>Varadero</v>
      </c>
      <c r="O434" s="78" t="b">
        <f>IFERROR(__xludf.DUMMYFUNCTION("""COMPUTED_VALUE"""),TRUE)</f>
        <v>1</v>
      </c>
      <c r="P434" s="80">
        <f>IFERROR(__xludf.DUMMYFUNCTION("""COMPUTED_VALUE"""),0.02638888888888889)</f>
        <v>0.02638888889</v>
      </c>
      <c r="Q434" s="71"/>
      <c r="R434" s="71"/>
      <c r="S434" s="71" t="str">
        <f>IFERROR(__xludf.DUMMYFUNCTION("""COMPUTED_VALUE"""),"Beach, Great Beach, Gym, Tennis, Buffet, Swim Up Bar, Nightclub, Evening Entertainment, Spa")</f>
        <v>Beach, Great Beach, Gym, Tennis, Buffet, Swim Up Bar, Nightclub, Evening Entertainment, Spa</v>
      </c>
      <c r="T434" s="71"/>
      <c r="U434" s="71"/>
      <c r="V434" s="74" t="b">
        <f>IFERROR(__xludf.DUMMYFUNCTION("""COMPUTED_VALUE"""),FALSE)</f>
        <v>0</v>
      </c>
      <c r="W434" s="74">
        <f>IFERROR(__xludf.DUMMYFUNCTION("""COMPUTED_VALUE"""),960.0)</f>
        <v>960</v>
      </c>
      <c r="X434" s="74">
        <f>IFERROR(__xludf.DUMMYFUNCTION("""COMPUTED_VALUE"""),2011.0)</f>
        <v>2011</v>
      </c>
      <c r="Y434" s="74"/>
      <c r="Z434" s="75">
        <f>IFERROR(__xludf.DUMMYFUNCTION("""COMPUTED_VALUE"""),3.0)</f>
        <v>3</v>
      </c>
    </row>
    <row r="435">
      <c r="A435" s="65" t="str">
        <f>IFERROR(__xludf.DUMMYFUNCTION("""COMPUTED_VALUE"""),"Hotel Playa Cayo Santa María")</f>
        <v>Hotel Playa Cayo Santa María</v>
      </c>
      <c r="B435" s="66">
        <f>IFERROR(__xludf.DUMMYFUNCTION("""COMPUTED_VALUE"""),85.0)</f>
        <v>85</v>
      </c>
      <c r="C435" s="67" t="str">
        <f>IFERROR(__xludf.DUMMYFUNCTION("""COMPUTED_VALUE"""),"Family")</f>
        <v>Family</v>
      </c>
      <c r="D435" s="68">
        <f>IFERROR(__xludf.DUMMYFUNCTION("""COMPUTED_VALUE"""),1921.0)</f>
        <v>1921</v>
      </c>
      <c r="E435" s="79">
        <f>IFERROR(__xludf.DUMMYFUNCTION("""COMPUTED_VALUE"""),2652.9968578999997)</f>
        <v>2652.996858</v>
      </c>
      <c r="F435" s="69">
        <f>IFERROR(__xludf.DUMMYFUNCTION("""COMPUTED_VALUE"""),2.6)</f>
        <v>2.6</v>
      </c>
      <c r="G435" s="78"/>
      <c r="H435" s="74"/>
      <c r="I435" s="78"/>
      <c r="J435" s="78">
        <f>IFERROR(__xludf.DUMMYFUNCTION("""COMPUTED_VALUE"""),5.0)</f>
        <v>5</v>
      </c>
      <c r="K435" s="71"/>
      <c r="L435" s="76" t="str">
        <f>IFERROR(__xludf.DUMMYFUNCTION("""COMPUTED_VALUE"""),"Cuba")</f>
        <v>Cuba</v>
      </c>
      <c r="M435" s="76" t="str">
        <f>IFERROR(__xludf.DUMMYFUNCTION("""COMPUTED_VALUE"""),"Cayo Santa Maria")</f>
        <v>Cayo Santa Maria</v>
      </c>
      <c r="N435" s="76" t="str">
        <f>IFERROR(__xludf.DUMMYFUNCTION("""COMPUTED_VALUE"""),"Santa Clara")</f>
        <v>Santa Clara</v>
      </c>
      <c r="O435" s="78" t="b">
        <f>IFERROR(__xludf.DUMMYFUNCTION("""COMPUTED_VALUE"""),TRUE)</f>
        <v>1</v>
      </c>
      <c r="P435" s="80">
        <f>IFERROR(__xludf.DUMMYFUNCTION("""COMPUTED_VALUE"""),0.06666666666666667)</f>
        <v>0.06666666667</v>
      </c>
      <c r="Q435" s="71"/>
      <c r="R435" s="71" t="str">
        <f>IFERROR(__xludf.DUMMYFUNCTION("""COMPUTED_VALUE"""),"Bay View, Modern")</f>
        <v>Bay View, Modern</v>
      </c>
      <c r="S435" s="71" t="str">
        <f>IFERROR(__xludf.DUMMYFUNCTION("""COMPUTED_VALUE"""),"Beach, Kids Club, Swim Up Bar, Tennis, Buffet, Fishing, Diving, Babysitting, Room Service, Evening Entertainment, Spa")</f>
        <v>Beach, Kids Club, Swim Up Bar, Tennis, Buffet, Fishing, Diving, Babysitting, Room Service, Evening Entertainment, Spa</v>
      </c>
      <c r="T435" s="71"/>
      <c r="U435" s="76" t="str">
        <f>IFERROR(__xludf.DUMMYFUNCTION("""COMPUTED_VALUE"""),"2 Single")</f>
        <v>2 Single</v>
      </c>
      <c r="V435" s="74" t="b">
        <f>IFERROR(__xludf.DUMMYFUNCTION("""COMPUTED_VALUE"""),FALSE)</f>
        <v>0</v>
      </c>
      <c r="W435" s="74"/>
      <c r="X435" s="74"/>
      <c r="Y435" s="74"/>
      <c r="Z435" s="75"/>
    </row>
    <row r="436">
      <c r="A436" s="65" t="str">
        <f>IFERROR(__xludf.DUMMYFUNCTION("""COMPUTED_VALUE"""),"Sheraton Buganvilias Resort &amp; Convention Center")</f>
        <v>Sheraton Buganvilias Resort &amp; Convention Center</v>
      </c>
      <c r="B436" s="66">
        <f>IFERROR(__xludf.DUMMYFUNCTION("""COMPUTED_VALUE"""),85.0)</f>
        <v>85</v>
      </c>
      <c r="C436" s="67" t="str">
        <f>IFERROR(__xludf.DUMMYFUNCTION("""COMPUTED_VALUE"""),"Family")</f>
        <v>Family</v>
      </c>
      <c r="D436" s="68">
        <f>IFERROR(__xludf.DUMMYFUNCTION("""COMPUTED_VALUE"""),2015.68)</f>
        <v>2015.68</v>
      </c>
      <c r="E436" s="79">
        <f>IFERROR(__xludf.DUMMYFUNCTION("""COMPUTED_VALUE"""),2783.754662432)</f>
        <v>2783.754662</v>
      </c>
      <c r="F436" s="69">
        <f>IFERROR(__xludf.DUMMYFUNCTION("""COMPUTED_VALUE"""),2.48)</f>
        <v>2.48</v>
      </c>
      <c r="G436" s="70">
        <f>IFERROR(__xludf.DUMMYFUNCTION("""COMPUTED_VALUE"""),4.0)</f>
        <v>4</v>
      </c>
      <c r="H436" s="70">
        <f>IFERROR(__xludf.DUMMYFUNCTION("""COMPUTED_VALUE"""),7.0)</f>
        <v>7</v>
      </c>
      <c r="I436" s="70"/>
      <c r="J436" s="70">
        <f>IFERROR(__xludf.DUMMYFUNCTION("""COMPUTED_VALUE"""),4.0)</f>
        <v>4</v>
      </c>
      <c r="K436" s="71" t="str">
        <f>IFERROR(__xludf.DUMMYFUNCTION("""COMPUTED_VALUE"""),"Max 3 per Room")</f>
        <v>Max 3 per Room</v>
      </c>
      <c r="L436" s="76" t="str">
        <f>IFERROR(__xludf.DUMMYFUNCTION("""COMPUTED_VALUE"""),"Mexico")</f>
        <v>Mexico</v>
      </c>
      <c r="M436" s="76" t="str">
        <f>IFERROR(__xludf.DUMMYFUNCTION("""COMPUTED_VALUE"""),"Puerto Vallarta")</f>
        <v>Puerto Vallarta</v>
      </c>
      <c r="N436" s="76" t="str">
        <f>IFERROR(__xludf.DUMMYFUNCTION("""COMPUTED_VALUE"""),"Ordaz")</f>
        <v>Ordaz</v>
      </c>
      <c r="O436" s="78" t="b">
        <f>IFERROR(__xludf.DUMMYFUNCTION("""COMPUTED_VALUE"""),TRUE)</f>
        <v>1</v>
      </c>
      <c r="P436" s="73">
        <f>IFERROR(__xludf.DUMMYFUNCTION("""COMPUTED_VALUE"""),0.011111111111111112)</f>
        <v>0.01111111111</v>
      </c>
      <c r="Q436" s="76" t="str">
        <f>IFERROR(__xludf.DUMMYFUNCTION("""COMPUTED_VALUE"""),"Sheraton")</f>
        <v>Sheraton</v>
      </c>
      <c r="R436" s="71" t="str">
        <f>IFERROR(__xludf.DUMMYFUNCTION("""COMPUTED_VALUE"""),"Value, Family")</f>
        <v>Value, Family</v>
      </c>
      <c r="S436" s="71" t="str">
        <f>IFERROR(__xludf.DUMMYFUNCTION("""COMPUTED_VALUE"""),"Beach, Kids Club, Heated Pool, Gym, Buffet, Tennis, Babysitting, Wifi (Paid), Room Service, Swim Up Bar, Horseback Riding, Spa")</f>
        <v>Beach, Kids Club, Heated Pool, Gym, Buffet, Tennis, Babysitting, Wifi (Paid), Room Service, Swim Up Bar, Horseback Riding, Spa</v>
      </c>
      <c r="T436" s="71"/>
      <c r="U436" s="71" t="str">
        <f>IFERROR(__xludf.DUMMYFUNCTION("""COMPUTED_VALUE"""),"1 King or 2 Double")</f>
        <v>1 King or 2 Double</v>
      </c>
      <c r="V436" s="74" t="b">
        <f>IFERROR(__xludf.DUMMYFUNCTION("""COMPUTED_VALUE"""),TRUE)</f>
        <v>1</v>
      </c>
      <c r="W436" s="74">
        <f>IFERROR(__xludf.DUMMYFUNCTION("""COMPUTED_VALUE"""),473.0)</f>
        <v>473</v>
      </c>
      <c r="X436" s="74">
        <f>IFERROR(__xludf.DUMMYFUNCTION("""COMPUTED_VALUE"""),1979.0)</f>
        <v>1979</v>
      </c>
      <c r="Y436" s="74">
        <f>IFERROR(__xludf.DUMMYFUNCTION("""COMPUTED_VALUE"""),2017.0)</f>
        <v>2017</v>
      </c>
      <c r="Z436" s="75">
        <f>IFERROR(__xludf.DUMMYFUNCTION("""COMPUTED_VALUE"""),13.0)</f>
        <v>13</v>
      </c>
    </row>
    <row r="437">
      <c r="A437" s="77" t="str">
        <f>IFERROR(__xludf.DUMMYFUNCTION("""COMPUTED_VALUE"""),"Melia Cozumel")</f>
        <v>Melia Cozumel</v>
      </c>
      <c r="B437" s="66">
        <f>IFERROR(__xludf.DUMMYFUNCTION("""COMPUTED_VALUE"""),85.0)</f>
        <v>85</v>
      </c>
      <c r="C437" s="78" t="str">
        <f>IFERROR(__xludf.DUMMYFUNCTION("""COMPUTED_VALUE"""),"Family")</f>
        <v>Family</v>
      </c>
      <c r="D437" s="68">
        <f>IFERROR(__xludf.DUMMYFUNCTION("""COMPUTED_VALUE"""),2490.0)</f>
        <v>2490</v>
      </c>
      <c r="E437" s="68">
        <f>IFERROR(__xludf.DUMMYFUNCTION("""COMPUTED_VALUE"""),3438.814251)</f>
        <v>3438.814251</v>
      </c>
      <c r="F437" s="69">
        <f>IFERROR(__xludf.DUMMYFUNCTION("""COMPUTED_VALUE"""),2.01)</f>
        <v>2.01</v>
      </c>
      <c r="G437" s="70"/>
      <c r="H437" s="70">
        <f>IFERROR(__xludf.DUMMYFUNCTION("""COMPUTED_VALUE"""),6.0)</f>
        <v>6</v>
      </c>
      <c r="I437" s="70"/>
      <c r="J437" s="70">
        <f>IFERROR(__xludf.DUMMYFUNCTION("""COMPUTED_VALUE"""),4.0)</f>
        <v>4</v>
      </c>
      <c r="K437" s="71"/>
      <c r="L437" s="76" t="str">
        <f>IFERROR(__xludf.DUMMYFUNCTION("""COMPUTED_VALUE"""),"Mexico")</f>
        <v>Mexico</v>
      </c>
      <c r="M437" s="76" t="str">
        <f>IFERROR(__xludf.DUMMYFUNCTION("""COMPUTED_VALUE"""),"Cozumel")</f>
        <v>Cozumel</v>
      </c>
      <c r="N437" s="76" t="str">
        <f>IFERROR(__xludf.DUMMYFUNCTION("""COMPUTED_VALUE"""),"Cozumel")</f>
        <v>Cozumel</v>
      </c>
      <c r="O437" s="70" t="b">
        <f>IFERROR(__xludf.DUMMYFUNCTION("""COMPUTED_VALUE"""),TRUE)</f>
        <v>1</v>
      </c>
      <c r="P437" s="73">
        <f>IFERROR(__xludf.DUMMYFUNCTION("""COMPUTED_VALUE"""),0.006944444444444444)</f>
        <v>0.006944444444</v>
      </c>
      <c r="Q437" s="71" t="str">
        <f>IFERROR(__xludf.DUMMYFUNCTION("""COMPUTED_VALUE"""),"Melia")</f>
        <v>Melia</v>
      </c>
      <c r="R437" s="71" t="str">
        <f>IFERROR(__xludf.DUMMYFUNCTION("""COMPUTED_VALUE"""),"Park View, Family")</f>
        <v>Park View, Family</v>
      </c>
      <c r="S437" s="71" t="str">
        <f>IFERROR(__xludf.DUMMYFUNCTION("""COMPUTED_VALUE"""),"Beach, Kids Club, Pool Slide, Water Feature, Gym, Archery, Wifi (Paid), Adult Pool, Swim Up Bar, Mini Golf, Tennis, Evening Entertainment, Babysitting, Buffet, Diving, Snorkelling, Watersports Equipment Rentals, Fishing, Nightclub, Spa")</f>
        <v>Beach, Kids Club, Pool Slide, Water Feature, Gym, Archery, Wifi (Paid), Adult Pool, Swim Up Bar, Mini Golf, Tennis, Evening Entertainment, Babysitting, Buffet, Diving, Snorkelling, Watersports Equipment Rentals, Fishing, Nightclub, Spa</v>
      </c>
      <c r="T437" s="71"/>
      <c r="U437" s="71" t="str">
        <f>IFERROR(__xludf.DUMMYFUNCTION("""COMPUTED_VALUE"""),"1 King or 2 Double")</f>
        <v>1 King or 2 Double</v>
      </c>
      <c r="V437" s="74" t="b">
        <f>IFERROR(__xludf.DUMMYFUNCTION("""COMPUTED_VALUE"""),FALSE)</f>
        <v>0</v>
      </c>
      <c r="W437" s="74">
        <f>IFERROR(__xludf.DUMMYFUNCTION("""COMPUTED_VALUE"""),143.0)</f>
        <v>143</v>
      </c>
      <c r="X437" s="74">
        <f>IFERROR(__xludf.DUMMYFUNCTION("""COMPUTED_VALUE"""),1976.0)</f>
        <v>1976</v>
      </c>
      <c r="Y437" s="74">
        <f>IFERROR(__xludf.DUMMYFUNCTION("""COMPUTED_VALUE"""),2006.0)</f>
        <v>2006</v>
      </c>
      <c r="Z437" s="75">
        <f>IFERROR(__xludf.DUMMYFUNCTION("""COMPUTED_VALUE"""),12.0)</f>
        <v>12</v>
      </c>
    </row>
    <row r="438">
      <c r="A438" s="65" t="str">
        <f>IFERROR(__xludf.DUMMYFUNCTION("""COMPUTED_VALUE"""),"Occidental Nuevo Vallarta - All Inclusive")</f>
        <v>Occidental Nuevo Vallarta - All Inclusive</v>
      </c>
      <c r="B438" s="66">
        <f>IFERROR(__xludf.DUMMYFUNCTION("""COMPUTED_VALUE"""),85.0)</f>
        <v>85</v>
      </c>
      <c r="C438" s="67" t="str">
        <f>IFERROR(__xludf.DUMMYFUNCTION("""COMPUTED_VALUE"""),"Family")</f>
        <v>Family</v>
      </c>
      <c r="D438" s="79">
        <f>IFERROR(__xludf.DUMMYFUNCTION("""COMPUTED_VALUE"""),2661.68)</f>
        <v>2661.68</v>
      </c>
      <c r="E438" s="79">
        <f>IFERROR(__xludf.DUMMYFUNCTION("""COMPUTED_VALUE"""),3675.9128978319995)</f>
        <v>3675.912898</v>
      </c>
      <c r="F438" s="69">
        <f>IFERROR(__xludf.DUMMYFUNCTION("""COMPUTED_VALUE"""),1.88)</f>
        <v>1.88</v>
      </c>
      <c r="G438" s="78"/>
      <c r="H438" s="74">
        <f>IFERROR(__xludf.DUMMYFUNCTION("""COMPUTED_VALUE"""),6.0)</f>
        <v>6</v>
      </c>
      <c r="I438" s="78"/>
      <c r="J438" s="78">
        <f>IFERROR(__xludf.DUMMYFUNCTION("""COMPUTED_VALUE"""),4.0)</f>
        <v>4</v>
      </c>
      <c r="K438" s="71"/>
      <c r="L438" s="76" t="str">
        <f>IFERROR(__xludf.DUMMYFUNCTION("""COMPUTED_VALUE"""),"Mexico")</f>
        <v>Mexico</v>
      </c>
      <c r="M438" s="76" t="str">
        <f>IFERROR(__xludf.DUMMYFUNCTION("""COMPUTED_VALUE"""),"Nuevo Nayarit")</f>
        <v>Nuevo Nayarit</v>
      </c>
      <c r="N438" s="87" t="str">
        <f>IFERROR(__xludf.DUMMYFUNCTION("""COMPUTED_VALUE"""),"Ordaz")</f>
        <v>Ordaz</v>
      </c>
      <c r="O438" s="78" t="b">
        <f>IFERROR(__xludf.DUMMYFUNCTION("""COMPUTED_VALUE"""),TRUE)</f>
        <v>1</v>
      </c>
      <c r="P438" s="80">
        <f>IFERROR(__xludf.DUMMYFUNCTION("""COMPUTED_VALUE"""),0.013194444444444444)</f>
        <v>0.01319444444</v>
      </c>
      <c r="Q438" s="71" t="str">
        <f>IFERROR(__xludf.DUMMYFUNCTION("""COMPUTED_VALUE"""),"Barcelo")</f>
        <v>Barcelo</v>
      </c>
      <c r="R438" s="71" t="str">
        <f>IFERROR(__xludf.DUMMYFUNCTION("""COMPUTED_VALUE"""),"Mid-Range, Modern")</f>
        <v>Mid-Range, Modern</v>
      </c>
      <c r="S438" s="71" t="str">
        <f>IFERROR(__xludf.DUMMYFUNCTION("""COMPUTED_VALUE"""),"Beach, Kids Club, Heated Pool, Gym, Diving, Adult Pool, Room Service, Tennis, Fishing, Babysitting, Buffet, Evening Entertainment, Nightclub, Spa")</f>
        <v>Beach, Kids Club, Heated Pool, Gym, Diving, Adult Pool, Room Service, Tennis, Fishing, Babysitting, Buffet, Evening Entertainment, Nightclub, Spa</v>
      </c>
      <c r="T438" s="71"/>
      <c r="U438" s="76" t="str">
        <f>IFERROR(__xludf.DUMMYFUNCTION("""COMPUTED_VALUE"""),"1 King or 2 Double")</f>
        <v>1 King or 2 Double</v>
      </c>
      <c r="V438" s="74" t="b">
        <f>IFERROR(__xludf.DUMMYFUNCTION("""COMPUTED_VALUE"""),FALSE)</f>
        <v>0</v>
      </c>
      <c r="W438" s="74">
        <f>IFERROR(__xludf.DUMMYFUNCTION("""COMPUTED_VALUE"""),274.0)</f>
        <v>274</v>
      </c>
      <c r="X438" s="74">
        <f>IFERROR(__xludf.DUMMYFUNCTION("""COMPUTED_VALUE"""),1992.0)</f>
        <v>1992</v>
      </c>
      <c r="Y438" s="74">
        <f>IFERROR(__xludf.DUMMYFUNCTION("""COMPUTED_VALUE"""),2011.0)</f>
        <v>2011</v>
      </c>
      <c r="Z438" s="75">
        <f>IFERROR(__xludf.DUMMYFUNCTION("""COMPUTED_VALUE"""),7.0)</f>
        <v>7</v>
      </c>
    </row>
    <row r="439">
      <c r="A439" s="65" t="str">
        <f>IFERROR(__xludf.DUMMYFUNCTION("""COMPUTED_VALUE"""),"Bahia Principe Grand La Romana")</f>
        <v>Bahia Principe Grand La Romana</v>
      </c>
      <c r="B439" s="66">
        <f>IFERROR(__xludf.DUMMYFUNCTION("""COMPUTED_VALUE"""),85.0)</f>
        <v>85</v>
      </c>
      <c r="C439" s="67" t="str">
        <f>IFERROR(__xludf.DUMMYFUNCTION("""COMPUTED_VALUE"""),"Family")</f>
        <v>Family</v>
      </c>
      <c r="D439" s="79">
        <f>IFERROR(__xludf.DUMMYFUNCTION("""COMPUTED_VALUE"""),2697.52)</f>
        <v>2697.52</v>
      </c>
      <c r="E439" s="79">
        <f>IFERROR(__xludf.DUMMYFUNCTION("""COMPUTED_VALUE"""),3725.4097262479995)</f>
        <v>3725.409726</v>
      </c>
      <c r="F439" s="69">
        <f>IFERROR(__xludf.DUMMYFUNCTION("""COMPUTED_VALUE"""),1.85)</f>
        <v>1.85</v>
      </c>
      <c r="G439" s="78"/>
      <c r="H439" s="74">
        <f>IFERROR(__xludf.DUMMYFUNCTION("""COMPUTED_VALUE"""),6.0)</f>
        <v>6</v>
      </c>
      <c r="I439" s="78"/>
      <c r="J439" s="78">
        <f>IFERROR(__xludf.DUMMYFUNCTION("""COMPUTED_VALUE"""),5.0)</f>
        <v>5</v>
      </c>
      <c r="K439" s="71"/>
      <c r="L439" s="76" t="str">
        <f>IFERROR(__xludf.DUMMYFUNCTION("""COMPUTED_VALUE"""),"Dominican Republic")</f>
        <v>Dominican Republic</v>
      </c>
      <c r="M439" s="76" t="str">
        <f>IFERROR(__xludf.DUMMYFUNCTION("""COMPUTED_VALUE"""),"La Romana")</f>
        <v>La Romana</v>
      </c>
      <c r="N439" s="87" t="str">
        <f>IFERROR(__xludf.DUMMYFUNCTION("""COMPUTED_VALUE"""),"Punta Cana")</f>
        <v>Punta Cana</v>
      </c>
      <c r="O439" s="78" t="b">
        <f>IFERROR(__xludf.DUMMYFUNCTION("""COMPUTED_VALUE"""),TRUE)</f>
        <v>1</v>
      </c>
      <c r="P439" s="80">
        <f>IFERROR(__xludf.DUMMYFUNCTION("""COMPUTED_VALUE"""),0.052083333333333336)</f>
        <v>0.05208333333</v>
      </c>
      <c r="Q439" s="71" t="str">
        <f>IFERROR(__xludf.DUMMYFUNCTION("""COMPUTED_VALUE"""),"Bahia Principe")</f>
        <v>Bahia Principe</v>
      </c>
      <c r="R439" s="71" t="str">
        <f>IFERROR(__xludf.DUMMYFUNCTION("""COMPUTED_VALUE"""),"Bay View")</f>
        <v>Bay View</v>
      </c>
      <c r="S439" s="71" t="str">
        <f>IFERROR(__xludf.DUMMYFUNCTION("""COMPUTED_VALUE"""),"Beach, Family Suite, 2 Bedroom Suites, Kids Club, Pool Slide, Water Feature, Gym, Casino, Swim Up Bar, Golf Course, Evening Entertainment, Nightclub, Spa, Babysitting, Buffet, Tennis")</f>
        <v>Beach, Family Suite, 2 Bedroom Suites, Kids Club, Pool Slide, Water Feature, Gym, Casino, Swim Up Bar, Golf Course, Evening Entertainment, Nightclub, Spa, Babysitting, Buffet, Tennis</v>
      </c>
      <c r="T439" s="71" t="str">
        <f>IFERROR(__xludf.DUMMYFUNCTION("""COMPUTED_VALUE"""),"Yes")</f>
        <v>Yes</v>
      </c>
      <c r="U439" s="76" t="str">
        <f>IFERROR(__xludf.DUMMYFUNCTION("""COMPUTED_VALUE"""),"1 King or 2 Full")</f>
        <v>1 King or 2 Full</v>
      </c>
      <c r="V439" s="74" t="b">
        <f>IFERROR(__xludf.DUMMYFUNCTION("""COMPUTED_VALUE"""),FALSE)</f>
        <v>0</v>
      </c>
      <c r="W439" s="74">
        <f>IFERROR(__xludf.DUMMYFUNCTION("""COMPUTED_VALUE"""),400.0)</f>
        <v>400</v>
      </c>
      <c r="X439" s="74">
        <f>IFERROR(__xludf.DUMMYFUNCTION("""COMPUTED_VALUE"""),2007.0)</f>
        <v>2007</v>
      </c>
      <c r="Y439" s="74"/>
      <c r="Z439" s="75">
        <f>IFERROR(__xludf.DUMMYFUNCTION("""COMPUTED_VALUE"""),2.0)</f>
        <v>2</v>
      </c>
    </row>
    <row r="440">
      <c r="A440" s="65" t="str">
        <f>IFERROR(__xludf.DUMMYFUNCTION("""COMPUTED_VALUE"""),"Wyndham Alltra Samana")</f>
        <v>Wyndham Alltra Samana</v>
      </c>
      <c r="B440" s="66">
        <f>IFERROR(__xludf.DUMMYFUNCTION("""COMPUTED_VALUE"""),85.0)</f>
        <v>85</v>
      </c>
      <c r="C440" s="67" t="str">
        <f>IFERROR(__xludf.DUMMYFUNCTION("""COMPUTED_VALUE"""),"Family")</f>
        <v>Family</v>
      </c>
      <c r="D440" s="68">
        <f>IFERROR(__xludf.DUMMYFUNCTION("""COMPUTED_VALUE"""),2728.14)</f>
        <v>2728.14</v>
      </c>
      <c r="E440" s="79">
        <f>IFERROR(__xludf.DUMMYFUNCTION("""COMPUTED_VALUE"""),3767.6974741859995)</f>
        <v>3767.697474</v>
      </c>
      <c r="F440" s="69">
        <f>IFERROR(__xludf.DUMMYFUNCTION("""COMPUTED_VALUE"""),1.83)</f>
        <v>1.83</v>
      </c>
      <c r="G440" s="78"/>
      <c r="H440" s="74" t="str">
        <f>IFERROR(__xludf.DUMMYFUNCTION("""COMPUTED_VALUE"""),"NYR")</f>
        <v>NYR</v>
      </c>
      <c r="I440" s="78"/>
      <c r="J440" s="78">
        <f>IFERROR(__xludf.DUMMYFUNCTION("""COMPUTED_VALUE"""),4.0)</f>
        <v>4</v>
      </c>
      <c r="K440" s="71"/>
      <c r="L440" s="76" t="str">
        <f>IFERROR(__xludf.DUMMYFUNCTION("""COMPUTED_VALUE"""),"Dominican Republic")</f>
        <v>Dominican Republic</v>
      </c>
      <c r="M440" s="76" t="str">
        <f>IFERROR(__xludf.DUMMYFUNCTION("""COMPUTED_VALUE"""),"Las Galeras")</f>
        <v>Las Galeras</v>
      </c>
      <c r="N440" s="87" t="str">
        <f>IFERROR(__xludf.DUMMYFUNCTION("""COMPUTED_VALUE"""),"Samaná El Catey")</f>
        <v>Samaná El Catey</v>
      </c>
      <c r="O440" s="78" t="b">
        <f>IFERROR(__xludf.DUMMYFUNCTION("""COMPUTED_VALUE"""),TRUE)</f>
        <v>1</v>
      </c>
      <c r="P440" s="80"/>
      <c r="Q440" s="71" t="str">
        <f>IFERROR(__xludf.DUMMYFUNCTION("""COMPUTED_VALUE"""),"Wyndham Hotels")</f>
        <v>Wyndham Hotels</v>
      </c>
      <c r="R440" s="71" t="str">
        <f>IFERROR(__xludf.DUMMYFUNCTION("""COMPUTED_VALUE"""),"Family")</f>
        <v>Family</v>
      </c>
      <c r="S440" s="71" t="str">
        <f>IFERROR(__xludf.DUMMYFUNCTION("""COMPUTED_VALUE"""),"Beach, Kids Club, Yoga Classes, Horseback Riding, Evening Entertainment, Buffet")</f>
        <v>Beach, Kids Club, Yoga Classes, Horseback Riding, Evening Entertainment, Buffet</v>
      </c>
      <c r="T440" s="71"/>
      <c r="U440" s="76" t="str">
        <f>IFERROR(__xludf.DUMMYFUNCTION("""COMPUTED_VALUE"""),"2 Double")</f>
        <v>2 Double</v>
      </c>
      <c r="V440" s="74" t="b">
        <f>IFERROR(__xludf.DUMMYFUNCTION("""COMPUTED_VALUE"""),FALSE)</f>
        <v>0</v>
      </c>
      <c r="W440" s="74">
        <f>IFERROR(__xludf.DUMMYFUNCTION("""COMPUTED_VALUE"""),404.0)</f>
        <v>404</v>
      </c>
      <c r="X440" s="74">
        <f>IFERROR(__xludf.DUMMYFUNCTION("""COMPUTED_VALUE"""),1999.0)</f>
        <v>1999</v>
      </c>
      <c r="Y440" s="74">
        <f>IFERROR(__xludf.DUMMYFUNCTION("""COMPUTED_VALUE"""),2014.0)</f>
        <v>2014</v>
      </c>
      <c r="Z440" s="75">
        <f>IFERROR(__xludf.DUMMYFUNCTION("""COMPUTED_VALUE"""),2.0)</f>
        <v>2</v>
      </c>
    </row>
    <row r="441">
      <c r="A441" s="65" t="str">
        <f>IFERROR(__xludf.DUMMYFUNCTION("""COMPUTED_VALUE"""),"Barcelo Puerto Vallarta")</f>
        <v>Barcelo Puerto Vallarta</v>
      </c>
      <c r="B441" s="66">
        <f>IFERROR(__xludf.DUMMYFUNCTION("""COMPUTED_VALUE"""),85.0)</f>
        <v>85</v>
      </c>
      <c r="C441" s="67" t="str">
        <f>IFERROR(__xludf.DUMMYFUNCTION("""COMPUTED_VALUE"""),"Family")</f>
        <v>Family</v>
      </c>
      <c r="D441" s="79">
        <f>IFERROR(__xludf.DUMMYFUNCTION("""COMPUTED_VALUE"""),2782.43)</f>
        <v>2782.43</v>
      </c>
      <c r="E441" s="79">
        <f>IFERROR(__xludf.DUMMYFUNCTION("""COMPUTED_VALUE"""),3842.674673256999)</f>
        <v>3842.674673</v>
      </c>
      <c r="F441" s="69">
        <f>IFERROR(__xludf.DUMMYFUNCTION("""COMPUTED_VALUE"""),1.8)</f>
        <v>1.8</v>
      </c>
      <c r="G441" s="78">
        <f>IFERROR(__xludf.DUMMYFUNCTION("""COMPUTED_VALUE"""),4.0)</f>
        <v>4</v>
      </c>
      <c r="H441" s="74">
        <f>IFERROR(__xludf.DUMMYFUNCTION("""COMPUTED_VALUE"""),6.0)</f>
        <v>6</v>
      </c>
      <c r="I441" s="78"/>
      <c r="J441" s="78">
        <f>IFERROR(__xludf.DUMMYFUNCTION("""COMPUTED_VALUE"""),4.0)</f>
        <v>4</v>
      </c>
      <c r="K441" s="71"/>
      <c r="L441" s="76" t="str">
        <f>IFERROR(__xludf.DUMMYFUNCTION("""COMPUTED_VALUE"""),"Mexico")</f>
        <v>Mexico</v>
      </c>
      <c r="M441" s="76" t="str">
        <f>IFERROR(__xludf.DUMMYFUNCTION("""COMPUTED_VALUE"""),"Mismaloya")</f>
        <v>Mismaloya</v>
      </c>
      <c r="N441" s="76" t="str">
        <f>IFERROR(__xludf.DUMMYFUNCTION("""COMPUTED_VALUE"""),"Ordaz")</f>
        <v>Ordaz</v>
      </c>
      <c r="O441" s="78" t="b">
        <f>IFERROR(__xludf.DUMMYFUNCTION("""COMPUTED_VALUE"""),TRUE)</f>
        <v>1</v>
      </c>
      <c r="P441" s="80">
        <f>IFERROR(__xludf.DUMMYFUNCTION("""COMPUTED_VALUE"""),0.030555555555555555)</f>
        <v>0.03055555556</v>
      </c>
      <c r="Q441" s="71" t="str">
        <f>IFERROR(__xludf.DUMMYFUNCTION("""COMPUTED_VALUE"""),"Barcelo")</f>
        <v>Barcelo</v>
      </c>
      <c r="R441" s="71" t="str">
        <f>IFERROR(__xludf.DUMMYFUNCTION("""COMPUTED_VALUE"""),"Quiet, Family")</f>
        <v>Quiet, Family</v>
      </c>
      <c r="S441" s="71" t="str">
        <f>IFERROR(__xludf.DUMMYFUNCTION("""COMPUTED_VALUE"""),"Beach, Family Suite, 2 Bedroom Suites, Kids Club, Pool Slide, Water Feature, Arcade, Heated Pool, Gym, Diving, Swim Out/Plunge Pool Rooms, Watersports Equipment Rentals, Fishing, Babysitting, Buffet, Tennis, Evening Entertainment, Spa")</f>
        <v>Beach, Family Suite, 2 Bedroom Suites, Kids Club, Pool Slide, Water Feature, Arcade, Heated Pool, Gym, Diving, Swim Out/Plunge Pool Rooms, Watersports Equipment Rentals, Fishing, Babysitting, Buffet, Tennis, Evening Entertainment, Spa</v>
      </c>
      <c r="T441" s="71"/>
      <c r="U441" s="71" t="str">
        <f>IFERROR(__xludf.DUMMYFUNCTION("""COMPUTED_VALUE"""),"1 King or 2 Double")</f>
        <v>1 King or 2 Double</v>
      </c>
      <c r="V441" s="74" t="b">
        <f>IFERROR(__xludf.DUMMYFUNCTION("""COMPUTED_VALUE"""),TRUE)</f>
        <v>1</v>
      </c>
      <c r="W441" s="74">
        <f>IFERROR(__xludf.DUMMYFUNCTION("""COMPUTED_VALUE"""),316.0)</f>
        <v>316</v>
      </c>
      <c r="X441" s="74">
        <f>IFERROR(__xludf.DUMMYFUNCTION("""COMPUTED_VALUE"""),1990.0)</f>
        <v>1990</v>
      </c>
      <c r="Y441" s="74">
        <f>IFERROR(__xludf.DUMMYFUNCTION("""COMPUTED_VALUE"""),2008.0)</f>
        <v>2008</v>
      </c>
      <c r="Z441" s="75">
        <f>IFERROR(__xludf.DUMMYFUNCTION("""COMPUTED_VALUE"""),9.0)</f>
        <v>9</v>
      </c>
    </row>
    <row r="442">
      <c r="A442" s="65" t="str">
        <f>IFERROR(__xludf.DUMMYFUNCTION("""COMPUTED_VALUE"""),"Viva Azteca by Wyndham, A Trademark All Inclusive Resort")</f>
        <v>Viva Azteca by Wyndham, A Trademark All Inclusive Resort</v>
      </c>
      <c r="B442" s="66">
        <f>IFERROR(__xludf.DUMMYFUNCTION("""COMPUTED_VALUE"""),85.0)</f>
        <v>85</v>
      </c>
      <c r="C442" s="67" t="str">
        <f>IFERROR(__xludf.DUMMYFUNCTION("""COMPUTED_VALUE"""),"Family")</f>
        <v>Family</v>
      </c>
      <c r="D442" s="85">
        <f>IFERROR(__xludf.DUMMYFUNCTION("""COMPUTED_VALUE"""),2789.48)</f>
        <v>2789.48</v>
      </c>
      <c r="E442" s="79">
        <f>IFERROR(__xludf.DUMMYFUNCTION("""COMPUTED_VALUE"""),3852.4110750519994)</f>
        <v>3852.411075</v>
      </c>
      <c r="F442" s="69">
        <f>IFERROR(__xludf.DUMMYFUNCTION("""COMPUTED_VALUE"""),1.79)</f>
        <v>1.79</v>
      </c>
      <c r="G442" s="78"/>
      <c r="H442" s="74">
        <f>IFERROR(__xludf.DUMMYFUNCTION("""COMPUTED_VALUE"""),6.0)</f>
        <v>6</v>
      </c>
      <c r="I442" s="78"/>
      <c r="J442" s="78">
        <f>IFERROR(__xludf.DUMMYFUNCTION("""COMPUTED_VALUE"""),4.0)</f>
        <v>4</v>
      </c>
      <c r="K442" s="76"/>
      <c r="L442" s="76" t="str">
        <f>IFERROR(__xludf.DUMMYFUNCTION("""COMPUTED_VALUE"""),"Mexico")</f>
        <v>Mexico</v>
      </c>
      <c r="M442" s="76" t="str">
        <f>IFERROR(__xludf.DUMMYFUNCTION("""COMPUTED_VALUE"""),"Playacar")</f>
        <v>Playacar</v>
      </c>
      <c r="N442" s="76" t="str">
        <f>IFERROR(__xludf.DUMMYFUNCTION("""COMPUTED_VALUE"""),"Cancun")</f>
        <v>Cancun</v>
      </c>
      <c r="O442" s="78" t="b">
        <f>IFERROR(__xludf.DUMMYFUNCTION("""COMPUTED_VALUE"""),TRUE)</f>
        <v>1</v>
      </c>
      <c r="P442" s="80">
        <f>IFERROR(__xludf.DUMMYFUNCTION("""COMPUTED_VALUE"""),0.0375)</f>
        <v>0.0375</v>
      </c>
      <c r="Q442" s="76" t="str">
        <f>IFERROR(__xludf.DUMMYFUNCTION("""COMPUTED_VALUE"""),"Wyndham Hotels")</f>
        <v>Wyndham Hotels</v>
      </c>
      <c r="R442" s="76" t="str">
        <f>IFERROR(__xludf.DUMMYFUNCTION("""COMPUTED_VALUE"""),"Residential Neighborhood, Park View")</f>
        <v>Residential Neighborhood, Park View</v>
      </c>
      <c r="S442" s="72" t="str">
        <f>IFERROR(__xludf.DUMMYFUNCTION("""COMPUTED_VALUE"""),"Beach, Kids Club, Gym, Bicycles Available, Snorkelling, Evening Entertainment, Spa, Babysitting, Buffet, Diving")</f>
        <v>Beach, Kids Club, Gym, Bicycles Available, Snorkelling, Evening Entertainment, Spa, Babysitting, Buffet, Diving</v>
      </c>
      <c r="T442" s="72"/>
      <c r="U442" s="76" t="str">
        <f>IFERROR(__xludf.DUMMYFUNCTION("""COMPUTED_VALUE"""),"2 Queen")</f>
        <v>2 Queen</v>
      </c>
      <c r="V442" s="74" t="b">
        <f>IFERROR(__xludf.DUMMYFUNCTION("""COMPUTED_VALUE"""),FALSE)</f>
        <v>0</v>
      </c>
      <c r="W442" s="74">
        <f>IFERROR(__xludf.DUMMYFUNCTION("""COMPUTED_VALUE"""),335.0)</f>
        <v>335</v>
      </c>
      <c r="X442" s="74">
        <f>IFERROR(__xludf.DUMMYFUNCTION("""COMPUTED_VALUE"""),1992.0)</f>
        <v>1992</v>
      </c>
      <c r="Y442" s="74">
        <f>IFERROR(__xludf.DUMMYFUNCTION("""COMPUTED_VALUE"""),2003.0)</f>
        <v>2003</v>
      </c>
      <c r="Z442" s="75">
        <f>IFERROR(__xludf.DUMMYFUNCTION("""COMPUTED_VALUE"""),3.0)</f>
        <v>3</v>
      </c>
    </row>
    <row r="443">
      <c r="A443" s="65" t="str">
        <f>IFERROR(__xludf.DUMMYFUNCTION("""COMPUTED_VALUE"""),"Sandos Playacar")</f>
        <v>Sandos Playacar</v>
      </c>
      <c r="B443" s="66">
        <f>IFERROR(__xludf.DUMMYFUNCTION("""COMPUTED_VALUE"""),85.0)</f>
        <v>85</v>
      </c>
      <c r="C443" s="67" t="str">
        <f>IFERROR(__xludf.DUMMYFUNCTION("""COMPUTED_VALUE"""),"Family")</f>
        <v>Family</v>
      </c>
      <c r="D443" s="79">
        <f>IFERROR(__xludf.DUMMYFUNCTION("""COMPUTED_VALUE"""),3062.22)</f>
        <v>3062.22</v>
      </c>
      <c r="E443" s="79">
        <f>IFERROR(__xludf.DUMMYFUNCTION("""COMPUTED_VALUE"""),4229.078624777999)</f>
        <v>4229.078625</v>
      </c>
      <c r="F443" s="69">
        <f>IFERROR(__xludf.DUMMYFUNCTION("""COMPUTED_VALUE"""),1.63)</f>
        <v>1.63</v>
      </c>
      <c r="G443" s="78"/>
      <c r="H443" s="74">
        <f>IFERROR(__xludf.DUMMYFUNCTION("""COMPUTED_VALUE"""),6.0)</f>
        <v>6</v>
      </c>
      <c r="I443" s="78"/>
      <c r="J443" s="78">
        <f>IFERROR(__xludf.DUMMYFUNCTION("""COMPUTED_VALUE"""),5.0)</f>
        <v>5</v>
      </c>
      <c r="K443" s="76"/>
      <c r="L443" s="76" t="str">
        <f>IFERROR(__xludf.DUMMYFUNCTION("""COMPUTED_VALUE"""),"Mexico")</f>
        <v>Mexico</v>
      </c>
      <c r="M443" s="76" t="str">
        <f>IFERROR(__xludf.DUMMYFUNCTION("""COMPUTED_VALUE"""),"Playa del Carmen")</f>
        <v>Playa del Carmen</v>
      </c>
      <c r="N443" s="76" t="str">
        <f>IFERROR(__xludf.DUMMYFUNCTION("""COMPUTED_VALUE"""),"Cancun")</f>
        <v>Cancun</v>
      </c>
      <c r="O443" s="78" t="b">
        <f>IFERROR(__xludf.DUMMYFUNCTION("""COMPUTED_VALUE"""),TRUE)</f>
        <v>1</v>
      </c>
      <c r="P443" s="80">
        <f>IFERROR(__xludf.DUMMYFUNCTION("""COMPUTED_VALUE"""),0.041666666666666664)</f>
        <v>0.04166666667</v>
      </c>
      <c r="Q443" s="76" t="str">
        <f>IFERROR(__xludf.DUMMYFUNCTION("""COMPUTED_VALUE"""),"Sandos")</f>
        <v>Sandos</v>
      </c>
      <c r="R443" s="76" t="str">
        <f>IFERROR(__xludf.DUMMYFUNCTION("""COMPUTED_VALUE"""),"Family")</f>
        <v>Family</v>
      </c>
      <c r="S443" s="71" t="str">
        <f>IFERROR(__xludf.DUMMYFUNCTION("""COMPUTED_VALUE"""),"Beach, Adults Only Rooms, Kids Club, Arcade, Gym, Bicycles Available, Room Service, Snorkelling, Evening Entertainment, Nightclub, Spa, Babysitting, Adult Pool, Buffet, Swim Up Bar, Diving, Mini Golf, Tennis")</f>
        <v>Beach, Adults Only Rooms, Kids Club, Arcade, Gym, Bicycles Available, Room Service, Snorkelling, Evening Entertainment, Nightclub, Spa, Babysitting, Adult Pool, Buffet, Swim Up Bar, Diving, Mini Golf, Tennis</v>
      </c>
      <c r="T443" s="71"/>
      <c r="U443" s="76" t="str">
        <f>IFERROR(__xludf.DUMMYFUNCTION("""COMPUTED_VALUE"""),"2 Queen and 1 Double Sofa Bed")</f>
        <v>2 Queen and 1 Double Sofa Bed</v>
      </c>
      <c r="V443" s="74" t="b">
        <f>IFERROR(__xludf.DUMMYFUNCTION("""COMPUTED_VALUE"""),FALSE)</f>
        <v>0</v>
      </c>
      <c r="W443" s="74">
        <f>IFERROR(__xludf.DUMMYFUNCTION("""COMPUTED_VALUE"""),819.0)</f>
        <v>819</v>
      </c>
      <c r="X443" s="74">
        <f>IFERROR(__xludf.DUMMYFUNCTION("""COMPUTED_VALUE"""),1995.0)</f>
        <v>1995</v>
      </c>
      <c r="Y443" s="74">
        <f>IFERROR(__xludf.DUMMYFUNCTION("""COMPUTED_VALUE"""),2019.0)</f>
        <v>2019</v>
      </c>
      <c r="Z443" s="75">
        <f>IFERROR(__xludf.DUMMYFUNCTION("""COMPUTED_VALUE"""),4.0)</f>
        <v>4</v>
      </c>
    </row>
    <row r="444">
      <c r="A444" s="65" t="str">
        <f>IFERROR(__xludf.DUMMYFUNCTION("""COMPUTED_VALUE"""),"Divi Dutch Village Beach Resort")</f>
        <v>Divi Dutch Village Beach Resort</v>
      </c>
      <c r="B444" s="66">
        <f>IFERROR(__xludf.DUMMYFUNCTION("""COMPUTED_VALUE"""),85.0)</f>
        <v>85</v>
      </c>
      <c r="C444" s="67" t="str">
        <f>IFERROR(__xludf.DUMMYFUNCTION("""COMPUTED_VALUE"""),"Family")</f>
        <v>Family</v>
      </c>
      <c r="D444" s="79">
        <f>IFERROR(__xludf.DUMMYFUNCTION("""COMPUTED_VALUE"""),3911.27)</f>
        <v>3911.27</v>
      </c>
      <c r="E444" s="79">
        <f>IFERROR(__xludf.DUMMYFUNCTION("""COMPUTED_VALUE"""),5401.6590423729995)</f>
        <v>5401.659042</v>
      </c>
      <c r="F444" s="69">
        <f>IFERROR(__xludf.DUMMYFUNCTION("""COMPUTED_VALUE"""),1.28)</f>
        <v>1.28</v>
      </c>
      <c r="G444" s="78"/>
      <c r="H444" s="74">
        <f>IFERROR(__xludf.DUMMYFUNCTION("""COMPUTED_VALUE"""),6.0)</f>
        <v>6</v>
      </c>
      <c r="I444" s="78"/>
      <c r="J444" s="78">
        <f>IFERROR(__xludf.DUMMYFUNCTION("""COMPUTED_VALUE"""),3.0)</f>
        <v>3</v>
      </c>
      <c r="K444" s="76"/>
      <c r="L444" s="76" t="str">
        <f>IFERROR(__xludf.DUMMYFUNCTION("""COMPUTED_VALUE"""),"Aruba")</f>
        <v>Aruba</v>
      </c>
      <c r="M444" s="76" t="str">
        <f>IFERROR(__xludf.DUMMYFUNCTION("""COMPUTED_VALUE"""),"Oranjestad")</f>
        <v>Oranjestad</v>
      </c>
      <c r="N444" s="76" t="str">
        <f>IFERROR(__xludf.DUMMYFUNCTION("""COMPUTED_VALUE"""),"Reina Beatrix")</f>
        <v>Reina Beatrix</v>
      </c>
      <c r="O444" s="78" t="b">
        <f>IFERROR(__xludf.DUMMYFUNCTION("""COMPUTED_VALUE"""),TRUE)</f>
        <v>1</v>
      </c>
      <c r="P444" s="80">
        <f>IFERROR(__xludf.DUMMYFUNCTION("""COMPUTED_VALUE"""),0.007638888888888889)</f>
        <v>0.007638888889</v>
      </c>
      <c r="Q444" s="76"/>
      <c r="R444" s="76" t="str">
        <f>IFERROR(__xludf.DUMMYFUNCTION("""COMPUTED_VALUE"""),"Mid-Range, Family")</f>
        <v>Mid-Range, Family</v>
      </c>
      <c r="S444" s="72" t="str">
        <f>IFERROR(__xludf.DUMMYFUNCTION("""COMPUTED_VALUE"""),"Beach, Family Suite, 2 Bedroom Suites, Gym, Tennis, Buffet, Wifi (Free), Babysitting, Swim Up Bar, Kids Club")</f>
        <v>Beach, Family Suite, 2 Bedroom Suites, Gym, Tennis, Buffet, Wifi (Free), Babysitting, Swim Up Bar, Kids Club</v>
      </c>
      <c r="T444" s="72"/>
      <c r="U444" s="76" t="str">
        <f>IFERROR(__xludf.DUMMYFUNCTION("""COMPUTED_VALUE"""),"1 King and 1 Sofa Bed")</f>
        <v>1 King and 1 Sofa Bed</v>
      </c>
      <c r="V444" s="74" t="b">
        <f>IFERROR(__xludf.DUMMYFUNCTION("""COMPUTED_VALUE"""),FALSE)</f>
        <v>0</v>
      </c>
      <c r="W444" s="74">
        <f>IFERROR(__xludf.DUMMYFUNCTION("""COMPUTED_VALUE"""),123.0)</f>
        <v>123</v>
      </c>
      <c r="X444" s="74">
        <f>IFERROR(__xludf.DUMMYFUNCTION("""COMPUTED_VALUE"""),1984.0)</f>
        <v>1984</v>
      </c>
      <c r="Y444" s="74">
        <f>IFERROR(__xludf.DUMMYFUNCTION("""COMPUTED_VALUE"""),2018.0)</f>
        <v>2018</v>
      </c>
      <c r="Z444" s="75">
        <f>IFERROR(__xludf.DUMMYFUNCTION("""COMPUTED_VALUE"""),3.0)</f>
        <v>3</v>
      </c>
    </row>
    <row r="445">
      <c r="A445" s="65" t="str">
        <f>IFERROR(__xludf.DUMMYFUNCTION("""COMPUTED_VALUE"""),"Princess Family Club Riviera")</f>
        <v>Princess Family Club Riviera</v>
      </c>
      <c r="B445" s="66">
        <f>IFERROR(__xludf.DUMMYFUNCTION("""COMPUTED_VALUE"""),85.0)</f>
        <v>85</v>
      </c>
      <c r="C445" s="67" t="str">
        <f>IFERROR(__xludf.DUMMYFUNCTION("""COMPUTED_VALUE"""),"Family")</f>
        <v>Family</v>
      </c>
      <c r="D445" s="68">
        <f>IFERROR(__xludf.DUMMYFUNCTION("""COMPUTED_VALUE"""),4115.65)</f>
        <v>4115.65</v>
      </c>
      <c r="E445" s="79">
        <f>IFERROR(__xludf.DUMMYFUNCTION("""COMPUTED_VALUE"""),5683.918020934999)</f>
        <v>5683.918021</v>
      </c>
      <c r="F445" s="69">
        <f>IFERROR(__xludf.DUMMYFUNCTION("""COMPUTED_VALUE"""),1.21)</f>
        <v>1.21</v>
      </c>
      <c r="G445" s="78"/>
      <c r="H445" s="74"/>
      <c r="I445" s="78"/>
      <c r="J445" s="78"/>
      <c r="K445" s="76"/>
      <c r="L445" s="76" t="str">
        <f>IFERROR(__xludf.DUMMYFUNCTION("""COMPUTED_VALUE"""),"Mexico")</f>
        <v>Mexico</v>
      </c>
      <c r="M445" s="76" t="str">
        <f>IFERROR(__xludf.DUMMYFUNCTION("""COMPUTED_VALUE"""),"Playa del Carmen")</f>
        <v>Playa del Carmen</v>
      </c>
      <c r="N445" s="76" t="str">
        <f>IFERROR(__xludf.DUMMYFUNCTION("""COMPUTED_VALUE"""),"Cancun")</f>
        <v>Cancun</v>
      </c>
      <c r="O445" s="78" t="b">
        <f>IFERROR(__xludf.DUMMYFUNCTION("""COMPUTED_VALUE"""),TRUE)</f>
        <v>1</v>
      </c>
      <c r="P445" s="80">
        <f>IFERROR(__xludf.DUMMYFUNCTION("""COMPUTED_VALUE"""),0.030555555555555555)</f>
        <v>0.03055555556</v>
      </c>
      <c r="Q445" s="76" t="str">
        <f>IFERROR(__xludf.DUMMYFUNCTION("""COMPUTED_VALUE"""),"Princess Hotels")</f>
        <v>Princess Hotels</v>
      </c>
      <c r="R445" s="76" t="str">
        <f>IFERROR(__xludf.DUMMYFUNCTION("""COMPUTED_VALUE"""),"Family")</f>
        <v>Family</v>
      </c>
      <c r="S445" s="71" t="str">
        <f>IFERROR(__xludf.DUMMYFUNCTION("""COMPUTED_VALUE"""),"Beach, Swim Out/Plunge Pool Rooms, Kids Club, Teen Club, Kids Waterpark, Gym, Tennis, Yoga Classes, Evening Entertainment, Nightclub, Spa, Wifi (Free), Babysitting, Adult Pool, Buffet, Swim Up Bar")</f>
        <v>Beach, Swim Out/Plunge Pool Rooms, Kids Club, Teen Club, Kids Waterpark, Gym, Tennis, Yoga Classes, Evening Entertainment, Nightclub, Spa, Wifi (Free), Babysitting, Adult Pool, Buffet, Swim Up Bar</v>
      </c>
      <c r="T445" s="71"/>
      <c r="U445" s="76" t="str">
        <f>IFERROR(__xludf.DUMMYFUNCTION("""COMPUTED_VALUE"""),"1 King and 3 Bunk Beds or 2 Double and 1 Sofa Bed")</f>
        <v>1 King and 3 Bunk Beds or 2 Double and 1 Sofa Bed</v>
      </c>
      <c r="V445" s="74" t="b">
        <f>IFERROR(__xludf.DUMMYFUNCTION("""COMPUTED_VALUE"""),FALSE)</f>
        <v>0</v>
      </c>
      <c r="W445" s="74">
        <f>IFERROR(__xludf.DUMMYFUNCTION("""COMPUTED_VALUE"""),144.0)</f>
        <v>144</v>
      </c>
      <c r="X445" s="74"/>
      <c r="Y445" s="74"/>
      <c r="Z445" s="75"/>
    </row>
    <row r="446">
      <c r="A446" s="65" t="str">
        <f>IFERROR(__xludf.DUMMYFUNCTION("""COMPUTED_VALUE"""),"Secrets St. James Montego Bay")</f>
        <v>Secrets St. James Montego Bay</v>
      </c>
      <c r="B446" s="66">
        <f>IFERROR(__xludf.DUMMYFUNCTION("""COMPUTED_VALUE"""),85.0)</f>
        <v>85</v>
      </c>
      <c r="C446" s="67" t="str">
        <f>IFERROR(__xludf.DUMMYFUNCTION("""COMPUTED_VALUE"""),"Adults Only")</f>
        <v>Adults Only</v>
      </c>
      <c r="D446" s="68">
        <f>IFERROR(__xludf.DUMMYFUNCTION("""COMPUTED_VALUE"""),4182.0)</f>
        <v>4182</v>
      </c>
      <c r="E446" s="68">
        <f>IFERROR(__xludf.DUMMYFUNCTION("""COMPUTED_VALUE"""),5775.550681799999)</f>
        <v>5775.550682</v>
      </c>
      <c r="F446" s="69">
        <f>IFERROR(__xludf.DUMMYFUNCTION("""COMPUTED_VALUE"""),1.2)</f>
        <v>1.2</v>
      </c>
      <c r="G446" s="74">
        <f>IFERROR(__xludf.DUMMYFUNCTION("""COMPUTED_VALUE"""),4.0)</f>
        <v>4</v>
      </c>
      <c r="H446" s="74">
        <f>IFERROR(__xludf.DUMMYFUNCTION("""COMPUTED_VALUE"""),9.0)</f>
        <v>9</v>
      </c>
      <c r="I446" s="74" t="str">
        <f>IFERROR(__xludf.DUMMYFUNCTION("""COMPUTED_VALUE"""),"D")</f>
        <v>D</v>
      </c>
      <c r="J446" s="74">
        <f>IFERROR(__xludf.DUMMYFUNCTION("""COMPUTED_VALUE"""),4.0)</f>
        <v>4</v>
      </c>
      <c r="K446" s="71"/>
      <c r="L446" s="76" t="str">
        <f>IFERROR(__xludf.DUMMYFUNCTION("""COMPUTED_VALUE"""),"Jamaica")</f>
        <v>Jamaica</v>
      </c>
      <c r="M446" s="76" t="str">
        <f>IFERROR(__xludf.DUMMYFUNCTION("""COMPUTED_VALUE"""),"Montego Bay")</f>
        <v>Montego Bay</v>
      </c>
      <c r="N446" s="76" t="str">
        <f>IFERROR(__xludf.DUMMYFUNCTION("""COMPUTED_VALUE"""),"Sangster")</f>
        <v>Sangster</v>
      </c>
      <c r="O446" s="74" t="b">
        <f>IFERROR(__xludf.DUMMYFUNCTION("""COMPUTED_VALUE"""),TRUE)</f>
        <v>1</v>
      </c>
      <c r="P446" s="73">
        <f>IFERROR(__xludf.DUMMYFUNCTION("""COMPUTED_VALUE"""),0.011111111111111112)</f>
        <v>0.01111111111</v>
      </c>
      <c r="Q446" s="76" t="str">
        <f>IFERROR(__xludf.DUMMYFUNCTION("""COMPUTED_VALUE"""),"Hyatt")</f>
        <v>Hyatt</v>
      </c>
      <c r="R446" s="71" t="str">
        <f>IFERROR(__xludf.DUMMYFUNCTION("""COMPUTED_VALUE"""),"Business, Modern")</f>
        <v>Business, Modern</v>
      </c>
      <c r="S446" s="72" t="str">
        <f>IFERROR(__xludf.DUMMYFUNCTION("""COMPUTED_VALUE"""),"Beach, Great Food, Heated Pool, Gym, Casino, Tennis, Nightclub, Wifi (Free), Buffet, Swim Up Bar, Diving, Evening Entertainment, Spa")</f>
        <v>Beach, Great Food, Heated Pool, Gym, Casino, Tennis, Nightclub, Wifi (Free), Buffet, Swim Up Bar, Diving, Evening Entertainment, Spa</v>
      </c>
      <c r="T446" s="72"/>
      <c r="U446" s="72"/>
      <c r="V446" s="74" t="b">
        <f>IFERROR(__xludf.DUMMYFUNCTION("""COMPUTED_VALUE"""),FALSE)</f>
        <v>0</v>
      </c>
      <c r="W446" s="74">
        <f>IFERROR(__xludf.DUMMYFUNCTION("""COMPUTED_VALUE"""),350.0)</f>
        <v>350</v>
      </c>
      <c r="X446" s="74">
        <f>IFERROR(__xludf.DUMMYFUNCTION("""COMPUTED_VALUE"""),2010.0)</f>
        <v>2010</v>
      </c>
      <c r="Y446" s="74"/>
      <c r="Z446" s="75">
        <f>IFERROR(__xludf.DUMMYFUNCTION("""COMPUTED_VALUE"""),5.0)</f>
        <v>5</v>
      </c>
    </row>
    <row r="447">
      <c r="A447" s="65" t="str">
        <f>IFERROR(__xludf.DUMMYFUNCTION("""COMPUTED_VALUE"""),"Ocean Eden Bay - Adults Only")</f>
        <v>Ocean Eden Bay - Adults Only</v>
      </c>
      <c r="B447" s="66">
        <f>IFERROR(__xludf.DUMMYFUNCTION("""COMPUTED_VALUE"""),85.0)</f>
        <v>85</v>
      </c>
      <c r="C447" s="67" t="str">
        <f>IFERROR(__xludf.DUMMYFUNCTION("""COMPUTED_VALUE"""),"Adults Only")</f>
        <v>Adults Only</v>
      </c>
      <c r="D447" s="68">
        <f>IFERROR(__xludf.DUMMYFUNCTION("""COMPUTED_VALUE"""),4340.7)</f>
        <v>4340.7</v>
      </c>
      <c r="E447" s="79">
        <f>IFERROR(__xludf.DUMMYFUNCTION("""COMPUTED_VALUE"""),5994.723300929999)</f>
        <v>5994.723301</v>
      </c>
      <c r="F447" s="69">
        <f>IFERROR(__xludf.DUMMYFUNCTION("""COMPUTED_VALUE"""),1.15)</f>
        <v>1.15</v>
      </c>
      <c r="G447" s="78"/>
      <c r="H447" s="74" t="str">
        <f>IFERROR(__xludf.DUMMYFUNCTION("""COMPUTED_VALUE"""),"NYR")</f>
        <v>NYR</v>
      </c>
      <c r="I447" s="78"/>
      <c r="J447" s="78">
        <f>IFERROR(__xludf.DUMMYFUNCTION("""COMPUTED_VALUE"""),5.0)</f>
        <v>5</v>
      </c>
      <c r="K447" s="71"/>
      <c r="L447" s="76" t="str">
        <f>IFERROR(__xludf.DUMMYFUNCTION("""COMPUTED_VALUE"""),"Jamaica")</f>
        <v>Jamaica</v>
      </c>
      <c r="M447" s="76" t="str">
        <f>IFERROR(__xludf.DUMMYFUNCTION("""COMPUTED_VALUE"""),"Trelawny Parish")</f>
        <v>Trelawny Parish</v>
      </c>
      <c r="N447" s="76" t="str">
        <f>IFERROR(__xludf.DUMMYFUNCTION("""COMPUTED_VALUE"""),"Sangster")</f>
        <v>Sangster</v>
      </c>
      <c r="O447" s="78" t="b">
        <f>IFERROR(__xludf.DUMMYFUNCTION("""COMPUTED_VALUE"""),TRUE)</f>
        <v>1</v>
      </c>
      <c r="P447" s="80">
        <f>IFERROR(__xludf.DUMMYFUNCTION("""COMPUTED_VALUE"""),0.03125)</f>
        <v>0.03125</v>
      </c>
      <c r="Q447" s="71" t="str">
        <f>IFERROR(__xludf.DUMMYFUNCTION("""COMPUTED_VALUE"""),"H10 Hotels")</f>
        <v>H10 Hotels</v>
      </c>
      <c r="R447" s="71" t="str">
        <f>IFERROR(__xludf.DUMMYFUNCTION("""COMPUTED_VALUE"""),"Business, Romantic")</f>
        <v>Business, Romantic</v>
      </c>
      <c r="S447" s="71" t="str">
        <f>IFERROR(__xludf.DUMMYFUNCTION("""COMPUTED_VALUE"""),"Beach, Swim Out/Plunge Pool Rooms, Gym, Evening Entertainment, Nightclub, Wifi (Free), Buffet, Spa")</f>
        <v>Beach, Swim Out/Plunge Pool Rooms, Gym, Evening Entertainment, Nightclub, Wifi (Free), Buffet, Spa</v>
      </c>
      <c r="T447" s="71"/>
      <c r="U447" s="76"/>
      <c r="V447" s="74" t="b">
        <f>IFERROR(__xludf.DUMMYFUNCTION("""COMPUTED_VALUE"""),FALSE)</f>
        <v>0</v>
      </c>
      <c r="W447" s="74">
        <f>IFERROR(__xludf.DUMMYFUNCTION("""COMPUTED_VALUE"""),444.0)</f>
        <v>444</v>
      </c>
      <c r="X447" s="74">
        <f>IFERROR(__xludf.DUMMYFUNCTION("""COMPUTED_VALUE"""),2021.0)</f>
        <v>2021</v>
      </c>
      <c r="Y447" s="74"/>
      <c r="Z447" s="75"/>
    </row>
    <row r="448">
      <c r="A448" s="65" t="str">
        <f>IFERROR(__xludf.DUMMYFUNCTION("""COMPUTED_VALUE"""),"Divi Little Bay Beach Resort")</f>
        <v>Divi Little Bay Beach Resort</v>
      </c>
      <c r="B448" s="66">
        <f>IFERROR(__xludf.DUMMYFUNCTION("""COMPUTED_VALUE"""),85.0)</f>
        <v>85</v>
      </c>
      <c r="C448" s="67" t="str">
        <f>IFERROR(__xludf.DUMMYFUNCTION("""COMPUTED_VALUE"""),"Family")</f>
        <v>Family</v>
      </c>
      <c r="D448" s="68">
        <f>IFERROR(__xludf.DUMMYFUNCTION("""COMPUTED_VALUE"""),6618.76)</f>
        <v>6618.76</v>
      </c>
      <c r="E448" s="79">
        <f>IFERROR(__xludf.DUMMYFUNCTION("""COMPUTED_VALUE"""),9140.837836124)</f>
        <v>9140.837836</v>
      </c>
      <c r="F448" s="69">
        <f>IFERROR(__xludf.DUMMYFUNCTION("""COMPUTED_VALUE"""),0.76)</f>
        <v>0.76</v>
      </c>
      <c r="G448" s="78"/>
      <c r="H448" s="74">
        <f>IFERROR(__xludf.DUMMYFUNCTION("""COMPUTED_VALUE"""),6.0)</f>
        <v>6</v>
      </c>
      <c r="I448" s="78"/>
      <c r="J448" s="78">
        <f>IFERROR(__xludf.DUMMYFUNCTION("""COMPUTED_VALUE"""),4.0)</f>
        <v>4</v>
      </c>
      <c r="K448" s="76"/>
      <c r="L448" s="76" t="str">
        <f>IFERROR(__xludf.DUMMYFUNCTION("""COMPUTED_VALUE"""),"St Maarten")</f>
        <v>St Maarten</v>
      </c>
      <c r="M448" s="76" t="str">
        <f>IFERROR(__xludf.DUMMYFUNCTION("""COMPUTED_VALUE"""),"Philipsburg")</f>
        <v>Philipsburg</v>
      </c>
      <c r="N448" s="76" t="str">
        <f>IFERROR(__xludf.DUMMYFUNCTION("""COMPUTED_VALUE"""),"Princ. Juliana")</f>
        <v>Princ. Juliana</v>
      </c>
      <c r="O448" s="78" t="b">
        <f>IFERROR(__xludf.DUMMYFUNCTION("""COMPUTED_VALUE"""),TRUE)</f>
        <v>1</v>
      </c>
      <c r="P448" s="80">
        <f>IFERROR(__xludf.DUMMYFUNCTION("""COMPUTED_VALUE"""),0.01597222222222222)</f>
        <v>0.01597222222</v>
      </c>
      <c r="Q448" s="76" t="str">
        <f>IFERROR(__xludf.DUMMYFUNCTION("""COMPUTED_VALUE"""),"Divi")</f>
        <v>Divi</v>
      </c>
      <c r="R448" s="76" t="str">
        <f>IFERROR(__xludf.DUMMYFUNCTION("""COMPUTED_VALUE"""),"Family, Green")</f>
        <v>Family, Green</v>
      </c>
      <c r="S448" s="71" t="str">
        <f>IFERROR(__xludf.DUMMYFUNCTION("""COMPUTED_VALUE"""),"Beach")</f>
        <v>Beach</v>
      </c>
      <c r="T448" s="71" t="str">
        <f>IFERROR(__xludf.DUMMYFUNCTION("""COMPUTED_VALUE"""),"Can't Book Two Rooms")</f>
        <v>Can't Book Two Rooms</v>
      </c>
      <c r="U448" s="76" t="str">
        <f>IFERROR(__xludf.DUMMYFUNCTION("""COMPUTED_VALUE"""),"2 Queen")</f>
        <v>2 Queen</v>
      </c>
      <c r="V448" s="74" t="b">
        <f>IFERROR(__xludf.DUMMYFUNCTION("""COMPUTED_VALUE"""),FALSE)</f>
        <v>0</v>
      </c>
      <c r="W448" s="74">
        <f>IFERROR(__xludf.DUMMYFUNCTION("""COMPUTED_VALUE"""),98.0)</f>
        <v>98</v>
      </c>
      <c r="X448" s="74">
        <f>IFERROR(__xludf.DUMMYFUNCTION("""COMPUTED_VALUE"""),1981.0)</f>
        <v>1981</v>
      </c>
      <c r="Y448" s="74">
        <f>IFERROR(__xludf.DUMMYFUNCTION("""COMPUTED_VALUE"""),2018.0)</f>
        <v>2018</v>
      </c>
      <c r="Z448" s="75">
        <f>IFERROR(__xludf.DUMMYFUNCTION("""COMPUTED_VALUE"""),3.0)</f>
        <v>3</v>
      </c>
    </row>
    <row r="449">
      <c r="A449" s="65" t="str">
        <f>IFERROR(__xludf.DUMMYFUNCTION("""COMPUTED_VALUE"""),"Almare, A Luxury Collection Adult All-Inclusive Resort, Isla Mujeres")</f>
        <v>Almare, A Luxury Collection Adult All-Inclusive Resort, Isla Mujeres</v>
      </c>
      <c r="B449" s="66">
        <f>IFERROR(__xludf.DUMMYFUNCTION("""COMPUTED_VALUE"""),85.0)</f>
        <v>85</v>
      </c>
      <c r="C449" s="67" t="str">
        <f>IFERROR(__xludf.DUMMYFUNCTION("""COMPUTED_VALUE"""),"Adults Only")</f>
        <v>Adults Only</v>
      </c>
      <c r="D449" s="68">
        <f>IFERROR(__xludf.DUMMYFUNCTION("""COMPUTED_VALUE"""),6840.0)</f>
        <v>6840</v>
      </c>
      <c r="E449" s="79">
        <f>IFERROR(__xludf.DUMMYFUNCTION("""COMPUTED_VALUE"""),9446.381315999999)</f>
        <v>9446.381316</v>
      </c>
      <c r="F449" s="69">
        <f>IFERROR(__xludf.DUMMYFUNCTION("""COMPUTED_VALUE"""),0.73)</f>
        <v>0.73</v>
      </c>
      <c r="G449" s="78"/>
      <c r="H449" s="74" t="str">
        <f>IFERROR(__xludf.DUMMYFUNCTION("""COMPUTED_VALUE"""),"NYR")</f>
        <v>NYR</v>
      </c>
      <c r="I449" s="78"/>
      <c r="J449" s="78">
        <f>IFERROR(__xludf.DUMMYFUNCTION("""COMPUTED_VALUE"""),4.0)</f>
        <v>4</v>
      </c>
      <c r="K449" s="71"/>
      <c r="L449" s="76" t="str">
        <f>IFERROR(__xludf.DUMMYFUNCTION("""COMPUTED_VALUE"""),"Mexico")</f>
        <v>Mexico</v>
      </c>
      <c r="M449" s="76" t="str">
        <f>IFERROR(__xludf.DUMMYFUNCTION("""COMPUTED_VALUE"""),"Isla Mujeres")</f>
        <v>Isla Mujeres</v>
      </c>
      <c r="N449" s="87" t="str">
        <f>IFERROR(__xludf.DUMMYFUNCTION("""COMPUTED_VALUE"""),"Cancun")</f>
        <v>Cancun</v>
      </c>
      <c r="O449" s="78" t="b">
        <f>IFERROR(__xludf.DUMMYFUNCTION("""COMPUTED_VALUE"""),TRUE)</f>
        <v>1</v>
      </c>
      <c r="P449" s="80">
        <f>IFERROR(__xludf.DUMMYFUNCTION("""COMPUTED_VALUE"""),0.07916666666666666)</f>
        <v>0.07916666667</v>
      </c>
      <c r="Q449" s="71" t="str">
        <f>IFERROR(__xludf.DUMMYFUNCTION("""COMPUTED_VALUE"""),"Marriott")</f>
        <v>Marriott</v>
      </c>
      <c r="R449" s="71" t="str">
        <f>IFERROR(__xludf.DUMMYFUNCTION("""COMPUTED_VALUE"""),"Green")</f>
        <v>Green</v>
      </c>
      <c r="S449" s="71" t="str">
        <f>IFERROR(__xludf.DUMMYFUNCTION("""COMPUTED_VALUE"""),"Beach, Yoga Classes, Buffet, Diving, Spa, Wifi (Free), Room Service, Swim Up Bar")</f>
        <v>Beach, Yoga Classes, Buffet, Diving, Spa, Wifi (Free), Room Service, Swim Up Bar</v>
      </c>
      <c r="T449" s="71"/>
      <c r="U449" s="76"/>
      <c r="V449" s="74" t="b">
        <f>IFERROR(__xludf.DUMMYFUNCTION("""COMPUTED_VALUE"""),FALSE)</f>
        <v>0</v>
      </c>
      <c r="W449" s="74">
        <f>IFERROR(__xludf.DUMMYFUNCTION("""COMPUTED_VALUE"""),105.0)</f>
        <v>105</v>
      </c>
      <c r="X449" s="74">
        <f>IFERROR(__xludf.DUMMYFUNCTION("""COMPUTED_VALUE"""),2024.0)</f>
        <v>2024</v>
      </c>
      <c r="Y449" s="74"/>
      <c r="Z449" s="75">
        <f>IFERROR(__xludf.DUMMYFUNCTION("""COMPUTED_VALUE"""),5.0)</f>
        <v>5</v>
      </c>
    </row>
    <row r="450">
      <c r="A450" s="65" t="str">
        <f>IFERROR(__xludf.DUMMYFUNCTION("""COMPUTED_VALUE"""),"Dreams Cap Cana Resort &amp; Spa")</f>
        <v>Dreams Cap Cana Resort &amp; Spa</v>
      </c>
      <c r="B450" s="66">
        <f>IFERROR(__xludf.DUMMYFUNCTION("""COMPUTED_VALUE"""),85.0)</f>
        <v>85</v>
      </c>
      <c r="C450" s="67" t="str">
        <f>IFERROR(__xludf.DUMMYFUNCTION("""COMPUTED_VALUE"""),"Family")</f>
        <v>Family</v>
      </c>
      <c r="D450" s="68">
        <f>IFERROR(__xludf.DUMMYFUNCTION("""COMPUTED_VALUE"""),8253.0)</f>
        <v>8253</v>
      </c>
      <c r="E450" s="79">
        <f>IFERROR(__xludf.DUMMYFUNCTION("""COMPUTED_VALUE"""),11397.804824699999)</f>
        <v>11397.80482</v>
      </c>
      <c r="F450" s="69">
        <f>IFERROR(__xludf.DUMMYFUNCTION("""COMPUTED_VALUE"""),0.61)</f>
        <v>0.61</v>
      </c>
      <c r="G450" s="70"/>
      <c r="H450" s="70"/>
      <c r="I450" s="70"/>
      <c r="J450" s="70"/>
      <c r="K450" s="71"/>
      <c r="L450" s="76" t="str">
        <f>IFERROR(__xludf.DUMMYFUNCTION("""COMPUTED_VALUE"""),"Dominican Republic")</f>
        <v>Dominican Republic</v>
      </c>
      <c r="M450" s="76" t="str">
        <f>IFERROR(__xludf.DUMMYFUNCTION("""COMPUTED_VALUE"""),"Punta Cana")</f>
        <v>Punta Cana</v>
      </c>
      <c r="N450" s="76" t="str">
        <f>IFERROR(__xludf.DUMMYFUNCTION("""COMPUTED_VALUE"""),"Punta Cana")</f>
        <v>Punta Cana</v>
      </c>
      <c r="O450" s="70" t="b">
        <f>IFERROR(__xludf.DUMMYFUNCTION("""COMPUTED_VALUE"""),TRUE)</f>
        <v>1</v>
      </c>
      <c r="P450" s="73">
        <f>IFERROR(__xludf.DUMMYFUNCTION("""COMPUTED_VALUE"""),0.013194444444444444)</f>
        <v>0.01319444444</v>
      </c>
      <c r="Q450" s="71" t="str">
        <f>IFERROR(__xludf.DUMMYFUNCTION("""COMPUTED_VALUE"""),"Hyatt")</f>
        <v>Hyatt</v>
      </c>
      <c r="R450" s="71" t="str">
        <f>IFERROR(__xludf.DUMMYFUNCTION("""COMPUTED_VALUE"""),"Romantic, Luxury")</f>
        <v>Romantic, Luxury</v>
      </c>
      <c r="S450" s="71" t="str">
        <f>IFERROR(__xludf.DUMMYFUNCTION("""COMPUTED_VALUE"""),"Swim Out/Plunge Pool Rooms, Kids Club for Under 4, Gym, Room Service")</f>
        <v>Swim Out/Plunge Pool Rooms, Kids Club for Under 4, Gym, Room Service</v>
      </c>
      <c r="T450" s="71"/>
      <c r="U450" s="71" t="str">
        <f>IFERROR(__xludf.DUMMYFUNCTION("""COMPUTED_VALUE"""),"2 Queen")</f>
        <v>2 Queen</v>
      </c>
      <c r="V450" s="70" t="b">
        <f>IFERROR(__xludf.DUMMYFUNCTION("""COMPUTED_VALUE"""),FALSE)</f>
        <v>0</v>
      </c>
      <c r="W450" s="70">
        <f>IFERROR(__xludf.DUMMYFUNCTION("""COMPUTED_VALUE"""),519.0)</f>
        <v>519</v>
      </c>
      <c r="X450" s="70">
        <f>IFERROR(__xludf.DUMMYFUNCTION("""COMPUTED_VALUE"""),2024.0)</f>
        <v>2024</v>
      </c>
      <c r="Y450" s="70"/>
      <c r="Z450" s="83"/>
    </row>
    <row r="451">
      <c r="A451" s="65" t="str">
        <f>IFERROR(__xludf.DUMMYFUNCTION("""COMPUTED_VALUE"""),"Grand Sirenis Riviera Maya Resort")</f>
        <v>Grand Sirenis Riviera Maya Resort</v>
      </c>
      <c r="B451" s="66">
        <f>IFERROR(__xludf.DUMMYFUNCTION("""COMPUTED_VALUE"""),85.0)</f>
        <v>85</v>
      </c>
      <c r="C451" s="67" t="str">
        <f>IFERROR(__xludf.DUMMYFUNCTION("""COMPUTED_VALUE"""),"Family")</f>
        <v>Family</v>
      </c>
      <c r="D451" s="79">
        <f>IFERROR(__xludf.DUMMYFUNCTION("""COMPUTED_VALUE"""),9569.35)</f>
        <v>9569.35</v>
      </c>
      <c r="E451" s="79">
        <f>IFERROR(__xludf.DUMMYFUNCTION("""COMPUTED_VALUE"""),13215.749860564998)</f>
        <v>13215.74986</v>
      </c>
      <c r="F451" s="69">
        <f>IFERROR(__xludf.DUMMYFUNCTION("""COMPUTED_VALUE"""),0.52)</f>
        <v>0.52</v>
      </c>
      <c r="G451" s="78"/>
      <c r="H451" s="74">
        <f>IFERROR(__xludf.DUMMYFUNCTION("""COMPUTED_VALUE"""),7.0)</f>
        <v>7</v>
      </c>
      <c r="I451" s="78"/>
      <c r="J451" s="78">
        <f>IFERROR(__xludf.DUMMYFUNCTION("""COMPUTED_VALUE"""),5.0)</f>
        <v>5</v>
      </c>
      <c r="K451" s="76"/>
      <c r="L451" s="76" t="str">
        <f>IFERROR(__xludf.DUMMYFUNCTION("""COMPUTED_VALUE"""),"Mexico")</f>
        <v>Mexico</v>
      </c>
      <c r="M451" s="76" t="str">
        <f>IFERROR(__xludf.DUMMYFUNCTION("""COMPUTED_VALUE"""),"Akumal")</f>
        <v>Akumal</v>
      </c>
      <c r="N451" s="76" t="str">
        <f>IFERROR(__xludf.DUMMYFUNCTION("""COMPUTED_VALUE"""),"Tulum")</f>
        <v>Tulum</v>
      </c>
      <c r="O451" s="78" t="b">
        <f>IFERROR(__xludf.DUMMYFUNCTION("""COMPUTED_VALUE"""),TRUE)</f>
        <v>1</v>
      </c>
      <c r="P451" s="80">
        <f>IFERROR(__xludf.DUMMYFUNCTION("""COMPUTED_VALUE"""),0.049305555555555554)</f>
        <v>0.04930555556</v>
      </c>
      <c r="Q451" s="76" t="str">
        <f>IFERROR(__xludf.DUMMYFUNCTION("""COMPUTED_VALUE"""),"Sirenis Hotels")</f>
        <v>Sirenis Hotels</v>
      </c>
      <c r="R451" s="76" t="str">
        <f>IFERROR(__xludf.DUMMYFUNCTION("""COMPUTED_VALUE"""),"Family, Modern")</f>
        <v>Family, Modern</v>
      </c>
      <c r="S451" s="72" t="str">
        <f>IFERROR(__xludf.DUMMYFUNCTION("""COMPUTED_VALUE"""),"Beach, Swim Out/Plunge Pool Rooms, Family Suite, 2 Bedroom Suites, Kids Club, Lazy River, Kids Waterpark, Gym, Diving, Swim Up Bar, Snorkelling, Buffet, Tennis")</f>
        <v>Beach, Swim Out/Plunge Pool Rooms, Family Suite, 2 Bedroom Suites, Kids Club, Lazy River, Kids Waterpark, Gym, Diving, Swim Up Bar, Snorkelling, Buffet, Tennis</v>
      </c>
      <c r="T451" s="72" t="str">
        <f>IFERROR(__xludf.DUMMYFUNCTION("""COMPUTED_VALUE"""),"Yes")</f>
        <v>Yes</v>
      </c>
      <c r="U451" s="76" t="str">
        <f>IFERROR(__xludf.DUMMYFUNCTION("""COMPUTED_VALUE"""),"1 King or 2 Double")</f>
        <v>1 King or 2 Double</v>
      </c>
      <c r="V451" s="74" t="b">
        <f>IFERROR(__xludf.DUMMYFUNCTION("""COMPUTED_VALUE"""),FALSE)</f>
        <v>0</v>
      </c>
      <c r="W451" s="74">
        <f>IFERROR(__xludf.DUMMYFUNCTION("""COMPUTED_VALUE"""),946.0)</f>
        <v>946</v>
      </c>
      <c r="X451" s="74">
        <f>IFERROR(__xludf.DUMMYFUNCTION("""COMPUTED_VALUE"""),2006.0)</f>
        <v>2006</v>
      </c>
      <c r="Y451" s="74"/>
      <c r="Z451" s="75">
        <f>IFERROR(__xludf.DUMMYFUNCTION("""COMPUTED_VALUE"""),3.0)</f>
        <v>3</v>
      </c>
    </row>
    <row r="452">
      <c r="A452" s="65" t="str">
        <f>IFERROR(__xludf.DUMMYFUNCTION("""COMPUTED_VALUE"""),"La Quinta Gran Bahia Cuastecomates")</f>
        <v>La Quinta Gran Bahia Cuastecomates</v>
      </c>
      <c r="B452" s="66">
        <f>IFERROR(__xludf.DUMMYFUNCTION("""COMPUTED_VALUE"""),85.0)</f>
        <v>85</v>
      </c>
      <c r="C452" s="67" t="str">
        <f>IFERROR(__xludf.DUMMYFUNCTION("""COMPUTED_VALUE"""),"Family")</f>
        <v>Family</v>
      </c>
      <c r="D452" s="79"/>
      <c r="E452" s="79"/>
      <c r="F452" s="69"/>
      <c r="G452" s="78"/>
      <c r="H452" s="74"/>
      <c r="I452" s="78"/>
      <c r="J452" s="78">
        <f>IFERROR(__xludf.DUMMYFUNCTION("""COMPUTED_VALUE"""),4.0)</f>
        <v>4</v>
      </c>
      <c r="K452" s="76"/>
      <c r="L452" s="76" t="str">
        <f>IFERROR(__xludf.DUMMYFUNCTION("""COMPUTED_VALUE"""),"Mexico")</f>
        <v>Mexico</v>
      </c>
      <c r="M452" s="76" t="str">
        <f>IFERROR(__xludf.DUMMYFUNCTION("""COMPUTED_VALUE"""),"Cihuatlan")</f>
        <v>Cihuatlan</v>
      </c>
      <c r="N452" s="76" t="str">
        <f>IFERROR(__xludf.DUMMYFUNCTION("""COMPUTED_VALUE"""),"Manzanillo")</f>
        <v>Manzanillo</v>
      </c>
      <c r="O452" s="78" t="b">
        <f>IFERROR(__xludf.DUMMYFUNCTION("""COMPUTED_VALUE"""),FALSE)</f>
        <v>0</v>
      </c>
      <c r="P452" s="80">
        <f>IFERROR(__xludf.DUMMYFUNCTION("""COMPUTED_VALUE"""),0.025)</f>
        <v>0.025</v>
      </c>
      <c r="Q452" s="76" t="str">
        <f>IFERROR(__xludf.DUMMYFUNCTION("""COMPUTED_VALUE"""),"La Quinta")</f>
        <v>La Quinta</v>
      </c>
      <c r="R452" s="76" t="str">
        <f>IFERROR(__xludf.DUMMYFUNCTION("""COMPUTED_VALUE"""),"Quiet, Family")</f>
        <v>Quiet, Family</v>
      </c>
      <c r="S452" s="72" t="str">
        <f>IFERROR(__xludf.DUMMYFUNCTION("""COMPUTED_VALUE"""),"Beach, Kids Club, Buffet, Snorkelling, Babysitting, Swim Up Bar, Tennis, Evening Entertainment, Nightclub")</f>
        <v>Beach, Kids Club, Buffet, Snorkelling, Babysitting, Swim Up Bar, Tennis, Evening Entertainment, Nightclub</v>
      </c>
      <c r="T452" s="72"/>
      <c r="U452" s="76" t="str">
        <f>IFERROR(__xludf.DUMMYFUNCTION("""COMPUTED_VALUE"""),"2 Double")</f>
        <v>2 Double</v>
      </c>
      <c r="V452" s="74" t="b">
        <f>IFERROR(__xludf.DUMMYFUNCTION("""COMPUTED_VALUE"""),FALSE)</f>
        <v>0</v>
      </c>
      <c r="W452" s="74"/>
      <c r="X452" s="74"/>
      <c r="Y452" s="74"/>
      <c r="Z452" s="75"/>
    </row>
    <row r="453">
      <c r="A453" s="92"/>
      <c r="B453" s="66"/>
      <c r="C453" s="67"/>
      <c r="D453" s="79"/>
      <c r="E453" s="79"/>
      <c r="F453" s="69"/>
      <c r="G453" s="78"/>
      <c r="H453" s="74"/>
      <c r="I453" s="78"/>
      <c r="J453" s="78"/>
      <c r="K453" s="76"/>
      <c r="L453" s="76"/>
      <c r="M453" s="76"/>
      <c r="N453" s="76"/>
      <c r="O453" s="78"/>
      <c r="P453" s="80"/>
      <c r="Q453" s="76"/>
      <c r="R453" s="76"/>
      <c r="S453" s="71"/>
      <c r="T453" s="71"/>
      <c r="U453" s="76"/>
      <c r="V453" s="74"/>
      <c r="W453" s="74"/>
      <c r="X453" s="74"/>
      <c r="Y453" s="74"/>
      <c r="Z453" s="75"/>
    </row>
    <row r="454">
      <c r="A454" s="92"/>
      <c r="B454" s="66"/>
      <c r="C454" s="67"/>
      <c r="D454" s="68"/>
      <c r="E454" s="79"/>
      <c r="F454" s="69"/>
      <c r="G454" s="78"/>
      <c r="H454" s="74"/>
      <c r="I454" s="78"/>
      <c r="J454" s="78"/>
      <c r="K454" s="71"/>
      <c r="L454" s="76"/>
      <c r="M454" s="76"/>
      <c r="N454" s="76"/>
      <c r="O454" s="70"/>
      <c r="P454" s="73"/>
      <c r="Q454" s="71"/>
      <c r="R454" s="71"/>
      <c r="S454" s="71"/>
      <c r="T454" s="71"/>
      <c r="U454" s="71"/>
      <c r="V454" s="74"/>
      <c r="W454" s="74"/>
      <c r="X454" s="74"/>
      <c r="Y454" s="74"/>
      <c r="Z454" s="75"/>
    </row>
    <row r="455">
      <c r="A455" s="93"/>
      <c r="B455" s="66"/>
      <c r="C455" s="78"/>
      <c r="D455" s="68"/>
      <c r="E455" s="68"/>
      <c r="F455" s="69"/>
      <c r="G455" s="70"/>
      <c r="H455" s="70"/>
      <c r="I455" s="70"/>
      <c r="J455" s="70"/>
      <c r="K455" s="71"/>
      <c r="L455" s="72"/>
      <c r="M455" s="76"/>
      <c r="N455" s="76"/>
      <c r="O455" s="70"/>
      <c r="P455" s="73"/>
      <c r="Q455" s="71"/>
      <c r="R455" s="71"/>
      <c r="S455" s="71"/>
      <c r="T455" s="71"/>
      <c r="U455" s="71"/>
      <c r="V455" s="74"/>
      <c r="W455" s="74"/>
      <c r="X455" s="74"/>
      <c r="Y455" s="74"/>
      <c r="Z455" s="75"/>
    </row>
    <row r="456">
      <c r="A456" s="93"/>
      <c r="B456" s="66"/>
      <c r="C456" s="78"/>
      <c r="D456" s="68"/>
      <c r="E456" s="68"/>
      <c r="F456" s="69"/>
      <c r="G456" s="70"/>
      <c r="H456" s="70"/>
      <c r="I456" s="70"/>
      <c r="J456" s="70"/>
      <c r="K456" s="71"/>
      <c r="L456" s="76"/>
      <c r="M456" s="76"/>
      <c r="N456" s="76"/>
      <c r="O456" s="74"/>
      <c r="P456" s="73"/>
      <c r="Q456" s="71"/>
      <c r="R456" s="71"/>
      <c r="S456" s="71"/>
      <c r="T456" s="71"/>
      <c r="U456" s="72"/>
      <c r="V456" s="74"/>
      <c r="W456" s="74"/>
      <c r="X456" s="74"/>
      <c r="Y456" s="74"/>
      <c r="Z456" s="75"/>
    </row>
    <row r="457">
      <c r="A457" s="92"/>
      <c r="B457" s="66"/>
      <c r="C457" s="67"/>
      <c r="D457" s="79"/>
      <c r="E457" s="79"/>
      <c r="F457" s="69"/>
      <c r="G457" s="78"/>
      <c r="H457" s="74"/>
      <c r="I457" s="78"/>
      <c r="J457" s="78"/>
      <c r="K457" s="71"/>
      <c r="L457" s="76"/>
      <c r="M457" s="76"/>
      <c r="N457" s="76"/>
      <c r="O457" s="78"/>
      <c r="P457" s="80"/>
      <c r="Q457" s="71"/>
      <c r="R457" s="71"/>
      <c r="S457" s="71"/>
      <c r="T457" s="71"/>
      <c r="U457" s="76"/>
      <c r="V457" s="74"/>
      <c r="W457" s="74"/>
      <c r="X457" s="74"/>
      <c r="Y457" s="74"/>
      <c r="Z457" s="75"/>
    </row>
    <row r="458">
      <c r="A458" s="92"/>
      <c r="B458" s="66"/>
      <c r="C458" s="67"/>
      <c r="D458" s="79"/>
      <c r="E458" s="79"/>
      <c r="F458" s="69"/>
      <c r="G458" s="78"/>
      <c r="H458" s="74"/>
      <c r="I458" s="78"/>
      <c r="J458" s="78"/>
      <c r="K458" s="76"/>
      <c r="L458" s="76"/>
      <c r="M458" s="76"/>
      <c r="N458" s="76"/>
      <c r="O458" s="78"/>
      <c r="P458" s="80"/>
      <c r="Q458" s="76"/>
      <c r="R458" s="76"/>
      <c r="S458" s="72"/>
      <c r="T458" s="72"/>
      <c r="U458" s="76"/>
      <c r="V458" s="74"/>
      <c r="W458" s="74"/>
      <c r="X458" s="74"/>
      <c r="Y458" s="74"/>
      <c r="Z458" s="75"/>
    </row>
    <row r="459">
      <c r="A459" s="92"/>
      <c r="B459" s="66"/>
      <c r="C459" s="67"/>
      <c r="D459" s="68"/>
      <c r="E459" s="79"/>
      <c r="F459" s="69"/>
      <c r="G459" s="78"/>
      <c r="H459" s="74"/>
      <c r="I459" s="78"/>
      <c r="J459" s="78"/>
      <c r="K459" s="71"/>
      <c r="L459" s="76"/>
      <c r="M459" s="76"/>
      <c r="N459" s="76"/>
      <c r="O459" s="78"/>
      <c r="P459" s="80"/>
      <c r="Q459" s="76"/>
      <c r="R459" s="71"/>
      <c r="S459" s="71"/>
      <c r="T459" s="71"/>
      <c r="U459" s="76"/>
      <c r="V459" s="74"/>
      <c r="W459" s="74"/>
      <c r="X459" s="74"/>
      <c r="Y459" s="74"/>
      <c r="Z459" s="75"/>
    </row>
    <row r="460">
      <c r="A460" s="92"/>
      <c r="B460" s="66"/>
      <c r="C460" s="67"/>
      <c r="D460" s="79"/>
      <c r="E460" s="79"/>
      <c r="F460" s="69"/>
      <c r="G460" s="78"/>
      <c r="H460" s="74"/>
      <c r="I460" s="78"/>
      <c r="J460" s="78"/>
      <c r="K460" s="76"/>
      <c r="L460" s="76"/>
      <c r="M460" s="76"/>
      <c r="N460" s="76"/>
      <c r="O460" s="78"/>
      <c r="P460" s="80"/>
      <c r="Q460" s="76"/>
      <c r="R460" s="76"/>
      <c r="S460" s="72"/>
      <c r="T460" s="72"/>
      <c r="U460" s="76"/>
      <c r="V460" s="74"/>
      <c r="W460" s="74"/>
      <c r="X460" s="74"/>
      <c r="Y460" s="74"/>
      <c r="Z460" s="75"/>
    </row>
    <row r="461">
      <c r="A461" s="92"/>
      <c r="B461" s="66"/>
      <c r="C461" s="67"/>
      <c r="D461" s="79"/>
      <c r="E461" s="79"/>
      <c r="F461" s="69"/>
      <c r="G461" s="78"/>
      <c r="H461" s="74"/>
      <c r="I461" s="78"/>
      <c r="J461" s="78"/>
      <c r="K461" s="76"/>
      <c r="L461" s="76"/>
      <c r="M461" s="76"/>
      <c r="N461" s="87"/>
      <c r="O461" s="78"/>
      <c r="P461" s="80"/>
      <c r="Q461" s="76"/>
      <c r="R461" s="76"/>
      <c r="S461" s="72"/>
      <c r="T461" s="72"/>
      <c r="U461" s="76"/>
      <c r="V461" s="74"/>
      <c r="W461" s="74"/>
      <c r="X461" s="74"/>
      <c r="Y461" s="74"/>
      <c r="Z461" s="75"/>
    </row>
    <row r="462">
      <c r="A462" s="92"/>
      <c r="B462" s="66"/>
      <c r="C462" s="67"/>
      <c r="D462" s="68"/>
      <c r="E462" s="79"/>
      <c r="F462" s="69"/>
      <c r="G462" s="78"/>
      <c r="H462" s="74"/>
      <c r="I462" s="78"/>
      <c r="J462" s="78"/>
      <c r="K462" s="76"/>
      <c r="L462" s="76"/>
      <c r="M462" s="76"/>
      <c r="N462" s="76"/>
      <c r="O462" s="78"/>
      <c r="P462" s="80"/>
      <c r="Q462" s="76"/>
      <c r="R462" s="76"/>
      <c r="S462" s="71"/>
      <c r="T462" s="71"/>
      <c r="U462" s="76"/>
      <c r="V462" s="74"/>
      <c r="W462" s="74"/>
      <c r="X462" s="74"/>
      <c r="Y462" s="74"/>
      <c r="Z462" s="75"/>
    </row>
    <row r="463">
      <c r="A463" s="92"/>
      <c r="B463" s="66"/>
      <c r="C463" s="67"/>
      <c r="D463" s="79"/>
      <c r="E463" s="79"/>
      <c r="F463" s="69"/>
      <c r="G463" s="78"/>
      <c r="H463" s="74"/>
      <c r="I463" s="78"/>
      <c r="J463" s="78"/>
      <c r="K463" s="76"/>
      <c r="L463" s="76"/>
      <c r="M463" s="76"/>
      <c r="N463" s="76"/>
      <c r="O463" s="78"/>
      <c r="P463" s="80"/>
      <c r="Q463" s="76"/>
      <c r="R463" s="76"/>
      <c r="S463" s="71"/>
      <c r="T463" s="71"/>
      <c r="U463" s="76"/>
      <c r="V463" s="74"/>
      <c r="W463" s="74"/>
      <c r="X463" s="74"/>
      <c r="Y463" s="74"/>
      <c r="Z463" s="75"/>
    </row>
    <row r="464">
      <c r="A464" s="92"/>
      <c r="B464" s="66"/>
      <c r="C464" s="67"/>
      <c r="D464" s="79"/>
      <c r="E464" s="79"/>
      <c r="F464" s="69"/>
      <c r="G464" s="78"/>
      <c r="H464" s="74"/>
      <c r="I464" s="78"/>
      <c r="J464" s="78"/>
      <c r="K464" s="76"/>
      <c r="L464" s="76"/>
      <c r="M464" s="76"/>
      <c r="N464" s="76"/>
      <c r="O464" s="78"/>
      <c r="P464" s="80"/>
      <c r="Q464" s="76"/>
      <c r="R464" s="76"/>
      <c r="S464" s="76"/>
      <c r="T464" s="76"/>
      <c r="U464" s="76"/>
      <c r="V464" s="74"/>
      <c r="W464" s="74"/>
      <c r="X464" s="74"/>
      <c r="Y464" s="74"/>
      <c r="Z464" s="75"/>
    </row>
    <row r="465">
      <c r="A465" s="92"/>
      <c r="B465" s="66"/>
      <c r="C465" s="67"/>
      <c r="D465" s="79"/>
      <c r="E465" s="79"/>
      <c r="F465" s="86"/>
      <c r="G465" s="78"/>
      <c r="H465" s="78"/>
      <c r="I465" s="78"/>
      <c r="J465" s="78"/>
      <c r="K465" s="76"/>
      <c r="L465" s="76"/>
      <c r="M465" s="76"/>
      <c r="N465" s="76"/>
      <c r="O465" s="78"/>
      <c r="P465" s="80"/>
      <c r="Q465" s="76"/>
      <c r="R465" s="76"/>
      <c r="S465" s="71"/>
      <c r="T465" s="71"/>
      <c r="U465" s="76"/>
      <c r="V465" s="78"/>
      <c r="W465" s="78"/>
      <c r="X465" s="78"/>
      <c r="Y465" s="78"/>
      <c r="Z465" s="81"/>
    </row>
    <row r="466">
      <c r="A466" s="92"/>
      <c r="B466" s="66"/>
      <c r="C466" s="67"/>
      <c r="D466" s="79"/>
      <c r="E466" s="79"/>
      <c r="F466" s="69"/>
      <c r="G466" s="78"/>
      <c r="H466" s="74"/>
      <c r="I466" s="78"/>
      <c r="J466" s="78"/>
      <c r="K466" s="71"/>
      <c r="L466" s="76"/>
      <c r="M466" s="76"/>
      <c r="N466" s="76"/>
      <c r="O466" s="70"/>
      <c r="P466" s="73"/>
      <c r="Q466" s="76"/>
      <c r="R466" s="71"/>
      <c r="S466" s="71"/>
      <c r="T466" s="71"/>
      <c r="U466" s="71"/>
      <c r="V466" s="70"/>
      <c r="W466" s="70"/>
      <c r="X466" s="70"/>
      <c r="Y466" s="70"/>
      <c r="Z466" s="83"/>
    </row>
    <row r="467">
      <c r="A467" s="92"/>
      <c r="B467" s="66"/>
      <c r="C467" s="67"/>
      <c r="D467" s="68"/>
      <c r="E467" s="79"/>
      <c r="F467" s="69"/>
      <c r="G467" s="78"/>
      <c r="H467" s="74"/>
      <c r="I467" s="78"/>
      <c r="J467" s="78"/>
      <c r="K467" s="71"/>
      <c r="L467" s="76"/>
      <c r="M467" s="76"/>
      <c r="N467" s="76"/>
      <c r="O467" s="78"/>
      <c r="P467" s="80"/>
      <c r="Q467" s="71"/>
      <c r="R467" s="71"/>
      <c r="S467" s="71"/>
      <c r="T467" s="71"/>
      <c r="U467" s="76"/>
      <c r="V467" s="74"/>
      <c r="W467" s="74"/>
      <c r="X467" s="74"/>
      <c r="Y467" s="74"/>
      <c r="Z467" s="75"/>
    </row>
    <row r="468">
      <c r="A468" s="93"/>
      <c r="B468" s="66"/>
      <c r="C468" s="78"/>
      <c r="D468" s="68"/>
      <c r="E468" s="68"/>
      <c r="F468" s="69"/>
      <c r="G468" s="70"/>
      <c r="H468" s="70"/>
      <c r="I468" s="70"/>
      <c r="J468" s="70"/>
      <c r="K468" s="71"/>
      <c r="L468" s="76"/>
      <c r="M468" s="76"/>
      <c r="N468" s="76"/>
      <c r="O468" s="70"/>
      <c r="P468" s="73"/>
      <c r="Q468" s="71"/>
      <c r="R468" s="71"/>
      <c r="S468" s="71"/>
      <c r="T468" s="71"/>
      <c r="U468" s="71"/>
      <c r="V468" s="74"/>
      <c r="W468" s="74"/>
      <c r="X468" s="74"/>
      <c r="Y468" s="74"/>
      <c r="Z468" s="75"/>
    </row>
    <row r="469">
      <c r="A469" s="92"/>
      <c r="B469" s="66"/>
      <c r="C469" s="67"/>
      <c r="D469" s="85"/>
      <c r="E469" s="79"/>
      <c r="F469" s="69"/>
      <c r="G469" s="78"/>
      <c r="H469" s="74"/>
      <c r="I469" s="78"/>
      <c r="J469" s="78"/>
      <c r="K469" s="71"/>
      <c r="L469" s="76"/>
      <c r="M469" s="76"/>
      <c r="N469" s="76"/>
      <c r="O469" s="78"/>
      <c r="P469" s="80"/>
      <c r="Q469" s="71"/>
      <c r="R469" s="71"/>
      <c r="S469" s="71"/>
      <c r="T469" s="71"/>
      <c r="U469" s="71"/>
      <c r="V469" s="74"/>
      <c r="W469" s="74"/>
      <c r="X469" s="74"/>
      <c r="Y469" s="74"/>
      <c r="Z469" s="75"/>
    </row>
    <row r="470">
      <c r="A470" s="92"/>
      <c r="B470" s="66"/>
      <c r="C470" s="67"/>
      <c r="D470" s="79"/>
      <c r="E470" s="79"/>
      <c r="F470" s="69"/>
      <c r="G470" s="78"/>
      <c r="H470" s="74"/>
      <c r="I470" s="78"/>
      <c r="J470" s="78"/>
      <c r="K470" s="71"/>
      <c r="L470" s="76"/>
      <c r="M470" s="76"/>
      <c r="N470" s="76"/>
      <c r="O470" s="70"/>
      <c r="P470" s="73"/>
      <c r="Q470" s="76"/>
      <c r="R470" s="71"/>
      <c r="S470" s="71"/>
      <c r="T470" s="71"/>
      <c r="U470" s="71"/>
      <c r="V470" s="70"/>
      <c r="W470" s="70"/>
      <c r="X470" s="70"/>
      <c r="Y470" s="70"/>
      <c r="Z470" s="83"/>
    </row>
    <row r="471">
      <c r="A471" s="92"/>
      <c r="B471" s="66"/>
      <c r="C471" s="67"/>
      <c r="D471" s="79"/>
      <c r="E471" s="79"/>
      <c r="F471" s="69"/>
      <c r="G471" s="78"/>
      <c r="H471" s="74"/>
      <c r="I471" s="78"/>
      <c r="J471" s="78"/>
      <c r="K471" s="71"/>
      <c r="L471" s="76"/>
      <c r="M471" s="76"/>
      <c r="N471" s="72"/>
      <c r="O471" s="78"/>
      <c r="P471" s="80"/>
      <c r="Q471" s="71"/>
      <c r="R471" s="71"/>
      <c r="S471" s="71"/>
      <c r="T471" s="71"/>
      <c r="U471" s="71"/>
      <c r="V471" s="74"/>
      <c r="W471" s="74"/>
      <c r="X471" s="74"/>
      <c r="Y471" s="74"/>
      <c r="Z471" s="75"/>
    </row>
    <row r="472">
      <c r="A472" s="93"/>
      <c r="B472" s="66"/>
      <c r="C472" s="78"/>
      <c r="D472" s="68"/>
      <c r="E472" s="68"/>
      <c r="F472" s="69"/>
      <c r="G472" s="70"/>
      <c r="H472" s="70"/>
      <c r="I472" s="70"/>
      <c r="J472" s="70"/>
      <c r="K472" s="71"/>
      <c r="L472" s="72"/>
      <c r="M472" s="72"/>
      <c r="N472" s="72"/>
      <c r="O472" s="70"/>
      <c r="P472" s="73"/>
      <c r="Q472" s="76"/>
      <c r="R472" s="71"/>
      <c r="S472" s="71"/>
      <c r="T472" s="71"/>
      <c r="U472" s="71"/>
      <c r="V472" s="74"/>
      <c r="W472" s="74"/>
      <c r="X472" s="74"/>
      <c r="Y472" s="74"/>
      <c r="Z472" s="75"/>
    </row>
    <row r="473">
      <c r="A473" s="93"/>
      <c r="B473" s="66"/>
      <c r="C473" s="78"/>
      <c r="D473" s="68"/>
      <c r="E473" s="68"/>
      <c r="F473" s="69"/>
      <c r="G473" s="70"/>
      <c r="H473" s="70"/>
      <c r="I473" s="70"/>
      <c r="J473" s="70"/>
      <c r="K473" s="71"/>
      <c r="L473" s="72"/>
      <c r="M473" s="71"/>
      <c r="N473" s="72"/>
      <c r="O473" s="70"/>
      <c r="P473" s="73"/>
      <c r="Q473" s="71"/>
      <c r="R473" s="71"/>
      <c r="S473" s="71"/>
      <c r="T473" s="71"/>
      <c r="U473" s="71"/>
      <c r="V473" s="74"/>
      <c r="W473" s="74"/>
      <c r="X473" s="74"/>
      <c r="Y473" s="74"/>
      <c r="Z473" s="75"/>
    </row>
    <row r="474">
      <c r="A474" s="93"/>
      <c r="B474" s="66"/>
      <c r="C474" s="78"/>
      <c r="D474" s="68"/>
      <c r="E474" s="68"/>
      <c r="F474" s="69"/>
      <c r="G474" s="70"/>
      <c r="H474" s="70"/>
      <c r="I474" s="70"/>
      <c r="J474" s="70"/>
      <c r="K474" s="71"/>
      <c r="L474" s="72"/>
      <c r="M474" s="72"/>
      <c r="N474" s="72"/>
      <c r="O474" s="74"/>
      <c r="P474" s="73"/>
      <c r="Q474" s="71"/>
      <c r="R474" s="71"/>
      <c r="S474" s="71"/>
      <c r="T474" s="71"/>
      <c r="U474" s="71"/>
      <c r="V474" s="74"/>
      <c r="W474" s="74"/>
      <c r="X474" s="74"/>
      <c r="Y474" s="74"/>
      <c r="Z474" s="75"/>
    </row>
    <row r="475">
      <c r="A475" s="92"/>
      <c r="B475" s="66"/>
      <c r="C475" s="67"/>
      <c r="D475" s="79"/>
      <c r="E475" s="79"/>
      <c r="F475" s="69"/>
      <c r="G475" s="78"/>
      <c r="H475" s="74"/>
      <c r="I475" s="78"/>
      <c r="J475" s="78"/>
      <c r="K475" s="71"/>
      <c r="L475" s="76"/>
      <c r="M475" s="76"/>
      <c r="N475" s="76"/>
      <c r="O475" s="78"/>
      <c r="P475" s="80"/>
      <c r="Q475" s="71"/>
      <c r="R475" s="71"/>
      <c r="S475" s="71"/>
      <c r="T475" s="71"/>
      <c r="U475" s="76"/>
      <c r="V475" s="74"/>
      <c r="W475" s="74"/>
      <c r="X475" s="74"/>
      <c r="Y475" s="74"/>
      <c r="Z475" s="75"/>
    </row>
    <row r="476">
      <c r="A476" s="92"/>
      <c r="B476" s="66"/>
      <c r="C476" s="67"/>
      <c r="D476" s="68"/>
      <c r="E476" s="68"/>
      <c r="F476" s="69"/>
      <c r="G476" s="70"/>
      <c r="H476" s="70"/>
      <c r="I476" s="70"/>
      <c r="J476" s="70"/>
      <c r="K476" s="71"/>
      <c r="L476" s="76"/>
      <c r="M476" s="76"/>
      <c r="N476" s="76"/>
      <c r="O476" s="78"/>
      <c r="P476" s="80"/>
      <c r="Q476" s="71"/>
      <c r="R476" s="71"/>
      <c r="S476" s="71"/>
      <c r="T476" s="71"/>
      <c r="U476" s="76"/>
      <c r="V476" s="78"/>
      <c r="W476" s="78"/>
      <c r="X476" s="78"/>
      <c r="Y476" s="78"/>
      <c r="Z476" s="81"/>
    </row>
    <row r="477">
      <c r="A477" s="92"/>
      <c r="B477" s="66"/>
      <c r="C477" s="67"/>
      <c r="D477" s="68"/>
      <c r="E477" s="79"/>
      <c r="F477" s="69"/>
      <c r="G477" s="78"/>
      <c r="H477" s="74"/>
      <c r="I477" s="78"/>
      <c r="J477" s="78"/>
      <c r="K477" s="76"/>
      <c r="L477" s="76"/>
      <c r="M477" s="76"/>
      <c r="N477" s="76"/>
      <c r="O477" s="78"/>
      <c r="P477" s="80"/>
      <c r="Q477" s="76"/>
      <c r="R477" s="76"/>
      <c r="S477" s="71"/>
      <c r="T477" s="71"/>
      <c r="U477" s="71"/>
      <c r="V477" s="74"/>
      <c r="W477" s="74"/>
      <c r="X477" s="74"/>
      <c r="Y477" s="74"/>
      <c r="Z477" s="75"/>
    </row>
    <row r="478">
      <c r="A478" s="92"/>
      <c r="B478" s="66"/>
      <c r="C478" s="67"/>
      <c r="D478" s="68"/>
      <c r="E478" s="79"/>
      <c r="F478" s="69"/>
      <c r="G478" s="78"/>
      <c r="H478" s="74"/>
      <c r="I478" s="78"/>
      <c r="J478" s="78"/>
      <c r="K478" s="71"/>
      <c r="L478" s="76"/>
      <c r="M478" s="76"/>
      <c r="N478" s="76"/>
      <c r="O478" s="78"/>
      <c r="P478" s="80"/>
      <c r="Q478" s="71"/>
      <c r="R478" s="71"/>
      <c r="S478" s="71"/>
      <c r="T478" s="71"/>
      <c r="U478" s="76"/>
      <c r="V478" s="74"/>
      <c r="W478" s="74"/>
      <c r="X478" s="74"/>
      <c r="Y478" s="74"/>
      <c r="Z478" s="75"/>
    </row>
    <row r="479">
      <c r="A479" s="93"/>
      <c r="B479" s="66"/>
      <c r="C479" s="78"/>
      <c r="D479" s="68"/>
      <c r="E479" s="68"/>
      <c r="F479" s="69"/>
      <c r="G479" s="70"/>
      <c r="H479" s="70"/>
      <c r="I479" s="70"/>
      <c r="J479" s="70"/>
      <c r="K479" s="71"/>
      <c r="L479" s="76"/>
      <c r="M479" s="76"/>
      <c r="N479" s="76"/>
      <c r="O479" s="70"/>
      <c r="P479" s="73"/>
      <c r="Q479" s="71"/>
      <c r="R479" s="71"/>
      <c r="S479" s="71"/>
      <c r="T479" s="71"/>
      <c r="U479" s="71"/>
      <c r="V479" s="74"/>
      <c r="W479" s="74"/>
      <c r="X479" s="74"/>
      <c r="Y479" s="74"/>
      <c r="Z479" s="75"/>
    </row>
    <row r="480">
      <c r="A480" s="93"/>
      <c r="B480" s="66"/>
      <c r="C480" s="78"/>
      <c r="D480" s="68"/>
      <c r="E480" s="68"/>
      <c r="F480" s="69"/>
      <c r="G480" s="70"/>
      <c r="H480" s="70"/>
      <c r="I480" s="70"/>
      <c r="J480" s="70"/>
      <c r="K480" s="71"/>
      <c r="L480" s="76"/>
      <c r="M480" s="76"/>
      <c r="N480" s="76"/>
      <c r="O480" s="70"/>
      <c r="P480" s="73"/>
      <c r="Q480" s="71"/>
      <c r="R480" s="71"/>
      <c r="S480" s="71"/>
      <c r="T480" s="71"/>
      <c r="U480" s="71"/>
      <c r="V480" s="74"/>
      <c r="W480" s="74"/>
      <c r="X480" s="74"/>
      <c r="Y480" s="74"/>
      <c r="Z480" s="75"/>
    </row>
    <row r="481">
      <c r="A481" s="93"/>
      <c r="B481" s="66"/>
      <c r="C481" s="78"/>
      <c r="D481" s="68"/>
      <c r="E481" s="68"/>
      <c r="F481" s="69"/>
      <c r="G481" s="74"/>
      <c r="H481" s="74"/>
      <c r="I481" s="74"/>
      <c r="J481" s="74"/>
      <c r="K481" s="71"/>
      <c r="L481" s="76"/>
      <c r="M481" s="76"/>
      <c r="N481" s="76"/>
      <c r="O481" s="74"/>
      <c r="P481" s="73"/>
      <c r="Q481" s="71"/>
      <c r="R481" s="71"/>
      <c r="S481" s="71"/>
      <c r="T481" s="71"/>
      <c r="U481" s="71"/>
      <c r="V481" s="74"/>
      <c r="W481" s="74"/>
      <c r="X481" s="74"/>
      <c r="Y481" s="74"/>
      <c r="Z481" s="75"/>
    </row>
    <row r="482">
      <c r="A482" s="92"/>
      <c r="B482" s="66"/>
      <c r="C482" s="67"/>
      <c r="D482" s="68"/>
      <c r="E482" s="79"/>
      <c r="F482" s="69"/>
      <c r="G482" s="78"/>
      <c r="H482" s="74"/>
      <c r="I482" s="78"/>
      <c r="J482" s="78"/>
      <c r="K482" s="76"/>
      <c r="L482" s="76"/>
      <c r="M482" s="76"/>
      <c r="N482" s="76"/>
      <c r="O482" s="78"/>
      <c r="P482" s="80"/>
      <c r="Q482" s="76"/>
      <c r="R482" s="76"/>
      <c r="S482" s="71"/>
      <c r="T482" s="71"/>
      <c r="U482" s="76"/>
      <c r="V482" s="74"/>
      <c r="W482" s="74"/>
      <c r="X482" s="74"/>
      <c r="Y482" s="74"/>
      <c r="Z482" s="75"/>
    </row>
    <row r="483">
      <c r="A483" s="92"/>
      <c r="B483" s="66"/>
      <c r="C483" s="67"/>
      <c r="D483" s="68"/>
      <c r="E483" s="79"/>
      <c r="F483" s="69"/>
      <c r="G483" s="70"/>
      <c r="H483" s="70"/>
      <c r="I483" s="70"/>
      <c r="J483" s="70"/>
      <c r="K483" s="71"/>
      <c r="L483" s="76"/>
      <c r="M483" s="76"/>
      <c r="N483" s="76"/>
      <c r="O483" s="70"/>
      <c r="P483" s="73"/>
      <c r="Q483" s="71"/>
      <c r="R483" s="71"/>
      <c r="S483" s="71"/>
      <c r="T483" s="71"/>
      <c r="U483" s="71"/>
      <c r="V483" s="70"/>
      <c r="W483" s="70"/>
      <c r="X483" s="70"/>
      <c r="Y483" s="70"/>
      <c r="Z483" s="83"/>
    </row>
    <row r="484">
      <c r="A484" s="94"/>
      <c r="B484" s="66"/>
      <c r="C484" s="78"/>
      <c r="D484" s="68"/>
      <c r="E484" s="79"/>
      <c r="F484" s="69"/>
      <c r="G484" s="70"/>
      <c r="H484" s="70"/>
      <c r="I484" s="70"/>
      <c r="J484" s="70"/>
      <c r="K484" s="71"/>
      <c r="L484" s="71"/>
      <c r="M484" s="71"/>
      <c r="N484" s="71"/>
      <c r="O484" s="70"/>
      <c r="P484" s="73"/>
      <c r="Q484" s="71"/>
      <c r="R484" s="71"/>
      <c r="S484" s="71"/>
      <c r="T484" s="71"/>
      <c r="U484" s="71"/>
      <c r="V484" s="70"/>
      <c r="W484" s="70"/>
      <c r="X484" s="70"/>
      <c r="Y484" s="70"/>
      <c r="Z484" s="83"/>
    </row>
    <row r="485">
      <c r="A485" s="93"/>
      <c r="B485" s="66"/>
      <c r="C485" s="78"/>
      <c r="D485" s="68"/>
      <c r="E485" s="68"/>
      <c r="F485" s="69"/>
      <c r="G485" s="70"/>
      <c r="H485" s="70"/>
      <c r="I485" s="70"/>
      <c r="J485" s="70"/>
      <c r="K485" s="71"/>
      <c r="L485" s="76"/>
      <c r="M485" s="76"/>
      <c r="N485" s="76"/>
      <c r="O485" s="70"/>
      <c r="P485" s="73"/>
      <c r="Q485" s="71"/>
      <c r="R485" s="71"/>
      <c r="S485" s="71"/>
      <c r="T485" s="71"/>
      <c r="U485" s="71"/>
      <c r="V485" s="74"/>
      <c r="W485" s="74"/>
      <c r="X485" s="74"/>
      <c r="Y485" s="74"/>
      <c r="Z485" s="75"/>
    </row>
    <row r="486">
      <c r="A486" s="92"/>
      <c r="B486" s="66"/>
      <c r="C486" s="67"/>
      <c r="D486" s="68"/>
      <c r="E486" s="79"/>
      <c r="F486" s="69"/>
      <c r="G486" s="70"/>
      <c r="H486" s="70"/>
      <c r="I486" s="70"/>
      <c r="J486" s="70"/>
      <c r="K486" s="71"/>
      <c r="L486" s="76"/>
      <c r="M486" s="76"/>
      <c r="N486" s="76"/>
      <c r="O486" s="70"/>
      <c r="P486" s="73"/>
      <c r="Q486" s="71"/>
      <c r="R486" s="71"/>
      <c r="S486" s="71"/>
      <c r="T486" s="71"/>
      <c r="U486" s="71"/>
      <c r="V486" s="70"/>
      <c r="W486" s="70"/>
      <c r="X486" s="70"/>
      <c r="Y486" s="70"/>
      <c r="Z486" s="83"/>
    </row>
    <row r="487">
      <c r="A487" s="92"/>
      <c r="B487" s="66"/>
      <c r="C487" s="67"/>
      <c r="D487" s="79"/>
      <c r="E487" s="79"/>
      <c r="F487" s="69"/>
      <c r="G487" s="78"/>
      <c r="H487" s="74"/>
      <c r="I487" s="78"/>
      <c r="J487" s="78"/>
      <c r="K487" s="76"/>
      <c r="L487" s="76"/>
      <c r="M487" s="76"/>
      <c r="N487" s="76"/>
      <c r="O487" s="78"/>
      <c r="P487" s="80"/>
      <c r="Q487" s="76"/>
      <c r="R487" s="76"/>
      <c r="S487" s="71"/>
      <c r="T487" s="71"/>
      <c r="U487" s="76"/>
      <c r="V487" s="74"/>
      <c r="W487" s="74"/>
      <c r="X487" s="74"/>
      <c r="Y487" s="74"/>
      <c r="Z487" s="75"/>
    </row>
    <row r="488">
      <c r="A488" s="92"/>
      <c r="B488" s="66"/>
      <c r="C488" s="67"/>
      <c r="D488" s="68"/>
      <c r="E488" s="79"/>
      <c r="F488" s="69"/>
      <c r="G488" s="78"/>
      <c r="H488" s="78"/>
      <c r="I488" s="78"/>
      <c r="J488" s="78"/>
      <c r="K488" s="76"/>
      <c r="L488" s="76"/>
      <c r="M488" s="76"/>
      <c r="N488" s="76"/>
      <c r="O488" s="78"/>
      <c r="P488" s="80"/>
      <c r="Q488" s="76"/>
      <c r="R488" s="76"/>
      <c r="S488" s="71"/>
      <c r="T488" s="71"/>
      <c r="U488" s="71"/>
      <c r="V488" s="78"/>
      <c r="W488" s="78"/>
      <c r="X488" s="78"/>
      <c r="Y488" s="78"/>
      <c r="Z488" s="81"/>
    </row>
    <row r="489">
      <c r="A489" s="92"/>
      <c r="B489" s="66"/>
      <c r="C489" s="67"/>
      <c r="D489" s="68"/>
      <c r="E489" s="79"/>
      <c r="F489" s="69"/>
      <c r="G489" s="78"/>
      <c r="H489" s="74"/>
      <c r="I489" s="78"/>
      <c r="J489" s="78"/>
      <c r="K489" s="76"/>
      <c r="L489" s="76"/>
      <c r="M489" s="76"/>
      <c r="N489" s="76"/>
      <c r="O489" s="78"/>
      <c r="P489" s="80"/>
      <c r="Q489" s="76"/>
      <c r="R489" s="76"/>
      <c r="S489" s="71"/>
      <c r="T489" s="71"/>
      <c r="U489" s="76"/>
      <c r="V489" s="74"/>
      <c r="W489" s="74"/>
      <c r="X489" s="74"/>
      <c r="Y489" s="74"/>
      <c r="Z489" s="75"/>
    </row>
    <row r="490">
      <c r="A490" s="92"/>
      <c r="B490" s="66"/>
      <c r="C490" s="67"/>
      <c r="D490" s="79"/>
      <c r="E490" s="79"/>
      <c r="F490" s="69"/>
      <c r="G490" s="78"/>
      <c r="H490" s="74"/>
      <c r="I490" s="78"/>
      <c r="J490" s="78"/>
      <c r="K490" s="71"/>
      <c r="L490" s="76"/>
      <c r="M490" s="76"/>
      <c r="N490" s="76"/>
      <c r="O490" s="78"/>
      <c r="P490" s="80"/>
      <c r="Q490" s="71"/>
      <c r="R490" s="71"/>
      <c r="S490" s="71"/>
      <c r="T490" s="71"/>
      <c r="U490" s="71"/>
      <c r="V490" s="74"/>
      <c r="W490" s="74"/>
      <c r="X490" s="74"/>
      <c r="Y490" s="74"/>
      <c r="Z490" s="75"/>
    </row>
    <row r="491">
      <c r="A491" s="92"/>
      <c r="B491" s="66"/>
      <c r="C491" s="67"/>
      <c r="D491" s="68"/>
      <c r="E491" s="79"/>
      <c r="F491" s="69"/>
      <c r="G491" s="70"/>
      <c r="H491" s="70"/>
      <c r="I491" s="70"/>
      <c r="J491" s="70"/>
      <c r="K491" s="71"/>
      <c r="L491" s="71"/>
      <c r="M491" s="76"/>
      <c r="N491" s="76"/>
      <c r="O491" s="70"/>
      <c r="P491" s="73"/>
      <c r="Q491" s="71"/>
      <c r="R491" s="71"/>
      <c r="S491" s="71"/>
      <c r="T491" s="71"/>
      <c r="U491" s="71"/>
      <c r="V491" s="70"/>
      <c r="W491" s="70"/>
      <c r="X491" s="70"/>
      <c r="Y491" s="70"/>
      <c r="Z491" s="83"/>
    </row>
    <row r="492">
      <c r="A492" s="92"/>
      <c r="B492" s="66"/>
      <c r="C492" s="67"/>
      <c r="D492" s="68"/>
      <c r="E492" s="79"/>
      <c r="F492" s="69"/>
      <c r="G492" s="70"/>
      <c r="H492" s="70"/>
      <c r="I492" s="70"/>
      <c r="J492" s="70"/>
      <c r="K492" s="71"/>
      <c r="L492" s="76"/>
      <c r="M492" s="76"/>
      <c r="N492" s="76"/>
      <c r="O492" s="70"/>
      <c r="P492" s="73"/>
      <c r="Q492" s="71"/>
      <c r="R492" s="71"/>
      <c r="S492" s="71"/>
      <c r="T492" s="71"/>
      <c r="U492" s="71"/>
      <c r="V492" s="70"/>
      <c r="W492" s="70"/>
      <c r="X492" s="70"/>
      <c r="Y492" s="70"/>
      <c r="Z492" s="83"/>
    </row>
    <row r="493">
      <c r="A493" s="92"/>
      <c r="B493" s="66"/>
      <c r="C493" s="67"/>
      <c r="D493" s="68"/>
      <c r="E493" s="79"/>
      <c r="F493" s="69"/>
      <c r="G493" s="78"/>
      <c r="H493" s="74"/>
      <c r="I493" s="78"/>
      <c r="J493" s="78"/>
      <c r="K493" s="71"/>
      <c r="L493" s="76"/>
      <c r="M493" s="76"/>
      <c r="N493" s="76"/>
      <c r="O493" s="78"/>
      <c r="P493" s="73"/>
      <c r="Q493" s="76"/>
      <c r="R493" s="71"/>
      <c r="S493" s="71"/>
      <c r="T493" s="71"/>
      <c r="U493" s="76"/>
      <c r="V493" s="74"/>
      <c r="W493" s="74"/>
      <c r="X493" s="74"/>
      <c r="Y493" s="74"/>
      <c r="Z493" s="75"/>
    </row>
    <row r="494">
      <c r="A494" s="92"/>
      <c r="B494" s="66"/>
      <c r="C494" s="67"/>
      <c r="D494" s="79"/>
      <c r="E494" s="79"/>
      <c r="F494" s="69"/>
      <c r="G494" s="78"/>
      <c r="H494" s="74"/>
      <c r="I494" s="78"/>
      <c r="J494" s="78"/>
      <c r="K494" s="71"/>
      <c r="L494" s="76"/>
      <c r="M494" s="76"/>
      <c r="N494" s="76"/>
      <c r="O494" s="78"/>
      <c r="P494" s="80"/>
      <c r="Q494" s="71"/>
      <c r="R494" s="71"/>
      <c r="S494" s="71"/>
      <c r="T494" s="71"/>
      <c r="U494" s="71"/>
      <c r="V494" s="74"/>
      <c r="W494" s="74"/>
      <c r="X494" s="74"/>
      <c r="Y494" s="74"/>
      <c r="Z494" s="75"/>
    </row>
    <row r="495">
      <c r="A495" s="92"/>
      <c r="B495" s="66"/>
      <c r="C495" s="67"/>
      <c r="D495" s="68"/>
      <c r="E495" s="79"/>
      <c r="F495" s="69"/>
      <c r="G495" s="78"/>
      <c r="H495" s="74"/>
      <c r="I495" s="78"/>
      <c r="J495" s="78"/>
      <c r="K495" s="71"/>
      <c r="L495" s="76"/>
      <c r="M495" s="76"/>
      <c r="N495" s="76"/>
      <c r="O495" s="78"/>
      <c r="P495" s="80"/>
      <c r="Q495" s="76"/>
      <c r="R495" s="71"/>
      <c r="S495" s="71"/>
      <c r="T495" s="71"/>
      <c r="U495" s="76"/>
      <c r="V495" s="74"/>
      <c r="W495" s="74"/>
      <c r="X495" s="74"/>
      <c r="Y495" s="74"/>
      <c r="Z495" s="75"/>
    </row>
    <row r="496">
      <c r="A496" s="92"/>
      <c r="B496" s="66"/>
      <c r="C496" s="67"/>
      <c r="D496" s="79"/>
      <c r="E496" s="79"/>
      <c r="F496" s="69"/>
      <c r="G496" s="78"/>
      <c r="H496" s="78"/>
      <c r="I496" s="78"/>
      <c r="J496" s="78"/>
      <c r="K496" s="76"/>
      <c r="L496" s="76"/>
      <c r="M496" s="76"/>
      <c r="N496" s="76"/>
      <c r="O496" s="78"/>
      <c r="P496" s="80"/>
      <c r="Q496" s="76"/>
      <c r="R496" s="76"/>
      <c r="S496" s="76"/>
      <c r="T496" s="76"/>
      <c r="U496" s="76"/>
      <c r="V496" s="78"/>
      <c r="W496" s="78"/>
      <c r="X496" s="78"/>
      <c r="Y496" s="78"/>
      <c r="Z496" s="81"/>
    </row>
    <row r="497">
      <c r="A497" s="93"/>
      <c r="B497" s="66"/>
      <c r="C497" s="78"/>
      <c r="D497" s="68"/>
      <c r="E497" s="68"/>
      <c r="F497" s="69"/>
      <c r="G497" s="70"/>
      <c r="H497" s="70"/>
      <c r="I497" s="70"/>
      <c r="J497" s="70"/>
      <c r="K497" s="71"/>
      <c r="L497" s="72"/>
      <c r="M497" s="72"/>
      <c r="N497" s="72"/>
      <c r="O497" s="70"/>
      <c r="P497" s="73"/>
      <c r="Q497" s="71"/>
      <c r="R497" s="71"/>
      <c r="S497" s="71"/>
      <c r="T497" s="71"/>
      <c r="U497" s="71"/>
      <c r="V497" s="70"/>
      <c r="W497" s="70"/>
      <c r="X497" s="70"/>
      <c r="Y497" s="70"/>
      <c r="Z497" s="83"/>
    </row>
    <row r="498">
      <c r="A498" s="92"/>
      <c r="B498" s="66"/>
      <c r="C498" s="67"/>
      <c r="D498" s="79"/>
      <c r="E498" s="79"/>
      <c r="F498" s="69"/>
      <c r="G498" s="78"/>
      <c r="H498" s="74"/>
      <c r="I498" s="78"/>
      <c r="J498" s="78"/>
      <c r="K498" s="76"/>
      <c r="L498" s="76"/>
      <c r="M498" s="76"/>
      <c r="N498" s="76"/>
      <c r="O498" s="78"/>
      <c r="P498" s="80"/>
      <c r="Q498" s="76"/>
      <c r="R498" s="71"/>
      <c r="S498" s="76"/>
      <c r="T498" s="76"/>
      <c r="U498" s="76"/>
      <c r="V498" s="78"/>
      <c r="W498" s="78"/>
      <c r="X498" s="78"/>
      <c r="Y498" s="70"/>
      <c r="Z498" s="83"/>
    </row>
    <row r="499">
      <c r="A499" s="92"/>
      <c r="B499" s="66"/>
      <c r="C499" s="67"/>
      <c r="D499" s="68"/>
      <c r="E499" s="79"/>
      <c r="F499" s="69"/>
      <c r="G499" s="78"/>
      <c r="H499" s="74"/>
      <c r="I499" s="78"/>
      <c r="J499" s="78"/>
      <c r="K499" s="76"/>
      <c r="L499" s="76"/>
      <c r="M499" s="76"/>
      <c r="N499" s="76"/>
      <c r="O499" s="78"/>
      <c r="P499" s="80"/>
      <c r="Q499" s="76"/>
      <c r="R499" s="76"/>
      <c r="S499" s="71"/>
      <c r="T499" s="71"/>
      <c r="U499" s="76"/>
      <c r="V499" s="74"/>
      <c r="W499" s="74"/>
      <c r="X499" s="74"/>
      <c r="Y499" s="74"/>
      <c r="Z499" s="75"/>
    </row>
    <row r="500">
      <c r="A500" s="92"/>
      <c r="B500" s="66"/>
      <c r="C500" s="67"/>
      <c r="D500" s="79"/>
      <c r="E500" s="79"/>
      <c r="F500" s="69"/>
      <c r="G500" s="78"/>
      <c r="H500" s="74"/>
      <c r="I500" s="78"/>
      <c r="J500" s="78"/>
      <c r="K500" s="76"/>
      <c r="L500" s="76"/>
      <c r="M500" s="76"/>
      <c r="N500" s="76"/>
      <c r="O500" s="78"/>
      <c r="P500" s="80"/>
      <c r="Q500" s="76"/>
      <c r="R500" s="76"/>
      <c r="S500" s="71"/>
      <c r="T500" s="71"/>
      <c r="U500" s="76"/>
      <c r="V500" s="74"/>
      <c r="W500" s="74"/>
      <c r="X500" s="74"/>
      <c r="Y500" s="74"/>
      <c r="Z500" s="75"/>
    </row>
    <row r="501">
      <c r="A501" s="92"/>
      <c r="B501" s="66"/>
      <c r="C501" s="67"/>
      <c r="D501" s="79"/>
      <c r="E501" s="79"/>
      <c r="F501" s="86"/>
      <c r="G501" s="78"/>
      <c r="H501" s="78"/>
      <c r="I501" s="78"/>
      <c r="J501" s="78"/>
      <c r="K501" s="76"/>
      <c r="L501" s="76"/>
      <c r="M501" s="76"/>
      <c r="N501" s="76"/>
      <c r="O501" s="78"/>
      <c r="P501" s="80"/>
      <c r="Q501" s="76"/>
      <c r="R501" s="76"/>
      <c r="S501" s="71"/>
      <c r="T501" s="71"/>
      <c r="U501" s="76"/>
      <c r="V501" s="78"/>
      <c r="W501" s="78"/>
      <c r="X501" s="78"/>
      <c r="Y501" s="78"/>
      <c r="Z501" s="81"/>
    </row>
    <row r="502">
      <c r="A502" s="92"/>
      <c r="B502" s="66"/>
      <c r="C502" s="67"/>
      <c r="D502" s="68"/>
      <c r="E502" s="79"/>
      <c r="F502" s="69"/>
      <c r="G502" s="78"/>
      <c r="H502" s="74"/>
      <c r="I502" s="78"/>
      <c r="J502" s="78"/>
      <c r="K502" s="71"/>
      <c r="L502" s="76"/>
      <c r="M502" s="76"/>
      <c r="N502" s="76"/>
      <c r="O502" s="78"/>
      <c r="P502" s="80"/>
      <c r="Q502" s="71"/>
      <c r="R502" s="71"/>
      <c r="S502" s="71"/>
      <c r="T502" s="71"/>
      <c r="U502" s="76"/>
      <c r="V502" s="74"/>
      <c r="W502" s="74"/>
      <c r="X502" s="74"/>
      <c r="Y502" s="74"/>
      <c r="Z502" s="75"/>
    </row>
    <row r="503">
      <c r="A503" s="92"/>
      <c r="B503" s="66"/>
      <c r="C503" s="67"/>
      <c r="D503" s="68"/>
      <c r="E503" s="79"/>
      <c r="F503" s="69"/>
      <c r="G503" s="78"/>
      <c r="H503" s="74"/>
      <c r="I503" s="78"/>
      <c r="J503" s="78"/>
      <c r="K503" s="76"/>
      <c r="L503" s="76"/>
      <c r="M503" s="76"/>
      <c r="N503" s="76"/>
      <c r="O503" s="78"/>
      <c r="P503" s="80"/>
      <c r="Q503" s="76"/>
      <c r="R503" s="76"/>
      <c r="S503" s="71"/>
      <c r="T503" s="71"/>
      <c r="U503" s="76"/>
      <c r="V503" s="74"/>
      <c r="W503" s="74"/>
      <c r="X503" s="74"/>
      <c r="Y503" s="74"/>
      <c r="Z503" s="75"/>
    </row>
    <row r="504">
      <c r="A504" s="93"/>
      <c r="B504" s="66"/>
      <c r="C504" s="78"/>
      <c r="D504" s="68"/>
      <c r="E504" s="68"/>
      <c r="F504" s="69"/>
      <c r="G504" s="70"/>
      <c r="H504" s="70"/>
      <c r="I504" s="70"/>
      <c r="J504" s="70"/>
      <c r="K504" s="71"/>
      <c r="L504" s="76"/>
      <c r="M504" s="76"/>
      <c r="N504" s="76"/>
      <c r="O504" s="74"/>
      <c r="P504" s="73"/>
      <c r="Q504" s="71"/>
      <c r="R504" s="71"/>
      <c r="S504" s="71"/>
      <c r="T504" s="71"/>
      <c r="U504" s="72"/>
      <c r="V504" s="74"/>
      <c r="W504" s="74"/>
      <c r="X504" s="74"/>
      <c r="Y504" s="74"/>
      <c r="Z504" s="75"/>
    </row>
    <row r="505">
      <c r="A505" s="92"/>
      <c r="B505" s="66"/>
      <c r="C505" s="67"/>
      <c r="D505" s="79"/>
      <c r="E505" s="79"/>
      <c r="F505" s="69"/>
      <c r="G505" s="78"/>
      <c r="H505" s="74"/>
      <c r="I505" s="78"/>
      <c r="J505" s="78"/>
      <c r="K505" s="71"/>
      <c r="L505" s="76"/>
      <c r="M505" s="76"/>
      <c r="N505" s="76"/>
      <c r="O505" s="78"/>
      <c r="P505" s="80"/>
      <c r="Q505" s="71"/>
      <c r="R505" s="71"/>
      <c r="S505" s="71"/>
      <c r="T505" s="71"/>
      <c r="U505" s="71"/>
      <c r="V505" s="74"/>
      <c r="W505" s="74"/>
      <c r="X505" s="74"/>
      <c r="Y505" s="74"/>
      <c r="Z505" s="75"/>
    </row>
    <row r="506">
      <c r="A506" s="93"/>
      <c r="B506" s="66"/>
      <c r="C506" s="78"/>
      <c r="D506" s="68"/>
      <c r="E506" s="68"/>
      <c r="F506" s="69"/>
      <c r="G506" s="70"/>
      <c r="H506" s="70"/>
      <c r="I506" s="70"/>
      <c r="J506" s="70"/>
      <c r="K506" s="71"/>
      <c r="L506" s="72"/>
      <c r="M506" s="72"/>
      <c r="N506" s="72"/>
      <c r="O506" s="74"/>
      <c r="P506" s="73"/>
      <c r="Q506" s="71"/>
      <c r="R506" s="71"/>
      <c r="S506" s="71"/>
      <c r="T506" s="71"/>
      <c r="U506" s="72"/>
      <c r="V506" s="74"/>
      <c r="W506" s="74"/>
      <c r="X506" s="74"/>
      <c r="Y506" s="74"/>
      <c r="Z506" s="75"/>
    </row>
    <row r="507">
      <c r="A507" s="92"/>
      <c r="B507" s="66"/>
      <c r="C507" s="67"/>
      <c r="D507" s="68"/>
      <c r="E507" s="79"/>
      <c r="F507" s="69"/>
      <c r="G507" s="70"/>
      <c r="H507" s="70"/>
      <c r="I507" s="70"/>
      <c r="J507" s="70"/>
      <c r="K507" s="71"/>
      <c r="L507" s="76"/>
      <c r="M507" s="76"/>
      <c r="N507" s="76"/>
      <c r="O507" s="78"/>
      <c r="P507" s="80"/>
      <c r="Q507" s="76"/>
      <c r="R507" s="71"/>
      <c r="S507" s="71"/>
      <c r="T507" s="71"/>
      <c r="U507" s="71"/>
      <c r="V507" s="78"/>
      <c r="W507" s="78"/>
      <c r="X507" s="78"/>
      <c r="Y507" s="78"/>
      <c r="Z507" s="81"/>
    </row>
    <row r="508">
      <c r="A508" s="92"/>
      <c r="B508" s="66"/>
      <c r="C508" s="67"/>
      <c r="D508" s="68"/>
      <c r="E508" s="79"/>
      <c r="F508" s="69"/>
      <c r="G508" s="70"/>
      <c r="H508" s="70"/>
      <c r="I508" s="70"/>
      <c r="J508" s="70"/>
      <c r="K508" s="71"/>
      <c r="L508" s="76"/>
      <c r="M508" s="76"/>
      <c r="N508" s="76"/>
      <c r="O508" s="70"/>
      <c r="P508" s="73"/>
      <c r="Q508" s="71"/>
      <c r="R508" s="71"/>
      <c r="S508" s="71"/>
      <c r="T508" s="71"/>
      <c r="U508" s="71"/>
      <c r="V508" s="70"/>
      <c r="W508" s="70"/>
      <c r="X508" s="70"/>
      <c r="Y508" s="70"/>
      <c r="Z508" s="83"/>
    </row>
    <row r="509">
      <c r="A509" s="92"/>
      <c r="B509" s="66"/>
      <c r="C509" s="67"/>
      <c r="D509" s="79"/>
      <c r="E509" s="79"/>
      <c r="F509" s="69"/>
      <c r="G509" s="78"/>
      <c r="H509" s="78"/>
      <c r="I509" s="78"/>
      <c r="J509" s="78"/>
      <c r="K509" s="71"/>
      <c r="L509" s="76"/>
      <c r="M509" s="76"/>
      <c r="N509" s="76"/>
      <c r="O509" s="78"/>
      <c r="P509" s="80"/>
      <c r="Q509" s="71"/>
      <c r="R509" s="71"/>
      <c r="S509" s="76"/>
      <c r="T509" s="76"/>
      <c r="U509" s="71"/>
      <c r="V509" s="78"/>
      <c r="W509" s="78"/>
      <c r="X509" s="78"/>
      <c r="Y509" s="78"/>
      <c r="Z509" s="81"/>
    </row>
    <row r="510">
      <c r="A510" s="92"/>
      <c r="B510" s="66"/>
      <c r="C510" s="67"/>
      <c r="D510" s="68"/>
      <c r="E510" s="79"/>
      <c r="F510" s="69"/>
      <c r="G510" s="78"/>
      <c r="H510" s="74"/>
      <c r="I510" s="78"/>
      <c r="J510" s="78"/>
      <c r="K510" s="76"/>
      <c r="L510" s="76"/>
      <c r="M510" s="76"/>
      <c r="N510" s="76"/>
      <c r="O510" s="78"/>
      <c r="P510" s="80"/>
      <c r="Q510" s="76"/>
      <c r="R510" s="76"/>
      <c r="S510" s="71"/>
      <c r="T510" s="71"/>
      <c r="U510" s="71"/>
      <c r="V510" s="74"/>
      <c r="W510" s="74"/>
      <c r="X510" s="74"/>
      <c r="Y510" s="74"/>
      <c r="Z510" s="75"/>
    </row>
    <row r="511">
      <c r="A511" s="92"/>
      <c r="B511" s="66"/>
      <c r="C511" s="67"/>
      <c r="D511" s="79"/>
      <c r="E511" s="79"/>
      <c r="F511" s="69"/>
      <c r="G511" s="78"/>
      <c r="H511" s="74"/>
      <c r="I511" s="78"/>
      <c r="J511" s="78"/>
      <c r="K511" s="71"/>
      <c r="L511" s="76"/>
      <c r="M511" s="76"/>
      <c r="N511" s="76"/>
      <c r="O511" s="78"/>
      <c r="P511" s="80"/>
      <c r="Q511" s="71"/>
      <c r="R511" s="71"/>
      <c r="S511" s="72"/>
      <c r="T511" s="72"/>
      <c r="U511" s="76"/>
      <c r="V511" s="74"/>
      <c r="W511" s="74"/>
      <c r="X511" s="74"/>
      <c r="Y511" s="74"/>
      <c r="Z511" s="75"/>
    </row>
    <row r="512">
      <c r="A512" s="92"/>
      <c r="B512" s="66"/>
      <c r="C512" s="67"/>
      <c r="D512" s="68"/>
      <c r="E512" s="68"/>
      <c r="F512" s="69"/>
      <c r="G512" s="70"/>
      <c r="H512" s="70"/>
      <c r="I512" s="70"/>
      <c r="J512" s="70"/>
      <c r="K512" s="71"/>
      <c r="L512" s="76"/>
      <c r="M512" s="76"/>
      <c r="N512" s="76"/>
      <c r="O512" s="74"/>
      <c r="P512" s="73"/>
      <c r="Q512" s="71"/>
      <c r="R512" s="71"/>
      <c r="S512" s="71"/>
      <c r="T512" s="71"/>
      <c r="U512" s="72"/>
      <c r="V512" s="74"/>
      <c r="W512" s="74"/>
      <c r="X512" s="74"/>
      <c r="Y512" s="74"/>
      <c r="Z512" s="75"/>
    </row>
    <row r="513">
      <c r="A513" s="92"/>
      <c r="B513" s="66"/>
      <c r="C513" s="67"/>
      <c r="D513" s="79"/>
      <c r="E513" s="79"/>
      <c r="F513" s="69"/>
      <c r="G513" s="78"/>
      <c r="H513" s="74"/>
      <c r="I513" s="78"/>
      <c r="J513" s="78"/>
      <c r="K513" s="71"/>
      <c r="L513" s="76"/>
      <c r="M513" s="76"/>
      <c r="N513" s="76"/>
      <c r="O513" s="78"/>
      <c r="P513" s="80"/>
      <c r="Q513" s="71"/>
      <c r="R513" s="71"/>
      <c r="S513" s="71"/>
      <c r="T513" s="71"/>
      <c r="U513" s="71"/>
      <c r="V513" s="74"/>
      <c r="W513" s="74"/>
      <c r="X513" s="74"/>
      <c r="Y513" s="74"/>
      <c r="Z513" s="75"/>
    </row>
    <row r="514">
      <c r="A514" s="92"/>
      <c r="B514" s="66"/>
      <c r="C514" s="67"/>
      <c r="D514" s="68"/>
      <c r="E514" s="79"/>
      <c r="F514" s="69"/>
      <c r="G514" s="70"/>
      <c r="H514" s="70"/>
      <c r="I514" s="70"/>
      <c r="J514" s="70"/>
      <c r="K514" s="71"/>
      <c r="L514" s="76"/>
      <c r="M514" s="76"/>
      <c r="N514" s="76"/>
      <c r="O514" s="70"/>
      <c r="P514" s="73"/>
      <c r="Q514" s="71"/>
      <c r="R514" s="71"/>
      <c r="S514" s="71"/>
      <c r="T514" s="71"/>
      <c r="U514" s="71"/>
      <c r="V514" s="70"/>
      <c r="W514" s="70"/>
      <c r="X514" s="70"/>
      <c r="Y514" s="70"/>
      <c r="Z514" s="83"/>
    </row>
    <row r="515">
      <c r="A515" s="92"/>
      <c r="B515" s="66"/>
      <c r="C515" s="67"/>
      <c r="D515" s="68"/>
      <c r="E515" s="79"/>
      <c r="F515" s="69"/>
      <c r="G515" s="78"/>
      <c r="H515" s="74"/>
      <c r="I515" s="78"/>
      <c r="J515" s="78"/>
      <c r="K515" s="71"/>
      <c r="L515" s="76"/>
      <c r="M515" s="76"/>
      <c r="N515" s="76"/>
      <c r="O515" s="78"/>
      <c r="P515" s="80"/>
      <c r="Q515" s="76"/>
      <c r="R515" s="71"/>
      <c r="S515" s="71"/>
      <c r="T515" s="71"/>
      <c r="U515" s="76"/>
      <c r="V515" s="74"/>
      <c r="W515" s="74"/>
      <c r="X515" s="74"/>
      <c r="Y515" s="74"/>
      <c r="Z515" s="75"/>
    </row>
    <row r="516">
      <c r="A516" s="92"/>
      <c r="B516" s="66"/>
      <c r="C516" s="67"/>
      <c r="D516" s="68"/>
      <c r="E516" s="79"/>
      <c r="F516" s="69"/>
      <c r="G516" s="78"/>
      <c r="H516" s="74"/>
      <c r="I516" s="78"/>
      <c r="J516" s="78"/>
      <c r="K516" s="76"/>
      <c r="L516" s="76"/>
      <c r="M516" s="76"/>
      <c r="N516" s="76"/>
      <c r="O516" s="78"/>
      <c r="P516" s="80"/>
      <c r="Q516" s="76"/>
      <c r="R516" s="76"/>
      <c r="S516" s="71"/>
      <c r="T516" s="71"/>
      <c r="U516" s="71"/>
      <c r="V516" s="74"/>
      <c r="W516" s="74"/>
      <c r="X516" s="74"/>
      <c r="Y516" s="74"/>
      <c r="Z516" s="75"/>
    </row>
    <row r="517">
      <c r="A517" s="94"/>
      <c r="B517" s="66"/>
      <c r="C517" s="78"/>
      <c r="D517" s="68"/>
      <c r="E517" s="68"/>
      <c r="F517" s="69"/>
      <c r="G517" s="70"/>
      <c r="H517" s="70"/>
      <c r="I517" s="70"/>
      <c r="J517" s="70"/>
      <c r="K517" s="71"/>
      <c r="L517" s="71"/>
      <c r="M517" s="71"/>
      <c r="N517" s="71"/>
      <c r="O517" s="70"/>
      <c r="P517" s="73"/>
      <c r="Q517" s="71"/>
      <c r="R517" s="71"/>
      <c r="S517" s="71"/>
      <c r="T517" s="71"/>
      <c r="U517" s="71"/>
      <c r="V517" s="70"/>
      <c r="W517" s="70"/>
      <c r="X517" s="70"/>
      <c r="Y517" s="70"/>
      <c r="Z517" s="83"/>
    </row>
    <row r="518">
      <c r="A518" s="93"/>
      <c r="B518" s="66"/>
      <c r="C518" s="78"/>
      <c r="D518" s="68"/>
      <c r="E518" s="68"/>
      <c r="F518" s="69"/>
      <c r="G518" s="70"/>
      <c r="H518" s="70"/>
      <c r="I518" s="70"/>
      <c r="J518" s="70"/>
      <c r="K518" s="72"/>
      <c r="L518" s="76"/>
      <c r="M518" s="76"/>
      <c r="N518" s="76"/>
      <c r="O518" s="74"/>
      <c r="P518" s="73"/>
      <c r="Q518" s="72"/>
      <c r="R518" s="72"/>
      <c r="S518" s="71"/>
      <c r="T518" s="71"/>
      <c r="U518" s="71"/>
      <c r="V518" s="74"/>
      <c r="W518" s="74"/>
      <c r="X518" s="74"/>
      <c r="Y518" s="74"/>
      <c r="Z518" s="75"/>
    </row>
    <row r="519">
      <c r="A519" s="93"/>
      <c r="B519" s="66"/>
      <c r="C519" s="78"/>
      <c r="D519" s="68"/>
      <c r="E519" s="68"/>
      <c r="F519" s="69"/>
      <c r="G519" s="70"/>
      <c r="H519" s="70"/>
      <c r="I519" s="70"/>
      <c r="J519" s="70"/>
      <c r="K519" s="71"/>
      <c r="L519" s="76"/>
      <c r="M519" s="76"/>
      <c r="N519" s="76"/>
      <c r="O519" s="70"/>
      <c r="P519" s="73"/>
      <c r="Q519" s="71"/>
      <c r="R519" s="71"/>
      <c r="S519" s="71"/>
      <c r="T519" s="71"/>
      <c r="U519" s="71"/>
      <c r="V519" s="74"/>
      <c r="W519" s="74"/>
      <c r="X519" s="74"/>
      <c r="Y519" s="74"/>
      <c r="Z519" s="75"/>
    </row>
    <row r="520">
      <c r="A520" s="92"/>
      <c r="B520" s="66"/>
      <c r="C520" s="67"/>
      <c r="D520" s="68"/>
      <c r="E520" s="79"/>
      <c r="F520" s="69"/>
      <c r="G520" s="70"/>
      <c r="H520" s="70"/>
      <c r="I520" s="70"/>
      <c r="J520" s="70"/>
      <c r="K520" s="71"/>
      <c r="L520" s="76"/>
      <c r="M520" s="76"/>
      <c r="N520" s="76"/>
      <c r="O520" s="70"/>
      <c r="P520" s="73"/>
      <c r="Q520" s="71"/>
      <c r="R520" s="71"/>
      <c r="S520" s="71"/>
      <c r="T520" s="71"/>
      <c r="U520" s="71"/>
      <c r="V520" s="70"/>
      <c r="W520" s="70"/>
      <c r="X520" s="70"/>
      <c r="Y520" s="70"/>
      <c r="Z520" s="83"/>
    </row>
    <row r="521">
      <c r="A521" s="92"/>
      <c r="B521" s="66"/>
      <c r="C521" s="67"/>
      <c r="D521" s="79"/>
      <c r="E521" s="79"/>
      <c r="F521" s="69"/>
      <c r="G521" s="78"/>
      <c r="H521" s="74"/>
      <c r="I521" s="78"/>
      <c r="J521" s="78"/>
      <c r="K521" s="71"/>
      <c r="L521" s="76"/>
      <c r="M521" s="76"/>
      <c r="N521" s="72"/>
      <c r="O521" s="78"/>
      <c r="P521" s="80"/>
      <c r="Q521" s="71"/>
      <c r="R521" s="71"/>
      <c r="S521" s="71"/>
      <c r="T521" s="71"/>
      <c r="U521" s="71"/>
      <c r="V521" s="74"/>
      <c r="W521" s="74"/>
      <c r="X521" s="74"/>
      <c r="Y521" s="74"/>
      <c r="Z521" s="75"/>
    </row>
    <row r="522">
      <c r="A522" s="93"/>
      <c r="B522" s="66"/>
      <c r="C522" s="78"/>
      <c r="D522" s="68"/>
      <c r="E522" s="68"/>
      <c r="F522" s="69"/>
      <c r="G522" s="70"/>
      <c r="H522" s="70"/>
      <c r="I522" s="70"/>
      <c r="J522" s="70"/>
      <c r="K522" s="71"/>
      <c r="L522" s="76"/>
      <c r="M522" s="76"/>
      <c r="N522" s="76"/>
      <c r="O522" s="74"/>
      <c r="P522" s="73"/>
      <c r="Q522" s="71"/>
      <c r="R522" s="71"/>
      <c r="S522" s="71"/>
      <c r="T522" s="71"/>
      <c r="U522" s="71"/>
      <c r="V522" s="74"/>
      <c r="W522" s="74"/>
      <c r="X522" s="74"/>
      <c r="Y522" s="74"/>
      <c r="Z522" s="75"/>
    </row>
    <row r="523">
      <c r="A523" s="92"/>
      <c r="B523" s="66"/>
      <c r="C523" s="67"/>
      <c r="D523" s="79"/>
      <c r="E523" s="79"/>
      <c r="F523" s="69"/>
      <c r="G523" s="78"/>
      <c r="H523" s="74"/>
      <c r="I523" s="78"/>
      <c r="J523" s="78"/>
      <c r="K523" s="71"/>
      <c r="L523" s="76"/>
      <c r="M523" s="76"/>
      <c r="N523" s="72"/>
      <c r="O523" s="78"/>
      <c r="P523" s="80"/>
      <c r="Q523" s="71"/>
      <c r="R523" s="71"/>
      <c r="S523" s="71"/>
      <c r="T523" s="71"/>
      <c r="U523" s="71"/>
      <c r="V523" s="74"/>
      <c r="W523" s="74"/>
      <c r="X523" s="74"/>
      <c r="Y523" s="74"/>
      <c r="Z523" s="75"/>
    </row>
    <row r="524">
      <c r="A524" s="92"/>
      <c r="B524" s="66"/>
      <c r="C524" s="67"/>
      <c r="D524" s="79"/>
      <c r="E524" s="79"/>
      <c r="F524" s="69"/>
      <c r="G524" s="78"/>
      <c r="H524" s="74"/>
      <c r="I524" s="78"/>
      <c r="J524" s="78"/>
      <c r="K524" s="71"/>
      <c r="L524" s="76"/>
      <c r="M524" s="76"/>
      <c r="N524" s="76"/>
      <c r="O524" s="78"/>
      <c r="P524" s="80"/>
      <c r="Q524" s="71"/>
      <c r="R524" s="71"/>
      <c r="S524" s="71"/>
      <c r="T524" s="71"/>
      <c r="U524" s="76"/>
      <c r="V524" s="74"/>
      <c r="W524" s="74"/>
      <c r="X524" s="74"/>
      <c r="Y524" s="74"/>
      <c r="Z524" s="75"/>
    </row>
    <row r="525">
      <c r="A525" s="92"/>
      <c r="B525" s="66"/>
      <c r="C525" s="67"/>
      <c r="D525" s="79"/>
      <c r="E525" s="79"/>
      <c r="F525" s="69"/>
      <c r="G525" s="78"/>
      <c r="H525" s="74"/>
      <c r="I525" s="78"/>
      <c r="J525" s="78"/>
      <c r="K525" s="71"/>
      <c r="L525" s="76"/>
      <c r="M525" s="76"/>
      <c r="N525" s="76"/>
      <c r="O525" s="78"/>
      <c r="P525" s="80"/>
      <c r="Q525" s="71"/>
      <c r="R525" s="71"/>
      <c r="S525" s="71"/>
      <c r="T525" s="71"/>
      <c r="U525" s="71"/>
      <c r="V525" s="74"/>
      <c r="W525" s="74"/>
      <c r="X525" s="74"/>
      <c r="Y525" s="74"/>
      <c r="Z525" s="75"/>
    </row>
    <row r="526">
      <c r="A526" s="92"/>
      <c r="B526" s="66"/>
      <c r="C526" s="67"/>
      <c r="D526" s="68"/>
      <c r="E526" s="79"/>
      <c r="F526" s="69"/>
      <c r="G526" s="78"/>
      <c r="H526" s="74"/>
      <c r="I526" s="78"/>
      <c r="J526" s="78"/>
      <c r="K526" s="71"/>
      <c r="L526" s="76"/>
      <c r="M526" s="76"/>
      <c r="N526" s="76"/>
      <c r="O526" s="78"/>
      <c r="P526" s="80"/>
      <c r="Q526" s="71"/>
      <c r="R526" s="71"/>
      <c r="S526" s="71"/>
      <c r="T526" s="71"/>
      <c r="U526" s="76"/>
      <c r="V526" s="74"/>
      <c r="W526" s="74"/>
      <c r="X526" s="74"/>
      <c r="Y526" s="74"/>
      <c r="Z526" s="75"/>
    </row>
    <row r="527">
      <c r="A527" s="92"/>
      <c r="B527" s="66"/>
      <c r="C527" s="67"/>
      <c r="D527" s="68"/>
      <c r="E527" s="79"/>
      <c r="F527" s="69"/>
      <c r="G527" s="70"/>
      <c r="H527" s="70"/>
      <c r="I527" s="78"/>
      <c r="J527" s="70"/>
      <c r="K527" s="71"/>
      <c r="L527" s="76"/>
      <c r="M527" s="76"/>
      <c r="N527" s="76"/>
      <c r="O527" s="78"/>
      <c r="P527" s="73"/>
      <c r="Q527" s="71"/>
      <c r="R527" s="71"/>
      <c r="S527" s="71"/>
      <c r="T527" s="71"/>
      <c r="U527" s="71"/>
      <c r="V527" s="74"/>
      <c r="W527" s="74"/>
      <c r="X527" s="74"/>
      <c r="Y527" s="74"/>
      <c r="Z527" s="75"/>
    </row>
    <row r="528">
      <c r="A528" s="92"/>
      <c r="B528" s="66"/>
      <c r="C528" s="67"/>
      <c r="D528" s="68"/>
      <c r="E528" s="79"/>
      <c r="F528" s="69"/>
      <c r="G528" s="70"/>
      <c r="H528" s="70"/>
      <c r="I528" s="70"/>
      <c r="J528" s="70"/>
      <c r="K528" s="71"/>
      <c r="L528" s="76"/>
      <c r="M528" s="76"/>
      <c r="N528" s="76"/>
      <c r="O528" s="70"/>
      <c r="P528" s="73"/>
      <c r="Q528" s="71"/>
      <c r="R528" s="71"/>
      <c r="S528" s="71"/>
      <c r="T528" s="71"/>
      <c r="U528" s="71"/>
      <c r="V528" s="70"/>
      <c r="W528" s="70"/>
      <c r="X528" s="70"/>
      <c r="Y528" s="70"/>
      <c r="Z528" s="83"/>
    </row>
    <row r="529">
      <c r="A529" s="92"/>
      <c r="B529" s="66"/>
      <c r="C529" s="67"/>
      <c r="D529" s="68"/>
      <c r="E529" s="79"/>
      <c r="F529" s="69"/>
      <c r="G529" s="78"/>
      <c r="H529" s="74"/>
      <c r="I529" s="78"/>
      <c r="J529" s="78"/>
      <c r="K529" s="76"/>
      <c r="L529" s="76"/>
      <c r="M529" s="76"/>
      <c r="N529" s="76"/>
      <c r="O529" s="78"/>
      <c r="P529" s="80"/>
      <c r="Q529" s="76"/>
      <c r="R529" s="76"/>
      <c r="S529" s="71"/>
      <c r="T529" s="71"/>
      <c r="U529" s="76"/>
      <c r="V529" s="74"/>
      <c r="W529" s="74"/>
      <c r="X529" s="74"/>
      <c r="Y529" s="74"/>
      <c r="Z529" s="75"/>
    </row>
    <row r="530">
      <c r="A530" s="92"/>
      <c r="B530" s="66"/>
      <c r="C530" s="67"/>
      <c r="D530" s="68"/>
      <c r="E530" s="79"/>
      <c r="F530" s="69"/>
      <c r="G530" s="78"/>
      <c r="H530" s="74"/>
      <c r="I530" s="78"/>
      <c r="J530" s="78"/>
      <c r="K530" s="76"/>
      <c r="L530" s="76"/>
      <c r="M530" s="76"/>
      <c r="N530" s="76"/>
      <c r="O530" s="78"/>
      <c r="P530" s="80"/>
      <c r="Q530" s="76"/>
      <c r="R530" s="76"/>
      <c r="S530" s="71"/>
      <c r="T530" s="71"/>
      <c r="U530" s="71"/>
      <c r="V530" s="74"/>
      <c r="W530" s="74"/>
      <c r="X530" s="74"/>
      <c r="Y530" s="74"/>
      <c r="Z530" s="75"/>
    </row>
    <row r="531">
      <c r="A531" s="92"/>
      <c r="B531" s="66"/>
      <c r="C531" s="67"/>
      <c r="D531" s="68"/>
      <c r="E531" s="79"/>
      <c r="F531" s="69"/>
      <c r="G531" s="78"/>
      <c r="H531" s="74"/>
      <c r="I531" s="78"/>
      <c r="J531" s="78"/>
      <c r="K531" s="76"/>
      <c r="L531" s="76"/>
      <c r="M531" s="76"/>
      <c r="N531" s="76"/>
      <c r="O531" s="78"/>
      <c r="P531" s="80"/>
      <c r="Q531" s="76"/>
      <c r="R531" s="76"/>
      <c r="S531" s="71"/>
      <c r="T531" s="71"/>
      <c r="U531" s="76"/>
      <c r="V531" s="68"/>
      <c r="W531" s="68"/>
      <c r="X531" s="68"/>
      <c r="Y531" s="68"/>
      <c r="Z531" s="95"/>
    </row>
    <row r="532">
      <c r="A532" s="92"/>
      <c r="B532" s="66"/>
      <c r="C532" s="67"/>
      <c r="D532" s="68"/>
      <c r="E532" s="79"/>
      <c r="F532" s="69"/>
      <c r="G532" s="78"/>
      <c r="H532" s="74"/>
      <c r="I532" s="78"/>
      <c r="J532" s="78"/>
      <c r="K532" s="76"/>
      <c r="L532" s="76"/>
      <c r="M532" s="76"/>
      <c r="N532" s="76"/>
      <c r="O532" s="78"/>
      <c r="P532" s="80"/>
      <c r="Q532" s="76"/>
      <c r="R532" s="76"/>
      <c r="S532" s="71"/>
      <c r="T532" s="71"/>
      <c r="U532" s="76"/>
      <c r="V532" s="74"/>
      <c r="W532" s="74"/>
      <c r="X532" s="74"/>
      <c r="Y532" s="74"/>
      <c r="Z532" s="75"/>
    </row>
    <row r="533">
      <c r="A533" s="92"/>
      <c r="B533" s="66"/>
      <c r="C533" s="67"/>
      <c r="D533" s="79"/>
      <c r="E533" s="79"/>
      <c r="F533" s="69"/>
      <c r="G533" s="78"/>
      <c r="H533" s="74"/>
      <c r="I533" s="78"/>
      <c r="J533" s="78"/>
      <c r="K533" s="76"/>
      <c r="L533" s="76"/>
      <c r="M533" s="76"/>
      <c r="N533" s="76"/>
      <c r="O533" s="78"/>
      <c r="P533" s="80"/>
      <c r="Q533" s="76"/>
      <c r="R533" s="76"/>
      <c r="S533" s="72"/>
      <c r="T533" s="72"/>
      <c r="U533" s="76"/>
      <c r="V533" s="74"/>
      <c r="W533" s="74"/>
      <c r="X533" s="74"/>
      <c r="Y533" s="74"/>
      <c r="Z533" s="75"/>
    </row>
    <row r="534">
      <c r="A534" s="92"/>
      <c r="B534" s="66"/>
      <c r="C534" s="67"/>
      <c r="D534" s="68"/>
      <c r="E534" s="79"/>
      <c r="F534" s="69"/>
      <c r="G534" s="78"/>
      <c r="H534" s="78"/>
      <c r="I534" s="78"/>
      <c r="J534" s="78"/>
      <c r="K534" s="76"/>
      <c r="L534" s="76"/>
      <c r="M534" s="76"/>
      <c r="N534" s="76"/>
      <c r="O534" s="78"/>
      <c r="P534" s="80"/>
      <c r="Q534" s="76"/>
      <c r="R534" s="76"/>
      <c r="S534" s="71"/>
      <c r="T534" s="71"/>
      <c r="U534" s="71"/>
      <c r="V534" s="78"/>
      <c r="W534" s="78"/>
      <c r="X534" s="78"/>
      <c r="Y534" s="78"/>
      <c r="Z534" s="81"/>
    </row>
    <row r="535">
      <c r="A535" s="92"/>
      <c r="B535" s="66"/>
      <c r="C535" s="67"/>
      <c r="D535" s="68"/>
      <c r="E535" s="79"/>
      <c r="F535" s="69"/>
      <c r="G535" s="78"/>
      <c r="H535" s="74"/>
      <c r="I535" s="78"/>
      <c r="J535" s="78"/>
      <c r="K535" s="71"/>
      <c r="L535" s="71"/>
      <c r="M535" s="71"/>
      <c r="N535" s="71"/>
      <c r="O535" s="68"/>
      <c r="P535" s="73"/>
      <c r="Q535" s="71"/>
      <c r="R535" s="71"/>
      <c r="S535" s="71"/>
      <c r="T535" s="71"/>
      <c r="U535" s="96"/>
      <c r="V535" s="68"/>
      <c r="W535" s="68"/>
      <c r="X535" s="68"/>
      <c r="Y535" s="68"/>
      <c r="Z535" s="95"/>
    </row>
    <row r="536">
      <c r="A536" s="92"/>
      <c r="B536" s="66"/>
      <c r="C536" s="67"/>
      <c r="D536" s="68"/>
      <c r="E536" s="79"/>
      <c r="F536" s="69"/>
      <c r="G536" s="78"/>
      <c r="H536" s="74"/>
      <c r="I536" s="78"/>
      <c r="J536" s="78"/>
      <c r="K536" s="76"/>
      <c r="L536" s="76"/>
      <c r="M536" s="76"/>
      <c r="N536" s="76"/>
      <c r="O536" s="78"/>
      <c r="P536" s="80"/>
      <c r="Q536" s="76"/>
      <c r="R536" s="76"/>
      <c r="S536" s="71"/>
      <c r="T536" s="71"/>
      <c r="U536" s="76"/>
      <c r="V536" s="74"/>
      <c r="W536" s="74"/>
      <c r="X536" s="74"/>
      <c r="Y536" s="74"/>
      <c r="Z536" s="75"/>
    </row>
    <row r="537">
      <c r="A537" s="92"/>
      <c r="B537" s="66"/>
      <c r="C537" s="67"/>
      <c r="D537" s="79"/>
      <c r="E537" s="79"/>
      <c r="F537" s="69"/>
      <c r="G537" s="78"/>
      <c r="H537" s="74"/>
      <c r="I537" s="78"/>
      <c r="J537" s="78"/>
      <c r="K537" s="76"/>
      <c r="L537" s="76"/>
      <c r="M537" s="76"/>
      <c r="N537" s="76"/>
      <c r="O537" s="78"/>
      <c r="P537" s="80"/>
      <c r="Q537" s="76"/>
      <c r="R537" s="76"/>
      <c r="S537" s="71"/>
      <c r="T537" s="71"/>
      <c r="U537" s="76"/>
      <c r="V537" s="74"/>
      <c r="W537" s="74"/>
      <c r="X537" s="74"/>
      <c r="Y537" s="74"/>
      <c r="Z537" s="75"/>
    </row>
    <row r="538">
      <c r="A538" s="92"/>
      <c r="B538" s="66"/>
      <c r="C538" s="67"/>
      <c r="D538" s="79"/>
      <c r="E538" s="79"/>
      <c r="F538" s="69"/>
      <c r="G538" s="78"/>
      <c r="H538" s="74"/>
      <c r="I538" s="78"/>
      <c r="J538" s="78"/>
      <c r="K538" s="71"/>
      <c r="L538" s="76"/>
      <c r="M538" s="76"/>
      <c r="N538" s="76"/>
      <c r="O538" s="78"/>
      <c r="P538" s="80"/>
      <c r="Q538" s="71"/>
      <c r="R538" s="71"/>
      <c r="S538" s="71"/>
      <c r="T538" s="71"/>
      <c r="U538" s="76"/>
      <c r="V538" s="74"/>
      <c r="W538" s="74"/>
      <c r="X538" s="74"/>
      <c r="Y538" s="74"/>
      <c r="Z538" s="75"/>
    </row>
    <row r="539">
      <c r="A539" s="92"/>
      <c r="B539" s="66"/>
      <c r="C539" s="67"/>
      <c r="D539" s="79"/>
      <c r="E539" s="79"/>
      <c r="F539" s="69"/>
      <c r="G539" s="78"/>
      <c r="H539" s="74"/>
      <c r="I539" s="78"/>
      <c r="J539" s="78"/>
      <c r="K539" s="76"/>
      <c r="L539" s="76"/>
      <c r="M539" s="76"/>
      <c r="N539" s="76"/>
      <c r="O539" s="78"/>
      <c r="P539" s="80"/>
      <c r="Q539" s="76"/>
      <c r="R539" s="76"/>
      <c r="S539" s="72"/>
      <c r="T539" s="72"/>
      <c r="U539" s="76"/>
      <c r="V539" s="74"/>
      <c r="W539" s="74"/>
      <c r="X539" s="74"/>
      <c r="Y539" s="74"/>
      <c r="Z539" s="75"/>
    </row>
    <row r="540">
      <c r="A540" s="92"/>
      <c r="B540" s="66"/>
      <c r="C540" s="67"/>
      <c r="D540" s="68"/>
      <c r="E540" s="79"/>
      <c r="F540" s="69"/>
      <c r="G540" s="78"/>
      <c r="H540" s="74"/>
      <c r="I540" s="78"/>
      <c r="J540" s="78"/>
      <c r="K540" s="71"/>
      <c r="L540" s="76"/>
      <c r="M540" s="76"/>
      <c r="N540" s="76"/>
      <c r="O540" s="70"/>
      <c r="P540" s="80"/>
      <c r="Q540" s="71"/>
      <c r="R540" s="71"/>
      <c r="S540" s="71"/>
      <c r="T540" s="71"/>
      <c r="U540" s="71"/>
      <c r="V540" s="74"/>
      <c r="W540" s="74"/>
      <c r="X540" s="74"/>
      <c r="Y540" s="74"/>
      <c r="Z540" s="75"/>
    </row>
    <row r="541">
      <c r="A541" s="93"/>
      <c r="B541" s="66"/>
      <c r="C541" s="78"/>
      <c r="D541" s="68"/>
      <c r="E541" s="68"/>
      <c r="F541" s="69"/>
      <c r="G541" s="70"/>
      <c r="H541" s="70"/>
      <c r="I541" s="74"/>
      <c r="J541" s="70"/>
      <c r="K541" s="72"/>
      <c r="L541" s="72"/>
      <c r="M541" s="71"/>
      <c r="N541" s="71"/>
      <c r="O541" s="70"/>
      <c r="P541" s="73"/>
      <c r="Q541" s="72"/>
      <c r="R541" s="71"/>
      <c r="S541" s="71"/>
      <c r="T541" s="71"/>
      <c r="U541" s="71"/>
      <c r="V541" s="70"/>
      <c r="W541" s="70"/>
      <c r="X541" s="70"/>
      <c r="Y541" s="70"/>
      <c r="Z541" s="83"/>
    </row>
    <row r="542">
      <c r="A542" s="92"/>
      <c r="B542" s="66"/>
      <c r="C542" s="67"/>
      <c r="D542" s="68"/>
      <c r="E542" s="79"/>
      <c r="F542" s="69"/>
      <c r="G542" s="78"/>
      <c r="H542" s="74"/>
      <c r="I542" s="78"/>
      <c r="J542" s="78"/>
      <c r="K542" s="76"/>
      <c r="L542" s="76"/>
      <c r="M542" s="76"/>
      <c r="N542" s="76"/>
      <c r="O542" s="78"/>
      <c r="P542" s="80"/>
      <c r="Q542" s="76"/>
      <c r="R542" s="76"/>
      <c r="S542" s="71"/>
      <c r="T542" s="71"/>
      <c r="U542" s="76"/>
      <c r="V542" s="74"/>
      <c r="W542" s="74"/>
      <c r="X542" s="74"/>
      <c r="Y542" s="74"/>
      <c r="Z542" s="75"/>
    </row>
    <row r="543">
      <c r="A543" s="92"/>
      <c r="B543" s="66"/>
      <c r="C543" s="67"/>
      <c r="D543" s="68"/>
      <c r="E543" s="79"/>
      <c r="F543" s="69"/>
      <c r="G543" s="78"/>
      <c r="H543" s="74"/>
      <c r="I543" s="78"/>
      <c r="J543" s="78"/>
      <c r="K543" s="71"/>
      <c r="L543" s="76"/>
      <c r="M543" s="76"/>
      <c r="N543" s="76"/>
      <c r="O543" s="78"/>
      <c r="P543" s="73"/>
      <c r="Q543" s="71"/>
      <c r="R543" s="71"/>
      <c r="S543" s="71"/>
      <c r="T543" s="71"/>
      <c r="U543" s="71"/>
      <c r="V543" s="74"/>
      <c r="W543" s="74"/>
      <c r="X543" s="74"/>
      <c r="Y543" s="74"/>
      <c r="Z543" s="75"/>
    </row>
    <row r="544">
      <c r="A544" s="92"/>
      <c r="B544" s="66"/>
      <c r="C544" s="67"/>
      <c r="D544" s="68"/>
      <c r="E544" s="79"/>
      <c r="F544" s="69"/>
      <c r="G544" s="78"/>
      <c r="H544" s="74"/>
      <c r="I544" s="78"/>
      <c r="J544" s="78"/>
      <c r="K544" s="76"/>
      <c r="L544" s="76"/>
      <c r="M544" s="76"/>
      <c r="N544" s="76"/>
      <c r="O544" s="78"/>
      <c r="P544" s="80"/>
      <c r="Q544" s="76"/>
      <c r="R544" s="76"/>
      <c r="S544" s="71"/>
      <c r="T544" s="71"/>
      <c r="U544" s="76"/>
      <c r="V544" s="74"/>
      <c r="W544" s="74"/>
      <c r="X544" s="74"/>
      <c r="Y544" s="74"/>
      <c r="Z544" s="75"/>
    </row>
    <row r="545">
      <c r="A545" s="92"/>
      <c r="B545" s="66"/>
      <c r="C545" s="67"/>
      <c r="D545" s="68"/>
      <c r="E545" s="79"/>
      <c r="F545" s="69"/>
      <c r="G545" s="78"/>
      <c r="H545" s="78"/>
      <c r="I545" s="78"/>
      <c r="J545" s="78"/>
      <c r="K545" s="76"/>
      <c r="L545" s="76"/>
      <c r="M545" s="76"/>
      <c r="N545" s="76"/>
      <c r="O545" s="78"/>
      <c r="P545" s="80"/>
      <c r="Q545" s="76"/>
      <c r="R545" s="76"/>
      <c r="S545" s="71"/>
      <c r="T545" s="71"/>
      <c r="U545" s="71"/>
      <c r="V545" s="78"/>
      <c r="W545" s="78"/>
      <c r="X545" s="78"/>
      <c r="Y545" s="78"/>
      <c r="Z545" s="81"/>
    </row>
    <row r="546">
      <c r="A546" s="92"/>
      <c r="B546" s="66"/>
      <c r="C546" s="67"/>
      <c r="D546" s="68"/>
      <c r="E546" s="79"/>
      <c r="F546" s="69"/>
      <c r="G546" s="70"/>
      <c r="H546" s="70"/>
      <c r="I546" s="70"/>
      <c r="J546" s="70"/>
      <c r="K546" s="76"/>
      <c r="L546" s="76"/>
      <c r="M546" s="76"/>
      <c r="N546" s="76"/>
      <c r="O546" s="70"/>
      <c r="P546" s="73"/>
      <c r="Q546" s="76"/>
      <c r="R546" s="76"/>
      <c r="S546" s="71"/>
      <c r="T546" s="71"/>
      <c r="U546" s="71"/>
      <c r="V546" s="70"/>
      <c r="W546" s="70"/>
      <c r="X546" s="70"/>
      <c r="Y546" s="70"/>
      <c r="Z546" s="83"/>
    </row>
    <row r="547">
      <c r="A547" s="92"/>
      <c r="B547" s="66"/>
      <c r="C547" s="67"/>
      <c r="D547" s="68"/>
      <c r="E547" s="79"/>
      <c r="F547" s="69"/>
      <c r="G547" s="78"/>
      <c r="H547" s="74"/>
      <c r="I547" s="78"/>
      <c r="J547" s="78"/>
      <c r="K547" s="71"/>
      <c r="L547" s="76"/>
      <c r="M547" s="76"/>
      <c r="N547" s="76"/>
      <c r="O547" s="78"/>
      <c r="P547" s="80"/>
      <c r="Q547" s="71"/>
      <c r="R547" s="71"/>
      <c r="S547" s="71"/>
      <c r="T547" s="71"/>
      <c r="U547" s="76"/>
      <c r="V547" s="74"/>
      <c r="W547" s="74"/>
      <c r="X547" s="74"/>
      <c r="Y547" s="74"/>
      <c r="Z547" s="75"/>
    </row>
    <row r="548">
      <c r="A548" s="92"/>
      <c r="B548" s="66"/>
      <c r="C548" s="67"/>
      <c r="D548" s="68"/>
      <c r="E548" s="79"/>
      <c r="F548" s="69"/>
      <c r="G548" s="78"/>
      <c r="H548" s="74"/>
      <c r="I548" s="78"/>
      <c r="J548" s="78"/>
      <c r="K548" s="71"/>
      <c r="L548" s="76"/>
      <c r="M548" s="76"/>
      <c r="N548" s="76"/>
      <c r="O548" s="70"/>
      <c r="P548" s="73"/>
      <c r="Q548" s="71"/>
      <c r="R548" s="71"/>
      <c r="S548" s="71"/>
      <c r="T548" s="71"/>
      <c r="U548" s="71"/>
      <c r="V548" s="74"/>
      <c r="W548" s="74"/>
      <c r="X548" s="74"/>
      <c r="Y548" s="74"/>
      <c r="Z548" s="75"/>
    </row>
    <row r="549">
      <c r="A549" s="93"/>
      <c r="B549" s="66"/>
      <c r="C549" s="78"/>
      <c r="D549" s="68"/>
      <c r="E549" s="68"/>
      <c r="F549" s="69"/>
      <c r="G549" s="70"/>
      <c r="H549" s="70"/>
      <c r="I549" s="70"/>
      <c r="J549" s="70"/>
      <c r="K549" s="71"/>
      <c r="L549" s="72"/>
      <c r="M549" s="72"/>
      <c r="N549" s="72"/>
      <c r="O549" s="70"/>
      <c r="P549" s="73"/>
      <c r="Q549" s="71"/>
      <c r="R549" s="71"/>
      <c r="S549" s="71"/>
      <c r="T549" s="71"/>
      <c r="U549" s="71"/>
      <c r="V549" s="74"/>
      <c r="W549" s="74"/>
      <c r="X549" s="74"/>
      <c r="Y549" s="74"/>
      <c r="Z549" s="75"/>
    </row>
    <row r="550">
      <c r="A550" s="92"/>
      <c r="B550" s="66"/>
      <c r="C550" s="67"/>
      <c r="D550" s="79"/>
      <c r="E550" s="79"/>
      <c r="F550" s="69"/>
      <c r="G550" s="78"/>
      <c r="H550" s="74"/>
      <c r="I550" s="78"/>
      <c r="J550" s="78"/>
      <c r="K550" s="76"/>
      <c r="L550" s="76"/>
      <c r="M550" s="76"/>
      <c r="N550" s="76"/>
      <c r="O550" s="78"/>
      <c r="P550" s="80"/>
      <c r="Q550" s="76"/>
      <c r="R550" s="76"/>
      <c r="S550" s="71"/>
      <c r="T550" s="71"/>
      <c r="U550" s="76"/>
      <c r="V550" s="74"/>
      <c r="W550" s="74"/>
      <c r="X550" s="74"/>
      <c r="Y550" s="74"/>
      <c r="Z550" s="75"/>
    </row>
    <row r="551">
      <c r="A551" s="97"/>
      <c r="B551" s="66"/>
      <c r="C551" s="78"/>
      <c r="D551" s="68"/>
      <c r="E551" s="79"/>
      <c r="F551" s="69"/>
      <c r="G551" s="78"/>
      <c r="H551" s="78"/>
      <c r="I551" s="78"/>
      <c r="J551" s="78"/>
      <c r="K551" s="76"/>
      <c r="L551" s="76"/>
      <c r="M551" s="76"/>
      <c r="N551" s="76"/>
      <c r="O551" s="78"/>
      <c r="P551" s="80"/>
      <c r="Q551" s="76"/>
      <c r="R551" s="76"/>
      <c r="S551" s="71"/>
      <c r="T551" s="71"/>
      <c r="U551" s="71"/>
      <c r="V551" s="78"/>
      <c r="W551" s="78"/>
      <c r="X551" s="78"/>
      <c r="Y551" s="78"/>
      <c r="Z551" s="81"/>
    </row>
    <row r="552">
      <c r="A552" s="92"/>
      <c r="B552" s="66"/>
      <c r="C552" s="67"/>
      <c r="D552" s="68"/>
      <c r="E552" s="79"/>
      <c r="F552" s="69"/>
      <c r="G552" s="70"/>
      <c r="H552" s="70"/>
      <c r="I552" s="78"/>
      <c r="J552" s="70"/>
      <c r="K552" s="71"/>
      <c r="L552" s="76"/>
      <c r="M552" s="76"/>
      <c r="N552" s="76"/>
      <c r="O552" s="70"/>
      <c r="P552" s="73"/>
      <c r="Q552" s="71"/>
      <c r="R552" s="71"/>
      <c r="S552" s="71"/>
      <c r="T552" s="71"/>
      <c r="U552" s="71"/>
      <c r="V552" s="70"/>
      <c r="W552" s="70"/>
      <c r="X552" s="70"/>
      <c r="Y552" s="70"/>
      <c r="Z552" s="83"/>
    </row>
    <row r="553">
      <c r="A553" s="92"/>
      <c r="B553" s="66"/>
      <c r="C553" s="67"/>
      <c r="D553" s="68"/>
      <c r="E553" s="79"/>
      <c r="F553" s="69"/>
      <c r="G553" s="78"/>
      <c r="H553" s="74"/>
      <c r="I553" s="78"/>
      <c r="J553" s="78"/>
      <c r="K553" s="76"/>
      <c r="L553" s="76"/>
      <c r="M553" s="76"/>
      <c r="N553" s="76"/>
      <c r="O553" s="78"/>
      <c r="P553" s="80"/>
      <c r="Q553" s="76"/>
      <c r="R553" s="76"/>
      <c r="S553" s="71"/>
      <c r="T553" s="71"/>
      <c r="U553" s="76"/>
      <c r="V553" s="74"/>
      <c r="W553" s="74"/>
      <c r="X553" s="74"/>
      <c r="Y553" s="74"/>
      <c r="Z553" s="75"/>
    </row>
    <row r="554">
      <c r="A554" s="92"/>
      <c r="B554" s="66"/>
      <c r="C554" s="67"/>
      <c r="D554" s="68"/>
      <c r="E554" s="79"/>
      <c r="F554" s="69"/>
      <c r="G554" s="70"/>
      <c r="H554" s="70"/>
      <c r="I554" s="78"/>
      <c r="J554" s="70"/>
      <c r="K554" s="71"/>
      <c r="L554" s="76"/>
      <c r="M554" s="76"/>
      <c r="N554" s="76"/>
      <c r="O554" s="70"/>
      <c r="P554" s="73"/>
      <c r="Q554" s="71"/>
      <c r="R554" s="71"/>
      <c r="S554" s="71"/>
      <c r="T554" s="71"/>
      <c r="U554" s="71"/>
      <c r="V554" s="70"/>
      <c r="W554" s="70"/>
      <c r="X554" s="70"/>
      <c r="Y554" s="70"/>
      <c r="Z554" s="83"/>
    </row>
    <row r="555">
      <c r="A555" s="92"/>
      <c r="B555" s="66"/>
      <c r="C555" s="67"/>
      <c r="D555" s="68"/>
      <c r="E555" s="79"/>
      <c r="F555" s="69"/>
      <c r="G555" s="78"/>
      <c r="H555" s="74"/>
      <c r="I555" s="78"/>
      <c r="J555" s="78"/>
      <c r="K555" s="76"/>
      <c r="L555" s="76"/>
      <c r="M555" s="76"/>
      <c r="N555" s="76"/>
      <c r="O555" s="78"/>
      <c r="P555" s="80"/>
      <c r="Q555" s="76"/>
      <c r="R555" s="76"/>
      <c r="S555" s="71"/>
      <c r="T555" s="71"/>
      <c r="U555" s="76"/>
      <c r="V555" s="74"/>
      <c r="W555" s="74"/>
      <c r="X555" s="74"/>
      <c r="Y555" s="74"/>
      <c r="Z555" s="75"/>
    </row>
    <row r="556">
      <c r="A556" s="92"/>
      <c r="B556" s="66"/>
      <c r="C556" s="67"/>
      <c r="D556" s="68"/>
      <c r="E556" s="79"/>
      <c r="F556" s="69"/>
      <c r="G556" s="78"/>
      <c r="H556" s="78"/>
      <c r="I556" s="78"/>
      <c r="J556" s="78"/>
      <c r="K556" s="76"/>
      <c r="L556" s="76"/>
      <c r="M556" s="71"/>
      <c r="N556" s="71"/>
      <c r="O556" s="70"/>
      <c r="P556" s="80"/>
      <c r="Q556" s="76"/>
      <c r="R556" s="76"/>
      <c r="S556" s="71"/>
      <c r="T556" s="71"/>
      <c r="U556" s="71"/>
      <c r="V556" s="78"/>
      <c r="W556" s="78"/>
      <c r="X556" s="78"/>
      <c r="Y556" s="78"/>
      <c r="Z556" s="81"/>
    </row>
    <row r="557">
      <c r="A557" s="92"/>
      <c r="B557" s="66"/>
      <c r="C557" s="67"/>
      <c r="D557" s="68"/>
      <c r="E557" s="79"/>
      <c r="F557" s="69"/>
      <c r="G557" s="78"/>
      <c r="H557" s="78"/>
      <c r="I557" s="78"/>
      <c r="J557" s="78"/>
      <c r="K557" s="76"/>
      <c r="L557" s="76"/>
      <c r="M557" s="76"/>
      <c r="N557" s="76"/>
      <c r="O557" s="78"/>
      <c r="P557" s="80"/>
      <c r="Q557" s="76"/>
      <c r="R557" s="76"/>
      <c r="S557" s="71"/>
      <c r="T557" s="71"/>
      <c r="U557" s="71"/>
      <c r="V557" s="78"/>
      <c r="W557" s="78"/>
      <c r="X557" s="78"/>
      <c r="Y557" s="78"/>
      <c r="Z557" s="81"/>
    </row>
    <row r="558">
      <c r="A558" s="92"/>
      <c r="B558" s="66"/>
      <c r="C558" s="67"/>
      <c r="D558" s="68"/>
      <c r="E558" s="79"/>
      <c r="F558" s="69"/>
      <c r="G558" s="78"/>
      <c r="H558" s="74"/>
      <c r="I558" s="78"/>
      <c r="J558" s="78"/>
      <c r="K558" s="71"/>
      <c r="L558" s="76"/>
      <c r="M558" s="76"/>
      <c r="N558" s="76"/>
      <c r="O558" s="78"/>
      <c r="P558" s="80"/>
      <c r="Q558" s="71"/>
      <c r="R558" s="71"/>
      <c r="S558" s="71"/>
      <c r="T558" s="71"/>
      <c r="U558" s="76"/>
      <c r="V558" s="74"/>
      <c r="W558" s="74"/>
      <c r="X558" s="74"/>
      <c r="Y558" s="74"/>
      <c r="Z558" s="75"/>
    </row>
    <row r="559">
      <c r="A559" s="92"/>
      <c r="B559" s="66"/>
      <c r="C559" s="67"/>
      <c r="D559" s="79"/>
      <c r="E559" s="79"/>
      <c r="F559" s="69"/>
      <c r="G559" s="78"/>
      <c r="H559" s="74"/>
      <c r="I559" s="78"/>
      <c r="J559" s="78"/>
      <c r="K559" s="71"/>
      <c r="L559" s="76"/>
      <c r="M559" s="76"/>
      <c r="N559" s="76"/>
      <c r="O559" s="78"/>
      <c r="P559" s="80"/>
      <c r="Q559" s="71"/>
      <c r="R559" s="71"/>
      <c r="S559" s="71"/>
      <c r="T559" s="71"/>
      <c r="U559" s="76"/>
      <c r="V559" s="74"/>
      <c r="W559" s="74"/>
      <c r="X559" s="74"/>
      <c r="Y559" s="74"/>
      <c r="Z559" s="75"/>
    </row>
    <row r="560">
      <c r="A560" s="92"/>
      <c r="B560" s="66"/>
      <c r="C560" s="67"/>
      <c r="D560" s="68"/>
      <c r="E560" s="79"/>
      <c r="F560" s="69"/>
      <c r="G560" s="78"/>
      <c r="H560" s="78"/>
      <c r="I560" s="78"/>
      <c r="J560" s="78"/>
      <c r="K560" s="76"/>
      <c r="L560" s="76"/>
      <c r="M560" s="71"/>
      <c r="N560" s="71"/>
      <c r="O560" s="70"/>
      <c r="P560" s="73"/>
      <c r="Q560" s="76"/>
      <c r="R560" s="76"/>
      <c r="S560" s="71"/>
      <c r="T560" s="71"/>
      <c r="U560" s="71"/>
      <c r="V560" s="78"/>
      <c r="W560" s="78"/>
      <c r="X560" s="78"/>
      <c r="Y560" s="78"/>
      <c r="Z560" s="81"/>
    </row>
    <row r="561">
      <c r="A561" s="92"/>
      <c r="B561" s="66"/>
      <c r="C561" s="67"/>
      <c r="D561" s="68"/>
      <c r="E561" s="79"/>
      <c r="F561" s="69"/>
      <c r="G561" s="78"/>
      <c r="H561" s="78"/>
      <c r="I561" s="78"/>
      <c r="J561" s="78"/>
      <c r="K561" s="76"/>
      <c r="L561" s="76"/>
      <c r="M561" s="76"/>
      <c r="N561" s="76"/>
      <c r="O561" s="78"/>
      <c r="P561" s="80"/>
      <c r="Q561" s="76"/>
      <c r="R561" s="76"/>
      <c r="S561" s="71"/>
      <c r="T561" s="71"/>
      <c r="U561" s="71"/>
      <c r="V561" s="78"/>
      <c r="W561" s="78"/>
      <c r="X561" s="78"/>
      <c r="Y561" s="78"/>
      <c r="Z561" s="81"/>
    </row>
    <row r="562">
      <c r="A562" s="92"/>
      <c r="B562" s="66"/>
      <c r="C562" s="67"/>
      <c r="D562" s="68"/>
      <c r="E562" s="79"/>
      <c r="F562" s="69"/>
      <c r="G562" s="78"/>
      <c r="H562" s="74"/>
      <c r="I562" s="78"/>
      <c r="J562" s="78"/>
      <c r="K562" s="71"/>
      <c r="L562" s="76"/>
      <c r="M562" s="76"/>
      <c r="N562" s="76"/>
      <c r="O562" s="78"/>
      <c r="P562" s="80"/>
      <c r="Q562" s="71"/>
      <c r="R562" s="71"/>
      <c r="S562" s="71"/>
      <c r="T562" s="71"/>
      <c r="U562" s="71"/>
      <c r="V562" s="74"/>
      <c r="W562" s="74"/>
      <c r="X562" s="74"/>
      <c r="Y562" s="74"/>
      <c r="Z562" s="75"/>
    </row>
    <row r="563">
      <c r="A563" s="92"/>
      <c r="B563" s="66"/>
      <c r="C563" s="67"/>
      <c r="D563" s="68"/>
      <c r="E563" s="79"/>
      <c r="F563" s="69"/>
      <c r="G563" s="78"/>
      <c r="H563" s="74"/>
      <c r="I563" s="78"/>
      <c r="J563" s="78"/>
      <c r="K563" s="76"/>
      <c r="L563" s="76"/>
      <c r="M563" s="76"/>
      <c r="N563" s="76"/>
      <c r="O563" s="78"/>
      <c r="P563" s="80"/>
      <c r="Q563" s="76"/>
      <c r="R563" s="76"/>
      <c r="S563" s="71"/>
      <c r="T563" s="71"/>
      <c r="U563" s="71"/>
      <c r="V563" s="74"/>
      <c r="W563" s="74"/>
      <c r="X563" s="74"/>
      <c r="Y563" s="74"/>
      <c r="Z563" s="75"/>
    </row>
    <row r="564">
      <c r="A564" s="92"/>
      <c r="B564" s="66"/>
      <c r="C564" s="67"/>
      <c r="D564" s="68"/>
      <c r="E564" s="79"/>
      <c r="F564" s="69"/>
      <c r="G564" s="78"/>
      <c r="H564" s="78"/>
      <c r="I564" s="78"/>
      <c r="J564" s="78"/>
      <c r="K564" s="76"/>
      <c r="L564" s="76"/>
      <c r="M564" s="76"/>
      <c r="N564" s="76"/>
      <c r="O564" s="78"/>
      <c r="P564" s="80"/>
      <c r="Q564" s="76"/>
      <c r="R564" s="76"/>
      <c r="S564" s="71"/>
      <c r="T564" s="71"/>
      <c r="U564" s="71"/>
      <c r="V564" s="78"/>
      <c r="W564" s="78"/>
      <c r="X564" s="78"/>
      <c r="Y564" s="78"/>
      <c r="Z564" s="81"/>
    </row>
    <row r="565">
      <c r="A565" s="93"/>
      <c r="B565" s="66"/>
      <c r="C565" s="78"/>
      <c r="D565" s="68"/>
      <c r="E565" s="68"/>
      <c r="F565" s="69"/>
      <c r="G565" s="70"/>
      <c r="H565" s="70"/>
      <c r="I565" s="70"/>
      <c r="J565" s="70"/>
      <c r="K565" s="72"/>
      <c r="L565" s="76"/>
      <c r="M565" s="76"/>
      <c r="N565" s="76"/>
      <c r="O565" s="74"/>
      <c r="P565" s="73"/>
      <c r="Q565" s="72"/>
      <c r="R565" s="72"/>
      <c r="S565" s="71"/>
      <c r="T565" s="71"/>
      <c r="U565" s="71"/>
      <c r="V565" s="74"/>
      <c r="W565" s="74"/>
      <c r="X565" s="74"/>
      <c r="Y565" s="74"/>
      <c r="Z565" s="75"/>
    </row>
    <row r="566">
      <c r="A566" s="92"/>
      <c r="B566" s="66"/>
      <c r="C566" s="67"/>
      <c r="D566" s="68"/>
      <c r="E566" s="79"/>
      <c r="F566" s="69"/>
      <c r="G566" s="78"/>
      <c r="H566" s="78"/>
      <c r="I566" s="78"/>
      <c r="J566" s="78"/>
      <c r="K566" s="76"/>
      <c r="L566" s="76"/>
      <c r="M566" s="76"/>
      <c r="N566" s="76"/>
      <c r="O566" s="78"/>
      <c r="P566" s="80"/>
      <c r="Q566" s="76"/>
      <c r="R566" s="76"/>
      <c r="S566" s="71"/>
      <c r="T566" s="71"/>
      <c r="U566" s="76"/>
      <c r="V566" s="78"/>
      <c r="W566" s="78"/>
      <c r="X566" s="78"/>
      <c r="Y566" s="78"/>
      <c r="Z566" s="81"/>
    </row>
    <row r="567">
      <c r="A567" s="92"/>
      <c r="B567" s="66"/>
      <c r="C567" s="67"/>
      <c r="D567" s="68"/>
      <c r="E567" s="79"/>
      <c r="F567" s="69"/>
      <c r="G567" s="78"/>
      <c r="H567" s="74"/>
      <c r="I567" s="78"/>
      <c r="J567" s="78"/>
      <c r="K567" s="71"/>
      <c r="L567" s="76"/>
      <c r="M567" s="76"/>
      <c r="N567" s="76"/>
      <c r="O567" s="78"/>
      <c r="P567" s="80"/>
      <c r="Q567" s="71"/>
      <c r="R567" s="71"/>
      <c r="S567" s="71"/>
      <c r="T567" s="71"/>
      <c r="U567" s="71"/>
      <c r="V567" s="74"/>
      <c r="W567" s="74"/>
      <c r="X567" s="74"/>
      <c r="Y567" s="74"/>
      <c r="Z567" s="75"/>
    </row>
    <row r="568">
      <c r="A568" s="93"/>
      <c r="B568" s="66"/>
      <c r="C568" s="78"/>
      <c r="D568" s="79"/>
      <c r="E568" s="79"/>
      <c r="F568" s="69"/>
      <c r="G568" s="78"/>
      <c r="H568" s="78"/>
      <c r="I568" s="78"/>
      <c r="J568" s="78"/>
      <c r="K568" s="71"/>
      <c r="L568" s="72"/>
      <c r="M568" s="72"/>
      <c r="N568" s="72"/>
      <c r="O568" s="78"/>
      <c r="P568" s="80"/>
      <c r="Q568" s="71"/>
      <c r="R568" s="71"/>
      <c r="S568" s="71"/>
      <c r="T568" s="71"/>
      <c r="U568" s="76"/>
      <c r="V568" s="78"/>
      <c r="W568" s="78"/>
      <c r="X568" s="78"/>
      <c r="Y568" s="78"/>
      <c r="Z568" s="81"/>
    </row>
    <row r="569">
      <c r="A569" s="93"/>
      <c r="B569" s="66"/>
      <c r="C569" s="78"/>
      <c r="D569" s="68"/>
      <c r="E569" s="68"/>
      <c r="F569" s="69"/>
      <c r="G569" s="70"/>
      <c r="H569" s="70"/>
      <c r="I569" s="70"/>
      <c r="J569" s="70"/>
      <c r="K569" s="71"/>
      <c r="L569" s="72"/>
      <c r="M569" s="76"/>
      <c r="N569" s="76"/>
      <c r="O569" s="70"/>
      <c r="P569" s="73"/>
      <c r="Q569" s="71"/>
      <c r="R569" s="71"/>
      <c r="S569" s="71"/>
      <c r="T569" s="71"/>
      <c r="U569" s="71"/>
      <c r="V569" s="74"/>
      <c r="W569" s="74"/>
      <c r="X569" s="74"/>
      <c r="Y569" s="74"/>
      <c r="Z569" s="75"/>
    </row>
    <row r="570">
      <c r="A570" s="92"/>
      <c r="B570" s="66"/>
      <c r="C570" s="67"/>
      <c r="D570" s="68"/>
      <c r="E570" s="79"/>
      <c r="F570" s="69"/>
      <c r="G570" s="70"/>
      <c r="H570" s="70"/>
      <c r="I570" s="70"/>
      <c r="J570" s="70"/>
      <c r="K570" s="71"/>
      <c r="L570" s="71"/>
      <c r="M570" s="71"/>
      <c r="N570" s="71"/>
      <c r="O570" s="78"/>
      <c r="P570" s="73"/>
      <c r="Q570" s="76"/>
      <c r="R570" s="71"/>
      <c r="S570" s="71"/>
      <c r="T570" s="71"/>
      <c r="U570" s="71"/>
      <c r="V570" s="74"/>
      <c r="W570" s="74"/>
      <c r="X570" s="74"/>
      <c r="Y570" s="74"/>
      <c r="Z570" s="75"/>
    </row>
    <row r="571">
      <c r="A571" s="92"/>
      <c r="B571" s="66"/>
      <c r="C571" s="67"/>
      <c r="D571" s="68"/>
      <c r="E571" s="79"/>
      <c r="F571" s="69"/>
      <c r="G571" s="70"/>
      <c r="H571" s="70"/>
      <c r="I571" s="70"/>
      <c r="J571" s="70"/>
      <c r="K571" s="71"/>
      <c r="L571" s="76"/>
      <c r="M571" s="76"/>
      <c r="N571" s="76"/>
      <c r="O571" s="70"/>
      <c r="P571" s="73"/>
      <c r="Q571" s="71"/>
      <c r="R571" s="71"/>
      <c r="S571" s="71"/>
      <c r="T571" s="71"/>
      <c r="U571" s="71"/>
      <c r="V571" s="70"/>
      <c r="W571" s="70"/>
      <c r="X571" s="70"/>
      <c r="Y571" s="70"/>
      <c r="Z571" s="83"/>
    </row>
    <row r="572">
      <c r="A572" s="92"/>
      <c r="B572" s="66"/>
      <c r="C572" s="67"/>
      <c r="D572" s="68"/>
      <c r="E572" s="79"/>
      <c r="F572" s="69"/>
      <c r="G572" s="70"/>
      <c r="H572" s="70"/>
      <c r="I572" s="70"/>
      <c r="J572" s="70"/>
      <c r="K572" s="71"/>
      <c r="L572" s="76"/>
      <c r="M572" s="76"/>
      <c r="N572" s="76"/>
      <c r="O572" s="70"/>
      <c r="P572" s="73"/>
      <c r="Q572" s="71"/>
      <c r="R572" s="71"/>
      <c r="S572" s="71"/>
      <c r="T572" s="71"/>
      <c r="U572" s="71"/>
      <c r="V572" s="70"/>
      <c r="W572" s="70"/>
      <c r="X572" s="70"/>
      <c r="Y572" s="70"/>
      <c r="Z572" s="83"/>
    </row>
    <row r="573">
      <c r="A573" s="92"/>
      <c r="B573" s="66"/>
      <c r="C573" s="67"/>
      <c r="D573" s="68"/>
      <c r="E573" s="79"/>
      <c r="F573" s="69"/>
      <c r="G573" s="78"/>
      <c r="H573" s="74"/>
      <c r="I573" s="78"/>
      <c r="J573" s="78"/>
      <c r="K573" s="71"/>
      <c r="L573" s="76"/>
      <c r="M573" s="76"/>
      <c r="N573" s="76"/>
      <c r="O573" s="78"/>
      <c r="P573" s="80"/>
      <c r="Q573" s="71"/>
      <c r="R573" s="71"/>
      <c r="S573" s="71"/>
      <c r="T573" s="71"/>
      <c r="U573" s="71"/>
      <c r="V573" s="74"/>
      <c r="W573" s="74"/>
      <c r="X573" s="74"/>
      <c r="Y573" s="74"/>
      <c r="Z573" s="75"/>
    </row>
    <row r="574">
      <c r="A574" s="92"/>
      <c r="B574" s="66"/>
      <c r="C574" s="67"/>
      <c r="D574" s="68"/>
      <c r="E574" s="79"/>
      <c r="F574" s="69"/>
      <c r="G574" s="78"/>
      <c r="H574" s="74"/>
      <c r="I574" s="78"/>
      <c r="J574" s="78"/>
      <c r="K574" s="76"/>
      <c r="L574" s="76"/>
      <c r="M574" s="76"/>
      <c r="N574" s="76"/>
      <c r="O574" s="78"/>
      <c r="P574" s="80"/>
      <c r="Q574" s="76"/>
      <c r="R574" s="76"/>
      <c r="S574" s="71"/>
      <c r="T574" s="71"/>
      <c r="U574" s="76"/>
      <c r="V574" s="74"/>
      <c r="W574" s="74"/>
      <c r="X574" s="74"/>
      <c r="Y574" s="74"/>
      <c r="Z574" s="75"/>
    </row>
    <row r="575">
      <c r="A575" s="92"/>
      <c r="B575" s="66"/>
      <c r="C575" s="67"/>
      <c r="D575" s="68"/>
      <c r="E575" s="79"/>
      <c r="F575" s="69"/>
      <c r="G575" s="78"/>
      <c r="H575" s="78"/>
      <c r="I575" s="78"/>
      <c r="J575" s="78"/>
      <c r="K575" s="76"/>
      <c r="L575" s="76"/>
      <c r="M575" s="76"/>
      <c r="N575" s="76"/>
      <c r="O575" s="78"/>
      <c r="P575" s="80"/>
      <c r="Q575" s="76"/>
      <c r="R575" s="76"/>
      <c r="S575" s="71"/>
      <c r="T575" s="71"/>
      <c r="U575" s="71"/>
      <c r="V575" s="78"/>
      <c r="W575" s="78"/>
      <c r="X575" s="78"/>
      <c r="Y575" s="78"/>
      <c r="Z575" s="81"/>
    </row>
    <row r="576">
      <c r="A576" s="92"/>
      <c r="B576" s="66"/>
      <c r="C576" s="67"/>
      <c r="D576" s="68"/>
      <c r="E576" s="79"/>
      <c r="F576" s="69"/>
      <c r="G576" s="78"/>
      <c r="H576" s="74"/>
      <c r="I576" s="78"/>
      <c r="J576" s="78"/>
      <c r="K576" s="71"/>
      <c r="L576" s="76"/>
      <c r="M576" s="76"/>
      <c r="N576" s="76"/>
      <c r="O576" s="78"/>
      <c r="P576" s="80"/>
      <c r="Q576" s="71"/>
      <c r="R576" s="71"/>
      <c r="S576" s="71"/>
      <c r="T576" s="71"/>
      <c r="U576" s="71"/>
      <c r="V576" s="74"/>
      <c r="W576" s="74"/>
      <c r="X576" s="74"/>
      <c r="Y576" s="74"/>
      <c r="Z576" s="75"/>
    </row>
    <row r="577">
      <c r="A577" s="92"/>
      <c r="B577" s="66"/>
      <c r="C577" s="67"/>
      <c r="D577" s="68"/>
      <c r="E577" s="79"/>
      <c r="F577" s="69"/>
      <c r="G577" s="78"/>
      <c r="H577" s="74"/>
      <c r="I577" s="78"/>
      <c r="J577" s="78"/>
      <c r="K577" s="76"/>
      <c r="L577" s="76"/>
      <c r="M577" s="76"/>
      <c r="N577" s="76"/>
      <c r="O577" s="78"/>
      <c r="P577" s="80"/>
      <c r="Q577" s="76"/>
      <c r="R577" s="76"/>
      <c r="S577" s="71"/>
      <c r="T577" s="71"/>
      <c r="U577" s="76"/>
      <c r="V577" s="74"/>
      <c r="W577" s="74"/>
      <c r="X577" s="74"/>
      <c r="Y577" s="74"/>
      <c r="Z577" s="75"/>
    </row>
    <row r="578">
      <c r="A578" s="93"/>
      <c r="B578" s="66"/>
      <c r="C578" s="78"/>
      <c r="D578" s="68"/>
      <c r="E578" s="68"/>
      <c r="F578" s="69"/>
      <c r="G578" s="74"/>
      <c r="H578" s="74"/>
      <c r="I578" s="74"/>
      <c r="J578" s="74"/>
      <c r="K578" s="71"/>
      <c r="L578" s="72"/>
      <c r="M578" s="76"/>
      <c r="N578" s="76"/>
      <c r="O578" s="74"/>
      <c r="P578" s="73"/>
      <c r="Q578" s="71"/>
      <c r="R578" s="71"/>
      <c r="S578" s="72"/>
      <c r="T578" s="72"/>
      <c r="U578" s="72"/>
      <c r="V578" s="74"/>
      <c r="W578" s="74"/>
      <c r="X578" s="74"/>
      <c r="Y578" s="74"/>
      <c r="Z578" s="75"/>
    </row>
    <row r="579">
      <c r="A579" s="92"/>
      <c r="B579" s="66"/>
      <c r="C579" s="67"/>
      <c r="D579" s="68"/>
      <c r="E579" s="79"/>
      <c r="F579" s="69"/>
      <c r="G579" s="78"/>
      <c r="H579" s="74"/>
      <c r="I579" s="78"/>
      <c r="J579" s="78"/>
      <c r="K579" s="71"/>
      <c r="L579" s="76"/>
      <c r="M579" s="76"/>
      <c r="N579" s="76"/>
      <c r="O579" s="70"/>
      <c r="P579" s="73"/>
      <c r="Q579" s="71"/>
      <c r="R579" s="71"/>
      <c r="S579" s="71"/>
      <c r="T579" s="71"/>
      <c r="U579" s="71"/>
      <c r="V579" s="74"/>
      <c r="W579" s="74"/>
      <c r="X579" s="74"/>
      <c r="Y579" s="74"/>
      <c r="Z579" s="75"/>
    </row>
    <row r="580">
      <c r="A580" s="92"/>
      <c r="B580" s="66"/>
      <c r="C580" s="67"/>
      <c r="D580" s="68"/>
      <c r="E580" s="79"/>
      <c r="F580" s="69"/>
      <c r="G580" s="78"/>
      <c r="H580" s="74"/>
      <c r="I580" s="78"/>
      <c r="J580" s="78"/>
      <c r="K580" s="71"/>
      <c r="L580" s="76"/>
      <c r="M580" s="76"/>
      <c r="N580" s="76"/>
      <c r="O580" s="78"/>
      <c r="P580" s="80"/>
      <c r="Q580" s="71"/>
      <c r="R580" s="71"/>
      <c r="S580" s="71"/>
      <c r="T580" s="71"/>
      <c r="U580" s="71"/>
      <c r="V580" s="74"/>
      <c r="W580" s="74"/>
      <c r="X580" s="74"/>
      <c r="Y580" s="74"/>
      <c r="Z580" s="75"/>
    </row>
    <row r="581">
      <c r="A581" s="92"/>
      <c r="B581" s="66"/>
      <c r="C581" s="67"/>
      <c r="D581" s="68"/>
      <c r="E581" s="79"/>
      <c r="F581" s="69"/>
      <c r="G581" s="78"/>
      <c r="H581" s="74"/>
      <c r="I581" s="78"/>
      <c r="J581" s="78"/>
      <c r="K581" s="71"/>
      <c r="L581" s="76"/>
      <c r="M581" s="76"/>
      <c r="N581" s="76"/>
      <c r="O581" s="70"/>
      <c r="P581" s="80"/>
      <c r="Q581" s="71"/>
      <c r="R581" s="71"/>
      <c r="S581" s="71"/>
      <c r="T581" s="71"/>
      <c r="U581" s="71"/>
      <c r="V581" s="74"/>
      <c r="W581" s="74"/>
      <c r="X581" s="74"/>
      <c r="Y581" s="74"/>
      <c r="Z581" s="75"/>
    </row>
    <row r="582">
      <c r="A582" s="92"/>
      <c r="B582" s="66"/>
      <c r="C582" s="67"/>
      <c r="D582" s="68"/>
      <c r="E582" s="68"/>
      <c r="F582" s="69"/>
      <c r="G582" s="70"/>
      <c r="H582" s="70"/>
      <c r="I582" s="70"/>
      <c r="J582" s="70"/>
      <c r="K582" s="71"/>
      <c r="L582" s="76"/>
      <c r="M582" s="71"/>
      <c r="N582" s="76"/>
      <c r="O582" s="70"/>
      <c r="P582" s="73"/>
      <c r="Q582" s="71"/>
      <c r="R582" s="71"/>
      <c r="S582" s="71"/>
      <c r="T582" s="71"/>
      <c r="U582" s="71"/>
      <c r="V582" s="78"/>
      <c r="W582" s="78"/>
      <c r="X582" s="78"/>
      <c r="Y582" s="78"/>
      <c r="Z582" s="81"/>
    </row>
    <row r="583">
      <c r="A583" s="92"/>
      <c r="B583" s="66"/>
      <c r="C583" s="98"/>
      <c r="D583" s="79"/>
      <c r="E583" s="68"/>
      <c r="F583" s="69"/>
      <c r="G583" s="70"/>
      <c r="H583" s="70"/>
      <c r="I583" s="70"/>
      <c r="J583" s="70"/>
      <c r="K583" s="76"/>
      <c r="L583" s="76"/>
      <c r="M583" s="76"/>
      <c r="N583" s="76"/>
      <c r="O583" s="78"/>
      <c r="P583" s="80"/>
      <c r="Q583" s="76"/>
      <c r="R583" s="76"/>
      <c r="S583" s="76"/>
      <c r="T583" s="71"/>
      <c r="U583" s="71"/>
      <c r="V583" s="78"/>
      <c r="W583" s="78"/>
      <c r="X583" s="78"/>
      <c r="Y583" s="78"/>
      <c r="Z583" s="81"/>
    </row>
    <row r="584">
      <c r="A584" s="97"/>
      <c r="B584" s="66"/>
      <c r="C584" s="99"/>
      <c r="D584" s="79"/>
      <c r="E584" s="68"/>
      <c r="F584" s="69"/>
      <c r="G584" s="70"/>
      <c r="H584" s="70"/>
      <c r="I584" s="70"/>
      <c r="J584" s="70"/>
      <c r="K584" s="76"/>
      <c r="L584" s="76"/>
      <c r="M584" s="71"/>
      <c r="N584" s="71"/>
      <c r="O584" s="70"/>
      <c r="P584" s="73"/>
      <c r="Q584" s="76"/>
      <c r="R584" s="71"/>
      <c r="S584" s="71"/>
      <c r="T584" s="71"/>
      <c r="U584" s="71"/>
      <c r="V584" s="70"/>
      <c r="W584" s="70"/>
      <c r="X584" s="70"/>
      <c r="Y584" s="70"/>
      <c r="Z584" s="83"/>
    </row>
    <row r="585">
      <c r="A585" s="97"/>
      <c r="B585" s="66"/>
      <c r="C585" s="99"/>
      <c r="D585" s="79"/>
      <c r="E585" s="68"/>
      <c r="F585" s="69"/>
      <c r="G585" s="70"/>
      <c r="H585" s="70"/>
      <c r="I585" s="70"/>
      <c r="J585" s="70"/>
      <c r="K585" s="76"/>
      <c r="L585" s="76"/>
      <c r="M585" s="76"/>
      <c r="N585" s="76"/>
      <c r="O585" s="70"/>
      <c r="P585" s="73"/>
      <c r="Q585" s="76"/>
      <c r="R585" s="76"/>
      <c r="S585" s="76"/>
      <c r="T585" s="71"/>
      <c r="U585" s="71"/>
      <c r="V585" s="78"/>
      <c r="W585" s="78"/>
      <c r="X585" s="78"/>
      <c r="Y585" s="78"/>
      <c r="Z585" s="81"/>
    </row>
    <row r="586">
      <c r="A586" s="97"/>
      <c r="B586" s="66"/>
      <c r="C586" s="99"/>
      <c r="D586" s="79"/>
      <c r="E586" s="68"/>
      <c r="F586" s="69"/>
      <c r="G586" s="70"/>
      <c r="H586" s="70"/>
      <c r="I586" s="70"/>
      <c r="J586" s="70"/>
      <c r="K586" s="76"/>
      <c r="L586" s="76"/>
      <c r="M586" s="71"/>
      <c r="N586" s="71"/>
      <c r="O586" s="70"/>
      <c r="P586" s="73"/>
      <c r="Q586" s="76"/>
      <c r="R586" s="76"/>
      <c r="S586" s="76"/>
      <c r="T586" s="71"/>
      <c r="U586" s="71"/>
      <c r="V586" s="78"/>
      <c r="W586" s="78"/>
      <c r="X586" s="78"/>
      <c r="Y586" s="78"/>
      <c r="Z586" s="81"/>
    </row>
    <row r="587">
      <c r="A587" s="97"/>
      <c r="B587" s="66"/>
      <c r="C587" s="99"/>
      <c r="D587" s="79"/>
      <c r="E587" s="68"/>
      <c r="F587" s="69"/>
      <c r="G587" s="70"/>
      <c r="H587" s="70"/>
      <c r="I587" s="70"/>
      <c r="J587" s="70"/>
      <c r="K587" s="76"/>
      <c r="L587" s="76"/>
      <c r="M587" s="71"/>
      <c r="N587" s="72"/>
      <c r="O587" s="70"/>
      <c r="P587" s="73"/>
      <c r="Q587" s="76"/>
      <c r="R587" s="71"/>
      <c r="S587" s="71"/>
      <c r="T587" s="71"/>
      <c r="U587" s="71"/>
      <c r="V587" s="70"/>
      <c r="W587" s="70"/>
      <c r="X587" s="70"/>
      <c r="Y587" s="70"/>
      <c r="Z587" s="83"/>
    </row>
    <row r="588">
      <c r="A588" s="92"/>
      <c r="B588" s="66"/>
      <c r="C588" s="98"/>
      <c r="D588" s="79"/>
      <c r="E588" s="68"/>
      <c r="F588" s="69"/>
      <c r="G588" s="78"/>
      <c r="H588" s="78"/>
      <c r="I588" s="78"/>
      <c r="J588" s="78"/>
      <c r="K588" s="76"/>
      <c r="L588" s="76"/>
      <c r="M588" s="76"/>
      <c r="N588" s="76"/>
      <c r="O588" s="78"/>
      <c r="P588" s="80"/>
      <c r="Q588" s="76"/>
      <c r="R588" s="76"/>
      <c r="S588" s="76"/>
      <c r="T588" s="71"/>
      <c r="U588" s="71"/>
      <c r="V588" s="78"/>
      <c r="W588" s="78"/>
      <c r="X588" s="78"/>
      <c r="Y588" s="78"/>
      <c r="Z588" s="81"/>
    </row>
    <row r="589">
      <c r="A589" s="92"/>
      <c r="B589" s="66"/>
      <c r="C589" s="98"/>
      <c r="D589" s="79"/>
      <c r="E589" s="68"/>
      <c r="F589" s="69"/>
      <c r="G589" s="78"/>
      <c r="H589" s="78"/>
      <c r="I589" s="78"/>
      <c r="J589" s="78"/>
      <c r="K589" s="76"/>
      <c r="L589" s="76"/>
      <c r="M589" s="76"/>
      <c r="N589" s="72"/>
      <c r="O589" s="78"/>
      <c r="P589" s="80"/>
      <c r="Q589" s="76"/>
      <c r="R589" s="76"/>
      <c r="S589" s="76"/>
      <c r="T589" s="71"/>
      <c r="U589" s="71"/>
      <c r="V589" s="78"/>
      <c r="W589" s="78"/>
      <c r="X589" s="78"/>
      <c r="Y589" s="78"/>
      <c r="Z589" s="81"/>
    </row>
    <row r="590">
      <c r="A590" s="92"/>
      <c r="B590" s="66"/>
      <c r="C590" s="98"/>
      <c r="D590" s="79"/>
      <c r="E590" s="79"/>
      <c r="F590" s="86"/>
      <c r="G590" s="78"/>
      <c r="H590" s="78"/>
      <c r="I590" s="78"/>
      <c r="J590" s="78"/>
      <c r="K590" s="76"/>
      <c r="L590" s="76"/>
      <c r="M590" s="76"/>
      <c r="N590" s="87"/>
      <c r="O590" s="78"/>
      <c r="P590" s="80"/>
      <c r="Q590" s="76"/>
      <c r="R590" s="76"/>
      <c r="S590" s="71"/>
      <c r="T590" s="76"/>
      <c r="U590" s="76"/>
      <c r="V590" s="70"/>
      <c r="W590" s="70"/>
      <c r="X590" s="70"/>
      <c r="Y590" s="70"/>
      <c r="Z590" s="83"/>
    </row>
    <row r="591">
      <c r="A591" s="92"/>
      <c r="B591" s="66"/>
      <c r="C591" s="98"/>
      <c r="D591" s="79"/>
      <c r="E591" s="68"/>
      <c r="F591" s="86"/>
      <c r="G591" s="70"/>
      <c r="H591" s="70"/>
      <c r="I591" s="70"/>
      <c r="J591" s="70"/>
      <c r="K591" s="76"/>
      <c r="L591" s="76"/>
      <c r="M591" s="76"/>
      <c r="N591" s="72"/>
      <c r="O591" s="78"/>
      <c r="P591" s="80"/>
      <c r="Q591" s="76"/>
      <c r="R591" s="76"/>
      <c r="S591" s="76"/>
      <c r="T591" s="76"/>
      <c r="U591" s="76"/>
      <c r="V591" s="78"/>
      <c r="W591" s="78"/>
      <c r="X591" s="78"/>
      <c r="Y591" s="78"/>
      <c r="Z591" s="81"/>
    </row>
    <row r="592">
      <c r="A592" s="92"/>
      <c r="B592" s="66"/>
      <c r="C592" s="98"/>
      <c r="D592" s="79"/>
      <c r="E592" s="79"/>
      <c r="F592" s="90"/>
      <c r="G592" s="100"/>
      <c r="H592" s="100"/>
      <c r="I592" s="100"/>
      <c r="J592" s="100"/>
      <c r="K592" s="76"/>
      <c r="L592" s="76"/>
      <c r="M592" s="76"/>
      <c r="N592" s="76"/>
      <c r="O592" s="78"/>
      <c r="P592" s="80"/>
      <c r="Q592" s="76"/>
      <c r="R592" s="76"/>
      <c r="S592" s="76"/>
      <c r="T592" s="76"/>
      <c r="U592" s="76"/>
      <c r="V592" s="78"/>
      <c r="W592" s="78"/>
      <c r="X592" s="78"/>
      <c r="Y592" s="78"/>
      <c r="Z592" s="81"/>
    </row>
    <row r="593">
      <c r="A593" s="97"/>
      <c r="B593" s="66"/>
      <c r="C593" s="99"/>
      <c r="D593" s="79"/>
      <c r="E593" s="68"/>
      <c r="F593" s="69"/>
      <c r="G593" s="70"/>
      <c r="H593" s="70"/>
      <c r="I593" s="70"/>
      <c r="J593" s="70"/>
      <c r="K593" s="76"/>
      <c r="L593" s="76"/>
      <c r="M593" s="71"/>
      <c r="N593" s="71"/>
      <c r="O593" s="70"/>
      <c r="P593" s="73"/>
      <c r="Q593" s="76"/>
      <c r="R593" s="76"/>
      <c r="S593" s="76"/>
      <c r="T593" s="71"/>
      <c r="U593" s="71"/>
      <c r="V593" s="78"/>
      <c r="W593" s="78"/>
      <c r="X593" s="78"/>
      <c r="Y593" s="78"/>
      <c r="Z593" s="81"/>
    </row>
    <row r="594">
      <c r="A594" s="97"/>
      <c r="B594" s="66"/>
      <c r="C594" s="99"/>
      <c r="D594" s="79"/>
      <c r="E594" s="68"/>
      <c r="F594" s="69"/>
      <c r="G594" s="70"/>
      <c r="H594" s="70"/>
      <c r="I594" s="70"/>
      <c r="J594" s="70"/>
      <c r="K594" s="76"/>
      <c r="L594" s="76"/>
      <c r="M594" s="71"/>
      <c r="N594" s="71"/>
      <c r="O594" s="70"/>
      <c r="P594" s="73"/>
      <c r="Q594" s="76"/>
      <c r="R594" s="76"/>
      <c r="S594" s="76"/>
      <c r="T594" s="71"/>
      <c r="U594" s="76"/>
      <c r="V594" s="78"/>
      <c r="W594" s="78"/>
      <c r="X594" s="78"/>
      <c r="Y594" s="78"/>
      <c r="Z594" s="81"/>
    </row>
    <row r="595">
      <c r="A595" s="92"/>
      <c r="B595" s="66"/>
      <c r="C595" s="98"/>
      <c r="D595" s="68"/>
      <c r="E595" s="68"/>
      <c r="F595" s="69"/>
      <c r="G595" s="70"/>
      <c r="H595" s="70"/>
      <c r="I595" s="70"/>
      <c r="J595" s="70"/>
      <c r="K595" s="71"/>
      <c r="L595" s="72"/>
      <c r="M595" s="72"/>
      <c r="N595" s="72"/>
      <c r="O595" s="74"/>
      <c r="P595" s="73"/>
      <c r="Q595" s="71"/>
      <c r="R595" s="72"/>
      <c r="S595" s="72"/>
      <c r="T595" s="71"/>
      <c r="U595" s="71"/>
      <c r="V595" s="74"/>
      <c r="W595" s="74"/>
      <c r="X595" s="74"/>
      <c r="Y595" s="74"/>
      <c r="Z595" s="75"/>
    </row>
    <row r="596">
      <c r="A596" s="93"/>
      <c r="B596" s="66"/>
      <c r="C596" s="99"/>
      <c r="D596" s="68"/>
      <c r="E596" s="68"/>
      <c r="F596" s="69"/>
      <c r="G596" s="74"/>
      <c r="H596" s="74"/>
      <c r="I596" s="74"/>
      <c r="J596" s="74"/>
      <c r="K596" s="72"/>
      <c r="L596" s="72"/>
      <c r="M596" s="72"/>
      <c r="N596" s="72"/>
      <c r="O596" s="74"/>
      <c r="P596" s="73"/>
      <c r="Q596" s="72"/>
      <c r="R596" s="72"/>
      <c r="S596" s="72"/>
      <c r="T596" s="71"/>
      <c r="U596" s="71"/>
      <c r="V596" s="74"/>
      <c r="W596" s="74"/>
      <c r="X596" s="74"/>
      <c r="Y596" s="74"/>
      <c r="Z596" s="75"/>
    </row>
    <row r="597">
      <c r="A597" s="93"/>
      <c r="B597" s="66"/>
      <c r="C597" s="99"/>
      <c r="D597" s="68"/>
      <c r="E597" s="68"/>
      <c r="F597" s="69"/>
      <c r="G597" s="70"/>
      <c r="H597" s="70"/>
      <c r="I597" s="70"/>
      <c r="J597" s="70"/>
      <c r="K597" s="72"/>
      <c r="L597" s="72"/>
      <c r="M597" s="71"/>
      <c r="N597" s="72"/>
      <c r="O597" s="74"/>
      <c r="P597" s="73"/>
      <c r="Q597" s="72"/>
      <c r="R597" s="72"/>
      <c r="S597" s="72"/>
      <c r="T597" s="71"/>
      <c r="U597" s="71"/>
      <c r="V597" s="74"/>
      <c r="W597" s="74"/>
      <c r="X597" s="74"/>
      <c r="Y597" s="74"/>
      <c r="Z597" s="75"/>
    </row>
    <row r="598">
      <c r="A598" s="92"/>
      <c r="B598" s="66"/>
      <c r="C598" s="98"/>
      <c r="D598" s="68"/>
      <c r="E598" s="68"/>
      <c r="F598" s="69"/>
      <c r="G598" s="74"/>
      <c r="H598" s="74"/>
      <c r="I598" s="74"/>
      <c r="J598" s="74"/>
      <c r="K598" s="72"/>
      <c r="L598" s="72"/>
      <c r="M598" s="72"/>
      <c r="N598" s="72"/>
      <c r="O598" s="74"/>
      <c r="P598" s="73"/>
      <c r="Q598" s="72"/>
      <c r="R598" s="72"/>
      <c r="S598" s="72"/>
      <c r="T598" s="71"/>
      <c r="U598" s="71"/>
      <c r="V598" s="74"/>
      <c r="W598" s="74"/>
      <c r="X598" s="74"/>
      <c r="Y598" s="74"/>
      <c r="Z598" s="75"/>
    </row>
    <row r="599">
      <c r="A599" s="92"/>
      <c r="B599" s="66"/>
      <c r="C599" s="98"/>
      <c r="D599" s="68"/>
      <c r="E599" s="79"/>
      <c r="F599" s="69"/>
      <c r="G599" s="70"/>
      <c r="H599" s="70"/>
      <c r="I599" s="70"/>
      <c r="J599" s="70"/>
      <c r="K599" s="71"/>
      <c r="L599" s="72"/>
      <c r="M599" s="72"/>
      <c r="N599" s="72"/>
      <c r="O599" s="74"/>
      <c r="P599" s="73"/>
      <c r="Q599" s="71"/>
      <c r="R599" s="72"/>
      <c r="S599" s="72"/>
      <c r="T599" s="71"/>
      <c r="U599" s="71"/>
      <c r="V599" s="74"/>
      <c r="W599" s="74"/>
      <c r="X599" s="74"/>
      <c r="Y599" s="74"/>
      <c r="Z599" s="75"/>
    </row>
    <row r="600">
      <c r="A600" s="93"/>
      <c r="B600" s="66"/>
      <c r="C600" s="99"/>
      <c r="D600" s="79"/>
      <c r="E600" s="68"/>
      <c r="F600" s="69"/>
      <c r="G600" s="70"/>
      <c r="H600" s="70"/>
      <c r="I600" s="70"/>
      <c r="J600" s="70"/>
      <c r="K600" s="72"/>
      <c r="L600" s="72"/>
      <c r="M600" s="72"/>
      <c r="N600" s="72"/>
      <c r="O600" s="74"/>
      <c r="P600" s="73"/>
      <c r="Q600" s="72"/>
      <c r="R600" s="72"/>
      <c r="S600" s="72"/>
      <c r="T600" s="71"/>
      <c r="U600" s="71"/>
      <c r="V600" s="74"/>
      <c r="W600" s="74"/>
      <c r="X600" s="74"/>
      <c r="Y600" s="74"/>
      <c r="Z600" s="75"/>
    </row>
    <row r="601">
      <c r="A601" s="92"/>
      <c r="B601" s="66"/>
      <c r="C601" s="98"/>
      <c r="D601" s="79"/>
      <c r="E601" s="68"/>
      <c r="F601" s="86"/>
      <c r="G601" s="70"/>
      <c r="H601" s="70"/>
      <c r="I601" s="70"/>
      <c r="J601" s="70"/>
      <c r="K601" s="71"/>
      <c r="L601" s="76"/>
      <c r="M601" s="76"/>
      <c r="N601" s="76"/>
      <c r="O601" s="78"/>
      <c r="P601" s="80"/>
      <c r="Q601" s="71"/>
      <c r="R601" s="76"/>
      <c r="S601" s="76"/>
      <c r="T601" s="76"/>
      <c r="U601" s="76"/>
      <c r="V601" s="78"/>
      <c r="W601" s="78"/>
      <c r="X601" s="78"/>
      <c r="Y601" s="78"/>
      <c r="Z601" s="81"/>
    </row>
    <row r="602">
      <c r="A602" s="92"/>
      <c r="B602" s="66"/>
      <c r="C602" s="98"/>
      <c r="D602" s="79"/>
      <c r="E602" s="68"/>
      <c r="F602" s="69"/>
      <c r="G602" s="70"/>
      <c r="H602" s="78"/>
      <c r="I602" s="78"/>
      <c r="J602" s="78"/>
      <c r="K602" s="71"/>
      <c r="L602" s="76"/>
      <c r="M602" s="76"/>
      <c r="N602" s="76"/>
      <c r="O602" s="78"/>
      <c r="P602" s="80"/>
      <c r="Q602" s="71"/>
      <c r="R602" s="76"/>
      <c r="S602" s="76"/>
      <c r="T602" s="71"/>
      <c r="U602" s="71"/>
      <c r="V602" s="78"/>
      <c r="W602" s="78"/>
      <c r="X602" s="74"/>
      <c r="Y602" s="74"/>
      <c r="Z602" s="75"/>
    </row>
    <row r="603">
      <c r="A603" s="93"/>
      <c r="B603" s="66"/>
      <c r="C603" s="99"/>
      <c r="D603" s="68"/>
      <c r="E603" s="68"/>
      <c r="F603" s="69"/>
      <c r="G603" s="74"/>
      <c r="H603" s="74"/>
      <c r="I603" s="74"/>
      <c r="J603" s="74"/>
      <c r="K603" s="71"/>
      <c r="L603" s="72"/>
      <c r="M603" s="72"/>
      <c r="N603" s="71"/>
      <c r="O603" s="74"/>
      <c r="P603" s="73"/>
      <c r="Q603" s="71"/>
      <c r="R603" s="72"/>
      <c r="S603" s="72"/>
      <c r="T603" s="71"/>
      <c r="U603" s="76"/>
      <c r="V603" s="74"/>
      <c r="W603" s="74"/>
      <c r="X603" s="74"/>
      <c r="Y603" s="74"/>
      <c r="Z603" s="75"/>
    </row>
    <row r="604">
      <c r="A604" s="92"/>
      <c r="B604" s="66"/>
      <c r="C604" s="98"/>
      <c r="D604" s="79"/>
      <c r="E604" s="68"/>
      <c r="F604" s="69"/>
      <c r="G604" s="78"/>
      <c r="H604" s="78"/>
      <c r="I604" s="78"/>
      <c r="J604" s="78"/>
      <c r="K604" s="71"/>
      <c r="L604" s="76"/>
      <c r="M604" s="76"/>
      <c r="N604" s="76"/>
      <c r="O604" s="78"/>
      <c r="P604" s="80"/>
      <c r="Q604" s="71"/>
      <c r="R604" s="76"/>
      <c r="S604" s="76"/>
      <c r="T604" s="71"/>
      <c r="U604" s="71"/>
      <c r="V604" s="78"/>
      <c r="W604" s="78"/>
      <c r="X604" s="78"/>
      <c r="Y604" s="74"/>
      <c r="Z604" s="81"/>
    </row>
    <row r="605">
      <c r="A605" s="92"/>
      <c r="B605" s="66"/>
      <c r="C605" s="98"/>
      <c r="D605" s="79"/>
      <c r="E605" s="68"/>
      <c r="F605" s="69"/>
      <c r="G605" s="78"/>
      <c r="H605" s="78"/>
      <c r="I605" s="78"/>
      <c r="J605" s="78"/>
      <c r="K605" s="76"/>
      <c r="L605" s="76"/>
      <c r="M605" s="76"/>
      <c r="N605" s="76"/>
      <c r="O605" s="78"/>
      <c r="P605" s="80"/>
      <c r="Q605" s="76"/>
      <c r="R605" s="76"/>
      <c r="S605" s="76"/>
      <c r="T605" s="71"/>
      <c r="U605" s="76"/>
      <c r="V605" s="78"/>
      <c r="W605" s="78"/>
      <c r="X605" s="78"/>
      <c r="Y605" s="78"/>
      <c r="Z605" s="81"/>
    </row>
    <row r="606">
      <c r="A606" s="92"/>
      <c r="B606" s="66"/>
      <c r="C606" s="98"/>
      <c r="D606" s="79"/>
      <c r="E606" s="68"/>
      <c r="F606" s="69"/>
      <c r="G606" s="78"/>
      <c r="H606" s="78"/>
      <c r="I606" s="78"/>
      <c r="J606" s="78"/>
      <c r="K606" s="76"/>
      <c r="L606" s="76"/>
      <c r="M606" s="76"/>
      <c r="N606" s="76"/>
      <c r="O606" s="78"/>
      <c r="P606" s="80"/>
      <c r="Q606" s="76"/>
      <c r="R606" s="76"/>
      <c r="S606" s="76"/>
      <c r="T606" s="71"/>
      <c r="U606" s="71"/>
      <c r="V606" s="78"/>
      <c r="W606" s="78"/>
      <c r="X606" s="78"/>
      <c r="Y606" s="70"/>
      <c r="Z606" s="83"/>
    </row>
    <row r="607">
      <c r="A607" s="92"/>
      <c r="B607" s="66"/>
      <c r="C607" s="98"/>
      <c r="D607" s="79"/>
      <c r="E607" s="68"/>
      <c r="F607" s="69"/>
      <c r="G607" s="78"/>
      <c r="H607" s="78"/>
      <c r="I607" s="78"/>
      <c r="J607" s="78"/>
      <c r="K607" s="71"/>
      <c r="L607" s="76"/>
      <c r="M607" s="76"/>
      <c r="N607" s="76"/>
      <c r="O607" s="78"/>
      <c r="P607" s="80"/>
      <c r="Q607" s="71"/>
      <c r="R607" s="76"/>
      <c r="S607" s="76"/>
      <c r="T607" s="71"/>
      <c r="U607" s="71"/>
      <c r="V607" s="78"/>
      <c r="W607" s="78"/>
      <c r="X607" s="74"/>
      <c r="Y607" s="74"/>
      <c r="Z607" s="75"/>
    </row>
    <row r="608">
      <c r="A608" s="92"/>
      <c r="B608" s="66"/>
      <c r="C608" s="98"/>
      <c r="D608" s="79"/>
      <c r="E608" s="68"/>
      <c r="F608" s="69"/>
      <c r="G608" s="78"/>
      <c r="H608" s="78"/>
      <c r="I608" s="78"/>
      <c r="J608" s="78"/>
      <c r="K608" s="76"/>
      <c r="L608" s="76"/>
      <c r="M608" s="76"/>
      <c r="N608" s="76"/>
      <c r="O608" s="78"/>
      <c r="P608" s="80"/>
      <c r="Q608" s="76"/>
      <c r="R608" s="76"/>
      <c r="S608" s="76"/>
      <c r="T608" s="71"/>
      <c r="U608" s="71"/>
      <c r="V608" s="78"/>
      <c r="W608" s="78"/>
      <c r="X608" s="78"/>
      <c r="Y608" s="74"/>
      <c r="Z608" s="81"/>
    </row>
    <row r="609">
      <c r="A609" s="92"/>
      <c r="B609" s="66"/>
      <c r="C609" s="98"/>
      <c r="D609" s="79"/>
      <c r="E609" s="68"/>
      <c r="F609" s="69"/>
      <c r="G609" s="78"/>
      <c r="H609" s="74"/>
      <c r="I609" s="78"/>
      <c r="J609" s="78"/>
      <c r="K609" s="76"/>
      <c r="L609" s="76"/>
      <c r="M609" s="76"/>
      <c r="N609" s="76"/>
      <c r="O609" s="78"/>
      <c r="P609" s="80"/>
      <c r="Q609" s="76"/>
      <c r="R609" s="76"/>
      <c r="S609" s="76"/>
      <c r="T609" s="71"/>
      <c r="U609" s="71"/>
      <c r="V609" s="74"/>
      <c r="W609" s="74"/>
      <c r="X609" s="74"/>
      <c r="Y609" s="74"/>
      <c r="Z609" s="75"/>
    </row>
    <row r="610">
      <c r="A610" s="92"/>
      <c r="B610" s="66"/>
      <c r="C610" s="98"/>
      <c r="D610" s="79"/>
      <c r="E610" s="68"/>
      <c r="F610" s="86"/>
      <c r="G610" s="78"/>
      <c r="H610" s="74"/>
      <c r="I610" s="78"/>
      <c r="J610" s="78"/>
      <c r="K610" s="71"/>
      <c r="L610" s="76"/>
      <c r="M610" s="76"/>
      <c r="N610" s="76"/>
      <c r="O610" s="78"/>
      <c r="P610" s="80"/>
      <c r="Q610" s="76"/>
      <c r="R610" s="76"/>
      <c r="S610" s="76"/>
      <c r="T610" s="76"/>
      <c r="U610" s="76"/>
      <c r="V610" s="74"/>
      <c r="W610" s="74"/>
      <c r="X610" s="74"/>
      <c r="Y610" s="74"/>
      <c r="Z610" s="75"/>
    </row>
    <row r="611">
      <c r="A611" s="92"/>
      <c r="B611" s="66"/>
      <c r="C611" s="98"/>
      <c r="D611" s="79"/>
      <c r="E611" s="79"/>
      <c r="F611" s="69"/>
      <c r="G611" s="78"/>
      <c r="H611" s="74"/>
      <c r="I611" s="78"/>
      <c r="J611" s="78"/>
      <c r="K611" s="76"/>
      <c r="L611" s="76"/>
      <c r="M611" s="76"/>
      <c r="N611" s="76"/>
      <c r="O611" s="78"/>
      <c r="P611" s="80"/>
      <c r="Q611" s="76"/>
      <c r="R611" s="76"/>
      <c r="S611" s="72"/>
      <c r="T611" s="76"/>
      <c r="U611" s="76"/>
      <c r="V611" s="74"/>
      <c r="W611" s="74"/>
      <c r="X611" s="74"/>
      <c r="Y611" s="74"/>
      <c r="Z611" s="75"/>
    </row>
    <row r="612">
      <c r="A612" s="92"/>
      <c r="B612" s="66"/>
      <c r="C612" s="98"/>
      <c r="D612" s="79"/>
      <c r="E612" s="68"/>
      <c r="F612" s="69"/>
      <c r="G612" s="78"/>
      <c r="H612" s="78"/>
      <c r="I612" s="78"/>
      <c r="J612" s="78"/>
      <c r="K612" s="71"/>
      <c r="L612" s="76"/>
      <c r="M612" s="76"/>
      <c r="N612" s="76"/>
      <c r="O612" s="78"/>
      <c r="P612" s="80"/>
      <c r="Q612" s="76"/>
      <c r="R612" s="76"/>
      <c r="S612" s="76"/>
      <c r="T612" s="71"/>
      <c r="U612" s="71"/>
      <c r="V612" s="78"/>
      <c r="W612" s="78"/>
      <c r="X612" s="78"/>
      <c r="Y612" s="74"/>
      <c r="Z612" s="81"/>
    </row>
    <row r="613">
      <c r="A613" s="92"/>
      <c r="B613" s="66"/>
      <c r="C613" s="98"/>
      <c r="D613" s="79"/>
      <c r="E613" s="68"/>
      <c r="F613" s="69"/>
      <c r="G613" s="78"/>
      <c r="H613" s="78"/>
      <c r="I613" s="78"/>
      <c r="J613" s="78"/>
      <c r="K613" s="71"/>
      <c r="L613" s="76"/>
      <c r="M613" s="76"/>
      <c r="N613" s="76"/>
      <c r="O613" s="78"/>
      <c r="P613" s="80"/>
      <c r="Q613" s="76"/>
      <c r="R613" s="76"/>
      <c r="S613" s="76"/>
      <c r="T613" s="71"/>
      <c r="U613" s="71"/>
      <c r="V613" s="78"/>
      <c r="W613" s="78"/>
      <c r="X613" s="74"/>
      <c r="Y613" s="78"/>
      <c r="Z613" s="81"/>
    </row>
    <row r="614">
      <c r="A614" s="92"/>
      <c r="B614" s="66"/>
      <c r="C614" s="98"/>
      <c r="D614" s="79"/>
      <c r="E614" s="68"/>
      <c r="F614" s="69"/>
      <c r="G614" s="70"/>
      <c r="H614" s="78"/>
      <c r="I614" s="70"/>
      <c r="J614" s="78"/>
      <c r="K614" s="71"/>
      <c r="L614" s="76"/>
      <c r="M614" s="76"/>
      <c r="N614" s="76"/>
      <c r="O614" s="78"/>
      <c r="P614" s="80"/>
      <c r="Q614" s="71"/>
      <c r="R614" s="76"/>
      <c r="S614" s="76"/>
      <c r="T614" s="71"/>
      <c r="U614" s="76"/>
      <c r="V614" s="78"/>
      <c r="W614" s="78"/>
      <c r="X614" s="78"/>
      <c r="Y614" s="78"/>
      <c r="Z614" s="81"/>
    </row>
    <row r="615">
      <c r="A615" s="92"/>
      <c r="B615" s="66"/>
      <c r="C615" s="98"/>
      <c r="D615" s="79"/>
      <c r="E615" s="68"/>
      <c r="F615" s="69"/>
      <c r="G615" s="78"/>
      <c r="H615" s="78"/>
      <c r="I615" s="78"/>
      <c r="J615" s="78"/>
      <c r="K615" s="71"/>
      <c r="L615" s="76"/>
      <c r="M615" s="76"/>
      <c r="N615" s="76"/>
      <c r="O615" s="78"/>
      <c r="P615" s="80"/>
      <c r="Q615" s="76"/>
      <c r="R615" s="76"/>
      <c r="S615" s="76"/>
      <c r="T615" s="71"/>
      <c r="U615" s="71"/>
      <c r="V615" s="78"/>
      <c r="W615" s="78"/>
      <c r="X615" s="78"/>
      <c r="Y615" s="78"/>
      <c r="Z615" s="81"/>
    </row>
    <row r="616">
      <c r="A616" s="92"/>
      <c r="B616" s="66"/>
      <c r="C616" s="98"/>
      <c r="D616" s="79"/>
      <c r="E616" s="68"/>
      <c r="F616" s="69"/>
      <c r="G616" s="78"/>
      <c r="H616" s="78"/>
      <c r="I616" s="78"/>
      <c r="J616" s="78"/>
      <c r="K616" s="71"/>
      <c r="L616" s="76"/>
      <c r="M616" s="76"/>
      <c r="N616" s="76"/>
      <c r="O616" s="78"/>
      <c r="P616" s="80"/>
      <c r="Q616" s="76"/>
      <c r="R616" s="76"/>
      <c r="S616" s="76"/>
      <c r="T616" s="71"/>
      <c r="U616" s="71"/>
      <c r="V616" s="78"/>
      <c r="W616" s="78"/>
      <c r="X616" s="78"/>
      <c r="Y616" s="74"/>
      <c r="Z616" s="81"/>
    </row>
    <row r="617">
      <c r="A617" s="92"/>
      <c r="B617" s="66"/>
      <c r="C617" s="98"/>
      <c r="D617" s="79"/>
      <c r="E617" s="68"/>
      <c r="F617" s="69"/>
      <c r="G617" s="70"/>
      <c r="H617" s="78"/>
      <c r="I617" s="70"/>
      <c r="J617" s="78"/>
      <c r="K617" s="71"/>
      <c r="L617" s="76"/>
      <c r="M617" s="76"/>
      <c r="N617" s="72"/>
      <c r="O617" s="78"/>
      <c r="P617" s="80"/>
      <c r="Q617" s="71"/>
      <c r="R617" s="76"/>
      <c r="S617" s="76"/>
      <c r="T617" s="71"/>
      <c r="U617" s="71"/>
      <c r="V617" s="78"/>
      <c r="W617" s="78"/>
      <c r="X617" s="78"/>
      <c r="Y617" s="78"/>
      <c r="Z617" s="81"/>
    </row>
    <row r="618">
      <c r="A618" s="92"/>
      <c r="B618" s="66"/>
      <c r="C618" s="98"/>
      <c r="D618" s="79"/>
      <c r="E618" s="68"/>
      <c r="F618" s="69"/>
      <c r="G618" s="78"/>
      <c r="H618" s="78"/>
      <c r="I618" s="78"/>
      <c r="J618" s="78"/>
      <c r="K618" s="71"/>
      <c r="L618" s="76"/>
      <c r="M618" s="76"/>
      <c r="N618" s="76"/>
      <c r="O618" s="78"/>
      <c r="P618" s="80"/>
      <c r="Q618" s="71"/>
      <c r="R618" s="76"/>
      <c r="S618" s="76"/>
      <c r="T618" s="71"/>
      <c r="U618" s="76"/>
      <c r="V618" s="78"/>
      <c r="W618" s="78"/>
      <c r="X618" s="78"/>
      <c r="Y618" s="78"/>
      <c r="Z618" s="75"/>
    </row>
    <row r="619">
      <c r="A619" s="92"/>
      <c r="B619" s="66"/>
      <c r="C619" s="98"/>
      <c r="D619" s="79"/>
      <c r="E619" s="68"/>
      <c r="F619" s="86"/>
      <c r="G619" s="78"/>
      <c r="H619" s="78"/>
      <c r="I619" s="78"/>
      <c r="J619" s="78"/>
      <c r="K619" s="71"/>
      <c r="L619" s="76"/>
      <c r="M619" s="76"/>
      <c r="N619" s="76"/>
      <c r="O619" s="78"/>
      <c r="P619" s="80"/>
      <c r="Q619" s="71"/>
      <c r="R619" s="76"/>
      <c r="S619" s="76"/>
      <c r="T619" s="71"/>
      <c r="U619" s="76"/>
      <c r="V619" s="78"/>
      <c r="W619" s="78"/>
      <c r="X619" s="78"/>
      <c r="Y619" s="74"/>
      <c r="Z619" s="81"/>
    </row>
    <row r="620">
      <c r="A620" s="92"/>
      <c r="B620" s="66"/>
      <c r="C620" s="98"/>
      <c r="D620" s="79"/>
      <c r="E620" s="68"/>
      <c r="F620" s="69"/>
      <c r="G620" s="78"/>
      <c r="H620" s="78"/>
      <c r="I620" s="78"/>
      <c r="J620" s="78"/>
      <c r="K620" s="71"/>
      <c r="L620" s="76"/>
      <c r="M620" s="76"/>
      <c r="N620" s="76"/>
      <c r="O620" s="78"/>
      <c r="P620" s="80"/>
      <c r="Q620" s="71"/>
      <c r="R620" s="76"/>
      <c r="S620" s="76"/>
      <c r="T620" s="71"/>
      <c r="U620" s="71"/>
      <c r="V620" s="78"/>
      <c r="W620" s="78"/>
      <c r="X620" s="78"/>
      <c r="Y620" s="74"/>
      <c r="Z620" s="75"/>
    </row>
    <row r="621">
      <c r="A621" s="92"/>
      <c r="B621" s="66"/>
      <c r="C621" s="98"/>
      <c r="D621" s="79"/>
      <c r="E621" s="68"/>
      <c r="F621" s="69"/>
      <c r="G621" s="78"/>
      <c r="H621" s="78"/>
      <c r="I621" s="78"/>
      <c r="J621" s="78"/>
      <c r="K621" s="71"/>
      <c r="L621" s="76"/>
      <c r="M621" s="76"/>
      <c r="N621" s="76"/>
      <c r="O621" s="78"/>
      <c r="P621" s="80"/>
      <c r="Q621" s="76"/>
      <c r="R621" s="76"/>
      <c r="S621" s="76"/>
      <c r="T621" s="71"/>
      <c r="U621" s="71"/>
      <c r="V621" s="78"/>
      <c r="W621" s="78"/>
      <c r="X621" s="78"/>
      <c r="Y621" s="78"/>
      <c r="Z621" s="81"/>
    </row>
    <row r="622">
      <c r="A622" s="92"/>
      <c r="B622" s="66"/>
      <c r="C622" s="98"/>
      <c r="D622" s="79"/>
      <c r="E622" s="68"/>
      <c r="F622" s="69"/>
      <c r="G622" s="78"/>
      <c r="H622" s="74"/>
      <c r="I622" s="78"/>
      <c r="J622" s="78"/>
      <c r="K622" s="71"/>
      <c r="L622" s="76"/>
      <c r="M622" s="76"/>
      <c r="N622" s="76"/>
      <c r="O622" s="78"/>
      <c r="P622" s="80"/>
      <c r="Q622" s="76"/>
      <c r="R622" s="76"/>
      <c r="S622" s="76"/>
      <c r="T622" s="71"/>
      <c r="U622" s="71"/>
      <c r="V622" s="74"/>
      <c r="W622" s="74"/>
      <c r="X622" s="74"/>
      <c r="Y622" s="74"/>
      <c r="Z622" s="75"/>
    </row>
    <row r="623">
      <c r="A623" s="92"/>
      <c r="B623" s="66"/>
      <c r="C623" s="98"/>
      <c r="D623" s="79"/>
      <c r="E623" s="68"/>
      <c r="F623" s="69"/>
      <c r="G623" s="78"/>
      <c r="H623" s="78"/>
      <c r="I623" s="78"/>
      <c r="J623" s="78"/>
      <c r="K623" s="71"/>
      <c r="L623" s="76"/>
      <c r="M623" s="76"/>
      <c r="N623" s="76"/>
      <c r="O623" s="78"/>
      <c r="P623" s="80"/>
      <c r="Q623" s="76"/>
      <c r="R623" s="76"/>
      <c r="S623" s="76"/>
      <c r="T623" s="71"/>
      <c r="U623" s="71"/>
      <c r="V623" s="78"/>
      <c r="W623" s="78"/>
      <c r="X623" s="78"/>
      <c r="Y623" s="78"/>
      <c r="Z623" s="81"/>
    </row>
    <row r="624">
      <c r="A624" s="92"/>
      <c r="B624" s="66"/>
      <c r="C624" s="98"/>
      <c r="D624" s="79"/>
      <c r="E624" s="68"/>
      <c r="F624" s="69"/>
      <c r="G624" s="78"/>
      <c r="H624" s="78"/>
      <c r="I624" s="78"/>
      <c r="J624" s="78"/>
      <c r="K624" s="71"/>
      <c r="L624" s="76"/>
      <c r="M624" s="76"/>
      <c r="N624" s="76"/>
      <c r="O624" s="78"/>
      <c r="P624" s="80"/>
      <c r="Q624" s="76"/>
      <c r="R624" s="76"/>
      <c r="S624" s="76"/>
      <c r="T624" s="71"/>
      <c r="U624" s="71"/>
      <c r="V624" s="78"/>
      <c r="W624" s="78"/>
      <c r="X624" s="78"/>
      <c r="Y624" s="74"/>
      <c r="Z624" s="81"/>
    </row>
    <row r="625">
      <c r="A625" s="92"/>
      <c r="B625" s="66"/>
      <c r="C625" s="98"/>
      <c r="D625" s="79"/>
      <c r="E625" s="68"/>
      <c r="F625" s="69"/>
      <c r="G625" s="78"/>
      <c r="H625" s="78"/>
      <c r="I625" s="78"/>
      <c r="J625" s="78"/>
      <c r="K625" s="71"/>
      <c r="L625" s="76"/>
      <c r="M625" s="76"/>
      <c r="N625" s="76"/>
      <c r="O625" s="78"/>
      <c r="P625" s="80"/>
      <c r="Q625" s="76"/>
      <c r="R625" s="76"/>
      <c r="S625" s="76"/>
      <c r="T625" s="71"/>
      <c r="U625" s="71"/>
      <c r="V625" s="78"/>
      <c r="W625" s="78"/>
      <c r="X625" s="78"/>
      <c r="Y625" s="78"/>
      <c r="Z625" s="75"/>
    </row>
    <row r="626">
      <c r="A626" s="93"/>
      <c r="B626" s="66"/>
      <c r="C626" s="99"/>
      <c r="D626" s="68"/>
      <c r="E626" s="68"/>
      <c r="F626" s="86"/>
      <c r="G626" s="70"/>
      <c r="H626" s="70"/>
      <c r="I626" s="70"/>
      <c r="J626" s="70"/>
      <c r="K626" s="71"/>
      <c r="L626" s="72"/>
      <c r="M626" s="72"/>
      <c r="N626" s="72"/>
      <c r="O626" s="74"/>
      <c r="P626" s="73"/>
      <c r="Q626" s="71"/>
      <c r="R626" s="72"/>
      <c r="S626" s="72"/>
      <c r="T626" s="76"/>
      <c r="U626" s="76"/>
      <c r="V626" s="74"/>
      <c r="W626" s="74"/>
      <c r="X626" s="74"/>
      <c r="Y626" s="74"/>
      <c r="Z626" s="75"/>
    </row>
    <row r="627">
      <c r="A627" s="92"/>
      <c r="B627" s="66"/>
      <c r="C627" s="98"/>
      <c r="D627" s="79"/>
      <c r="E627" s="68"/>
      <c r="F627" s="86"/>
      <c r="G627" s="70"/>
      <c r="H627" s="70"/>
      <c r="I627" s="70"/>
      <c r="J627" s="78"/>
      <c r="K627" s="76"/>
      <c r="L627" s="76"/>
      <c r="M627" s="76"/>
      <c r="N627" s="76"/>
      <c r="O627" s="78"/>
      <c r="P627" s="80"/>
      <c r="Q627" s="76"/>
      <c r="R627" s="71"/>
      <c r="S627" s="76"/>
      <c r="T627" s="71"/>
      <c r="U627" s="76"/>
      <c r="V627" s="78"/>
      <c r="W627" s="78"/>
      <c r="X627" s="78"/>
      <c r="Y627" s="70"/>
      <c r="Z627" s="83"/>
    </row>
    <row r="628">
      <c r="A628" s="92"/>
      <c r="B628" s="84"/>
      <c r="C628" s="98"/>
      <c r="D628" s="79"/>
      <c r="E628" s="68"/>
      <c r="F628" s="69"/>
      <c r="G628" s="70"/>
      <c r="H628" s="70"/>
      <c r="I628" s="70"/>
      <c r="J628" s="78"/>
      <c r="K628" s="71"/>
      <c r="L628" s="76"/>
      <c r="M628" s="76"/>
      <c r="N628" s="76"/>
      <c r="O628" s="78"/>
      <c r="P628" s="80"/>
      <c r="Q628" s="76"/>
      <c r="R628" s="71"/>
      <c r="S628" s="71"/>
      <c r="T628" s="71"/>
      <c r="U628" s="76"/>
      <c r="V628" s="70"/>
      <c r="W628" s="70"/>
      <c r="X628" s="70"/>
      <c r="Y628" s="70"/>
      <c r="Z628" s="83"/>
    </row>
    <row r="629">
      <c r="A629" s="92"/>
      <c r="B629" s="66"/>
      <c r="C629" s="98"/>
      <c r="D629" s="79"/>
      <c r="E629" s="68"/>
      <c r="F629" s="69"/>
      <c r="G629" s="78"/>
      <c r="H629" s="78"/>
      <c r="I629" s="78"/>
      <c r="J629" s="78"/>
      <c r="K629" s="71"/>
      <c r="L629" s="76"/>
      <c r="M629" s="76"/>
      <c r="N629" s="76"/>
      <c r="O629" s="78"/>
      <c r="P629" s="80"/>
      <c r="Q629" s="71"/>
      <c r="R629" s="76"/>
      <c r="S629" s="76"/>
      <c r="T629" s="71"/>
      <c r="U629" s="71"/>
      <c r="V629" s="78"/>
      <c r="W629" s="78"/>
      <c r="X629" s="78"/>
      <c r="Y629" s="78"/>
      <c r="Z629" s="81"/>
    </row>
    <row r="630">
      <c r="A630" s="92"/>
      <c r="B630" s="66"/>
      <c r="C630" s="98"/>
      <c r="D630" s="79"/>
      <c r="E630" s="68"/>
      <c r="F630" s="86"/>
      <c r="G630" s="78"/>
      <c r="H630" s="74"/>
      <c r="I630" s="78"/>
      <c r="J630" s="78"/>
      <c r="K630" s="71"/>
      <c r="L630" s="76"/>
      <c r="M630" s="76"/>
      <c r="N630" s="76"/>
      <c r="O630" s="78"/>
      <c r="P630" s="80"/>
      <c r="Q630" s="76"/>
      <c r="R630" s="76"/>
      <c r="S630" s="76"/>
      <c r="T630" s="71"/>
      <c r="U630" s="76"/>
      <c r="V630" s="74"/>
      <c r="W630" s="74"/>
      <c r="X630" s="74"/>
      <c r="Y630" s="74"/>
      <c r="Z630" s="75"/>
    </row>
    <row r="631">
      <c r="A631" s="92"/>
      <c r="B631" s="66"/>
      <c r="C631" s="98"/>
      <c r="D631" s="79"/>
      <c r="E631" s="68"/>
      <c r="F631" s="86"/>
      <c r="G631" s="78"/>
      <c r="H631" s="78"/>
      <c r="I631" s="78"/>
      <c r="J631" s="78"/>
      <c r="K631" s="76"/>
      <c r="L631" s="76"/>
      <c r="M631" s="76"/>
      <c r="N631" s="76"/>
      <c r="O631" s="78"/>
      <c r="P631" s="80"/>
      <c r="Q631" s="71"/>
      <c r="R631" s="76"/>
      <c r="S631" s="76"/>
      <c r="T631" s="76"/>
      <c r="U631" s="76"/>
      <c r="V631" s="78"/>
      <c r="W631" s="78"/>
      <c r="X631" s="78"/>
      <c r="Y631" s="74"/>
      <c r="Z631" s="81"/>
    </row>
    <row r="632">
      <c r="A632" s="92"/>
      <c r="B632" s="66"/>
      <c r="C632" s="98"/>
      <c r="D632" s="79"/>
      <c r="E632" s="68"/>
      <c r="F632" s="69"/>
      <c r="G632" s="78"/>
      <c r="H632" s="78"/>
      <c r="I632" s="78"/>
      <c r="J632" s="78"/>
      <c r="K632" s="76"/>
      <c r="L632" s="76"/>
      <c r="M632" s="76"/>
      <c r="N632" s="76"/>
      <c r="O632" s="78"/>
      <c r="P632" s="80"/>
      <c r="Q632" s="71"/>
      <c r="R632" s="76"/>
      <c r="S632" s="76"/>
      <c r="T632" s="71"/>
      <c r="U632" s="71"/>
      <c r="V632" s="78"/>
      <c r="W632" s="78"/>
      <c r="X632" s="74"/>
      <c r="Y632" s="74"/>
      <c r="Z632" s="75"/>
    </row>
    <row r="633">
      <c r="A633" s="92"/>
      <c r="B633" s="66"/>
      <c r="C633" s="98"/>
      <c r="D633" s="79"/>
      <c r="E633" s="68"/>
      <c r="F633" s="69"/>
      <c r="G633" s="78"/>
      <c r="H633" s="74"/>
      <c r="I633" s="78"/>
      <c r="J633" s="78"/>
      <c r="K633" s="71"/>
      <c r="L633" s="76"/>
      <c r="M633" s="76"/>
      <c r="N633" s="76"/>
      <c r="O633" s="78"/>
      <c r="P633" s="80"/>
      <c r="Q633" s="76"/>
      <c r="R633" s="76"/>
      <c r="S633" s="76"/>
      <c r="T633" s="71"/>
      <c r="U633" s="71"/>
      <c r="V633" s="74"/>
      <c r="W633" s="74"/>
      <c r="X633" s="74"/>
      <c r="Y633" s="74"/>
      <c r="Z633" s="75"/>
    </row>
    <row r="634">
      <c r="A634" s="92"/>
      <c r="B634" s="66"/>
      <c r="C634" s="98"/>
      <c r="D634" s="79"/>
      <c r="E634" s="68"/>
      <c r="F634" s="69"/>
      <c r="G634" s="78"/>
      <c r="H634" s="78"/>
      <c r="I634" s="78"/>
      <c r="J634" s="78"/>
      <c r="K634" s="76"/>
      <c r="L634" s="76"/>
      <c r="M634" s="76"/>
      <c r="N634" s="76"/>
      <c r="O634" s="78"/>
      <c r="P634" s="80"/>
      <c r="Q634" s="76"/>
      <c r="R634" s="76"/>
      <c r="S634" s="76"/>
      <c r="T634" s="71"/>
      <c r="U634" s="71"/>
      <c r="V634" s="78"/>
      <c r="W634" s="78"/>
      <c r="X634" s="78"/>
      <c r="Y634" s="78"/>
      <c r="Z634" s="81"/>
    </row>
    <row r="635">
      <c r="A635" s="92"/>
      <c r="B635" s="66"/>
      <c r="C635" s="98"/>
      <c r="D635" s="79"/>
      <c r="E635" s="68"/>
      <c r="F635" s="69"/>
      <c r="G635" s="70"/>
      <c r="H635" s="78"/>
      <c r="I635" s="70"/>
      <c r="J635" s="78"/>
      <c r="K635" s="71"/>
      <c r="L635" s="76"/>
      <c r="M635" s="76"/>
      <c r="N635" s="76"/>
      <c r="O635" s="78"/>
      <c r="P635" s="80"/>
      <c r="Q635" s="76"/>
      <c r="R635" s="76"/>
      <c r="S635" s="76"/>
      <c r="T635" s="71"/>
      <c r="U635" s="76"/>
      <c r="V635" s="78"/>
      <c r="W635" s="78"/>
      <c r="X635" s="78"/>
      <c r="Y635" s="70"/>
      <c r="Z635" s="81"/>
    </row>
    <row r="636">
      <c r="A636" s="93"/>
      <c r="B636" s="66"/>
      <c r="C636" s="99"/>
      <c r="D636" s="68"/>
      <c r="E636" s="68"/>
      <c r="F636" s="69"/>
      <c r="G636" s="74"/>
      <c r="H636" s="74"/>
      <c r="I636" s="74"/>
      <c r="J636" s="74"/>
      <c r="K636" s="71"/>
      <c r="L636" s="72"/>
      <c r="M636" s="72"/>
      <c r="N636" s="72"/>
      <c r="O636" s="74"/>
      <c r="P636" s="73"/>
      <c r="Q636" s="71"/>
      <c r="R636" s="72"/>
      <c r="S636" s="76"/>
      <c r="T636" s="71"/>
      <c r="U636" s="71"/>
      <c r="V636" s="74"/>
      <c r="W636" s="74"/>
      <c r="X636" s="74"/>
      <c r="Y636" s="74"/>
      <c r="Z636" s="75"/>
    </row>
    <row r="637">
      <c r="A637" s="92"/>
      <c r="B637" s="66"/>
      <c r="C637" s="98"/>
      <c r="D637" s="79"/>
      <c r="E637" s="68"/>
      <c r="F637" s="69"/>
      <c r="G637" s="70"/>
      <c r="H637" s="78"/>
      <c r="I637" s="70"/>
      <c r="J637" s="78"/>
      <c r="K637" s="71"/>
      <c r="L637" s="76"/>
      <c r="M637" s="76"/>
      <c r="N637" s="76"/>
      <c r="O637" s="78"/>
      <c r="P637" s="80"/>
      <c r="Q637" s="71"/>
      <c r="R637" s="76"/>
      <c r="S637" s="76"/>
      <c r="T637" s="71"/>
      <c r="U637" s="71"/>
      <c r="V637" s="78"/>
      <c r="W637" s="78"/>
      <c r="X637" s="78"/>
      <c r="Y637" s="78"/>
      <c r="Z637" s="81"/>
    </row>
    <row r="638">
      <c r="A638" s="92"/>
      <c r="B638" s="66"/>
      <c r="C638" s="98"/>
      <c r="D638" s="79"/>
      <c r="E638" s="68"/>
      <c r="F638" s="69"/>
      <c r="G638" s="78"/>
      <c r="H638" s="78"/>
      <c r="I638" s="78"/>
      <c r="J638" s="78"/>
      <c r="K638" s="71"/>
      <c r="L638" s="76"/>
      <c r="M638" s="76"/>
      <c r="N638" s="72"/>
      <c r="O638" s="74"/>
      <c r="P638" s="73"/>
      <c r="Q638" s="72"/>
      <c r="R638" s="72"/>
      <c r="S638" s="76"/>
      <c r="T638" s="71"/>
      <c r="U638" s="71"/>
      <c r="V638" s="78"/>
      <c r="W638" s="78"/>
      <c r="X638" s="78"/>
      <c r="Y638" s="74"/>
      <c r="Z638" s="81"/>
    </row>
    <row r="639">
      <c r="A639" s="92"/>
      <c r="B639" s="66"/>
      <c r="C639" s="98"/>
      <c r="D639" s="68"/>
      <c r="E639" s="68"/>
      <c r="F639" s="69"/>
      <c r="G639" s="74"/>
      <c r="H639" s="74"/>
      <c r="I639" s="74"/>
      <c r="J639" s="74"/>
      <c r="K639" s="72"/>
      <c r="L639" s="72"/>
      <c r="M639" s="72"/>
      <c r="N639" s="72"/>
      <c r="O639" s="74"/>
      <c r="P639" s="73"/>
      <c r="Q639" s="72"/>
      <c r="R639" s="72"/>
      <c r="S639" s="72"/>
      <c r="T639" s="71"/>
      <c r="U639" s="71"/>
      <c r="V639" s="74"/>
      <c r="W639" s="74"/>
      <c r="X639" s="74"/>
      <c r="Y639" s="74"/>
      <c r="Z639" s="75"/>
    </row>
    <row r="640">
      <c r="A640" s="92"/>
      <c r="B640" s="66"/>
      <c r="C640" s="98"/>
      <c r="D640" s="79"/>
      <c r="E640" s="68"/>
      <c r="F640" s="86"/>
      <c r="G640" s="78"/>
      <c r="H640" s="74"/>
      <c r="I640" s="78"/>
      <c r="J640" s="78"/>
      <c r="K640" s="71"/>
      <c r="L640" s="76"/>
      <c r="M640" s="76"/>
      <c r="N640" s="76"/>
      <c r="O640" s="78"/>
      <c r="P640" s="80"/>
      <c r="Q640" s="76"/>
      <c r="R640" s="76"/>
      <c r="S640" s="76"/>
      <c r="T640" s="76"/>
      <c r="U640" s="76"/>
      <c r="V640" s="74"/>
      <c r="W640" s="74"/>
      <c r="X640" s="74"/>
      <c r="Y640" s="74"/>
      <c r="Z640" s="75"/>
    </row>
    <row r="641">
      <c r="A641" s="92"/>
      <c r="B641" s="66"/>
      <c r="C641" s="98"/>
      <c r="D641" s="79"/>
      <c r="E641" s="68"/>
      <c r="F641" s="69"/>
      <c r="G641" s="78"/>
      <c r="H641" s="74"/>
      <c r="I641" s="78"/>
      <c r="J641" s="78"/>
      <c r="K641" s="71"/>
      <c r="L641" s="76"/>
      <c r="M641" s="76"/>
      <c r="N641" s="76"/>
      <c r="O641" s="78"/>
      <c r="P641" s="80"/>
      <c r="Q641" s="76"/>
      <c r="R641" s="76"/>
      <c r="S641" s="76"/>
      <c r="T641" s="71"/>
      <c r="U641" s="71"/>
      <c r="V641" s="78"/>
      <c r="W641" s="78"/>
      <c r="X641" s="78"/>
      <c r="Y641" s="74"/>
      <c r="Z641" s="81"/>
    </row>
    <row r="642">
      <c r="A642" s="92"/>
      <c r="B642" s="66"/>
      <c r="C642" s="98"/>
      <c r="D642" s="79"/>
      <c r="E642" s="68"/>
      <c r="F642" s="69"/>
      <c r="G642" s="78"/>
      <c r="H642" s="78"/>
      <c r="I642" s="78"/>
      <c r="J642" s="78"/>
      <c r="K642" s="76"/>
      <c r="L642" s="76"/>
      <c r="M642" s="76"/>
      <c r="N642" s="76"/>
      <c r="O642" s="78"/>
      <c r="P642" s="80"/>
      <c r="Q642" s="76"/>
      <c r="R642" s="76"/>
      <c r="S642" s="76"/>
      <c r="T642" s="71"/>
      <c r="U642" s="71"/>
      <c r="V642" s="78"/>
      <c r="W642" s="78"/>
      <c r="X642" s="78"/>
      <c r="Y642" s="74"/>
      <c r="Z642" s="81"/>
    </row>
    <row r="643">
      <c r="A643" s="92"/>
      <c r="B643" s="66"/>
      <c r="C643" s="98"/>
      <c r="D643" s="79"/>
      <c r="E643" s="68"/>
      <c r="F643" s="69"/>
      <c r="G643" s="78"/>
      <c r="H643" s="74"/>
      <c r="I643" s="78"/>
      <c r="J643" s="78"/>
      <c r="K643" s="76"/>
      <c r="L643" s="76"/>
      <c r="M643" s="76"/>
      <c r="N643" s="76"/>
      <c r="O643" s="78"/>
      <c r="P643" s="80"/>
      <c r="Q643" s="76"/>
      <c r="R643" s="76"/>
      <c r="S643" s="76"/>
      <c r="T643" s="71"/>
      <c r="U643" s="71"/>
      <c r="V643" s="78"/>
      <c r="W643" s="78"/>
      <c r="X643" s="74"/>
      <c r="Y643" s="74"/>
      <c r="Z643" s="81"/>
    </row>
    <row r="644">
      <c r="A644" s="92"/>
      <c r="B644" s="66"/>
      <c r="C644" s="98"/>
      <c r="D644" s="79"/>
      <c r="E644" s="79"/>
      <c r="F644" s="69"/>
      <c r="G644" s="78"/>
      <c r="H644" s="78"/>
      <c r="I644" s="78"/>
      <c r="J644" s="78"/>
      <c r="K644" s="76"/>
      <c r="L644" s="76"/>
      <c r="M644" s="76"/>
      <c r="N644" s="76"/>
      <c r="O644" s="78"/>
      <c r="P644" s="80"/>
      <c r="Q644" s="76"/>
      <c r="R644" s="76"/>
      <c r="S644" s="76"/>
      <c r="T644" s="71"/>
      <c r="U644" s="71"/>
      <c r="V644" s="78"/>
      <c r="W644" s="78"/>
      <c r="X644" s="78"/>
      <c r="Y644" s="78"/>
      <c r="Z644" s="81"/>
    </row>
    <row r="645">
      <c r="A645" s="92"/>
      <c r="B645" s="66"/>
      <c r="C645" s="98"/>
      <c r="D645" s="79"/>
      <c r="E645" s="68"/>
      <c r="F645" s="69"/>
      <c r="G645" s="78"/>
      <c r="H645" s="78"/>
      <c r="I645" s="78"/>
      <c r="J645" s="78"/>
      <c r="K645" s="71"/>
      <c r="L645" s="76"/>
      <c r="M645" s="76"/>
      <c r="N645" s="76"/>
      <c r="O645" s="78"/>
      <c r="P645" s="80"/>
      <c r="Q645" s="76"/>
      <c r="R645" s="76"/>
      <c r="S645" s="76"/>
      <c r="T645" s="71"/>
      <c r="U645" s="71"/>
      <c r="V645" s="78"/>
      <c r="W645" s="78"/>
      <c r="X645" s="78"/>
      <c r="Y645" s="78"/>
      <c r="Z645" s="81"/>
    </row>
    <row r="646">
      <c r="A646" s="92"/>
      <c r="B646" s="66"/>
      <c r="C646" s="98"/>
      <c r="D646" s="79"/>
      <c r="E646" s="68"/>
      <c r="F646" s="69"/>
      <c r="G646" s="78"/>
      <c r="H646" s="74"/>
      <c r="I646" s="78"/>
      <c r="J646" s="78"/>
      <c r="K646" s="76"/>
      <c r="L646" s="76"/>
      <c r="M646" s="76"/>
      <c r="N646" s="72"/>
      <c r="O646" s="78"/>
      <c r="P646" s="80"/>
      <c r="Q646" s="76"/>
      <c r="R646" s="76"/>
      <c r="S646" s="76"/>
      <c r="T646" s="71"/>
      <c r="U646" s="71"/>
      <c r="V646" s="78"/>
      <c r="W646" s="78"/>
      <c r="X646" s="78"/>
      <c r="Y646" s="78"/>
      <c r="Z646" s="75"/>
    </row>
    <row r="647">
      <c r="A647" s="92"/>
      <c r="B647" s="66"/>
      <c r="C647" s="98"/>
      <c r="D647" s="79"/>
      <c r="E647" s="68"/>
      <c r="F647" s="86"/>
      <c r="G647" s="70"/>
      <c r="H647" s="70"/>
      <c r="I647" s="70"/>
      <c r="J647" s="70"/>
      <c r="K647" s="71"/>
      <c r="L647" s="71"/>
      <c r="M647" s="76"/>
      <c r="N647" s="71"/>
      <c r="O647" s="70"/>
      <c r="P647" s="73"/>
      <c r="Q647" s="71"/>
      <c r="R647" s="71"/>
      <c r="S647" s="76"/>
      <c r="T647" s="76"/>
      <c r="U647" s="76"/>
      <c r="V647" s="70"/>
      <c r="W647" s="70"/>
      <c r="X647" s="70"/>
      <c r="Y647" s="70"/>
      <c r="Z647" s="83"/>
    </row>
    <row r="648">
      <c r="A648" s="92"/>
      <c r="B648" s="66"/>
      <c r="C648" s="98"/>
      <c r="D648" s="79"/>
      <c r="E648" s="79"/>
      <c r="F648" s="69"/>
      <c r="G648" s="78"/>
      <c r="H648" s="78"/>
      <c r="I648" s="78"/>
      <c r="J648" s="78"/>
      <c r="K648" s="71"/>
      <c r="L648" s="76"/>
      <c r="M648" s="76"/>
      <c r="N648" s="76"/>
      <c r="O648" s="78"/>
      <c r="P648" s="80"/>
      <c r="Q648" s="76"/>
      <c r="R648" s="76"/>
      <c r="S648" s="76"/>
      <c r="T648" s="71"/>
      <c r="U648" s="76"/>
      <c r="V648" s="78"/>
      <c r="W648" s="78"/>
      <c r="X648" s="78"/>
      <c r="Y648" s="78"/>
      <c r="Z648" s="81"/>
    </row>
    <row r="649">
      <c r="A649" s="92"/>
      <c r="B649" s="66"/>
      <c r="C649" s="98"/>
      <c r="D649" s="79"/>
      <c r="E649" s="79"/>
      <c r="F649" s="69"/>
      <c r="G649" s="78"/>
      <c r="H649" s="78"/>
      <c r="I649" s="78"/>
      <c r="J649" s="78"/>
      <c r="K649" s="71"/>
      <c r="L649" s="76"/>
      <c r="M649" s="71"/>
      <c r="N649" s="76"/>
      <c r="O649" s="78"/>
      <c r="P649" s="80"/>
      <c r="Q649" s="76"/>
      <c r="R649" s="76"/>
      <c r="S649" s="76"/>
      <c r="T649" s="71"/>
      <c r="U649" s="71"/>
      <c r="V649" s="78"/>
      <c r="W649" s="78"/>
      <c r="X649" s="78"/>
      <c r="Y649" s="74"/>
      <c r="Z649" s="81"/>
    </row>
    <row r="650">
      <c r="A650" s="92"/>
      <c r="B650" s="66"/>
      <c r="C650" s="98"/>
      <c r="D650" s="79"/>
      <c r="E650" s="68"/>
      <c r="F650" s="69"/>
      <c r="G650" s="78"/>
      <c r="H650" s="78"/>
      <c r="I650" s="78"/>
      <c r="J650" s="78"/>
      <c r="K650" s="71"/>
      <c r="L650" s="76"/>
      <c r="M650" s="76"/>
      <c r="N650" s="76"/>
      <c r="O650" s="78"/>
      <c r="P650" s="80"/>
      <c r="Q650" s="76"/>
      <c r="R650" s="76"/>
      <c r="S650" s="76"/>
      <c r="T650" s="71"/>
      <c r="U650" s="71"/>
      <c r="V650" s="78"/>
      <c r="W650" s="78"/>
      <c r="X650" s="78"/>
      <c r="Y650" s="74"/>
      <c r="Z650" s="81"/>
    </row>
    <row r="651">
      <c r="A651" s="92"/>
      <c r="B651" s="66"/>
      <c r="C651" s="98"/>
      <c r="D651" s="79"/>
      <c r="E651" s="68"/>
      <c r="F651" s="69"/>
      <c r="G651" s="78"/>
      <c r="H651" s="78"/>
      <c r="I651" s="78"/>
      <c r="J651" s="78"/>
      <c r="K651" s="71"/>
      <c r="L651" s="76"/>
      <c r="M651" s="76"/>
      <c r="N651" s="76"/>
      <c r="O651" s="78"/>
      <c r="P651" s="80"/>
      <c r="Q651" s="76"/>
      <c r="R651" s="76"/>
      <c r="S651" s="76"/>
      <c r="T651" s="71"/>
      <c r="U651" s="76"/>
      <c r="V651" s="78"/>
      <c r="W651" s="78"/>
      <c r="X651" s="78"/>
      <c r="Y651" s="74"/>
      <c r="Z651" s="81"/>
    </row>
    <row r="652">
      <c r="A652" s="93"/>
      <c r="B652" s="66"/>
      <c r="C652" s="99"/>
      <c r="D652" s="68"/>
      <c r="E652" s="68"/>
      <c r="F652" s="69"/>
      <c r="G652" s="70"/>
      <c r="H652" s="70"/>
      <c r="I652" s="70"/>
      <c r="J652" s="70"/>
      <c r="K652" s="71"/>
      <c r="L652" s="72"/>
      <c r="M652" s="72"/>
      <c r="N652" s="72"/>
      <c r="O652" s="74"/>
      <c r="P652" s="73"/>
      <c r="Q652" s="76"/>
      <c r="R652" s="72"/>
      <c r="S652" s="76"/>
      <c r="T652" s="71"/>
      <c r="U652" s="71"/>
      <c r="V652" s="74"/>
      <c r="W652" s="74"/>
      <c r="X652" s="74"/>
      <c r="Y652" s="74"/>
      <c r="Z652" s="75"/>
    </row>
    <row r="653">
      <c r="A653" s="92"/>
      <c r="B653" s="66"/>
      <c r="C653" s="98"/>
      <c r="D653" s="79"/>
      <c r="E653" s="68"/>
      <c r="F653" s="69"/>
      <c r="G653" s="78"/>
      <c r="H653" s="78"/>
      <c r="I653" s="78"/>
      <c r="J653" s="78"/>
      <c r="K653" s="71"/>
      <c r="L653" s="76"/>
      <c r="M653" s="76"/>
      <c r="N653" s="76"/>
      <c r="O653" s="78"/>
      <c r="P653" s="80"/>
      <c r="Q653" s="76"/>
      <c r="R653" s="76"/>
      <c r="S653" s="76"/>
      <c r="T653" s="71"/>
      <c r="U653" s="76"/>
      <c r="V653" s="78"/>
      <c r="W653" s="78"/>
      <c r="X653" s="74"/>
      <c r="Y653" s="78"/>
      <c r="Z653" s="81"/>
    </row>
    <row r="654">
      <c r="A654" s="92"/>
      <c r="B654" s="66"/>
      <c r="C654" s="98"/>
      <c r="D654" s="79"/>
      <c r="E654" s="68"/>
      <c r="F654" s="69"/>
      <c r="G654" s="78"/>
      <c r="H654" s="78"/>
      <c r="I654" s="78"/>
      <c r="J654" s="78"/>
      <c r="K654" s="71"/>
      <c r="L654" s="76"/>
      <c r="M654" s="76"/>
      <c r="N654" s="76"/>
      <c r="O654" s="78"/>
      <c r="P654" s="80"/>
      <c r="Q654" s="76"/>
      <c r="R654" s="76"/>
      <c r="S654" s="76"/>
      <c r="T654" s="71"/>
      <c r="U654" s="71"/>
      <c r="V654" s="78"/>
      <c r="W654" s="78"/>
      <c r="X654" s="78"/>
      <c r="Y654" s="78"/>
      <c r="Z654" s="81"/>
    </row>
    <row r="655">
      <c r="A655" s="92"/>
      <c r="B655" s="66"/>
      <c r="C655" s="98"/>
      <c r="D655" s="79"/>
      <c r="E655" s="68"/>
      <c r="F655" s="69"/>
      <c r="G655" s="78"/>
      <c r="H655" s="78"/>
      <c r="I655" s="78"/>
      <c r="J655" s="78"/>
      <c r="K655" s="71"/>
      <c r="L655" s="76"/>
      <c r="M655" s="76"/>
      <c r="N655" s="76"/>
      <c r="O655" s="78"/>
      <c r="P655" s="80"/>
      <c r="Q655" s="76"/>
      <c r="R655" s="76"/>
      <c r="S655" s="76"/>
      <c r="T655" s="71"/>
      <c r="U655" s="71"/>
      <c r="V655" s="78"/>
      <c r="W655" s="78"/>
      <c r="X655" s="78"/>
      <c r="Y655" s="78"/>
      <c r="Z655" s="81"/>
    </row>
    <row r="656">
      <c r="A656" s="92"/>
      <c r="B656" s="66"/>
      <c r="C656" s="98"/>
      <c r="D656" s="79"/>
      <c r="E656" s="68"/>
      <c r="F656" s="69"/>
      <c r="G656" s="78"/>
      <c r="H656" s="74"/>
      <c r="I656" s="78"/>
      <c r="J656" s="78"/>
      <c r="K656" s="71"/>
      <c r="L656" s="76"/>
      <c r="M656" s="76"/>
      <c r="N656" s="76"/>
      <c r="O656" s="78"/>
      <c r="P656" s="80"/>
      <c r="Q656" s="76"/>
      <c r="R656" s="76"/>
      <c r="S656" s="76"/>
      <c r="T656" s="71"/>
      <c r="U656" s="71"/>
      <c r="V656" s="74"/>
      <c r="W656" s="74"/>
      <c r="X656" s="74"/>
      <c r="Y656" s="74"/>
      <c r="Z656" s="75"/>
    </row>
    <row r="657">
      <c r="A657" s="92"/>
      <c r="B657" s="66"/>
      <c r="C657" s="98"/>
      <c r="D657" s="79"/>
      <c r="E657" s="68"/>
      <c r="F657" s="86"/>
      <c r="G657" s="78"/>
      <c r="H657" s="74"/>
      <c r="I657" s="78"/>
      <c r="J657" s="78"/>
      <c r="K657" s="76"/>
      <c r="L657" s="76"/>
      <c r="M657" s="76"/>
      <c r="N657" s="76"/>
      <c r="O657" s="78"/>
      <c r="P657" s="80"/>
      <c r="Q657" s="76"/>
      <c r="R657" s="76"/>
      <c r="S657" s="76"/>
      <c r="T657" s="76"/>
      <c r="U657" s="76"/>
      <c r="V657" s="78"/>
      <c r="W657" s="78"/>
      <c r="X657" s="78"/>
      <c r="Y657" s="74"/>
      <c r="Z657" s="75"/>
    </row>
    <row r="658">
      <c r="A658" s="92"/>
      <c r="B658" s="66"/>
      <c r="C658" s="98"/>
      <c r="D658" s="79"/>
      <c r="E658" s="68"/>
      <c r="F658" s="69"/>
      <c r="G658" s="78"/>
      <c r="H658" s="78"/>
      <c r="I658" s="78"/>
      <c r="J658" s="78"/>
      <c r="K658" s="71"/>
      <c r="L658" s="76"/>
      <c r="M658" s="76"/>
      <c r="N658" s="72"/>
      <c r="O658" s="78"/>
      <c r="P658" s="80"/>
      <c r="Q658" s="76"/>
      <c r="R658" s="76"/>
      <c r="S658" s="76"/>
      <c r="T658" s="71"/>
      <c r="U658" s="76"/>
      <c r="V658" s="78"/>
      <c r="W658" s="78"/>
      <c r="X658" s="78"/>
      <c r="Y658" s="74"/>
      <c r="Z658" s="81"/>
    </row>
    <row r="659">
      <c r="A659" s="92"/>
      <c r="B659" s="66"/>
      <c r="C659" s="98"/>
      <c r="D659" s="79"/>
      <c r="E659" s="68"/>
      <c r="F659" s="69"/>
      <c r="G659" s="78"/>
      <c r="H659" s="78"/>
      <c r="I659" s="78"/>
      <c r="J659" s="78"/>
      <c r="K659" s="76"/>
      <c r="L659" s="76"/>
      <c r="M659" s="76"/>
      <c r="N659" s="72"/>
      <c r="O659" s="78"/>
      <c r="P659" s="80"/>
      <c r="Q659" s="76"/>
      <c r="R659" s="76"/>
      <c r="S659" s="76"/>
      <c r="T659" s="71"/>
      <c r="U659" s="76"/>
      <c r="V659" s="78"/>
      <c r="W659" s="78"/>
      <c r="X659" s="74"/>
      <c r="Y659" s="74"/>
      <c r="Z659" s="75"/>
    </row>
    <row r="660">
      <c r="A660" s="92"/>
      <c r="B660" s="66"/>
      <c r="C660" s="98"/>
      <c r="D660" s="79"/>
      <c r="E660" s="68"/>
      <c r="F660" s="69"/>
      <c r="G660" s="70"/>
      <c r="H660" s="78"/>
      <c r="I660" s="78"/>
      <c r="J660" s="78"/>
      <c r="K660" s="71"/>
      <c r="L660" s="76"/>
      <c r="M660" s="76"/>
      <c r="N660" s="76"/>
      <c r="O660" s="78"/>
      <c r="P660" s="80"/>
      <c r="Q660" s="71"/>
      <c r="R660" s="76"/>
      <c r="S660" s="76"/>
      <c r="T660" s="71"/>
      <c r="U660" s="76"/>
      <c r="V660" s="78"/>
      <c r="W660" s="78"/>
      <c r="X660" s="78"/>
      <c r="Y660" s="78"/>
      <c r="Z660" s="81"/>
    </row>
    <row r="661">
      <c r="A661" s="92"/>
      <c r="B661" s="66"/>
      <c r="C661" s="98"/>
      <c r="D661" s="79"/>
      <c r="E661" s="68"/>
      <c r="F661" s="69"/>
      <c r="G661" s="78"/>
      <c r="H661" s="78"/>
      <c r="I661" s="78"/>
      <c r="J661" s="78"/>
      <c r="K661" s="71"/>
      <c r="L661" s="76"/>
      <c r="M661" s="76"/>
      <c r="N661" s="76"/>
      <c r="O661" s="78"/>
      <c r="P661" s="80"/>
      <c r="Q661" s="76"/>
      <c r="R661" s="76"/>
      <c r="S661" s="76"/>
      <c r="T661" s="71"/>
      <c r="U661" s="71"/>
      <c r="V661" s="78"/>
      <c r="W661" s="78"/>
      <c r="X661" s="78"/>
      <c r="Y661" s="74"/>
      <c r="Z661" s="81"/>
    </row>
    <row r="662">
      <c r="A662" s="92"/>
      <c r="B662" s="66"/>
      <c r="C662" s="98"/>
      <c r="D662" s="68"/>
      <c r="E662" s="68"/>
      <c r="F662" s="69"/>
      <c r="G662" s="70"/>
      <c r="H662" s="70"/>
      <c r="I662" s="70"/>
      <c r="J662" s="70"/>
      <c r="K662" s="76"/>
      <c r="L662" s="76"/>
      <c r="M662" s="76"/>
      <c r="N662" s="76"/>
      <c r="O662" s="70"/>
      <c r="P662" s="73"/>
      <c r="Q662" s="76"/>
      <c r="R662" s="76"/>
      <c r="S662" s="76"/>
      <c r="T662" s="71"/>
      <c r="U662" s="71"/>
      <c r="V662" s="78"/>
      <c r="W662" s="78"/>
      <c r="X662" s="78"/>
      <c r="Y662" s="78"/>
      <c r="Z662" s="81"/>
    </row>
    <row r="663">
      <c r="A663" s="92"/>
      <c r="B663" s="66"/>
      <c r="C663" s="98"/>
      <c r="D663" s="79"/>
      <c r="E663" s="79"/>
      <c r="F663" s="69"/>
      <c r="G663" s="78"/>
      <c r="H663" s="78"/>
      <c r="I663" s="78"/>
      <c r="J663" s="78"/>
      <c r="K663" s="71"/>
      <c r="L663" s="76"/>
      <c r="M663" s="76"/>
      <c r="N663" s="76"/>
      <c r="O663" s="78"/>
      <c r="P663" s="80"/>
      <c r="Q663" s="76"/>
      <c r="R663" s="76"/>
      <c r="S663" s="76"/>
      <c r="T663" s="71"/>
      <c r="U663" s="71"/>
      <c r="V663" s="78"/>
      <c r="W663" s="78"/>
      <c r="X663" s="78"/>
      <c r="Y663" s="78"/>
      <c r="Z663" s="81"/>
    </row>
    <row r="664">
      <c r="A664" s="92"/>
      <c r="B664" s="66"/>
      <c r="C664" s="98"/>
      <c r="D664" s="79"/>
      <c r="E664" s="79"/>
      <c r="F664" s="69"/>
      <c r="G664" s="70"/>
      <c r="H664" s="74"/>
      <c r="I664" s="78"/>
      <c r="J664" s="78"/>
      <c r="K664" s="71"/>
      <c r="L664" s="76"/>
      <c r="M664" s="76"/>
      <c r="N664" s="76"/>
      <c r="O664" s="78"/>
      <c r="P664" s="80"/>
      <c r="Q664" s="76"/>
      <c r="R664" s="71"/>
      <c r="S664" s="76"/>
      <c r="T664" s="71"/>
      <c r="U664" s="71"/>
      <c r="V664" s="74"/>
      <c r="W664" s="74"/>
      <c r="X664" s="74"/>
      <c r="Y664" s="74"/>
      <c r="Z664" s="75"/>
    </row>
    <row r="665">
      <c r="A665" s="93"/>
      <c r="B665" s="66"/>
      <c r="C665" s="99"/>
      <c r="D665" s="68"/>
      <c r="E665" s="79"/>
      <c r="F665" s="69"/>
      <c r="G665" s="70"/>
      <c r="H665" s="70"/>
      <c r="I665" s="78"/>
      <c r="J665" s="74"/>
      <c r="K665" s="72"/>
      <c r="L665" s="72"/>
      <c r="M665" s="72"/>
      <c r="N665" s="72"/>
      <c r="O665" s="74"/>
      <c r="P665" s="73"/>
      <c r="Q665" s="76"/>
      <c r="R665" s="72"/>
      <c r="S665" s="76"/>
      <c r="T665" s="71"/>
      <c r="U665" s="71"/>
      <c r="V665" s="74"/>
      <c r="W665" s="74"/>
      <c r="X665" s="74"/>
      <c r="Y665" s="74"/>
      <c r="Z665" s="75"/>
    </row>
    <row r="666">
      <c r="A666" s="94"/>
      <c r="B666" s="66"/>
      <c r="C666" s="99"/>
      <c r="D666" s="79"/>
      <c r="E666" s="79"/>
      <c r="F666" s="69"/>
      <c r="G666" s="70"/>
      <c r="H666" s="70"/>
      <c r="I666" s="70"/>
      <c r="J666" s="78"/>
      <c r="K666" s="71"/>
      <c r="L666" s="71"/>
      <c r="M666" s="71"/>
      <c r="N666" s="71"/>
      <c r="O666" s="70"/>
      <c r="P666" s="73"/>
      <c r="Q666" s="76"/>
      <c r="R666" s="71"/>
      <c r="S666" s="71"/>
      <c r="T666" s="71"/>
      <c r="U666" s="71"/>
      <c r="V666" s="70"/>
      <c r="W666" s="70"/>
      <c r="X666" s="70"/>
      <c r="Y666" s="70"/>
      <c r="Z666" s="83"/>
    </row>
    <row r="667">
      <c r="A667" s="92"/>
      <c r="B667" s="66"/>
      <c r="C667" s="98"/>
      <c r="D667" s="79"/>
      <c r="E667" s="68"/>
      <c r="F667" s="69"/>
      <c r="G667" s="78"/>
      <c r="H667" s="78"/>
      <c r="I667" s="78"/>
      <c r="J667" s="78"/>
      <c r="K667" s="71"/>
      <c r="L667" s="76"/>
      <c r="M667" s="76"/>
      <c r="N667" s="76"/>
      <c r="O667" s="78"/>
      <c r="P667" s="80"/>
      <c r="Q667" s="76"/>
      <c r="R667" s="76"/>
      <c r="S667" s="76"/>
      <c r="T667" s="71"/>
      <c r="U667" s="71"/>
      <c r="V667" s="78"/>
      <c r="W667" s="78"/>
      <c r="X667" s="78"/>
      <c r="Y667" s="74"/>
      <c r="Z667" s="75"/>
    </row>
    <row r="668">
      <c r="A668" s="92"/>
      <c r="B668" s="66"/>
      <c r="C668" s="98"/>
      <c r="D668" s="79"/>
      <c r="E668" s="68"/>
      <c r="F668" s="69"/>
      <c r="G668" s="78"/>
      <c r="H668" s="78"/>
      <c r="I668" s="78"/>
      <c r="J668" s="78"/>
      <c r="K668" s="76"/>
      <c r="L668" s="76"/>
      <c r="M668" s="76"/>
      <c r="N668" s="76"/>
      <c r="O668" s="78"/>
      <c r="P668" s="80"/>
      <c r="Q668" s="76"/>
      <c r="R668" s="76"/>
      <c r="S668" s="76"/>
      <c r="T668" s="71"/>
      <c r="U668" s="71"/>
      <c r="V668" s="78"/>
      <c r="W668" s="78"/>
      <c r="X668" s="78"/>
      <c r="Y668" s="78"/>
      <c r="Z668" s="81"/>
    </row>
    <row r="669">
      <c r="A669" s="92"/>
      <c r="B669" s="66"/>
      <c r="C669" s="98"/>
      <c r="D669" s="79"/>
      <c r="E669" s="68"/>
      <c r="F669" s="69"/>
      <c r="G669" s="78"/>
      <c r="H669" s="78"/>
      <c r="I669" s="78"/>
      <c r="J669" s="78"/>
      <c r="K669" s="71"/>
      <c r="L669" s="76"/>
      <c r="M669" s="76"/>
      <c r="N669" s="76"/>
      <c r="O669" s="78"/>
      <c r="P669" s="80"/>
      <c r="Q669" s="71"/>
      <c r="R669" s="76"/>
      <c r="S669" s="76"/>
      <c r="T669" s="71"/>
      <c r="U669" s="71"/>
      <c r="V669" s="78"/>
      <c r="W669" s="78"/>
      <c r="X669" s="78"/>
      <c r="Y669" s="74"/>
      <c r="Z669" s="75"/>
    </row>
    <row r="670">
      <c r="A670" s="92"/>
      <c r="B670" s="84"/>
      <c r="C670" s="98"/>
      <c r="D670" s="79"/>
      <c r="E670" s="68"/>
      <c r="F670" s="69"/>
      <c r="G670" s="78"/>
      <c r="H670" s="78"/>
      <c r="I670" s="78"/>
      <c r="J670" s="78"/>
      <c r="K670" s="76"/>
      <c r="L670" s="76"/>
      <c r="M670" s="76"/>
      <c r="N670" s="76"/>
      <c r="O670" s="78"/>
      <c r="P670" s="80"/>
      <c r="Q670" s="76"/>
      <c r="R670" s="76"/>
      <c r="S670" s="76"/>
      <c r="T670" s="71"/>
      <c r="U670" s="76"/>
      <c r="V670" s="78"/>
      <c r="W670" s="78"/>
      <c r="X670" s="78"/>
      <c r="Y670" s="78"/>
      <c r="Z670" s="81"/>
    </row>
    <row r="671">
      <c r="A671" s="92"/>
      <c r="B671" s="66"/>
      <c r="C671" s="98"/>
      <c r="D671" s="79"/>
      <c r="E671" s="68"/>
      <c r="F671" s="69"/>
      <c r="G671" s="78"/>
      <c r="H671" s="78"/>
      <c r="I671" s="78"/>
      <c r="J671" s="78"/>
      <c r="K671" s="71"/>
      <c r="L671" s="76"/>
      <c r="M671" s="71"/>
      <c r="N671" s="76"/>
      <c r="O671" s="78"/>
      <c r="P671" s="80"/>
      <c r="Q671" s="71"/>
      <c r="R671" s="76"/>
      <c r="S671" s="76"/>
      <c r="T671" s="71"/>
      <c r="U671" s="71"/>
      <c r="V671" s="78"/>
      <c r="W671" s="78"/>
      <c r="X671" s="78"/>
      <c r="Y671" s="78"/>
      <c r="Z671" s="81"/>
    </row>
    <row r="672">
      <c r="A672" s="93"/>
      <c r="B672" s="66"/>
      <c r="C672" s="99"/>
      <c r="D672" s="68"/>
      <c r="E672" s="68"/>
      <c r="F672" s="69"/>
      <c r="G672" s="74"/>
      <c r="H672" s="74"/>
      <c r="I672" s="74"/>
      <c r="J672" s="74"/>
      <c r="K672" s="72"/>
      <c r="L672" s="72"/>
      <c r="M672" s="72"/>
      <c r="N672" s="72"/>
      <c r="O672" s="74"/>
      <c r="P672" s="73"/>
      <c r="Q672" s="72"/>
      <c r="R672" s="72"/>
      <c r="S672" s="72"/>
      <c r="T672" s="71"/>
      <c r="U672" s="71"/>
      <c r="V672" s="74"/>
      <c r="W672" s="74"/>
      <c r="X672" s="74"/>
      <c r="Y672" s="74"/>
      <c r="Z672" s="75"/>
    </row>
    <row r="673">
      <c r="A673" s="92"/>
      <c r="B673" s="84"/>
      <c r="C673" s="98"/>
      <c r="D673" s="79"/>
      <c r="E673" s="68"/>
      <c r="F673" s="69"/>
      <c r="G673" s="70"/>
      <c r="H673" s="70"/>
      <c r="I673" s="70"/>
      <c r="J673" s="70"/>
      <c r="K673" s="76"/>
      <c r="L673" s="76"/>
      <c r="M673" s="76"/>
      <c r="N673" s="76"/>
      <c r="O673" s="78"/>
      <c r="P673" s="80"/>
      <c r="Q673" s="76"/>
      <c r="R673" s="76"/>
      <c r="S673" s="76"/>
      <c r="T673" s="71"/>
      <c r="U673" s="76"/>
      <c r="V673" s="78"/>
      <c r="W673" s="78"/>
      <c r="X673" s="74"/>
      <c r="Y673" s="78"/>
      <c r="Z673" s="75"/>
    </row>
    <row r="674">
      <c r="A674" s="92"/>
      <c r="B674" s="84"/>
      <c r="C674" s="98"/>
      <c r="D674" s="79"/>
      <c r="E674" s="68"/>
      <c r="F674" s="69"/>
      <c r="G674" s="78"/>
      <c r="H674" s="78"/>
      <c r="I674" s="78"/>
      <c r="J674" s="78"/>
      <c r="K674" s="71"/>
      <c r="L674" s="76"/>
      <c r="M674" s="76"/>
      <c r="N674" s="76"/>
      <c r="O674" s="78"/>
      <c r="P674" s="80"/>
      <c r="Q674" s="76"/>
      <c r="R674" s="76"/>
      <c r="S674" s="76"/>
      <c r="T674" s="71"/>
      <c r="U674" s="76"/>
      <c r="V674" s="78"/>
      <c r="W674" s="78"/>
      <c r="X674" s="78"/>
      <c r="Y674" s="74"/>
      <c r="Z674" s="81"/>
    </row>
    <row r="675">
      <c r="A675" s="92"/>
      <c r="B675" s="84"/>
      <c r="C675" s="98"/>
      <c r="D675" s="79"/>
      <c r="E675" s="68"/>
      <c r="F675" s="69"/>
      <c r="G675" s="78"/>
      <c r="H675" s="78"/>
      <c r="I675" s="78"/>
      <c r="J675" s="78"/>
      <c r="K675" s="71"/>
      <c r="L675" s="76"/>
      <c r="M675" s="76"/>
      <c r="N675" s="72"/>
      <c r="O675" s="78"/>
      <c r="P675" s="80"/>
      <c r="Q675" s="71"/>
      <c r="R675" s="76"/>
      <c r="S675" s="76"/>
      <c r="T675" s="71"/>
      <c r="U675" s="76"/>
      <c r="V675" s="78"/>
      <c r="W675" s="78"/>
      <c r="X675" s="78"/>
      <c r="Y675" s="78"/>
      <c r="Z675" s="81"/>
    </row>
    <row r="676">
      <c r="A676" s="92"/>
      <c r="B676" s="66"/>
      <c r="C676" s="98"/>
      <c r="D676" s="79"/>
      <c r="E676" s="68"/>
      <c r="F676" s="69"/>
      <c r="G676" s="78"/>
      <c r="H676" s="78"/>
      <c r="I676" s="78"/>
      <c r="J676" s="78"/>
      <c r="K676" s="76"/>
      <c r="L676" s="76"/>
      <c r="M676" s="76"/>
      <c r="N676" s="72"/>
      <c r="O676" s="78"/>
      <c r="P676" s="80"/>
      <c r="Q676" s="76"/>
      <c r="R676" s="71"/>
      <c r="S676" s="76"/>
      <c r="T676" s="71"/>
      <c r="U676" s="71"/>
      <c r="V676" s="78"/>
      <c r="W676" s="78"/>
      <c r="X676" s="78"/>
      <c r="Y676" s="78"/>
      <c r="Z676" s="81"/>
    </row>
    <row r="677">
      <c r="A677" s="92"/>
      <c r="B677" s="84"/>
      <c r="C677" s="98"/>
      <c r="D677" s="79"/>
      <c r="E677" s="68"/>
      <c r="F677" s="69"/>
      <c r="G677" s="78"/>
      <c r="H677" s="74"/>
      <c r="I677" s="78"/>
      <c r="J677" s="78"/>
      <c r="K677" s="71"/>
      <c r="L677" s="76"/>
      <c r="M677" s="76"/>
      <c r="N677" s="76"/>
      <c r="O677" s="78"/>
      <c r="P677" s="80"/>
      <c r="Q677" s="76"/>
      <c r="R677" s="76"/>
      <c r="S677" s="76"/>
      <c r="T677" s="71"/>
      <c r="U677" s="76"/>
      <c r="V677" s="74"/>
      <c r="W677" s="74"/>
      <c r="X677" s="74"/>
      <c r="Y677" s="74"/>
      <c r="Z677" s="75"/>
    </row>
    <row r="678">
      <c r="A678" s="92"/>
      <c r="B678" s="66"/>
      <c r="C678" s="98"/>
      <c r="D678" s="79"/>
      <c r="E678" s="68"/>
      <c r="F678" s="69"/>
      <c r="G678" s="70"/>
      <c r="H678" s="78"/>
      <c r="I678" s="70"/>
      <c r="J678" s="78"/>
      <c r="K678" s="71"/>
      <c r="L678" s="76"/>
      <c r="M678" s="76"/>
      <c r="N678" s="76"/>
      <c r="O678" s="78"/>
      <c r="P678" s="80"/>
      <c r="Q678" s="76"/>
      <c r="R678" s="76"/>
      <c r="S678" s="76"/>
      <c r="T678" s="71"/>
      <c r="U678" s="71"/>
      <c r="V678" s="78"/>
      <c r="W678" s="78"/>
      <c r="X678" s="70"/>
      <c r="Y678" s="70"/>
      <c r="Z678" s="81"/>
    </row>
    <row r="679">
      <c r="A679" s="92"/>
      <c r="B679" s="84"/>
      <c r="C679" s="98"/>
      <c r="D679" s="79"/>
      <c r="E679" s="68"/>
      <c r="F679" s="69"/>
      <c r="G679" s="78"/>
      <c r="H679" s="74"/>
      <c r="I679" s="78"/>
      <c r="J679" s="78"/>
      <c r="K679" s="71"/>
      <c r="L679" s="76"/>
      <c r="M679" s="76"/>
      <c r="N679" s="76"/>
      <c r="O679" s="78"/>
      <c r="P679" s="80"/>
      <c r="Q679" s="71"/>
      <c r="R679" s="76"/>
      <c r="S679" s="76"/>
      <c r="T679" s="71"/>
      <c r="U679" s="76"/>
      <c r="V679" s="74"/>
      <c r="W679" s="74"/>
      <c r="X679" s="74"/>
      <c r="Y679" s="74"/>
      <c r="Z679" s="75"/>
    </row>
    <row r="680">
      <c r="A680" s="92"/>
      <c r="B680" s="84"/>
      <c r="C680" s="98"/>
      <c r="D680" s="79"/>
      <c r="E680" s="68"/>
      <c r="F680" s="69"/>
      <c r="G680" s="78"/>
      <c r="H680" s="78"/>
      <c r="I680" s="78"/>
      <c r="J680" s="78"/>
      <c r="K680" s="76"/>
      <c r="L680" s="76"/>
      <c r="M680" s="76"/>
      <c r="N680" s="72"/>
      <c r="O680" s="78"/>
      <c r="P680" s="80"/>
      <c r="Q680" s="76"/>
      <c r="R680" s="76"/>
      <c r="S680" s="76"/>
      <c r="T680" s="71"/>
      <c r="U680" s="76"/>
      <c r="V680" s="78"/>
      <c r="W680" s="78"/>
      <c r="X680" s="78"/>
      <c r="Y680" s="78"/>
      <c r="Z680" s="81"/>
    </row>
    <row r="681">
      <c r="A681" s="92"/>
      <c r="B681" s="66"/>
      <c r="C681" s="98"/>
      <c r="D681" s="79"/>
      <c r="E681" s="68"/>
      <c r="F681" s="69"/>
      <c r="G681" s="78"/>
      <c r="H681" s="78"/>
      <c r="I681" s="78"/>
      <c r="J681" s="78"/>
      <c r="K681" s="76"/>
      <c r="L681" s="76"/>
      <c r="M681" s="76"/>
      <c r="N681" s="72"/>
      <c r="O681" s="78"/>
      <c r="P681" s="80"/>
      <c r="Q681" s="76"/>
      <c r="R681" s="76"/>
      <c r="S681" s="76"/>
      <c r="T681" s="71"/>
      <c r="U681" s="71"/>
      <c r="V681" s="78"/>
      <c r="W681" s="78"/>
      <c r="X681" s="78"/>
      <c r="Y681" s="78"/>
      <c r="Z681" s="81"/>
    </row>
    <row r="682">
      <c r="A682" s="92"/>
      <c r="B682" s="66"/>
      <c r="C682" s="98"/>
      <c r="D682" s="79"/>
      <c r="E682" s="68"/>
      <c r="F682" s="69"/>
      <c r="G682" s="78"/>
      <c r="H682" s="78"/>
      <c r="I682" s="78"/>
      <c r="J682" s="78"/>
      <c r="K682" s="71"/>
      <c r="L682" s="76"/>
      <c r="M682" s="76"/>
      <c r="N682" s="76"/>
      <c r="O682" s="78"/>
      <c r="P682" s="80"/>
      <c r="Q682" s="76"/>
      <c r="R682" s="76"/>
      <c r="S682" s="76"/>
      <c r="T682" s="71"/>
      <c r="U682" s="71"/>
      <c r="V682" s="78"/>
      <c r="W682" s="78"/>
      <c r="X682" s="78"/>
      <c r="Y682" s="74"/>
      <c r="Z682" s="81"/>
    </row>
    <row r="683">
      <c r="A683" s="92"/>
      <c r="B683" s="66"/>
      <c r="C683" s="98"/>
      <c r="D683" s="68"/>
      <c r="E683" s="68"/>
      <c r="F683" s="69"/>
      <c r="G683" s="70"/>
      <c r="H683" s="74"/>
      <c r="I683" s="74"/>
      <c r="J683" s="74"/>
      <c r="K683" s="76"/>
      <c r="L683" s="72"/>
      <c r="M683" s="76"/>
      <c r="N683" s="72"/>
      <c r="O683" s="74"/>
      <c r="P683" s="73"/>
      <c r="Q683" s="76"/>
      <c r="R683" s="72"/>
      <c r="S683" s="76"/>
      <c r="T683" s="71"/>
      <c r="U683" s="71"/>
      <c r="V683" s="74"/>
      <c r="W683" s="74"/>
      <c r="X683" s="74"/>
      <c r="Y683" s="74"/>
      <c r="Z683" s="75"/>
    </row>
    <row r="684">
      <c r="A684" s="92"/>
      <c r="B684" s="84"/>
      <c r="C684" s="98"/>
      <c r="D684" s="79"/>
      <c r="E684" s="68"/>
      <c r="F684" s="69"/>
      <c r="G684" s="78"/>
      <c r="H684" s="74"/>
      <c r="I684" s="78"/>
      <c r="J684" s="78"/>
      <c r="K684" s="76"/>
      <c r="L684" s="76"/>
      <c r="M684" s="76"/>
      <c r="N684" s="76"/>
      <c r="O684" s="78"/>
      <c r="P684" s="80"/>
      <c r="Q684" s="76"/>
      <c r="R684" s="76"/>
      <c r="S684" s="76"/>
      <c r="T684" s="71"/>
      <c r="U684" s="76"/>
      <c r="V684" s="78"/>
      <c r="W684" s="78"/>
      <c r="X684" s="78"/>
      <c r="Y684" s="78"/>
      <c r="Z684" s="75"/>
    </row>
    <row r="685">
      <c r="A685" s="92"/>
      <c r="B685" s="66"/>
      <c r="C685" s="98"/>
      <c r="D685" s="79"/>
      <c r="E685" s="68"/>
      <c r="F685" s="69"/>
      <c r="G685" s="70"/>
      <c r="H685" s="78"/>
      <c r="I685" s="70"/>
      <c r="J685" s="78"/>
      <c r="K685" s="71"/>
      <c r="L685" s="76"/>
      <c r="M685" s="76"/>
      <c r="N685" s="76"/>
      <c r="O685" s="78"/>
      <c r="P685" s="80"/>
      <c r="Q685" s="76"/>
      <c r="R685" s="76"/>
      <c r="S685" s="76"/>
      <c r="T685" s="71"/>
      <c r="U685" s="71"/>
      <c r="V685" s="78"/>
      <c r="W685" s="78"/>
      <c r="X685" s="78"/>
      <c r="Y685" s="70"/>
      <c r="Z685" s="83"/>
    </row>
    <row r="686">
      <c r="A686" s="92"/>
      <c r="B686" s="66"/>
      <c r="C686" s="98"/>
      <c r="D686" s="79"/>
      <c r="E686" s="68"/>
      <c r="F686" s="69"/>
      <c r="G686" s="78"/>
      <c r="H686" s="74"/>
      <c r="I686" s="78"/>
      <c r="J686" s="78"/>
      <c r="K686" s="71"/>
      <c r="L686" s="76"/>
      <c r="M686" s="76"/>
      <c r="N686" s="76"/>
      <c r="O686" s="78"/>
      <c r="P686" s="80"/>
      <c r="Q686" s="71"/>
      <c r="R686" s="76"/>
      <c r="S686" s="76"/>
      <c r="T686" s="71"/>
      <c r="U686" s="71"/>
      <c r="V686" s="74"/>
      <c r="W686" s="74"/>
      <c r="X686" s="74"/>
      <c r="Y686" s="74"/>
      <c r="Z686" s="75"/>
    </row>
    <row r="687">
      <c r="A687" s="92"/>
      <c r="B687" s="66"/>
      <c r="C687" s="98"/>
      <c r="D687" s="79"/>
      <c r="E687" s="68"/>
      <c r="F687" s="69"/>
      <c r="G687" s="70"/>
      <c r="H687" s="78"/>
      <c r="I687" s="78"/>
      <c r="J687" s="78"/>
      <c r="K687" s="71"/>
      <c r="L687" s="76"/>
      <c r="M687" s="76"/>
      <c r="N687" s="76"/>
      <c r="O687" s="78"/>
      <c r="P687" s="80"/>
      <c r="Q687" s="71"/>
      <c r="R687" s="76"/>
      <c r="S687" s="76"/>
      <c r="T687" s="71"/>
      <c r="U687" s="71"/>
      <c r="V687" s="78"/>
      <c r="W687" s="78"/>
      <c r="X687" s="78"/>
      <c r="Y687" s="78"/>
      <c r="Z687" s="81"/>
    </row>
    <row r="688">
      <c r="A688" s="92"/>
      <c r="B688" s="66"/>
      <c r="C688" s="98"/>
      <c r="D688" s="79"/>
      <c r="E688" s="68"/>
      <c r="F688" s="69"/>
      <c r="G688" s="78"/>
      <c r="H688" s="74"/>
      <c r="I688" s="78"/>
      <c r="J688" s="78"/>
      <c r="K688" s="71"/>
      <c r="L688" s="76"/>
      <c r="M688" s="76"/>
      <c r="N688" s="76"/>
      <c r="O688" s="78"/>
      <c r="P688" s="80"/>
      <c r="Q688" s="76"/>
      <c r="R688" s="76"/>
      <c r="S688" s="76"/>
      <c r="T688" s="71"/>
      <c r="U688" s="71"/>
      <c r="V688" s="74"/>
      <c r="W688" s="74"/>
      <c r="X688" s="74"/>
      <c r="Y688" s="74"/>
      <c r="Z688" s="75"/>
    </row>
    <row r="689">
      <c r="A689" s="92"/>
      <c r="B689" s="84"/>
      <c r="C689" s="98"/>
      <c r="D689" s="79"/>
      <c r="E689" s="68"/>
      <c r="F689" s="69"/>
      <c r="G689" s="78"/>
      <c r="H689" s="74"/>
      <c r="I689" s="78"/>
      <c r="J689" s="78"/>
      <c r="K689" s="76"/>
      <c r="L689" s="76"/>
      <c r="M689" s="76"/>
      <c r="N689" s="76"/>
      <c r="O689" s="78"/>
      <c r="P689" s="80"/>
      <c r="Q689" s="76"/>
      <c r="R689" s="76"/>
      <c r="S689" s="76"/>
      <c r="T689" s="71"/>
      <c r="U689" s="76"/>
      <c r="V689" s="74"/>
      <c r="W689" s="74"/>
      <c r="X689" s="74"/>
      <c r="Y689" s="74"/>
      <c r="Z689" s="75"/>
    </row>
    <row r="690">
      <c r="A690" s="92"/>
      <c r="B690" s="66"/>
      <c r="C690" s="98"/>
      <c r="D690" s="79"/>
      <c r="E690" s="68"/>
      <c r="F690" s="69"/>
      <c r="G690" s="78"/>
      <c r="H690" s="74"/>
      <c r="I690" s="78"/>
      <c r="J690" s="78"/>
      <c r="K690" s="71"/>
      <c r="L690" s="76"/>
      <c r="M690" s="76"/>
      <c r="N690" s="76"/>
      <c r="O690" s="78"/>
      <c r="P690" s="80"/>
      <c r="Q690" s="76"/>
      <c r="R690" s="71"/>
      <c r="S690" s="76"/>
      <c r="T690" s="71"/>
      <c r="U690" s="71"/>
      <c r="V690" s="78"/>
      <c r="W690" s="78"/>
      <c r="X690" s="78"/>
      <c r="Y690" s="70"/>
      <c r="Z690" s="83"/>
    </row>
    <row r="691">
      <c r="A691" s="92"/>
      <c r="B691" s="66"/>
      <c r="C691" s="98"/>
      <c r="D691" s="79"/>
      <c r="E691" s="68"/>
      <c r="F691" s="69"/>
      <c r="G691" s="78"/>
      <c r="H691" s="78"/>
      <c r="I691" s="78"/>
      <c r="J691" s="78"/>
      <c r="K691" s="71"/>
      <c r="L691" s="76"/>
      <c r="M691" s="76"/>
      <c r="N691" s="76"/>
      <c r="O691" s="78"/>
      <c r="P691" s="80"/>
      <c r="Q691" s="76"/>
      <c r="R691" s="76"/>
      <c r="S691" s="76"/>
      <c r="T691" s="71"/>
      <c r="U691" s="71"/>
      <c r="V691" s="78"/>
      <c r="W691" s="78"/>
      <c r="X691" s="74"/>
      <c r="Y691" s="74"/>
      <c r="Z691" s="81"/>
    </row>
    <row r="692">
      <c r="A692" s="92"/>
      <c r="B692" s="66"/>
      <c r="C692" s="98"/>
      <c r="D692" s="79"/>
      <c r="E692" s="68"/>
      <c r="F692" s="69"/>
      <c r="G692" s="78"/>
      <c r="H692" s="78"/>
      <c r="I692" s="78"/>
      <c r="J692" s="78"/>
      <c r="K692" s="71"/>
      <c r="L692" s="76"/>
      <c r="M692" s="76"/>
      <c r="N692" s="76"/>
      <c r="O692" s="78"/>
      <c r="P692" s="80"/>
      <c r="Q692" s="76"/>
      <c r="R692" s="76"/>
      <c r="S692" s="76"/>
      <c r="T692" s="71"/>
      <c r="U692" s="71"/>
      <c r="V692" s="78"/>
      <c r="W692" s="78"/>
      <c r="X692" s="78"/>
      <c r="Y692" s="78"/>
      <c r="Z692" s="81"/>
    </row>
    <row r="693">
      <c r="A693" s="93"/>
      <c r="B693" s="84"/>
      <c r="C693" s="99"/>
      <c r="D693" s="68"/>
      <c r="E693" s="68"/>
      <c r="F693" s="69"/>
      <c r="G693" s="70"/>
      <c r="H693" s="70"/>
      <c r="I693" s="70"/>
      <c r="J693" s="70"/>
      <c r="K693" s="71"/>
      <c r="L693" s="72"/>
      <c r="M693" s="72"/>
      <c r="N693" s="72"/>
      <c r="O693" s="74"/>
      <c r="P693" s="73"/>
      <c r="Q693" s="71"/>
      <c r="R693" s="72"/>
      <c r="S693" s="76"/>
      <c r="T693" s="71"/>
      <c r="U693" s="76"/>
      <c r="V693" s="74"/>
      <c r="W693" s="74"/>
      <c r="X693" s="74"/>
      <c r="Y693" s="74"/>
      <c r="Z693" s="75"/>
    </row>
    <row r="694">
      <c r="A694" s="92"/>
      <c r="B694" s="66"/>
      <c r="C694" s="98"/>
      <c r="D694" s="68"/>
      <c r="E694" s="68"/>
      <c r="F694" s="69"/>
      <c r="G694" s="70"/>
      <c r="H694" s="70"/>
      <c r="I694" s="70"/>
      <c r="J694" s="70"/>
      <c r="K694" s="76"/>
      <c r="L694" s="76"/>
      <c r="M694" s="76"/>
      <c r="N694" s="76"/>
      <c r="O694" s="78"/>
      <c r="P694" s="80"/>
      <c r="Q694" s="76"/>
      <c r="R694" s="76"/>
      <c r="S694" s="76"/>
      <c r="T694" s="71"/>
      <c r="U694" s="71"/>
      <c r="V694" s="78"/>
      <c r="W694" s="78"/>
      <c r="X694" s="78"/>
      <c r="Y694" s="78"/>
      <c r="Z694" s="81"/>
    </row>
    <row r="695">
      <c r="A695" s="92"/>
      <c r="B695" s="66"/>
      <c r="C695" s="98"/>
      <c r="D695" s="79"/>
      <c r="E695" s="68"/>
      <c r="F695" s="69"/>
      <c r="G695" s="70"/>
      <c r="H695" s="70"/>
      <c r="I695" s="70"/>
      <c r="J695" s="78"/>
      <c r="K695" s="71"/>
      <c r="L695" s="76"/>
      <c r="M695" s="76"/>
      <c r="N695" s="76"/>
      <c r="O695" s="78"/>
      <c r="P695" s="80"/>
      <c r="Q695" s="76"/>
      <c r="R695" s="76"/>
      <c r="S695" s="71"/>
      <c r="T695" s="71"/>
      <c r="U695" s="71"/>
      <c r="V695" s="70"/>
      <c r="W695" s="70"/>
      <c r="X695" s="70"/>
      <c r="Y695" s="70"/>
      <c r="Z695" s="83"/>
    </row>
    <row r="696">
      <c r="A696" s="92"/>
      <c r="B696" s="66"/>
      <c r="C696" s="98"/>
      <c r="D696" s="79"/>
      <c r="E696" s="68"/>
      <c r="F696" s="69"/>
      <c r="G696" s="78"/>
      <c r="H696" s="74"/>
      <c r="I696" s="78"/>
      <c r="J696" s="78"/>
      <c r="K696" s="71"/>
      <c r="L696" s="76"/>
      <c r="M696" s="76"/>
      <c r="N696" s="76"/>
      <c r="O696" s="78"/>
      <c r="P696" s="80"/>
      <c r="Q696" s="76"/>
      <c r="R696" s="76"/>
      <c r="S696" s="76"/>
      <c r="T696" s="71"/>
      <c r="U696" s="71"/>
      <c r="V696" s="74"/>
      <c r="W696" s="74"/>
      <c r="X696" s="74"/>
      <c r="Y696" s="74"/>
      <c r="Z696" s="75"/>
    </row>
    <row r="697">
      <c r="A697" s="93"/>
      <c r="B697" s="84"/>
      <c r="C697" s="99"/>
      <c r="D697" s="68"/>
      <c r="E697" s="68"/>
      <c r="F697" s="69"/>
      <c r="G697" s="74"/>
      <c r="H697" s="74"/>
      <c r="I697" s="74"/>
      <c r="J697" s="74"/>
      <c r="K697" s="72"/>
      <c r="L697" s="72"/>
      <c r="M697" s="72"/>
      <c r="N697" s="72"/>
      <c r="O697" s="74"/>
      <c r="P697" s="73"/>
      <c r="Q697" s="72"/>
      <c r="R697" s="72"/>
      <c r="S697" s="72"/>
      <c r="T697" s="71"/>
      <c r="U697" s="76"/>
      <c r="V697" s="74"/>
      <c r="W697" s="74"/>
      <c r="X697" s="74"/>
      <c r="Y697" s="74"/>
      <c r="Z697" s="75"/>
    </row>
    <row r="698">
      <c r="A698" s="92"/>
      <c r="B698" s="66"/>
      <c r="C698" s="98"/>
      <c r="D698" s="79"/>
      <c r="E698" s="68"/>
      <c r="F698" s="69"/>
      <c r="G698" s="78"/>
      <c r="H698" s="78"/>
      <c r="I698" s="78"/>
      <c r="J698" s="78"/>
      <c r="K698" s="71"/>
      <c r="L698" s="76"/>
      <c r="M698" s="76"/>
      <c r="N698" s="72"/>
      <c r="O698" s="78"/>
      <c r="P698" s="80"/>
      <c r="Q698" s="76"/>
      <c r="R698" s="76"/>
      <c r="S698" s="76"/>
      <c r="T698" s="71"/>
      <c r="U698" s="71"/>
      <c r="V698" s="78"/>
      <c r="W698" s="78"/>
      <c r="X698" s="78"/>
      <c r="Y698" s="78"/>
      <c r="Z698" s="81"/>
    </row>
    <row r="699">
      <c r="A699" s="92"/>
      <c r="B699" s="84"/>
      <c r="C699" s="98"/>
      <c r="D699" s="79"/>
      <c r="E699" s="68"/>
      <c r="F699" s="69"/>
      <c r="G699" s="70"/>
      <c r="H699" s="70"/>
      <c r="I699" s="78"/>
      <c r="J699" s="70"/>
      <c r="K699" s="76"/>
      <c r="L699" s="76"/>
      <c r="M699" s="76"/>
      <c r="N699" s="76"/>
      <c r="O699" s="78"/>
      <c r="P699" s="80"/>
      <c r="Q699" s="76"/>
      <c r="R699" s="76"/>
      <c r="S699" s="76"/>
      <c r="T699" s="71"/>
      <c r="U699" s="76"/>
      <c r="V699" s="74"/>
      <c r="W699" s="74"/>
      <c r="X699" s="74"/>
      <c r="Y699" s="74"/>
      <c r="Z699" s="75"/>
    </row>
    <row r="700">
      <c r="A700" s="92"/>
      <c r="B700" s="66"/>
      <c r="C700" s="98"/>
      <c r="D700" s="79"/>
      <c r="E700" s="68"/>
      <c r="F700" s="69"/>
      <c r="G700" s="78"/>
      <c r="H700" s="78"/>
      <c r="I700" s="78"/>
      <c r="J700" s="78"/>
      <c r="K700" s="76"/>
      <c r="L700" s="76"/>
      <c r="M700" s="76"/>
      <c r="N700" s="76"/>
      <c r="O700" s="78"/>
      <c r="P700" s="80"/>
      <c r="Q700" s="76"/>
      <c r="R700" s="76"/>
      <c r="S700" s="76"/>
      <c r="T700" s="71"/>
      <c r="U700" s="71"/>
      <c r="V700" s="78"/>
      <c r="W700" s="78"/>
      <c r="X700" s="78"/>
      <c r="Y700" s="78"/>
      <c r="Z700" s="81"/>
    </row>
    <row r="701">
      <c r="A701" s="92"/>
      <c r="B701" s="84"/>
      <c r="C701" s="98"/>
      <c r="D701" s="79"/>
      <c r="E701" s="68"/>
      <c r="F701" s="69"/>
      <c r="G701" s="78"/>
      <c r="H701" s="74"/>
      <c r="I701" s="78"/>
      <c r="J701" s="78"/>
      <c r="K701" s="71"/>
      <c r="L701" s="76"/>
      <c r="M701" s="76"/>
      <c r="N701" s="76"/>
      <c r="O701" s="78"/>
      <c r="P701" s="80"/>
      <c r="Q701" s="76"/>
      <c r="R701" s="76"/>
      <c r="S701" s="76"/>
      <c r="T701" s="71"/>
      <c r="U701" s="76"/>
      <c r="V701" s="74"/>
      <c r="W701" s="74"/>
      <c r="X701" s="74"/>
      <c r="Y701" s="74"/>
      <c r="Z701" s="75"/>
    </row>
    <row r="702">
      <c r="A702" s="92"/>
      <c r="B702" s="66"/>
      <c r="C702" s="98"/>
      <c r="D702" s="79"/>
      <c r="E702" s="68"/>
      <c r="F702" s="69"/>
      <c r="G702" s="78"/>
      <c r="H702" s="78"/>
      <c r="I702" s="78"/>
      <c r="J702" s="78"/>
      <c r="K702" s="71"/>
      <c r="L702" s="76"/>
      <c r="M702" s="76"/>
      <c r="N702" s="76"/>
      <c r="O702" s="78"/>
      <c r="P702" s="80"/>
      <c r="Q702" s="76"/>
      <c r="R702" s="76"/>
      <c r="S702" s="76"/>
      <c r="T702" s="71"/>
      <c r="U702" s="71"/>
      <c r="V702" s="78"/>
      <c r="W702" s="78"/>
      <c r="X702" s="78"/>
      <c r="Y702" s="74"/>
      <c r="Z702" s="81"/>
    </row>
    <row r="703">
      <c r="A703" s="92"/>
      <c r="B703" s="66"/>
      <c r="C703" s="98"/>
      <c r="D703" s="79"/>
      <c r="E703" s="68"/>
      <c r="F703" s="69"/>
      <c r="G703" s="78"/>
      <c r="H703" s="78"/>
      <c r="I703" s="78"/>
      <c r="J703" s="78"/>
      <c r="K703" s="71"/>
      <c r="L703" s="76"/>
      <c r="M703" s="76"/>
      <c r="N703" s="76"/>
      <c r="O703" s="78"/>
      <c r="P703" s="80"/>
      <c r="Q703" s="76"/>
      <c r="R703" s="76"/>
      <c r="S703" s="76"/>
      <c r="T703" s="71"/>
      <c r="U703" s="71"/>
      <c r="V703" s="78"/>
      <c r="W703" s="78"/>
      <c r="X703" s="78"/>
      <c r="Y703" s="78"/>
      <c r="Z703" s="81"/>
    </row>
    <row r="704">
      <c r="A704" s="92"/>
      <c r="B704" s="66"/>
      <c r="C704" s="98"/>
      <c r="D704" s="79"/>
      <c r="E704" s="68"/>
      <c r="F704" s="69"/>
      <c r="G704" s="78"/>
      <c r="H704" s="78"/>
      <c r="I704" s="78"/>
      <c r="J704" s="78"/>
      <c r="K704" s="71"/>
      <c r="L704" s="76"/>
      <c r="M704" s="76"/>
      <c r="N704" s="76"/>
      <c r="O704" s="78"/>
      <c r="P704" s="80"/>
      <c r="Q704" s="76"/>
      <c r="R704" s="76"/>
      <c r="S704" s="76"/>
      <c r="T704" s="71"/>
      <c r="U704" s="71"/>
      <c r="V704" s="78"/>
      <c r="W704" s="78"/>
      <c r="X704" s="78"/>
      <c r="Y704" s="78"/>
      <c r="Z704" s="81"/>
    </row>
    <row r="705">
      <c r="A705" s="92"/>
      <c r="B705" s="66"/>
      <c r="C705" s="98"/>
      <c r="D705" s="79"/>
      <c r="E705" s="68"/>
      <c r="F705" s="69"/>
      <c r="G705" s="78"/>
      <c r="H705" s="78"/>
      <c r="I705" s="78"/>
      <c r="J705" s="78"/>
      <c r="K705" s="71"/>
      <c r="L705" s="76"/>
      <c r="M705" s="76"/>
      <c r="N705" s="76"/>
      <c r="O705" s="78"/>
      <c r="P705" s="80"/>
      <c r="Q705" s="71"/>
      <c r="R705" s="76"/>
      <c r="S705" s="76"/>
      <c r="T705" s="71"/>
      <c r="U705" s="71"/>
      <c r="V705" s="78"/>
      <c r="W705" s="78"/>
      <c r="X705" s="78"/>
      <c r="Y705" s="78"/>
      <c r="Z705" s="81"/>
    </row>
    <row r="706">
      <c r="A706" s="92"/>
      <c r="B706" s="66"/>
      <c r="C706" s="98"/>
      <c r="D706" s="79"/>
      <c r="E706" s="68"/>
      <c r="F706" s="69"/>
      <c r="G706" s="78"/>
      <c r="H706" s="78"/>
      <c r="I706" s="78"/>
      <c r="J706" s="78"/>
      <c r="K706" s="71"/>
      <c r="L706" s="76"/>
      <c r="M706" s="76"/>
      <c r="N706" s="76"/>
      <c r="O706" s="78"/>
      <c r="P706" s="80"/>
      <c r="Q706" s="76"/>
      <c r="R706" s="76"/>
      <c r="S706" s="76"/>
      <c r="T706" s="71"/>
      <c r="U706" s="71"/>
      <c r="V706" s="78"/>
      <c r="W706" s="78"/>
      <c r="X706" s="78"/>
      <c r="Y706" s="78"/>
      <c r="Z706" s="81"/>
    </row>
    <row r="707">
      <c r="A707" s="92"/>
      <c r="B707" s="66"/>
      <c r="C707" s="98"/>
      <c r="D707" s="79"/>
      <c r="E707" s="68"/>
      <c r="F707" s="69"/>
      <c r="G707" s="78"/>
      <c r="H707" s="78"/>
      <c r="I707" s="78"/>
      <c r="J707" s="78"/>
      <c r="K707" s="71"/>
      <c r="L707" s="76"/>
      <c r="M707" s="76"/>
      <c r="N707" s="76"/>
      <c r="O707" s="78"/>
      <c r="P707" s="80"/>
      <c r="Q707" s="76"/>
      <c r="R707" s="76"/>
      <c r="S707" s="76"/>
      <c r="T707" s="71"/>
      <c r="U707" s="71"/>
      <c r="V707" s="78"/>
      <c r="W707" s="78"/>
      <c r="X707" s="78"/>
      <c r="Y707" s="78"/>
      <c r="Z707" s="81"/>
    </row>
    <row r="708">
      <c r="A708" s="92"/>
      <c r="B708" s="66"/>
      <c r="C708" s="98"/>
      <c r="D708" s="79"/>
      <c r="E708" s="68"/>
      <c r="F708" s="69"/>
      <c r="G708" s="78"/>
      <c r="H708" s="78"/>
      <c r="I708" s="78"/>
      <c r="J708" s="78"/>
      <c r="K708" s="71"/>
      <c r="L708" s="76"/>
      <c r="M708" s="76"/>
      <c r="N708" s="76"/>
      <c r="O708" s="78"/>
      <c r="P708" s="80"/>
      <c r="Q708" s="76"/>
      <c r="R708" s="76"/>
      <c r="S708" s="76"/>
      <c r="T708" s="71"/>
      <c r="U708" s="71"/>
      <c r="V708" s="78"/>
      <c r="W708" s="78"/>
      <c r="X708" s="78"/>
      <c r="Y708" s="74"/>
      <c r="Z708" s="75"/>
    </row>
    <row r="709">
      <c r="A709" s="92"/>
      <c r="B709" s="66"/>
      <c r="C709" s="98"/>
      <c r="D709" s="79"/>
      <c r="E709" s="68"/>
      <c r="F709" s="69"/>
      <c r="G709" s="70"/>
      <c r="H709" s="70"/>
      <c r="I709" s="70"/>
      <c r="J709" s="70"/>
      <c r="K709" s="76"/>
      <c r="L709" s="76"/>
      <c r="M709" s="71"/>
      <c r="N709" s="71"/>
      <c r="O709" s="70"/>
      <c r="P709" s="73"/>
      <c r="Q709" s="76"/>
      <c r="R709" s="71"/>
      <c r="S709" s="71"/>
      <c r="T709" s="71"/>
      <c r="U709" s="71"/>
      <c r="V709" s="70"/>
      <c r="W709" s="70"/>
      <c r="X709" s="70"/>
      <c r="Y709" s="70"/>
      <c r="Z709" s="83"/>
    </row>
    <row r="710">
      <c r="A710" s="92"/>
      <c r="B710" s="66"/>
      <c r="C710" s="98"/>
      <c r="D710" s="79"/>
      <c r="E710" s="68"/>
      <c r="F710" s="69"/>
      <c r="G710" s="78"/>
      <c r="H710" s="78"/>
      <c r="I710" s="78"/>
      <c r="J710" s="78"/>
      <c r="K710" s="71"/>
      <c r="L710" s="76"/>
      <c r="M710" s="76"/>
      <c r="N710" s="76"/>
      <c r="O710" s="78"/>
      <c r="P710" s="80"/>
      <c r="Q710" s="76"/>
      <c r="R710" s="76"/>
      <c r="S710" s="76"/>
      <c r="T710" s="71"/>
      <c r="U710" s="71"/>
      <c r="V710" s="78"/>
      <c r="W710" s="78"/>
      <c r="X710" s="78"/>
      <c r="Y710" s="74"/>
      <c r="Z710" s="81"/>
    </row>
    <row r="711">
      <c r="A711" s="92"/>
      <c r="B711" s="66"/>
      <c r="C711" s="98"/>
      <c r="D711" s="79"/>
      <c r="E711" s="68"/>
      <c r="F711" s="69"/>
      <c r="G711" s="78"/>
      <c r="H711" s="78"/>
      <c r="I711" s="78"/>
      <c r="J711" s="78"/>
      <c r="K711" s="71"/>
      <c r="L711" s="76"/>
      <c r="M711" s="76"/>
      <c r="N711" s="76"/>
      <c r="O711" s="78"/>
      <c r="P711" s="80"/>
      <c r="Q711" s="76"/>
      <c r="R711" s="76"/>
      <c r="S711" s="76"/>
      <c r="T711" s="71"/>
      <c r="U711" s="71"/>
      <c r="V711" s="78"/>
      <c r="W711" s="78"/>
      <c r="X711" s="78"/>
      <c r="Y711" s="74"/>
      <c r="Z711" s="75"/>
    </row>
    <row r="712">
      <c r="A712" s="92"/>
      <c r="B712" s="66"/>
      <c r="C712" s="98"/>
      <c r="D712" s="79"/>
      <c r="E712" s="68"/>
      <c r="F712" s="69"/>
      <c r="G712" s="78"/>
      <c r="H712" s="74"/>
      <c r="I712" s="78"/>
      <c r="J712" s="78"/>
      <c r="K712" s="71"/>
      <c r="L712" s="76"/>
      <c r="M712" s="76"/>
      <c r="N712" s="76"/>
      <c r="O712" s="78"/>
      <c r="P712" s="80"/>
      <c r="Q712" s="76"/>
      <c r="R712" s="76"/>
      <c r="S712" s="72"/>
      <c r="T712" s="71"/>
      <c r="U712" s="71"/>
      <c r="V712" s="74"/>
      <c r="W712" s="74"/>
      <c r="X712" s="74"/>
      <c r="Y712" s="74"/>
      <c r="Z712" s="75"/>
    </row>
    <row r="713">
      <c r="A713" s="92"/>
      <c r="B713" s="66"/>
      <c r="C713" s="98"/>
      <c r="D713" s="79"/>
      <c r="E713" s="68"/>
      <c r="F713" s="69"/>
      <c r="G713" s="78"/>
      <c r="H713" s="78"/>
      <c r="I713" s="78"/>
      <c r="J713" s="78"/>
      <c r="K713" s="71"/>
      <c r="L713" s="76"/>
      <c r="M713" s="76"/>
      <c r="N713" s="76"/>
      <c r="O713" s="78"/>
      <c r="P713" s="80"/>
      <c r="Q713" s="71"/>
      <c r="R713" s="76"/>
      <c r="S713" s="76"/>
      <c r="T713" s="71"/>
      <c r="U713" s="71"/>
      <c r="V713" s="78"/>
      <c r="W713" s="78"/>
      <c r="X713" s="78"/>
      <c r="Y713" s="74"/>
      <c r="Z713" s="81"/>
    </row>
    <row r="714">
      <c r="A714" s="92"/>
      <c r="B714" s="66"/>
      <c r="C714" s="98"/>
      <c r="D714" s="79"/>
      <c r="E714" s="68"/>
      <c r="F714" s="69"/>
      <c r="G714" s="78"/>
      <c r="H714" s="78"/>
      <c r="I714" s="78"/>
      <c r="J714" s="78"/>
      <c r="K714" s="76"/>
      <c r="L714" s="76"/>
      <c r="M714" s="76"/>
      <c r="N714" s="72"/>
      <c r="O714" s="78"/>
      <c r="P714" s="80"/>
      <c r="Q714" s="76"/>
      <c r="R714" s="76"/>
      <c r="S714" s="76"/>
      <c r="T714" s="71"/>
      <c r="U714" s="71"/>
      <c r="V714" s="78"/>
      <c r="W714" s="78"/>
      <c r="X714" s="78"/>
      <c r="Y714" s="78"/>
      <c r="Z714" s="81"/>
    </row>
    <row r="715">
      <c r="A715" s="92"/>
      <c r="B715" s="66"/>
      <c r="C715" s="98"/>
      <c r="D715" s="79"/>
      <c r="E715" s="68"/>
      <c r="F715" s="69"/>
      <c r="G715" s="78"/>
      <c r="H715" s="78"/>
      <c r="I715" s="78"/>
      <c r="J715" s="78"/>
      <c r="K715" s="71"/>
      <c r="L715" s="76"/>
      <c r="M715" s="76"/>
      <c r="N715" s="76"/>
      <c r="O715" s="78"/>
      <c r="P715" s="80"/>
      <c r="Q715" s="76"/>
      <c r="R715" s="76"/>
      <c r="S715" s="76"/>
      <c r="T715" s="71"/>
      <c r="U715" s="71"/>
      <c r="V715" s="78"/>
      <c r="W715" s="78"/>
      <c r="X715" s="78"/>
      <c r="Y715" s="74"/>
      <c r="Z715" s="75"/>
    </row>
    <row r="716">
      <c r="A716" s="92"/>
      <c r="B716" s="66"/>
      <c r="C716" s="98"/>
      <c r="D716" s="79"/>
      <c r="E716" s="68"/>
      <c r="F716" s="69"/>
      <c r="G716" s="78"/>
      <c r="H716" s="74"/>
      <c r="I716" s="78"/>
      <c r="J716" s="78"/>
      <c r="K716" s="76"/>
      <c r="L716" s="76"/>
      <c r="M716" s="76"/>
      <c r="N716" s="72"/>
      <c r="O716" s="78"/>
      <c r="P716" s="80"/>
      <c r="Q716" s="76"/>
      <c r="R716" s="76"/>
      <c r="S716" s="76"/>
      <c r="T716" s="71"/>
      <c r="U716" s="71"/>
      <c r="V716" s="78"/>
      <c r="W716" s="78"/>
      <c r="X716" s="78"/>
      <c r="Y716" s="78"/>
      <c r="Z716" s="75"/>
    </row>
    <row r="717">
      <c r="A717" s="92"/>
      <c r="B717" s="66"/>
      <c r="C717" s="98"/>
      <c r="D717" s="79"/>
      <c r="E717" s="68"/>
      <c r="F717" s="69"/>
      <c r="G717" s="70"/>
      <c r="H717" s="70"/>
      <c r="I717" s="70"/>
      <c r="J717" s="78"/>
      <c r="K717" s="76"/>
      <c r="L717" s="76"/>
      <c r="M717" s="76"/>
      <c r="N717" s="76"/>
      <c r="O717" s="78"/>
      <c r="P717" s="80"/>
      <c r="Q717" s="76"/>
      <c r="R717" s="76"/>
      <c r="S717" s="76"/>
      <c r="T717" s="71"/>
      <c r="U717" s="71"/>
      <c r="V717" s="78"/>
      <c r="W717" s="78"/>
      <c r="X717" s="78"/>
      <c r="Y717" s="78"/>
      <c r="Z717" s="81"/>
    </row>
    <row r="718">
      <c r="A718" s="92"/>
      <c r="B718" s="66"/>
      <c r="C718" s="98"/>
      <c r="D718" s="79"/>
      <c r="E718" s="68"/>
      <c r="F718" s="69"/>
      <c r="G718" s="70"/>
      <c r="H718" s="78"/>
      <c r="I718" s="78"/>
      <c r="J718" s="78"/>
      <c r="K718" s="71"/>
      <c r="L718" s="76"/>
      <c r="M718" s="76"/>
      <c r="N718" s="76"/>
      <c r="O718" s="78"/>
      <c r="P718" s="80"/>
      <c r="Q718" s="76"/>
      <c r="R718" s="76"/>
      <c r="S718" s="76"/>
      <c r="T718" s="71"/>
      <c r="U718" s="71"/>
      <c r="V718" s="78"/>
      <c r="W718" s="78"/>
      <c r="X718" s="78"/>
      <c r="Y718" s="78"/>
      <c r="Z718" s="81"/>
    </row>
    <row r="719">
      <c r="A719" s="92"/>
      <c r="B719" s="66"/>
      <c r="C719" s="98"/>
      <c r="D719" s="79"/>
      <c r="E719" s="68"/>
      <c r="F719" s="69"/>
      <c r="G719" s="70"/>
      <c r="H719" s="78"/>
      <c r="I719" s="70"/>
      <c r="J719" s="78"/>
      <c r="K719" s="71"/>
      <c r="L719" s="76"/>
      <c r="M719" s="76"/>
      <c r="N719" s="76"/>
      <c r="O719" s="78"/>
      <c r="P719" s="80"/>
      <c r="Q719" s="71"/>
      <c r="R719" s="71"/>
      <c r="S719" s="76"/>
      <c r="T719" s="71"/>
      <c r="U719" s="71"/>
      <c r="V719" s="78"/>
      <c r="W719" s="78"/>
      <c r="X719" s="70"/>
      <c r="Y719" s="78"/>
      <c r="Z719" s="83"/>
    </row>
    <row r="720">
      <c r="A720" s="92"/>
      <c r="B720" s="66"/>
      <c r="C720" s="98"/>
      <c r="D720" s="79"/>
      <c r="E720" s="68"/>
      <c r="F720" s="69"/>
      <c r="G720" s="78"/>
      <c r="H720" s="78"/>
      <c r="I720" s="78"/>
      <c r="J720" s="78"/>
      <c r="K720" s="76"/>
      <c r="L720" s="76"/>
      <c r="M720" s="76"/>
      <c r="N720" s="72"/>
      <c r="O720" s="78"/>
      <c r="P720" s="80"/>
      <c r="Q720" s="76"/>
      <c r="R720" s="76"/>
      <c r="S720" s="76"/>
      <c r="T720" s="71"/>
      <c r="U720" s="71"/>
      <c r="V720" s="78"/>
      <c r="W720" s="78"/>
      <c r="X720" s="78"/>
      <c r="Y720" s="78"/>
      <c r="Z720" s="81"/>
    </row>
    <row r="721">
      <c r="A721" s="92"/>
      <c r="B721" s="66"/>
      <c r="C721" s="98"/>
      <c r="D721" s="79"/>
      <c r="E721" s="68"/>
      <c r="F721" s="69"/>
      <c r="G721" s="78"/>
      <c r="H721" s="74"/>
      <c r="I721" s="78"/>
      <c r="J721" s="78"/>
      <c r="K721" s="71"/>
      <c r="L721" s="76"/>
      <c r="M721" s="76"/>
      <c r="N721" s="76"/>
      <c r="O721" s="78"/>
      <c r="P721" s="80"/>
      <c r="Q721" s="76"/>
      <c r="R721" s="76"/>
      <c r="S721" s="76"/>
      <c r="T721" s="71"/>
      <c r="U721" s="71"/>
      <c r="V721" s="74"/>
      <c r="W721" s="74"/>
      <c r="X721" s="74"/>
      <c r="Y721" s="74"/>
      <c r="Z721" s="75"/>
    </row>
    <row r="722">
      <c r="A722" s="92"/>
      <c r="B722" s="66"/>
      <c r="C722" s="98"/>
      <c r="D722" s="79"/>
      <c r="E722" s="68"/>
      <c r="F722" s="69"/>
      <c r="G722" s="78"/>
      <c r="H722" s="78"/>
      <c r="I722" s="78"/>
      <c r="J722" s="78"/>
      <c r="K722" s="71"/>
      <c r="L722" s="76"/>
      <c r="M722" s="76"/>
      <c r="N722" s="76"/>
      <c r="O722" s="78"/>
      <c r="P722" s="80"/>
      <c r="Q722" s="76"/>
      <c r="R722" s="76"/>
      <c r="S722" s="76"/>
      <c r="T722" s="71"/>
      <c r="U722" s="71"/>
      <c r="V722" s="78"/>
      <c r="W722" s="78"/>
      <c r="X722" s="78"/>
      <c r="Y722" s="74"/>
      <c r="Z722" s="81"/>
    </row>
    <row r="723">
      <c r="A723" s="92"/>
      <c r="B723" s="66"/>
      <c r="C723" s="98"/>
      <c r="D723" s="79"/>
      <c r="E723" s="68"/>
      <c r="F723" s="69"/>
      <c r="G723" s="78"/>
      <c r="H723" s="74"/>
      <c r="I723" s="78"/>
      <c r="J723" s="78"/>
      <c r="K723" s="76"/>
      <c r="L723" s="76"/>
      <c r="M723" s="76"/>
      <c r="N723" s="76"/>
      <c r="O723" s="78"/>
      <c r="P723" s="80"/>
      <c r="Q723" s="76"/>
      <c r="R723" s="76"/>
      <c r="S723" s="76"/>
      <c r="T723" s="71"/>
      <c r="U723" s="71"/>
      <c r="V723" s="74"/>
      <c r="W723" s="74"/>
      <c r="X723" s="74"/>
      <c r="Y723" s="74"/>
      <c r="Z723" s="75"/>
    </row>
    <row r="724">
      <c r="A724" s="92"/>
      <c r="B724" s="66"/>
      <c r="C724" s="98"/>
      <c r="D724" s="68"/>
      <c r="E724" s="68"/>
      <c r="F724" s="69"/>
      <c r="G724" s="70"/>
      <c r="H724" s="70"/>
      <c r="I724" s="70"/>
      <c r="J724" s="70"/>
      <c r="K724" s="76"/>
      <c r="L724" s="76"/>
      <c r="M724" s="76"/>
      <c r="N724" s="76"/>
      <c r="O724" s="78"/>
      <c r="P724" s="80"/>
      <c r="Q724" s="76"/>
      <c r="R724" s="76"/>
      <c r="S724" s="76"/>
      <c r="T724" s="71"/>
      <c r="U724" s="71"/>
      <c r="V724" s="78"/>
      <c r="W724" s="78"/>
      <c r="X724" s="78"/>
      <c r="Y724" s="78"/>
      <c r="Z724" s="81"/>
    </row>
    <row r="725">
      <c r="A725" s="92"/>
      <c r="B725" s="66"/>
      <c r="C725" s="98"/>
      <c r="D725" s="79"/>
      <c r="E725" s="68"/>
      <c r="F725" s="69"/>
      <c r="G725" s="78"/>
      <c r="H725" s="78"/>
      <c r="I725" s="78"/>
      <c r="J725" s="78"/>
      <c r="K725" s="71"/>
      <c r="L725" s="76"/>
      <c r="M725" s="76"/>
      <c r="N725" s="76"/>
      <c r="O725" s="78"/>
      <c r="P725" s="80"/>
      <c r="Q725" s="76"/>
      <c r="R725" s="76"/>
      <c r="S725" s="76"/>
      <c r="T725" s="71"/>
      <c r="U725" s="71"/>
      <c r="V725" s="78"/>
      <c r="W725" s="78"/>
      <c r="X725" s="78"/>
      <c r="Y725" s="74"/>
      <c r="Z725" s="81"/>
    </row>
    <row r="726">
      <c r="A726" s="92"/>
      <c r="B726" s="66"/>
      <c r="C726" s="98"/>
      <c r="D726" s="79"/>
      <c r="E726" s="68"/>
      <c r="F726" s="69"/>
      <c r="G726" s="70"/>
      <c r="H726" s="78"/>
      <c r="I726" s="70"/>
      <c r="J726" s="78"/>
      <c r="K726" s="76"/>
      <c r="L726" s="76"/>
      <c r="M726" s="76"/>
      <c r="N726" s="76"/>
      <c r="O726" s="78"/>
      <c r="P726" s="80"/>
      <c r="Q726" s="71"/>
      <c r="R726" s="76"/>
      <c r="S726" s="76"/>
      <c r="T726" s="71"/>
      <c r="U726" s="71"/>
      <c r="V726" s="78"/>
      <c r="W726" s="78"/>
      <c r="X726" s="78"/>
      <c r="Y726" s="70"/>
      <c r="Z726" s="81"/>
    </row>
    <row r="727">
      <c r="A727" s="92"/>
      <c r="B727" s="66"/>
      <c r="C727" s="98"/>
      <c r="D727" s="79"/>
      <c r="E727" s="68"/>
      <c r="F727" s="69"/>
      <c r="G727" s="78"/>
      <c r="H727" s="78"/>
      <c r="I727" s="78"/>
      <c r="J727" s="78"/>
      <c r="K727" s="71"/>
      <c r="L727" s="76"/>
      <c r="M727" s="76"/>
      <c r="N727" s="76"/>
      <c r="O727" s="78"/>
      <c r="P727" s="80"/>
      <c r="Q727" s="76"/>
      <c r="R727" s="76"/>
      <c r="S727" s="76"/>
      <c r="T727" s="71"/>
      <c r="U727" s="71"/>
      <c r="V727" s="78"/>
      <c r="W727" s="78"/>
      <c r="X727" s="78"/>
      <c r="Y727" s="74"/>
      <c r="Z727" s="81"/>
    </row>
    <row r="728">
      <c r="A728" s="93"/>
      <c r="B728" s="66"/>
      <c r="C728" s="99"/>
      <c r="D728" s="68"/>
      <c r="E728" s="68"/>
      <c r="F728" s="69"/>
      <c r="G728" s="74"/>
      <c r="H728" s="74"/>
      <c r="I728" s="74"/>
      <c r="J728" s="74"/>
      <c r="K728" s="71"/>
      <c r="L728" s="72"/>
      <c r="M728" s="72"/>
      <c r="N728" s="72"/>
      <c r="O728" s="74"/>
      <c r="P728" s="73"/>
      <c r="Q728" s="76"/>
      <c r="R728" s="72"/>
      <c r="S728" s="76"/>
      <c r="T728" s="71"/>
      <c r="U728" s="71"/>
      <c r="V728" s="70"/>
      <c r="W728" s="70"/>
      <c r="X728" s="74"/>
      <c r="Y728" s="74"/>
      <c r="Z728" s="75"/>
    </row>
    <row r="729">
      <c r="A729" s="92"/>
      <c r="B729" s="66"/>
      <c r="C729" s="98"/>
      <c r="D729" s="79"/>
      <c r="E729" s="68"/>
      <c r="F729" s="69"/>
      <c r="G729" s="78"/>
      <c r="H729" s="78"/>
      <c r="I729" s="78"/>
      <c r="J729" s="78"/>
      <c r="K729" s="71"/>
      <c r="L729" s="76"/>
      <c r="M729" s="76"/>
      <c r="N729" s="76"/>
      <c r="O729" s="78"/>
      <c r="P729" s="80"/>
      <c r="Q729" s="71"/>
      <c r="R729" s="76"/>
      <c r="S729" s="76"/>
      <c r="T729" s="71"/>
      <c r="U729" s="71"/>
      <c r="V729" s="78"/>
      <c r="W729" s="78"/>
      <c r="X729" s="74"/>
      <c r="Y729" s="74"/>
      <c r="Z729" s="81"/>
    </row>
    <row r="730">
      <c r="A730" s="92"/>
      <c r="B730" s="66"/>
      <c r="C730" s="98"/>
      <c r="D730" s="79"/>
      <c r="E730" s="68"/>
      <c r="F730" s="69"/>
      <c r="G730" s="78"/>
      <c r="H730" s="78"/>
      <c r="I730" s="78"/>
      <c r="J730" s="78"/>
      <c r="K730" s="71"/>
      <c r="L730" s="76"/>
      <c r="M730" s="76"/>
      <c r="N730" s="76"/>
      <c r="O730" s="78"/>
      <c r="P730" s="80"/>
      <c r="Q730" s="76"/>
      <c r="R730" s="76"/>
      <c r="S730" s="76"/>
      <c r="T730" s="71"/>
      <c r="U730" s="71"/>
      <c r="V730" s="78"/>
      <c r="W730" s="78"/>
      <c r="X730" s="78"/>
      <c r="Y730" s="74"/>
      <c r="Z730" s="81"/>
    </row>
    <row r="731">
      <c r="A731" s="92"/>
      <c r="B731" s="66"/>
      <c r="C731" s="98"/>
      <c r="D731" s="79"/>
      <c r="E731" s="68"/>
      <c r="F731" s="69"/>
      <c r="G731" s="78"/>
      <c r="H731" s="78"/>
      <c r="I731" s="78"/>
      <c r="J731" s="78"/>
      <c r="K731" s="76"/>
      <c r="L731" s="76"/>
      <c r="M731" s="76"/>
      <c r="N731" s="76"/>
      <c r="O731" s="78"/>
      <c r="P731" s="80"/>
      <c r="Q731" s="76"/>
      <c r="R731" s="76"/>
      <c r="S731" s="76"/>
      <c r="T731" s="71"/>
      <c r="U731" s="71"/>
      <c r="V731" s="78"/>
      <c r="W731" s="78"/>
      <c r="X731" s="78"/>
      <c r="Y731" s="78"/>
      <c r="Z731" s="81"/>
    </row>
    <row r="732">
      <c r="A732" s="92"/>
      <c r="B732" s="66"/>
      <c r="C732" s="98"/>
      <c r="D732" s="79"/>
      <c r="E732" s="68"/>
      <c r="F732" s="69"/>
      <c r="G732" s="78"/>
      <c r="H732" s="74"/>
      <c r="I732" s="78"/>
      <c r="J732" s="78"/>
      <c r="K732" s="76"/>
      <c r="L732" s="76"/>
      <c r="M732" s="76"/>
      <c r="N732" s="72"/>
      <c r="O732" s="78"/>
      <c r="P732" s="80"/>
      <c r="Q732" s="71"/>
      <c r="R732" s="76"/>
      <c r="S732" s="76"/>
      <c r="T732" s="71"/>
      <c r="U732" s="71"/>
      <c r="V732" s="78"/>
      <c r="W732" s="78"/>
      <c r="X732" s="78"/>
      <c r="Y732" s="74"/>
      <c r="Z732" s="81"/>
    </row>
    <row r="733">
      <c r="A733" s="92"/>
      <c r="B733" s="66"/>
      <c r="C733" s="98"/>
      <c r="D733" s="79"/>
      <c r="E733" s="68"/>
      <c r="F733" s="69"/>
      <c r="G733" s="78"/>
      <c r="H733" s="78"/>
      <c r="I733" s="78"/>
      <c r="J733" s="78"/>
      <c r="K733" s="76"/>
      <c r="L733" s="76"/>
      <c r="M733" s="76"/>
      <c r="N733" s="76"/>
      <c r="O733" s="78"/>
      <c r="P733" s="80"/>
      <c r="Q733" s="76"/>
      <c r="R733" s="76"/>
      <c r="S733" s="76"/>
      <c r="T733" s="71"/>
      <c r="U733" s="71"/>
      <c r="V733" s="78"/>
      <c r="W733" s="78"/>
      <c r="X733" s="78"/>
      <c r="Y733" s="78"/>
      <c r="Z733" s="81"/>
    </row>
    <row r="734">
      <c r="A734" s="92"/>
      <c r="B734" s="66"/>
      <c r="C734" s="98"/>
      <c r="D734" s="79"/>
      <c r="E734" s="68"/>
      <c r="F734" s="69"/>
      <c r="G734" s="78"/>
      <c r="H734" s="74"/>
      <c r="I734" s="78"/>
      <c r="J734" s="78"/>
      <c r="K734" s="71"/>
      <c r="L734" s="76"/>
      <c r="M734" s="76"/>
      <c r="N734" s="76"/>
      <c r="O734" s="78"/>
      <c r="P734" s="80"/>
      <c r="Q734" s="76"/>
      <c r="R734" s="76"/>
      <c r="S734" s="76"/>
      <c r="T734" s="71"/>
      <c r="U734" s="71"/>
      <c r="V734" s="74"/>
      <c r="W734" s="74"/>
      <c r="X734" s="74"/>
      <c r="Y734" s="74"/>
      <c r="Z734" s="75"/>
    </row>
    <row r="735">
      <c r="A735" s="92"/>
      <c r="B735" s="66"/>
      <c r="C735" s="98"/>
      <c r="D735" s="79"/>
      <c r="E735" s="68"/>
      <c r="F735" s="69"/>
      <c r="G735" s="78"/>
      <c r="H735" s="78"/>
      <c r="I735" s="78"/>
      <c r="J735" s="78"/>
      <c r="K735" s="71"/>
      <c r="L735" s="76"/>
      <c r="M735" s="76"/>
      <c r="N735" s="76"/>
      <c r="O735" s="78"/>
      <c r="P735" s="80"/>
      <c r="Q735" s="76"/>
      <c r="R735" s="76"/>
      <c r="S735" s="76"/>
      <c r="T735" s="71"/>
      <c r="U735" s="71"/>
      <c r="V735" s="78"/>
      <c r="W735" s="78"/>
      <c r="X735" s="78"/>
      <c r="Y735" s="78"/>
      <c r="Z735" s="81"/>
    </row>
    <row r="736">
      <c r="A736" s="92"/>
      <c r="B736" s="66"/>
      <c r="C736" s="98"/>
      <c r="D736" s="68"/>
      <c r="E736" s="68"/>
      <c r="F736" s="69"/>
      <c r="G736" s="70"/>
      <c r="H736" s="70"/>
      <c r="I736" s="70"/>
      <c r="J736" s="70"/>
      <c r="K736" s="76"/>
      <c r="L736" s="76"/>
      <c r="M736" s="76"/>
      <c r="N736" s="76"/>
      <c r="O736" s="70"/>
      <c r="P736" s="73"/>
      <c r="Q736" s="76"/>
      <c r="R736" s="76"/>
      <c r="S736" s="76"/>
      <c r="T736" s="71"/>
      <c r="U736" s="71"/>
      <c r="V736" s="78"/>
      <c r="W736" s="78"/>
      <c r="X736" s="78"/>
      <c r="Y736" s="78"/>
      <c r="Z736" s="81"/>
    </row>
    <row r="737">
      <c r="A737" s="92"/>
      <c r="B737" s="66"/>
      <c r="C737" s="98"/>
      <c r="D737" s="79"/>
      <c r="E737" s="68"/>
      <c r="F737" s="69"/>
      <c r="G737" s="78"/>
      <c r="H737" s="74"/>
      <c r="I737" s="78"/>
      <c r="J737" s="78"/>
      <c r="K737" s="76"/>
      <c r="L737" s="76"/>
      <c r="M737" s="76"/>
      <c r="N737" s="76"/>
      <c r="O737" s="78"/>
      <c r="P737" s="80"/>
      <c r="Q737" s="76"/>
      <c r="R737" s="76"/>
      <c r="S737" s="76"/>
      <c r="T737" s="71"/>
      <c r="U737" s="71"/>
      <c r="V737" s="78"/>
      <c r="W737" s="78"/>
      <c r="X737" s="78"/>
      <c r="Y737" s="78"/>
      <c r="Z737" s="75"/>
    </row>
    <row r="738">
      <c r="A738" s="92"/>
      <c r="B738" s="66"/>
      <c r="C738" s="98"/>
      <c r="D738" s="79"/>
      <c r="E738" s="68"/>
      <c r="F738" s="69"/>
      <c r="G738" s="78"/>
      <c r="H738" s="74"/>
      <c r="I738" s="78"/>
      <c r="J738" s="78"/>
      <c r="K738" s="76"/>
      <c r="L738" s="76"/>
      <c r="M738" s="76"/>
      <c r="N738" s="76"/>
      <c r="O738" s="78"/>
      <c r="P738" s="80"/>
      <c r="Q738" s="76"/>
      <c r="R738" s="76"/>
      <c r="S738" s="76"/>
      <c r="T738" s="71"/>
      <c r="U738" s="71"/>
      <c r="V738" s="78"/>
      <c r="W738" s="78"/>
      <c r="X738" s="78"/>
      <c r="Y738" s="78"/>
      <c r="Z738" s="75"/>
    </row>
    <row r="739">
      <c r="A739" s="92"/>
      <c r="B739" s="66"/>
      <c r="C739" s="98"/>
      <c r="D739" s="79"/>
      <c r="E739" s="68"/>
      <c r="F739" s="69"/>
      <c r="G739" s="78"/>
      <c r="H739" s="78"/>
      <c r="I739" s="78"/>
      <c r="J739" s="78"/>
      <c r="K739" s="76"/>
      <c r="L739" s="76"/>
      <c r="M739" s="76"/>
      <c r="N739" s="76"/>
      <c r="O739" s="78"/>
      <c r="P739" s="80"/>
      <c r="Q739" s="76"/>
      <c r="R739" s="76"/>
      <c r="S739" s="76"/>
      <c r="T739" s="71"/>
      <c r="U739" s="71"/>
      <c r="V739" s="78"/>
      <c r="W739" s="78"/>
      <c r="X739" s="78"/>
      <c r="Y739" s="78"/>
      <c r="Z739" s="81"/>
    </row>
    <row r="740">
      <c r="A740" s="92"/>
      <c r="B740" s="66"/>
      <c r="C740" s="98"/>
      <c r="D740" s="79"/>
      <c r="E740" s="68"/>
      <c r="F740" s="69"/>
      <c r="G740" s="78"/>
      <c r="H740" s="78"/>
      <c r="I740" s="78"/>
      <c r="J740" s="78"/>
      <c r="K740" s="71"/>
      <c r="L740" s="76"/>
      <c r="M740" s="76"/>
      <c r="N740" s="72"/>
      <c r="O740" s="78"/>
      <c r="P740" s="80"/>
      <c r="Q740" s="76"/>
      <c r="R740" s="76"/>
      <c r="S740" s="76"/>
      <c r="T740" s="71"/>
      <c r="U740" s="71"/>
      <c r="V740" s="78"/>
      <c r="W740" s="78"/>
      <c r="X740" s="78"/>
      <c r="Y740" s="78"/>
      <c r="Z740" s="81"/>
    </row>
    <row r="741">
      <c r="A741" s="92"/>
      <c r="B741" s="66"/>
      <c r="C741" s="98"/>
      <c r="D741" s="79"/>
      <c r="E741" s="68"/>
      <c r="F741" s="69"/>
      <c r="G741" s="78"/>
      <c r="H741" s="78"/>
      <c r="I741" s="78"/>
      <c r="J741" s="78"/>
      <c r="K741" s="71"/>
      <c r="L741" s="76"/>
      <c r="M741" s="76"/>
      <c r="N741" s="76"/>
      <c r="O741" s="78"/>
      <c r="P741" s="80"/>
      <c r="Q741" s="76"/>
      <c r="R741" s="76"/>
      <c r="S741" s="76"/>
      <c r="T741" s="71"/>
      <c r="U741" s="71"/>
      <c r="V741" s="78"/>
      <c r="W741" s="78"/>
      <c r="X741" s="78"/>
      <c r="Y741" s="74"/>
      <c r="Z741" s="81"/>
    </row>
    <row r="742">
      <c r="A742" s="92"/>
      <c r="B742" s="66"/>
      <c r="C742" s="98"/>
      <c r="D742" s="79"/>
      <c r="E742" s="68"/>
      <c r="F742" s="69"/>
      <c r="G742" s="70"/>
      <c r="H742" s="70"/>
      <c r="I742" s="78"/>
      <c r="J742" s="78"/>
      <c r="K742" s="71"/>
      <c r="L742" s="76"/>
      <c r="M742" s="76"/>
      <c r="N742" s="76"/>
      <c r="O742" s="78"/>
      <c r="P742" s="80"/>
      <c r="Q742" s="76"/>
      <c r="R742" s="76"/>
      <c r="S742" s="76"/>
      <c r="T742" s="71"/>
      <c r="U742" s="71"/>
      <c r="V742" s="78"/>
      <c r="W742" s="78"/>
      <c r="X742" s="78"/>
      <c r="Y742" s="74"/>
      <c r="Z742" s="81"/>
    </row>
    <row r="743">
      <c r="A743" s="92"/>
      <c r="B743" s="66"/>
      <c r="C743" s="98"/>
      <c r="D743" s="68"/>
      <c r="E743" s="68"/>
      <c r="F743" s="69"/>
      <c r="G743" s="78"/>
      <c r="H743" s="78"/>
      <c r="I743" s="78"/>
      <c r="J743" s="78"/>
      <c r="K743" s="76"/>
      <c r="L743" s="76"/>
      <c r="M743" s="76"/>
      <c r="N743" s="72"/>
      <c r="O743" s="78"/>
      <c r="P743" s="80"/>
      <c r="Q743" s="76"/>
      <c r="R743" s="76"/>
      <c r="S743" s="76"/>
      <c r="T743" s="71"/>
      <c r="U743" s="71"/>
      <c r="V743" s="78"/>
      <c r="W743" s="78"/>
      <c r="X743" s="78"/>
      <c r="Y743" s="78"/>
      <c r="Z743" s="81"/>
    </row>
    <row r="744">
      <c r="A744" s="92"/>
      <c r="B744" s="66"/>
      <c r="C744" s="98"/>
      <c r="D744" s="79"/>
      <c r="E744" s="68"/>
      <c r="F744" s="69"/>
      <c r="G744" s="78"/>
      <c r="H744" s="78"/>
      <c r="I744" s="78"/>
      <c r="J744" s="78"/>
      <c r="K744" s="71"/>
      <c r="L744" s="76"/>
      <c r="M744" s="76"/>
      <c r="N744" s="76"/>
      <c r="O744" s="78"/>
      <c r="P744" s="80"/>
      <c r="Q744" s="71"/>
      <c r="R744" s="76"/>
      <c r="S744" s="76"/>
      <c r="T744" s="71"/>
      <c r="U744" s="71"/>
      <c r="V744" s="78"/>
      <c r="W744" s="78"/>
      <c r="X744" s="78"/>
      <c r="Y744" s="74"/>
      <c r="Z744" s="81"/>
    </row>
    <row r="745">
      <c r="A745" s="92"/>
      <c r="B745" s="66"/>
      <c r="C745" s="98"/>
      <c r="D745" s="68"/>
      <c r="E745" s="68"/>
      <c r="F745" s="69"/>
      <c r="G745" s="70"/>
      <c r="H745" s="70"/>
      <c r="I745" s="70"/>
      <c r="J745" s="70"/>
      <c r="K745" s="76"/>
      <c r="L745" s="76"/>
      <c r="M745" s="76"/>
      <c r="N745" s="76"/>
      <c r="O745" s="78"/>
      <c r="P745" s="80"/>
      <c r="Q745" s="76"/>
      <c r="R745" s="76"/>
      <c r="S745" s="76"/>
      <c r="T745" s="71"/>
      <c r="U745" s="71"/>
      <c r="V745" s="78"/>
      <c r="W745" s="78"/>
      <c r="X745" s="78"/>
      <c r="Y745" s="78"/>
      <c r="Z745" s="81"/>
    </row>
    <row r="746">
      <c r="A746" s="92"/>
      <c r="B746" s="66"/>
      <c r="C746" s="98"/>
      <c r="D746" s="79"/>
      <c r="E746" s="68"/>
      <c r="F746" s="69"/>
      <c r="G746" s="78"/>
      <c r="H746" s="74"/>
      <c r="I746" s="78"/>
      <c r="J746" s="78"/>
      <c r="K746" s="76"/>
      <c r="L746" s="76"/>
      <c r="M746" s="76"/>
      <c r="N746" s="72"/>
      <c r="O746" s="78"/>
      <c r="P746" s="80"/>
      <c r="Q746" s="76"/>
      <c r="R746" s="76"/>
      <c r="S746" s="76"/>
      <c r="T746" s="71"/>
      <c r="U746" s="71"/>
      <c r="V746" s="78"/>
      <c r="W746" s="78"/>
      <c r="X746" s="78"/>
      <c r="Y746" s="78"/>
      <c r="Z746" s="75"/>
    </row>
    <row r="747">
      <c r="A747" s="92"/>
      <c r="B747" s="66"/>
      <c r="C747" s="98"/>
      <c r="D747" s="79"/>
      <c r="E747" s="68"/>
      <c r="F747" s="69"/>
      <c r="G747" s="70"/>
      <c r="H747" s="70"/>
      <c r="I747" s="70"/>
      <c r="J747" s="70"/>
      <c r="K747" s="76"/>
      <c r="L747" s="76"/>
      <c r="M747" s="76"/>
      <c r="N747" s="76"/>
      <c r="O747" s="78"/>
      <c r="P747" s="80"/>
      <c r="Q747" s="76"/>
      <c r="R747" s="71"/>
      <c r="S747" s="71"/>
      <c r="T747" s="71"/>
      <c r="U747" s="71"/>
      <c r="V747" s="70"/>
      <c r="W747" s="70"/>
      <c r="X747" s="70"/>
      <c r="Y747" s="70"/>
      <c r="Z747" s="83"/>
    </row>
    <row r="748">
      <c r="A748" s="92"/>
      <c r="B748" s="66"/>
      <c r="C748" s="98"/>
      <c r="D748" s="79"/>
      <c r="E748" s="68"/>
      <c r="F748" s="69"/>
      <c r="G748" s="70"/>
      <c r="H748" s="70"/>
      <c r="I748" s="70"/>
      <c r="J748" s="78"/>
      <c r="K748" s="71"/>
      <c r="L748" s="76"/>
      <c r="M748" s="76"/>
      <c r="N748" s="76"/>
      <c r="O748" s="78"/>
      <c r="P748" s="80"/>
      <c r="Q748" s="76"/>
      <c r="R748" s="71"/>
      <c r="S748" s="76"/>
      <c r="T748" s="71"/>
      <c r="U748" s="71"/>
      <c r="V748" s="78"/>
      <c r="W748" s="78"/>
      <c r="X748" s="70"/>
      <c r="Y748" s="70"/>
      <c r="Z748" s="83"/>
    </row>
    <row r="749">
      <c r="A749" s="92"/>
      <c r="B749" s="84"/>
      <c r="C749" s="98"/>
      <c r="D749" s="79"/>
      <c r="E749" s="68"/>
      <c r="F749" s="86"/>
      <c r="G749" s="78"/>
      <c r="H749" s="78"/>
      <c r="I749" s="78"/>
      <c r="J749" s="78"/>
      <c r="K749" s="71"/>
      <c r="L749" s="76"/>
      <c r="M749" s="76"/>
      <c r="N749" s="76"/>
      <c r="O749" s="78"/>
      <c r="P749" s="80"/>
      <c r="Q749" s="76"/>
      <c r="R749" s="76"/>
      <c r="S749" s="76"/>
      <c r="T749" s="76"/>
      <c r="U749" s="76"/>
      <c r="V749" s="78"/>
      <c r="W749" s="78"/>
      <c r="X749" s="78"/>
      <c r="Y749" s="78"/>
      <c r="Z749" s="81"/>
    </row>
    <row r="750">
      <c r="A750" s="92"/>
      <c r="B750" s="84"/>
      <c r="C750" s="98"/>
      <c r="D750" s="79"/>
      <c r="E750" s="68"/>
      <c r="F750" s="86"/>
      <c r="G750" s="78"/>
      <c r="H750" s="74"/>
      <c r="I750" s="78"/>
      <c r="J750" s="78"/>
      <c r="K750" s="71"/>
      <c r="L750" s="76"/>
      <c r="M750" s="76"/>
      <c r="N750" s="76"/>
      <c r="O750" s="78"/>
      <c r="P750" s="80"/>
      <c r="Q750" s="76"/>
      <c r="R750" s="76"/>
      <c r="S750" s="76"/>
      <c r="T750" s="76"/>
      <c r="U750" s="76"/>
      <c r="V750" s="78"/>
      <c r="W750" s="78"/>
      <c r="X750" s="78"/>
      <c r="Y750" s="74"/>
      <c r="Z750" s="81"/>
    </row>
    <row r="751">
      <c r="A751" s="92"/>
      <c r="B751" s="66"/>
      <c r="C751" s="98"/>
      <c r="D751" s="79"/>
      <c r="E751" s="68"/>
      <c r="F751" s="69"/>
      <c r="G751" s="70"/>
      <c r="H751" s="78"/>
      <c r="I751" s="78"/>
      <c r="J751" s="78"/>
      <c r="K751" s="71"/>
      <c r="L751" s="76"/>
      <c r="M751" s="76"/>
      <c r="N751" s="76"/>
      <c r="O751" s="78"/>
      <c r="P751" s="80"/>
      <c r="Q751" s="76"/>
      <c r="R751" s="71"/>
      <c r="S751" s="76"/>
      <c r="T751" s="71"/>
      <c r="U751" s="71"/>
      <c r="V751" s="78"/>
      <c r="W751" s="78"/>
      <c r="X751" s="78"/>
      <c r="Y751" s="78"/>
      <c r="Z751" s="81"/>
    </row>
    <row r="752">
      <c r="A752" s="92"/>
      <c r="B752" s="66"/>
      <c r="C752" s="98"/>
      <c r="D752" s="79"/>
      <c r="E752" s="68"/>
      <c r="F752" s="69"/>
      <c r="G752" s="78"/>
      <c r="H752" s="74"/>
      <c r="I752" s="78"/>
      <c r="J752" s="78"/>
      <c r="K752" s="71"/>
      <c r="L752" s="76"/>
      <c r="M752" s="76"/>
      <c r="N752" s="76"/>
      <c r="O752" s="78"/>
      <c r="P752" s="80"/>
      <c r="Q752" s="76"/>
      <c r="R752" s="76"/>
      <c r="S752" s="76"/>
      <c r="T752" s="71"/>
      <c r="U752" s="71"/>
      <c r="V752" s="74"/>
      <c r="W752" s="74"/>
      <c r="X752" s="74"/>
      <c r="Y752" s="74"/>
      <c r="Z752" s="75"/>
    </row>
    <row r="753">
      <c r="A753" s="92"/>
      <c r="B753" s="66"/>
      <c r="C753" s="98"/>
      <c r="D753" s="79"/>
      <c r="E753" s="68"/>
      <c r="F753" s="69"/>
      <c r="G753" s="78"/>
      <c r="H753" s="74"/>
      <c r="I753" s="78"/>
      <c r="J753" s="78"/>
      <c r="K753" s="71"/>
      <c r="L753" s="76"/>
      <c r="M753" s="76"/>
      <c r="N753" s="76"/>
      <c r="O753" s="78"/>
      <c r="P753" s="80"/>
      <c r="Q753" s="71"/>
      <c r="R753" s="76"/>
      <c r="S753" s="72"/>
      <c r="T753" s="71"/>
      <c r="U753" s="71"/>
      <c r="V753" s="74"/>
      <c r="W753" s="74"/>
      <c r="X753" s="74"/>
      <c r="Y753" s="74"/>
      <c r="Z753" s="75"/>
    </row>
    <row r="754">
      <c r="A754" s="92"/>
      <c r="B754" s="84"/>
      <c r="C754" s="98"/>
      <c r="D754" s="79"/>
      <c r="E754" s="68"/>
      <c r="F754" s="69"/>
      <c r="G754" s="78"/>
      <c r="H754" s="74"/>
      <c r="I754" s="78"/>
      <c r="J754" s="78"/>
      <c r="K754" s="71"/>
      <c r="L754" s="76"/>
      <c r="M754" s="76"/>
      <c r="N754" s="76"/>
      <c r="O754" s="78"/>
      <c r="P754" s="80"/>
      <c r="Q754" s="76"/>
      <c r="R754" s="76"/>
      <c r="S754" s="72"/>
      <c r="T754" s="71"/>
      <c r="U754" s="71"/>
      <c r="V754" s="74"/>
      <c r="W754" s="74"/>
      <c r="X754" s="74"/>
      <c r="Y754" s="74"/>
      <c r="Z754" s="75"/>
    </row>
    <row r="755">
      <c r="A755" s="93"/>
      <c r="B755" s="66"/>
      <c r="C755" s="99"/>
      <c r="D755" s="68"/>
      <c r="E755" s="68"/>
      <c r="F755" s="69"/>
      <c r="G755" s="74"/>
      <c r="H755" s="74"/>
      <c r="I755" s="74"/>
      <c r="J755" s="74"/>
      <c r="K755" s="72"/>
      <c r="L755" s="72"/>
      <c r="M755" s="72"/>
      <c r="N755" s="72"/>
      <c r="O755" s="74"/>
      <c r="P755" s="73"/>
      <c r="Q755" s="72"/>
      <c r="R755" s="72"/>
      <c r="S755" s="76"/>
      <c r="T755" s="71"/>
      <c r="U755" s="71"/>
      <c r="V755" s="74"/>
      <c r="W755" s="74"/>
      <c r="X755" s="74"/>
      <c r="Y755" s="74"/>
      <c r="Z755" s="75"/>
    </row>
    <row r="756">
      <c r="A756" s="92"/>
      <c r="B756" s="66"/>
      <c r="C756" s="98"/>
      <c r="D756" s="79"/>
      <c r="E756" s="68"/>
      <c r="F756" s="69"/>
      <c r="G756" s="78"/>
      <c r="H756" s="74"/>
      <c r="I756" s="78"/>
      <c r="J756" s="78"/>
      <c r="K756" s="71"/>
      <c r="L756" s="76"/>
      <c r="M756" s="76"/>
      <c r="N756" s="76"/>
      <c r="O756" s="78"/>
      <c r="P756" s="80"/>
      <c r="Q756" s="71"/>
      <c r="R756" s="76"/>
      <c r="S756" s="76"/>
      <c r="T756" s="71"/>
      <c r="U756" s="71"/>
      <c r="V756" s="78"/>
      <c r="W756" s="78"/>
      <c r="X756" s="78"/>
      <c r="Y756" s="78"/>
      <c r="Z756" s="81"/>
    </row>
    <row r="757">
      <c r="A757" s="92"/>
      <c r="B757" s="84"/>
      <c r="C757" s="98"/>
      <c r="D757" s="79"/>
      <c r="E757" s="68"/>
      <c r="F757" s="86"/>
      <c r="G757" s="78"/>
      <c r="H757" s="74"/>
      <c r="I757" s="78"/>
      <c r="J757" s="78"/>
      <c r="K757" s="71"/>
      <c r="L757" s="76"/>
      <c r="M757" s="76"/>
      <c r="N757" s="76"/>
      <c r="O757" s="78"/>
      <c r="P757" s="80"/>
      <c r="Q757" s="71"/>
      <c r="R757" s="76"/>
      <c r="S757" s="76"/>
      <c r="T757" s="76"/>
      <c r="U757" s="76"/>
      <c r="V757" s="74"/>
      <c r="W757" s="74"/>
      <c r="X757" s="74"/>
      <c r="Y757" s="74"/>
      <c r="Z757" s="75"/>
    </row>
    <row r="758">
      <c r="A758" s="92"/>
      <c r="B758" s="66"/>
      <c r="C758" s="98"/>
      <c r="D758" s="79"/>
      <c r="E758" s="68"/>
      <c r="F758" s="69"/>
      <c r="G758" s="78"/>
      <c r="H758" s="78"/>
      <c r="I758" s="78"/>
      <c r="J758" s="78"/>
      <c r="K758" s="76"/>
      <c r="L758" s="76"/>
      <c r="M758" s="76"/>
      <c r="N758" s="72"/>
      <c r="O758" s="78"/>
      <c r="P758" s="80"/>
      <c r="Q758" s="76"/>
      <c r="R758" s="76"/>
      <c r="S758" s="76"/>
      <c r="T758" s="71"/>
      <c r="U758" s="71"/>
      <c r="V758" s="78"/>
      <c r="W758" s="78"/>
      <c r="X758" s="78"/>
      <c r="Y758" s="74"/>
      <c r="Z758" s="81"/>
    </row>
    <row r="759">
      <c r="A759" s="92"/>
      <c r="B759" s="84"/>
      <c r="C759" s="98"/>
      <c r="D759" s="79"/>
      <c r="E759" s="68"/>
      <c r="F759" s="86"/>
      <c r="G759" s="78"/>
      <c r="H759" s="74"/>
      <c r="I759" s="78"/>
      <c r="J759" s="78"/>
      <c r="K759" s="76"/>
      <c r="L759" s="76"/>
      <c r="M759" s="76"/>
      <c r="N759" s="72"/>
      <c r="O759" s="78"/>
      <c r="P759" s="80"/>
      <c r="Q759" s="76"/>
      <c r="R759" s="76"/>
      <c r="S759" s="76"/>
      <c r="T759" s="76"/>
      <c r="U759" s="76"/>
      <c r="V759" s="78"/>
      <c r="W759" s="78"/>
      <c r="X759" s="78"/>
      <c r="Y759" s="78"/>
      <c r="Z759" s="75"/>
    </row>
    <row r="760">
      <c r="A760" s="92"/>
      <c r="B760" s="66"/>
      <c r="C760" s="98"/>
      <c r="D760" s="79"/>
      <c r="E760" s="68"/>
      <c r="F760" s="69"/>
      <c r="G760" s="70"/>
      <c r="H760" s="78"/>
      <c r="I760" s="70"/>
      <c r="J760" s="78"/>
      <c r="K760" s="71"/>
      <c r="L760" s="76"/>
      <c r="M760" s="76"/>
      <c r="N760" s="76"/>
      <c r="O760" s="78"/>
      <c r="P760" s="80"/>
      <c r="Q760" s="76"/>
      <c r="R760" s="76"/>
      <c r="S760" s="76"/>
      <c r="T760" s="71"/>
      <c r="U760" s="71"/>
      <c r="V760" s="78"/>
      <c r="W760" s="78"/>
      <c r="X760" s="78"/>
      <c r="Y760" s="78"/>
      <c r="Z760" s="81"/>
    </row>
    <row r="761">
      <c r="A761" s="92"/>
      <c r="B761" s="84"/>
      <c r="C761" s="98"/>
      <c r="D761" s="79"/>
      <c r="E761" s="68"/>
      <c r="F761" s="86"/>
      <c r="G761" s="70"/>
      <c r="H761" s="78"/>
      <c r="I761" s="78"/>
      <c r="J761" s="78"/>
      <c r="K761" s="71"/>
      <c r="L761" s="76"/>
      <c r="M761" s="76"/>
      <c r="N761" s="76"/>
      <c r="O761" s="78"/>
      <c r="P761" s="80"/>
      <c r="Q761" s="71"/>
      <c r="R761" s="71"/>
      <c r="S761" s="76"/>
      <c r="T761" s="76"/>
      <c r="U761" s="76"/>
      <c r="V761" s="78"/>
      <c r="W761" s="78"/>
      <c r="X761" s="78"/>
      <c r="Y761" s="74"/>
      <c r="Z761" s="75"/>
    </row>
    <row r="762">
      <c r="A762" s="92"/>
      <c r="B762" s="66"/>
      <c r="C762" s="98"/>
      <c r="D762" s="79"/>
      <c r="E762" s="68"/>
      <c r="F762" s="69"/>
      <c r="G762" s="70"/>
      <c r="H762" s="70"/>
      <c r="I762" s="70"/>
      <c r="J762" s="78"/>
      <c r="K762" s="71"/>
      <c r="L762" s="76"/>
      <c r="M762" s="76"/>
      <c r="N762" s="76"/>
      <c r="O762" s="78"/>
      <c r="P762" s="80"/>
      <c r="Q762" s="71"/>
      <c r="R762" s="76"/>
      <c r="S762" s="71"/>
      <c r="T762" s="71"/>
      <c r="U762" s="71"/>
      <c r="V762" s="70"/>
      <c r="W762" s="70"/>
      <c r="X762" s="70"/>
      <c r="Y762" s="70"/>
      <c r="Z762" s="83"/>
    </row>
    <row r="763">
      <c r="A763" s="92"/>
      <c r="B763" s="84"/>
      <c r="C763" s="98"/>
      <c r="D763" s="79"/>
      <c r="E763" s="68"/>
      <c r="F763" s="86"/>
      <c r="G763" s="78"/>
      <c r="H763" s="74"/>
      <c r="I763" s="78"/>
      <c r="J763" s="78"/>
      <c r="K763" s="71"/>
      <c r="L763" s="76"/>
      <c r="M763" s="76"/>
      <c r="N763" s="72"/>
      <c r="O763" s="78"/>
      <c r="P763" s="80"/>
      <c r="Q763" s="76"/>
      <c r="R763" s="76"/>
      <c r="S763" s="76"/>
      <c r="T763" s="76"/>
      <c r="U763" s="76"/>
      <c r="V763" s="78"/>
      <c r="W763" s="78"/>
      <c r="X763" s="78"/>
      <c r="Y763" s="78"/>
      <c r="Z763" s="75"/>
    </row>
    <row r="764">
      <c r="A764" s="92"/>
      <c r="B764" s="66"/>
      <c r="C764" s="98"/>
      <c r="D764" s="79"/>
      <c r="E764" s="68"/>
      <c r="F764" s="69"/>
      <c r="G764" s="78"/>
      <c r="H764" s="78"/>
      <c r="I764" s="78"/>
      <c r="J764" s="78"/>
      <c r="K764" s="71"/>
      <c r="L764" s="76"/>
      <c r="M764" s="76"/>
      <c r="N764" s="76"/>
      <c r="O764" s="78"/>
      <c r="P764" s="80"/>
      <c r="Q764" s="76"/>
      <c r="R764" s="76"/>
      <c r="S764" s="76"/>
      <c r="T764" s="71"/>
      <c r="U764" s="71"/>
      <c r="V764" s="78"/>
      <c r="W764" s="78"/>
      <c r="X764" s="78"/>
      <c r="Y764" s="78"/>
      <c r="Z764" s="81"/>
    </row>
    <row r="765">
      <c r="A765" s="92"/>
      <c r="B765" s="66"/>
      <c r="C765" s="98"/>
      <c r="D765" s="79"/>
      <c r="E765" s="68"/>
      <c r="F765" s="69"/>
      <c r="G765" s="78"/>
      <c r="H765" s="74"/>
      <c r="I765" s="78"/>
      <c r="J765" s="78"/>
      <c r="K765" s="71"/>
      <c r="L765" s="76"/>
      <c r="M765" s="76"/>
      <c r="N765" s="76"/>
      <c r="O765" s="78"/>
      <c r="P765" s="80"/>
      <c r="Q765" s="71"/>
      <c r="R765" s="76"/>
      <c r="S765" s="76"/>
      <c r="T765" s="71"/>
      <c r="U765" s="71"/>
      <c r="V765" s="78"/>
      <c r="W765" s="78"/>
      <c r="X765" s="78"/>
      <c r="Y765" s="78"/>
      <c r="Z765" s="81"/>
    </row>
    <row r="766">
      <c r="A766" s="92"/>
      <c r="B766" s="66"/>
      <c r="C766" s="98"/>
      <c r="D766" s="79"/>
      <c r="E766" s="68"/>
      <c r="F766" s="69"/>
      <c r="G766" s="78"/>
      <c r="H766" s="74"/>
      <c r="I766" s="78"/>
      <c r="J766" s="78"/>
      <c r="K766" s="76"/>
      <c r="L766" s="76"/>
      <c r="M766" s="76"/>
      <c r="N766" s="76"/>
      <c r="O766" s="78"/>
      <c r="P766" s="80"/>
      <c r="Q766" s="76"/>
      <c r="R766" s="76"/>
      <c r="S766" s="76"/>
      <c r="T766" s="71"/>
      <c r="U766" s="71"/>
      <c r="V766" s="78"/>
      <c r="W766" s="78"/>
      <c r="X766" s="78"/>
      <c r="Y766" s="78"/>
      <c r="Z766" s="75"/>
    </row>
    <row r="767">
      <c r="A767" s="92"/>
      <c r="B767" s="66"/>
      <c r="C767" s="98"/>
      <c r="D767" s="68"/>
      <c r="E767" s="68"/>
      <c r="F767" s="69"/>
      <c r="G767" s="70"/>
      <c r="H767" s="70"/>
      <c r="I767" s="70"/>
      <c r="J767" s="70"/>
      <c r="K767" s="76"/>
      <c r="L767" s="76"/>
      <c r="M767" s="76"/>
      <c r="N767" s="76"/>
      <c r="O767" s="78"/>
      <c r="P767" s="80"/>
      <c r="Q767" s="76"/>
      <c r="R767" s="76"/>
      <c r="S767" s="76"/>
      <c r="T767" s="71"/>
      <c r="U767" s="71"/>
      <c r="V767" s="78"/>
      <c r="W767" s="78"/>
      <c r="X767" s="78"/>
      <c r="Y767" s="78"/>
      <c r="Z767" s="81"/>
    </row>
    <row r="768">
      <c r="A768" s="92"/>
      <c r="B768" s="66"/>
      <c r="C768" s="98"/>
      <c r="D768" s="79"/>
      <c r="E768" s="68"/>
      <c r="F768" s="69"/>
      <c r="G768" s="78"/>
      <c r="H768" s="74"/>
      <c r="I768" s="78"/>
      <c r="J768" s="78"/>
      <c r="K768" s="76"/>
      <c r="L768" s="76"/>
      <c r="M768" s="76"/>
      <c r="N768" s="76"/>
      <c r="O768" s="78"/>
      <c r="P768" s="80"/>
      <c r="Q768" s="76"/>
      <c r="R768" s="76"/>
      <c r="S768" s="76"/>
      <c r="T768" s="71"/>
      <c r="U768" s="71"/>
      <c r="V768" s="78"/>
      <c r="W768" s="78"/>
      <c r="X768" s="78"/>
      <c r="Y768" s="78"/>
      <c r="Z768" s="81"/>
    </row>
    <row r="769">
      <c r="A769" s="93"/>
      <c r="B769" s="66"/>
      <c r="C769" s="99"/>
      <c r="D769" s="68"/>
      <c r="E769" s="68"/>
      <c r="F769" s="69"/>
      <c r="G769" s="91"/>
      <c r="H769" s="78"/>
      <c r="I769" s="91"/>
      <c r="J769" s="78"/>
      <c r="K769" s="71"/>
      <c r="L769" s="72"/>
      <c r="M769" s="72"/>
      <c r="N769" s="72"/>
      <c r="O769" s="74"/>
      <c r="P769" s="73"/>
      <c r="Q769" s="71"/>
      <c r="R769" s="72"/>
      <c r="S769" s="72"/>
      <c r="T769" s="71"/>
      <c r="U769" s="71"/>
      <c r="V769" s="74"/>
      <c r="W769" s="74"/>
      <c r="X769" s="74"/>
      <c r="Y769" s="74"/>
      <c r="Z769" s="75"/>
    </row>
    <row r="770">
      <c r="A770" s="92"/>
      <c r="B770" s="66"/>
      <c r="C770" s="98"/>
      <c r="D770" s="79"/>
      <c r="E770" s="68"/>
      <c r="F770" s="69"/>
      <c r="G770" s="78"/>
      <c r="H770" s="78"/>
      <c r="I770" s="78"/>
      <c r="J770" s="78"/>
      <c r="K770" s="71"/>
      <c r="L770" s="76"/>
      <c r="M770" s="76"/>
      <c r="N770" s="76"/>
      <c r="O770" s="78"/>
      <c r="P770" s="80"/>
      <c r="Q770" s="76"/>
      <c r="R770" s="76"/>
      <c r="S770" s="76"/>
      <c r="T770" s="71"/>
      <c r="U770" s="71"/>
      <c r="V770" s="78"/>
      <c r="W770" s="78"/>
      <c r="X770" s="78"/>
      <c r="Y770" s="78"/>
      <c r="Z770" s="81"/>
    </row>
    <row r="771">
      <c r="A771" s="92"/>
      <c r="B771" s="66"/>
      <c r="C771" s="98"/>
      <c r="D771" s="79"/>
      <c r="E771" s="68"/>
      <c r="F771" s="69"/>
      <c r="G771" s="70"/>
      <c r="H771" s="70"/>
      <c r="I771" s="70"/>
      <c r="J771" s="78"/>
      <c r="K771" s="71"/>
      <c r="L771" s="76"/>
      <c r="M771" s="76"/>
      <c r="N771" s="76"/>
      <c r="O771" s="78"/>
      <c r="P771" s="80"/>
      <c r="Q771" s="76"/>
      <c r="R771" s="76"/>
      <c r="S771" s="71"/>
      <c r="T771" s="71"/>
      <c r="U771" s="71"/>
      <c r="V771" s="78"/>
      <c r="W771" s="78"/>
      <c r="X771" s="78"/>
      <c r="Y771" s="70"/>
      <c r="Z771" s="81"/>
    </row>
    <row r="772">
      <c r="A772" s="92"/>
      <c r="B772" s="66"/>
      <c r="C772" s="98"/>
      <c r="D772" s="79"/>
      <c r="E772" s="68"/>
      <c r="F772" s="69"/>
      <c r="G772" s="70"/>
      <c r="H772" s="78"/>
      <c r="I772" s="70"/>
      <c r="J772" s="78"/>
      <c r="K772" s="71"/>
      <c r="L772" s="76"/>
      <c r="M772" s="76"/>
      <c r="N772" s="76"/>
      <c r="O772" s="78"/>
      <c r="P772" s="80"/>
      <c r="Q772" s="71"/>
      <c r="R772" s="71"/>
      <c r="S772" s="76"/>
      <c r="T772" s="71"/>
      <c r="U772" s="71"/>
      <c r="V772" s="78"/>
      <c r="W772" s="78"/>
      <c r="X772" s="78"/>
      <c r="Y772" s="70"/>
      <c r="Z772" s="81"/>
    </row>
    <row r="773">
      <c r="A773" s="92"/>
      <c r="B773" s="84"/>
      <c r="C773" s="98"/>
      <c r="D773" s="79"/>
      <c r="E773" s="68"/>
      <c r="F773" s="86"/>
      <c r="G773" s="78"/>
      <c r="H773" s="78"/>
      <c r="I773" s="78"/>
      <c r="J773" s="78"/>
      <c r="K773" s="71"/>
      <c r="L773" s="76"/>
      <c r="M773" s="76"/>
      <c r="N773" s="72"/>
      <c r="O773" s="78"/>
      <c r="P773" s="80"/>
      <c r="Q773" s="76"/>
      <c r="R773" s="76"/>
      <c r="S773" s="72"/>
      <c r="T773" s="76"/>
      <c r="U773" s="76"/>
      <c r="V773" s="78"/>
      <c r="W773" s="78"/>
      <c r="X773" s="78"/>
      <c r="Y773" s="74"/>
      <c r="Z773" s="81"/>
    </row>
    <row r="774">
      <c r="A774" s="92"/>
      <c r="B774" s="66"/>
      <c r="C774" s="98"/>
      <c r="D774" s="68"/>
      <c r="E774" s="68"/>
      <c r="F774" s="69"/>
      <c r="G774" s="70"/>
      <c r="H774" s="70"/>
      <c r="I774" s="70"/>
      <c r="J774" s="70"/>
      <c r="K774" s="76"/>
      <c r="L774" s="76"/>
      <c r="M774" s="76"/>
      <c r="N774" s="76"/>
      <c r="O774" s="78"/>
      <c r="P774" s="80"/>
      <c r="Q774" s="76"/>
      <c r="R774" s="76"/>
      <c r="S774" s="76"/>
      <c r="T774" s="71"/>
      <c r="U774" s="71"/>
      <c r="V774" s="78"/>
      <c r="W774" s="78"/>
      <c r="X774" s="78"/>
      <c r="Y774" s="78"/>
      <c r="Z774" s="81"/>
    </row>
    <row r="775">
      <c r="A775" s="92"/>
      <c r="B775" s="66"/>
      <c r="C775" s="98"/>
      <c r="D775" s="68"/>
      <c r="E775" s="68"/>
      <c r="F775" s="69"/>
      <c r="G775" s="70"/>
      <c r="H775" s="70"/>
      <c r="I775" s="70"/>
      <c r="J775" s="70"/>
      <c r="K775" s="76"/>
      <c r="L775" s="76"/>
      <c r="M775" s="71"/>
      <c r="N775" s="72"/>
      <c r="O775" s="70"/>
      <c r="P775" s="73"/>
      <c r="Q775" s="76"/>
      <c r="R775" s="76"/>
      <c r="S775" s="76"/>
      <c r="T775" s="71"/>
      <c r="U775" s="71"/>
      <c r="V775" s="78"/>
      <c r="W775" s="78"/>
      <c r="X775" s="78"/>
      <c r="Y775" s="78"/>
      <c r="Z775" s="81"/>
    </row>
    <row r="776">
      <c r="A776" s="92"/>
      <c r="B776" s="66"/>
      <c r="C776" s="98"/>
      <c r="D776" s="68"/>
      <c r="E776" s="68"/>
      <c r="F776" s="69"/>
      <c r="G776" s="70"/>
      <c r="H776" s="70"/>
      <c r="I776" s="70"/>
      <c r="J776" s="70"/>
      <c r="K776" s="76"/>
      <c r="L776" s="76"/>
      <c r="M776" s="76"/>
      <c r="N776" s="87"/>
      <c r="O776" s="78"/>
      <c r="P776" s="80"/>
      <c r="Q776" s="76"/>
      <c r="R776" s="76"/>
      <c r="S776" s="76"/>
      <c r="T776" s="71"/>
      <c r="U776" s="71"/>
      <c r="V776" s="78"/>
      <c r="W776" s="78"/>
      <c r="X776" s="78"/>
      <c r="Y776" s="78"/>
      <c r="Z776" s="81"/>
    </row>
    <row r="777">
      <c r="A777" s="92"/>
      <c r="B777" s="66"/>
      <c r="C777" s="98"/>
      <c r="D777" s="79"/>
      <c r="E777" s="68"/>
      <c r="F777" s="69"/>
      <c r="G777" s="78"/>
      <c r="H777" s="74"/>
      <c r="I777" s="78"/>
      <c r="J777" s="78"/>
      <c r="K777" s="71"/>
      <c r="L777" s="76"/>
      <c r="M777" s="76"/>
      <c r="N777" s="72"/>
      <c r="O777" s="78"/>
      <c r="P777" s="80"/>
      <c r="Q777" s="76"/>
      <c r="R777" s="76"/>
      <c r="S777" s="76"/>
      <c r="T777" s="71"/>
      <c r="U777" s="71"/>
      <c r="V777" s="78"/>
      <c r="W777" s="78"/>
      <c r="X777" s="78"/>
      <c r="Y777" s="74"/>
      <c r="Z777" s="81"/>
    </row>
    <row r="778">
      <c r="A778" s="92"/>
      <c r="B778" s="66"/>
      <c r="C778" s="98"/>
      <c r="D778" s="68"/>
      <c r="E778" s="68"/>
      <c r="F778" s="69"/>
      <c r="G778" s="70"/>
      <c r="H778" s="70"/>
      <c r="I778" s="70"/>
      <c r="J778" s="70"/>
      <c r="K778" s="71"/>
      <c r="L778" s="76"/>
      <c r="M778" s="76"/>
      <c r="N778" s="72"/>
      <c r="O778" s="70"/>
      <c r="P778" s="73"/>
      <c r="Q778" s="71"/>
      <c r="R778" s="76"/>
      <c r="S778" s="72"/>
      <c r="T778" s="71"/>
      <c r="U778" s="71"/>
      <c r="V778" s="74"/>
      <c r="W778" s="74"/>
      <c r="X778" s="74"/>
      <c r="Y778" s="74"/>
      <c r="Z778" s="75"/>
    </row>
    <row r="779">
      <c r="A779" s="92"/>
      <c r="B779" s="66"/>
      <c r="C779" s="98"/>
      <c r="D779" s="79"/>
      <c r="E779" s="68"/>
      <c r="F779" s="69"/>
      <c r="G779" s="78"/>
      <c r="H779" s="74"/>
      <c r="I779" s="78"/>
      <c r="J779" s="78"/>
      <c r="K779" s="71"/>
      <c r="L779" s="76"/>
      <c r="M779" s="76"/>
      <c r="N779" s="76"/>
      <c r="O779" s="78"/>
      <c r="P779" s="80"/>
      <c r="Q779" s="76"/>
      <c r="R779" s="76"/>
      <c r="S779" s="72"/>
      <c r="T779" s="71"/>
      <c r="U779" s="71"/>
      <c r="V779" s="74"/>
      <c r="W779" s="74"/>
      <c r="X779" s="74"/>
      <c r="Y779" s="74"/>
      <c r="Z779" s="75"/>
    </row>
    <row r="780">
      <c r="A780" s="92"/>
      <c r="B780" s="66"/>
      <c r="C780" s="98"/>
      <c r="D780" s="79"/>
      <c r="E780" s="68"/>
      <c r="F780" s="69"/>
      <c r="G780" s="70"/>
      <c r="H780" s="70"/>
      <c r="I780" s="70"/>
      <c r="J780" s="78"/>
      <c r="K780" s="71"/>
      <c r="L780" s="76"/>
      <c r="M780" s="76"/>
      <c r="N780" s="76"/>
      <c r="O780" s="78"/>
      <c r="P780" s="80"/>
      <c r="Q780" s="76"/>
      <c r="R780" s="76"/>
      <c r="S780" s="72"/>
      <c r="T780" s="71"/>
      <c r="U780" s="71"/>
      <c r="V780" s="74"/>
      <c r="W780" s="74"/>
      <c r="X780" s="74"/>
      <c r="Y780" s="74"/>
      <c r="Z780" s="75"/>
    </row>
    <row r="781">
      <c r="A781" s="92"/>
      <c r="B781" s="66"/>
      <c r="C781" s="98"/>
      <c r="D781" s="79"/>
      <c r="E781" s="68"/>
      <c r="F781" s="69"/>
      <c r="G781" s="78"/>
      <c r="H781" s="74"/>
      <c r="I781" s="78"/>
      <c r="J781" s="78"/>
      <c r="K781" s="71"/>
      <c r="L781" s="76"/>
      <c r="M781" s="76"/>
      <c r="N781" s="76"/>
      <c r="O781" s="78"/>
      <c r="P781" s="80"/>
      <c r="Q781" s="76"/>
      <c r="R781" s="76"/>
      <c r="S781" s="76"/>
      <c r="T781" s="71"/>
      <c r="U781" s="71"/>
      <c r="V781" s="78"/>
      <c r="W781" s="78"/>
      <c r="X781" s="74"/>
      <c r="Y781" s="74"/>
      <c r="Z781" s="81"/>
    </row>
    <row r="782">
      <c r="A782" s="92"/>
      <c r="B782" s="66"/>
      <c r="C782" s="98"/>
      <c r="D782" s="79"/>
      <c r="E782" s="68"/>
      <c r="F782" s="69"/>
      <c r="G782" s="70"/>
      <c r="H782" s="70"/>
      <c r="I782" s="70"/>
      <c r="J782" s="70"/>
      <c r="K782" s="76"/>
      <c r="L782" s="76"/>
      <c r="M782" s="76"/>
      <c r="N782" s="76"/>
      <c r="O782" s="78"/>
      <c r="P782" s="80"/>
      <c r="Q782" s="76"/>
      <c r="R782" s="76"/>
      <c r="S782" s="76"/>
      <c r="T782" s="71"/>
      <c r="U782" s="71"/>
      <c r="V782" s="78"/>
      <c r="W782" s="78"/>
      <c r="X782" s="78"/>
      <c r="Y782" s="78"/>
      <c r="Z782" s="83"/>
    </row>
    <row r="783">
      <c r="A783" s="92"/>
      <c r="B783" s="66"/>
      <c r="C783" s="98"/>
      <c r="D783" s="68"/>
      <c r="E783" s="68"/>
      <c r="F783" s="69"/>
      <c r="G783" s="70"/>
      <c r="H783" s="70"/>
      <c r="I783" s="70"/>
      <c r="J783" s="70"/>
      <c r="K783" s="71"/>
      <c r="L783" s="76"/>
      <c r="M783" s="76"/>
      <c r="N783" s="76"/>
      <c r="O783" s="70"/>
      <c r="P783" s="73"/>
      <c r="Q783" s="76"/>
      <c r="R783" s="76"/>
      <c r="S783" s="76"/>
      <c r="T783" s="71"/>
      <c r="U783" s="71"/>
      <c r="V783" s="74"/>
      <c r="W783" s="74"/>
      <c r="X783" s="74"/>
      <c r="Y783" s="74"/>
      <c r="Z783" s="75"/>
    </row>
    <row r="784">
      <c r="A784" s="92"/>
      <c r="B784" s="66"/>
      <c r="C784" s="98"/>
      <c r="D784" s="68"/>
      <c r="E784" s="68"/>
      <c r="F784" s="69"/>
      <c r="G784" s="70"/>
      <c r="H784" s="70"/>
      <c r="I784" s="70"/>
      <c r="J784" s="70"/>
      <c r="K784" s="76"/>
      <c r="L784" s="76"/>
      <c r="M784" s="76"/>
      <c r="N784" s="76"/>
      <c r="O784" s="78"/>
      <c r="P784" s="73"/>
      <c r="Q784" s="76"/>
      <c r="R784" s="76"/>
      <c r="S784" s="72"/>
      <c r="T784" s="71"/>
      <c r="U784" s="71"/>
      <c r="V784" s="74"/>
      <c r="W784" s="74"/>
      <c r="X784" s="74"/>
      <c r="Y784" s="74"/>
      <c r="Z784" s="75"/>
    </row>
    <row r="785">
      <c r="A785" s="92"/>
      <c r="B785" s="84"/>
      <c r="C785" s="98"/>
      <c r="D785" s="68"/>
      <c r="E785" s="68"/>
      <c r="F785" s="86"/>
      <c r="G785" s="70"/>
      <c r="H785" s="70"/>
      <c r="I785" s="70"/>
      <c r="J785" s="70"/>
      <c r="K785" s="71"/>
      <c r="L785" s="76"/>
      <c r="M785" s="76"/>
      <c r="N785" s="72"/>
      <c r="O785" s="70"/>
      <c r="P785" s="73"/>
      <c r="Q785" s="71"/>
      <c r="R785" s="76"/>
      <c r="S785" s="72"/>
      <c r="T785" s="76"/>
      <c r="U785" s="76"/>
      <c r="V785" s="74"/>
      <c r="W785" s="74"/>
      <c r="X785" s="74"/>
      <c r="Y785" s="74"/>
      <c r="Z785" s="75"/>
    </row>
    <row r="786">
      <c r="A786" s="92"/>
      <c r="B786" s="66"/>
      <c r="C786" s="98"/>
      <c r="D786" s="68"/>
      <c r="E786" s="68"/>
      <c r="F786" s="69"/>
      <c r="G786" s="70"/>
      <c r="H786" s="70"/>
      <c r="I786" s="70"/>
      <c r="J786" s="70"/>
      <c r="K786" s="71"/>
      <c r="L786" s="76"/>
      <c r="M786" s="76"/>
      <c r="N786" s="76"/>
      <c r="O786" s="70"/>
      <c r="P786" s="73"/>
      <c r="Q786" s="71"/>
      <c r="R786" s="71"/>
      <c r="S786" s="71"/>
      <c r="T786" s="71"/>
      <c r="U786" s="71"/>
      <c r="V786" s="70"/>
      <c r="W786" s="70"/>
      <c r="X786" s="70"/>
      <c r="Y786" s="70"/>
      <c r="Z786" s="83"/>
    </row>
    <row r="787">
      <c r="A787" s="92"/>
      <c r="B787" s="66"/>
      <c r="C787" s="98"/>
      <c r="D787" s="79"/>
      <c r="E787" s="68"/>
      <c r="F787" s="69"/>
      <c r="G787" s="78"/>
      <c r="H787" s="78"/>
      <c r="I787" s="78"/>
      <c r="J787" s="78"/>
      <c r="K787" s="71"/>
      <c r="L787" s="76"/>
      <c r="M787" s="76"/>
      <c r="N787" s="76"/>
      <c r="O787" s="78"/>
      <c r="P787" s="80"/>
      <c r="Q787" s="71"/>
      <c r="R787" s="76"/>
      <c r="S787" s="76"/>
      <c r="T787" s="71"/>
      <c r="U787" s="71"/>
      <c r="V787" s="78"/>
      <c r="W787" s="78"/>
      <c r="X787" s="78"/>
      <c r="Y787" s="74"/>
      <c r="Z787" s="81"/>
    </row>
    <row r="788">
      <c r="A788" s="92"/>
      <c r="B788" s="66"/>
      <c r="C788" s="98"/>
      <c r="D788" s="68"/>
      <c r="E788" s="68"/>
      <c r="F788" s="69"/>
      <c r="G788" s="70"/>
      <c r="H788" s="70"/>
      <c r="I788" s="70"/>
      <c r="J788" s="70"/>
      <c r="K788" s="71"/>
      <c r="L788" s="76"/>
      <c r="M788" s="76"/>
      <c r="N788" s="76"/>
      <c r="O788" s="78"/>
      <c r="P788" s="80"/>
      <c r="Q788" s="71"/>
      <c r="R788" s="76"/>
      <c r="S788" s="72"/>
      <c r="T788" s="71"/>
      <c r="U788" s="71"/>
      <c r="V788" s="74"/>
      <c r="W788" s="74"/>
      <c r="X788" s="74"/>
      <c r="Y788" s="74"/>
      <c r="Z788" s="75"/>
    </row>
    <row r="789">
      <c r="A789" s="92"/>
      <c r="B789" s="66"/>
      <c r="C789" s="98"/>
      <c r="D789" s="68"/>
      <c r="E789" s="68"/>
      <c r="F789" s="69"/>
      <c r="G789" s="70"/>
      <c r="H789" s="70"/>
      <c r="I789" s="70"/>
      <c r="J789" s="70"/>
      <c r="K789" s="71"/>
      <c r="L789" s="76"/>
      <c r="M789" s="76"/>
      <c r="N789" s="72"/>
      <c r="O789" s="70"/>
      <c r="P789" s="73"/>
      <c r="Q789" s="76"/>
      <c r="R789" s="76"/>
      <c r="S789" s="76"/>
      <c r="T789" s="71"/>
      <c r="U789" s="71"/>
      <c r="V789" s="74"/>
      <c r="W789" s="74"/>
      <c r="X789" s="74"/>
      <c r="Y789" s="74"/>
      <c r="Z789" s="75"/>
    </row>
    <row r="790">
      <c r="A790" s="92"/>
      <c r="B790" s="66"/>
      <c r="C790" s="98"/>
      <c r="D790" s="68"/>
      <c r="E790" s="68"/>
      <c r="F790" s="69"/>
      <c r="G790" s="78"/>
      <c r="H790" s="70"/>
      <c r="I790" s="78"/>
      <c r="J790" s="70"/>
      <c r="K790" s="71"/>
      <c r="L790" s="76"/>
      <c r="M790" s="76"/>
      <c r="N790" s="72"/>
      <c r="O790" s="70"/>
      <c r="P790" s="73"/>
      <c r="Q790" s="71"/>
      <c r="R790" s="76"/>
      <c r="S790" s="72"/>
      <c r="T790" s="71"/>
      <c r="U790" s="71"/>
      <c r="V790" s="74"/>
      <c r="W790" s="74"/>
      <c r="X790" s="74"/>
      <c r="Y790" s="74"/>
      <c r="Z790" s="75"/>
    </row>
    <row r="791">
      <c r="A791" s="92"/>
      <c r="B791" s="84"/>
      <c r="C791" s="98"/>
      <c r="D791" s="68"/>
      <c r="E791" s="68"/>
      <c r="F791" s="86"/>
      <c r="G791" s="78"/>
      <c r="H791" s="70"/>
      <c r="I791" s="70"/>
      <c r="J791" s="70"/>
      <c r="K791" s="71"/>
      <c r="L791" s="76"/>
      <c r="M791" s="76"/>
      <c r="N791" s="72"/>
      <c r="O791" s="70"/>
      <c r="P791" s="73"/>
      <c r="Q791" s="76"/>
      <c r="R791" s="76"/>
      <c r="S791" s="72"/>
      <c r="T791" s="76"/>
      <c r="U791" s="76"/>
      <c r="V791" s="74"/>
      <c r="W791" s="74"/>
      <c r="X791" s="74"/>
      <c r="Y791" s="74"/>
      <c r="Z791" s="75"/>
    </row>
    <row r="792">
      <c r="A792" s="92"/>
      <c r="B792" s="66"/>
      <c r="C792" s="98"/>
      <c r="D792" s="79"/>
      <c r="E792" s="68"/>
      <c r="F792" s="69"/>
      <c r="G792" s="70"/>
      <c r="H792" s="70"/>
      <c r="I792" s="70"/>
      <c r="J792" s="70"/>
      <c r="K792" s="71"/>
      <c r="L792" s="76"/>
      <c r="M792" s="76"/>
      <c r="N792" s="76"/>
      <c r="O792" s="78"/>
      <c r="P792" s="80"/>
      <c r="Q792" s="71"/>
      <c r="R792" s="76"/>
      <c r="S792" s="72"/>
      <c r="T792" s="71"/>
      <c r="U792" s="71"/>
      <c r="V792" s="74"/>
      <c r="W792" s="74"/>
      <c r="X792" s="74"/>
      <c r="Y792" s="74"/>
      <c r="Z792" s="75"/>
    </row>
    <row r="793">
      <c r="A793" s="92"/>
      <c r="B793" s="66"/>
      <c r="C793" s="98"/>
      <c r="D793" s="68"/>
      <c r="E793" s="68"/>
      <c r="F793" s="69"/>
      <c r="G793" s="70"/>
      <c r="H793" s="70"/>
      <c r="I793" s="70"/>
      <c r="J793" s="70"/>
      <c r="K793" s="71"/>
      <c r="L793" s="76"/>
      <c r="M793" s="76"/>
      <c r="N793" s="76"/>
      <c r="O793" s="70"/>
      <c r="P793" s="73"/>
      <c r="Q793" s="71"/>
      <c r="R793" s="71"/>
      <c r="S793" s="71"/>
      <c r="T793" s="71"/>
      <c r="U793" s="71"/>
      <c r="V793" s="70"/>
      <c r="W793" s="70"/>
      <c r="X793" s="70"/>
      <c r="Y793" s="70"/>
      <c r="Z793" s="83"/>
    </row>
    <row r="794">
      <c r="A794" s="92"/>
      <c r="B794" s="66"/>
      <c r="C794" s="98"/>
      <c r="D794" s="68"/>
      <c r="E794" s="68"/>
      <c r="F794" s="69"/>
      <c r="G794" s="70"/>
      <c r="H794" s="70"/>
      <c r="I794" s="70"/>
      <c r="J794" s="70"/>
      <c r="K794" s="71"/>
      <c r="L794" s="76"/>
      <c r="M794" s="76"/>
      <c r="N794" s="76"/>
      <c r="O794" s="70"/>
      <c r="P794" s="73"/>
      <c r="Q794" s="71"/>
      <c r="R794" s="76"/>
      <c r="S794" s="72"/>
      <c r="T794" s="71"/>
      <c r="U794" s="71"/>
      <c r="V794" s="74"/>
      <c r="W794" s="74"/>
      <c r="X794" s="74"/>
      <c r="Y794" s="74"/>
      <c r="Z794" s="75"/>
    </row>
    <row r="795">
      <c r="A795" s="92"/>
      <c r="B795" s="84"/>
      <c r="C795" s="98"/>
      <c r="D795" s="68"/>
      <c r="E795" s="68"/>
      <c r="F795" s="69"/>
      <c r="G795" s="70"/>
      <c r="H795" s="70"/>
      <c r="I795" s="70"/>
      <c r="J795" s="70"/>
      <c r="K795" s="71"/>
      <c r="L795" s="76"/>
      <c r="M795" s="76"/>
      <c r="N795" s="76"/>
      <c r="O795" s="70"/>
      <c r="P795" s="73"/>
      <c r="Q795" s="71"/>
      <c r="R795" s="71"/>
      <c r="S795" s="71"/>
      <c r="T795" s="71"/>
      <c r="U795" s="71"/>
      <c r="V795" s="70"/>
      <c r="W795" s="70"/>
      <c r="X795" s="70"/>
      <c r="Y795" s="70"/>
      <c r="Z795" s="83"/>
    </row>
    <row r="796">
      <c r="A796" s="92"/>
      <c r="B796" s="66"/>
      <c r="C796" s="98"/>
      <c r="D796" s="68"/>
      <c r="E796" s="68"/>
      <c r="F796" s="69"/>
      <c r="G796" s="70"/>
      <c r="H796" s="70"/>
      <c r="I796" s="70"/>
      <c r="J796" s="70"/>
      <c r="K796" s="71"/>
      <c r="L796" s="76"/>
      <c r="M796" s="76"/>
      <c r="N796" s="76"/>
      <c r="O796" s="70"/>
      <c r="P796" s="73"/>
      <c r="Q796" s="71"/>
      <c r="R796" s="76"/>
      <c r="S796" s="72"/>
      <c r="T796" s="71"/>
      <c r="U796" s="71"/>
      <c r="V796" s="74"/>
      <c r="W796" s="74"/>
      <c r="X796" s="74"/>
      <c r="Y796" s="74"/>
      <c r="Z796" s="75"/>
    </row>
    <row r="797">
      <c r="A797" s="92"/>
      <c r="B797" s="66"/>
      <c r="C797" s="98"/>
      <c r="D797" s="68"/>
      <c r="E797" s="68"/>
      <c r="F797" s="69"/>
      <c r="G797" s="70"/>
      <c r="H797" s="70"/>
      <c r="I797" s="70"/>
      <c r="J797" s="70"/>
      <c r="K797" s="71"/>
      <c r="L797" s="76"/>
      <c r="M797" s="76"/>
      <c r="N797" s="76"/>
      <c r="O797" s="70"/>
      <c r="P797" s="73"/>
      <c r="Q797" s="71"/>
      <c r="R797" s="76"/>
      <c r="S797" s="72"/>
      <c r="T797" s="71"/>
      <c r="U797" s="71"/>
      <c r="V797" s="74"/>
      <c r="W797" s="74"/>
      <c r="X797" s="74"/>
      <c r="Y797" s="74"/>
      <c r="Z797" s="75"/>
    </row>
    <row r="798">
      <c r="A798" s="93"/>
      <c r="B798" s="66"/>
      <c r="C798" s="99"/>
      <c r="D798" s="68"/>
      <c r="E798" s="68"/>
      <c r="F798" s="86"/>
      <c r="G798" s="74"/>
      <c r="H798" s="74"/>
      <c r="I798" s="74"/>
      <c r="J798" s="74"/>
      <c r="K798" s="72"/>
      <c r="L798" s="72"/>
      <c r="M798" s="72"/>
      <c r="N798" s="72"/>
      <c r="O798" s="74"/>
      <c r="P798" s="73"/>
      <c r="Q798" s="76"/>
      <c r="R798" s="72"/>
      <c r="S798" s="72"/>
      <c r="T798" s="71"/>
      <c r="U798" s="76"/>
      <c r="V798" s="74"/>
      <c r="W798" s="74"/>
      <c r="X798" s="74"/>
      <c r="Y798" s="74"/>
      <c r="Z798" s="75"/>
    </row>
    <row r="799">
      <c r="A799" s="92"/>
      <c r="B799" s="66"/>
      <c r="C799" s="98"/>
      <c r="D799" s="79"/>
      <c r="E799" s="68"/>
      <c r="F799" s="69"/>
      <c r="G799" s="78"/>
      <c r="H799" s="74"/>
      <c r="I799" s="78"/>
      <c r="J799" s="78"/>
      <c r="K799" s="71"/>
      <c r="L799" s="76"/>
      <c r="M799" s="76"/>
      <c r="N799" s="76"/>
      <c r="O799" s="78"/>
      <c r="P799" s="80"/>
      <c r="Q799" s="71"/>
      <c r="R799" s="76"/>
      <c r="S799" s="76"/>
      <c r="T799" s="71"/>
      <c r="U799" s="71"/>
      <c r="V799" s="78"/>
      <c r="W799" s="78"/>
      <c r="X799" s="78"/>
      <c r="Y799" s="70"/>
      <c r="Z799" s="83"/>
    </row>
    <row r="800">
      <c r="A800" s="92"/>
      <c r="B800" s="84"/>
      <c r="C800" s="98"/>
      <c r="D800" s="79"/>
      <c r="E800" s="68"/>
      <c r="F800" s="69"/>
      <c r="G800" s="70"/>
      <c r="H800" s="78"/>
      <c r="I800" s="70"/>
      <c r="J800" s="78"/>
      <c r="K800" s="76"/>
      <c r="L800" s="76"/>
      <c r="M800" s="76"/>
      <c r="N800" s="76"/>
      <c r="O800" s="78"/>
      <c r="P800" s="80"/>
      <c r="Q800" s="76"/>
      <c r="R800" s="76"/>
      <c r="S800" s="76"/>
      <c r="T800" s="71"/>
      <c r="U800" s="71"/>
      <c r="V800" s="78"/>
      <c r="W800" s="78"/>
      <c r="X800" s="78"/>
      <c r="Y800" s="78"/>
      <c r="Z800" s="81"/>
    </row>
    <row r="801">
      <c r="A801" s="92"/>
      <c r="B801" s="66"/>
      <c r="C801" s="98"/>
      <c r="D801" s="68"/>
      <c r="E801" s="68"/>
      <c r="F801" s="69"/>
      <c r="G801" s="78"/>
      <c r="H801" s="70"/>
      <c r="I801" s="70"/>
      <c r="J801" s="70"/>
      <c r="K801" s="71"/>
      <c r="L801" s="76"/>
      <c r="M801" s="76"/>
      <c r="N801" s="76"/>
      <c r="O801" s="78"/>
      <c r="P801" s="80"/>
      <c r="Q801" s="76"/>
      <c r="R801" s="76"/>
      <c r="S801" s="76"/>
      <c r="T801" s="71"/>
      <c r="U801" s="71"/>
      <c r="V801" s="74"/>
      <c r="W801" s="74"/>
      <c r="X801" s="74"/>
      <c r="Y801" s="74"/>
      <c r="Z801" s="75"/>
    </row>
    <row r="802">
      <c r="A802" s="93"/>
      <c r="B802" s="66"/>
      <c r="C802" s="99"/>
      <c r="D802" s="68"/>
      <c r="E802" s="68"/>
      <c r="F802" s="69"/>
      <c r="G802" s="74"/>
      <c r="H802" s="74"/>
      <c r="I802" s="74"/>
      <c r="J802" s="74"/>
      <c r="K802" s="71"/>
      <c r="L802" s="72"/>
      <c r="M802" s="72"/>
      <c r="N802" s="72"/>
      <c r="O802" s="74"/>
      <c r="P802" s="73"/>
      <c r="Q802" s="71"/>
      <c r="R802" s="72"/>
      <c r="S802" s="76"/>
      <c r="T802" s="71"/>
      <c r="U802" s="71"/>
      <c r="V802" s="74"/>
      <c r="W802" s="74"/>
      <c r="X802" s="74"/>
      <c r="Y802" s="74"/>
      <c r="Z802" s="75"/>
    </row>
    <row r="803">
      <c r="A803" s="92"/>
      <c r="B803" s="66"/>
      <c r="C803" s="98"/>
      <c r="D803" s="68"/>
      <c r="E803" s="68"/>
      <c r="F803" s="69"/>
      <c r="G803" s="70"/>
      <c r="H803" s="70"/>
      <c r="I803" s="70"/>
      <c r="J803" s="70"/>
      <c r="K803" s="71"/>
      <c r="L803" s="76"/>
      <c r="M803" s="76"/>
      <c r="N803" s="76"/>
      <c r="O803" s="70"/>
      <c r="P803" s="73"/>
      <c r="Q803" s="71"/>
      <c r="R803" s="71"/>
      <c r="S803" s="71"/>
      <c r="T803" s="71"/>
      <c r="U803" s="71"/>
      <c r="V803" s="70"/>
      <c r="W803" s="70"/>
      <c r="X803" s="70"/>
      <c r="Y803" s="70"/>
      <c r="Z803" s="83"/>
    </row>
    <row r="804">
      <c r="A804" s="92"/>
      <c r="B804" s="66"/>
      <c r="C804" s="98"/>
      <c r="D804" s="68"/>
      <c r="E804" s="68"/>
      <c r="F804" s="69"/>
      <c r="G804" s="70"/>
      <c r="H804" s="70"/>
      <c r="I804" s="70"/>
      <c r="J804" s="70"/>
      <c r="K804" s="71"/>
      <c r="L804" s="76"/>
      <c r="M804" s="76"/>
      <c r="N804" s="76"/>
      <c r="O804" s="70"/>
      <c r="P804" s="73"/>
      <c r="Q804" s="71"/>
      <c r="R804" s="71"/>
      <c r="S804" s="71"/>
      <c r="T804" s="71"/>
      <c r="U804" s="71"/>
      <c r="V804" s="70"/>
      <c r="W804" s="70"/>
      <c r="X804" s="70"/>
      <c r="Y804" s="70"/>
      <c r="Z804" s="83"/>
    </row>
    <row r="805">
      <c r="A805" s="92"/>
      <c r="B805" s="84"/>
      <c r="C805" s="98"/>
      <c r="D805" s="68"/>
      <c r="E805" s="68"/>
      <c r="F805" s="69"/>
      <c r="G805" s="78"/>
      <c r="H805" s="70"/>
      <c r="I805" s="70"/>
      <c r="J805" s="78"/>
      <c r="K805" s="71"/>
      <c r="L805" s="76"/>
      <c r="M805" s="76"/>
      <c r="N805" s="72"/>
      <c r="O805" s="70"/>
      <c r="P805" s="73"/>
      <c r="Q805" s="76"/>
      <c r="R805" s="76"/>
      <c r="S805" s="72"/>
      <c r="T805" s="71"/>
      <c r="U805" s="71"/>
      <c r="V805" s="74"/>
      <c r="W805" s="74"/>
      <c r="X805" s="74"/>
      <c r="Y805" s="74"/>
      <c r="Z805" s="75"/>
    </row>
    <row r="806">
      <c r="A806" s="92"/>
      <c r="B806" s="66"/>
      <c r="C806" s="98"/>
      <c r="D806" s="68"/>
      <c r="E806" s="68"/>
      <c r="F806" s="69"/>
      <c r="G806" s="74"/>
      <c r="H806" s="74"/>
      <c r="I806" s="74"/>
      <c r="J806" s="74"/>
      <c r="K806" s="72"/>
      <c r="L806" s="72"/>
      <c r="M806" s="72"/>
      <c r="N806" s="72"/>
      <c r="O806" s="74"/>
      <c r="P806" s="73"/>
      <c r="Q806" s="76"/>
      <c r="R806" s="72"/>
      <c r="S806" s="76"/>
      <c r="T806" s="71"/>
      <c r="U806" s="71"/>
      <c r="V806" s="74"/>
      <c r="W806" s="74"/>
      <c r="X806" s="74"/>
      <c r="Y806" s="74"/>
      <c r="Z806" s="75"/>
    </row>
    <row r="807">
      <c r="A807" s="93"/>
      <c r="B807" s="66"/>
      <c r="C807" s="99"/>
      <c r="D807" s="68"/>
      <c r="E807" s="68"/>
      <c r="F807" s="69"/>
      <c r="G807" s="70"/>
      <c r="H807" s="74"/>
      <c r="I807" s="78"/>
      <c r="J807" s="74"/>
      <c r="K807" s="72"/>
      <c r="L807" s="72"/>
      <c r="M807" s="76"/>
      <c r="N807" s="72"/>
      <c r="O807" s="74"/>
      <c r="P807" s="73"/>
      <c r="Q807" s="72"/>
      <c r="R807" s="72"/>
      <c r="S807" s="76"/>
      <c r="T807" s="71"/>
      <c r="U807" s="71"/>
      <c r="V807" s="78"/>
      <c r="W807" s="78"/>
      <c r="X807" s="78"/>
      <c r="Y807" s="74"/>
      <c r="Z807" s="75"/>
    </row>
    <row r="808">
      <c r="A808" s="92"/>
      <c r="B808" s="84"/>
      <c r="C808" s="98"/>
      <c r="D808" s="68"/>
      <c r="E808" s="68"/>
      <c r="F808" s="86"/>
      <c r="G808" s="70"/>
      <c r="H808" s="70"/>
      <c r="I808" s="78"/>
      <c r="J808" s="70"/>
      <c r="K808" s="71"/>
      <c r="L808" s="76"/>
      <c r="M808" s="76"/>
      <c r="N808" s="76"/>
      <c r="O808" s="70"/>
      <c r="P808" s="73"/>
      <c r="Q808" s="76"/>
      <c r="R808" s="71"/>
      <c r="S808" s="71"/>
      <c r="T808" s="76"/>
      <c r="U808" s="76"/>
      <c r="V808" s="70"/>
      <c r="W808" s="70"/>
      <c r="X808" s="70"/>
      <c r="Y808" s="70"/>
      <c r="Z808" s="83"/>
    </row>
    <row r="809">
      <c r="A809" s="92"/>
      <c r="B809" s="66"/>
      <c r="C809" s="98"/>
      <c r="D809" s="68"/>
      <c r="E809" s="68"/>
      <c r="F809" s="69"/>
      <c r="G809" s="70"/>
      <c r="H809" s="70"/>
      <c r="I809" s="70"/>
      <c r="J809" s="70"/>
      <c r="K809" s="71"/>
      <c r="L809" s="76"/>
      <c r="M809" s="76"/>
      <c r="N809" s="76"/>
      <c r="O809" s="78"/>
      <c r="P809" s="80"/>
      <c r="Q809" s="76"/>
      <c r="R809" s="76"/>
      <c r="S809" s="72"/>
      <c r="T809" s="71"/>
      <c r="U809" s="71"/>
      <c r="V809" s="74"/>
      <c r="W809" s="74"/>
      <c r="X809" s="74"/>
      <c r="Y809" s="74"/>
      <c r="Z809" s="75"/>
    </row>
    <row r="810">
      <c r="A810" s="92"/>
      <c r="B810" s="84"/>
      <c r="C810" s="98"/>
      <c r="D810" s="68"/>
      <c r="E810" s="68"/>
      <c r="F810" s="86"/>
      <c r="G810" s="70"/>
      <c r="H810" s="70"/>
      <c r="I810" s="70"/>
      <c r="J810" s="70"/>
      <c r="K810" s="71"/>
      <c r="L810" s="76"/>
      <c r="M810" s="76"/>
      <c r="N810" s="76"/>
      <c r="O810" s="70"/>
      <c r="P810" s="73"/>
      <c r="Q810" s="71"/>
      <c r="R810" s="76"/>
      <c r="S810" s="72"/>
      <c r="T810" s="76"/>
      <c r="U810" s="76"/>
      <c r="V810" s="74"/>
      <c r="W810" s="74"/>
      <c r="X810" s="74"/>
      <c r="Y810" s="74"/>
      <c r="Z810" s="75"/>
    </row>
    <row r="811">
      <c r="A811" s="93"/>
      <c r="B811" s="66"/>
      <c r="C811" s="99"/>
      <c r="D811" s="68"/>
      <c r="E811" s="68"/>
      <c r="F811" s="69"/>
      <c r="G811" s="74"/>
      <c r="H811" s="74"/>
      <c r="I811" s="74"/>
      <c r="J811" s="74"/>
      <c r="K811" s="72"/>
      <c r="L811" s="76"/>
      <c r="M811" s="76"/>
      <c r="N811" s="76"/>
      <c r="O811" s="74"/>
      <c r="P811" s="73"/>
      <c r="Q811" s="72"/>
      <c r="R811" s="72"/>
      <c r="S811" s="72"/>
      <c r="T811" s="71"/>
      <c r="U811" s="71"/>
      <c r="V811" s="74"/>
      <c r="W811" s="74"/>
      <c r="X811" s="74"/>
      <c r="Y811" s="74"/>
      <c r="Z811" s="75"/>
    </row>
    <row r="812">
      <c r="A812" s="92"/>
      <c r="B812" s="66"/>
      <c r="C812" s="98"/>
      <c r="D812" s="68"/>
      <c r="E812" s="68"/>
      <c r="F812" s="69"/>
      <c r="G812" s="70"/>
      <c r="H812" s="70"/>
      <c r="I812" s="70"/>
      <c r="J812" s="70"/>
      <c r="K812" s="71"/>
      <c r="L812" s="76"/>
      <c r="M812" s="76"/>
      <c r="N812" s="76"/>
      <c r="O812" s="70"/>
      <c r="P812" s="73"/>
      <c r="Q812" s="71"/>
      <c r="R812" s="76"/>
      <c r="S812" s="72"/>
      <c r="T812" s="71"/>
      <c r="U812" s="71"/>
      <c r="V812" s="74"/>
      <c r="W812" s="74"/>
      <c r="X812" s="74"/>
      <c r="Y812" s="74"/>
      <c r="Z812" s="75"/>
    </row>
    <row r="813">
      <c r="A813" s="92"/>
      <c r="B813" s="66"/>
      <c r="C813" s="98"/>
      <c r="D813" s="68"/>
      <c r="E813" s="68"/>
      <c r="F813" s="69"/>
      <c r="G813" s="70"/>
      <c r="H813" s="70"/>
      <c r="I813" s="70"/>
      <c r="J813" s="70"/>
      <c r="K813" s="71"/>
      <c r="L813" s="76"/>
      <c r="M813" s="76"/>
      <c r="N813" s="76"/>
      <c r="O813" s="70"/>
      <c r="P813" s="73"/>
      <c r="Q813" s="76"/>
      <c r="R813" s="76"/>
      <c r="S813" s="72"/>
      <c r="T813" s="71"/>
      <c r="U813" s="71"/>
      <c r="V813" s="74"/>
      <c r="W813" s="74"/>
      <c r="X813" s="74"/>
      <c r="Y813" s="74"/>
      <c r="Z813" s="75"/>
    </row>
    <row r="814">
      <c r="A814" s="92"/>
      <c r="B814" s="66"/>
      <c r="C814" s="98"/>
      <c r="D814" s="68"/>
      <c r="E814" s="68"/>
      <c r="F814" s="69"/>
      <c r="G814" s="70"/>
      <c r="H814" s="70"/>
      <c r="I814" s="70"/>
      <c r="J814" s="70"/>
      <c r="K814" s="76"/>
      <c r="L814" s="76"/>
      <c r="M814" s="76"/>
      <c r="N814" s="76"/>
      <c r="O814" s="70"/>
      <c r="P814" s="73"/>
      <c r="Q814" s="76"/>
      <c r="R814" s="76"/>
      <c r="S814" s="76"/>
      <c r="T814" s="71"/>
      <c r="U814" s="71"/>
      <c r="V814" s="78"/>
      <c r="W814" s="78"/>
      <c r="X814" s="78"/>
      <c r="Y814" s="78"/>
      <c r="Z814" s="81"/>
    </row>
    <row r="815">
      <c r="A815" s="92"/>
      <c r="B815" s="66"/>
      <c r="C815" s="98"/>
      <c r="D815" s="68"/>
      <c r="E815" s="68"/>
      <c r="F815" s="69"/>
      <c r="G815" s="70"/>
      <c r="H815" s="70"/>
      <c r="I815" s="70"/>
      <c r="J815" s="70"/>
      <c r="K815" s="76"/>
      <c r="L815" s="76"/>
      <c r="M815" s="76"/>
      <c r="N815" s="76"/>
      <c r="O815" s="78"/>
      <c r="P815" s="80"/>
      <c r="Q815" s="76"/>
      <c r="R815" s="76"/>
      <c r="S815" s="76"/>
      <c r="T815" s="71"/>
      <c r="U815" s="71"/>
      <c r="V815" s="78"/>
      <c r="W815" s="78"/>
      <c r="X815" s="78"/>
      <c r="Y815" s="78"/>
      <c r="Z815" s="81"/>
    </row>
    <row r="816">
      <c r="A816" s="93"/>
      <c r="B816" s="66"/>
      <c r="C816" s="99"/>
      <c r="D816" s="68"/>
      <c r="E816" s="68"/>
      <c r="F816" s="69"/>
      <c r="G816" s="91"/>
      <c r="H816" s="91"/>
      <c r="I816" s="91"/>
      <c r="J816" s="91"/>
      <c r="K816" s="71"/>
      <c r="L816" s="72"/>
      <c r="M816" s="76"/>
      <c r="N816" s="76"/>
      <c r="O816" s="74"/>
      <c r="P816" s="73"/>
      <c r="Q816" s="71"/>
      <c r="R816" s="72"/>
      <c r="S816" s="72"/>
      <c r="T816" s="71"/>
      <c r="U816" s="71"/>
      <c r="V816" s="74"/>
      <c r="W816" s="74"/>
      <c r="X816" s="74"/>
      <c r="Y816" s="74"/>
      <c r="Z816" s="75"/>
    </row>
    <row r="817">
      <c r="A817" s="92"/>
      <c r="B817" s="66"/>
      <c r="C817" s="98"/>
      <c r="D817" s="68"/>
      <c r="E817" s="68"/>
      <c r="F817" s="69"/>
      <c r="G817" s="70"/>
      <c r="H817" s="70"/>
      <c r="I817" s="70"/>
      <c r="J817" s="70"/>
      <c r="K817" s="71"/>
      <c r="L817" s="76"/>
      <c r="M817" s="76"/>
      <c r="N817" s="72"/>
      <c r="O817" s="70"/>
      <c r="P817" s="73"/>
      <c r="Q817" s="76"/>
      <c r="R817" s="76"/>
      <c r="S817" s="76"/>
      <c r="T817" s="71"/>
      <c r="U817" s="71"/>
      <c r="V817" s="74"/>
      <c r="W817" s="74"/>
      <c r="X817" s="74"/>
      <c r="Y817" s="74"/>
      <c r="Z817" s="75"/>
    </row>
    <row r="818">
      <c r="A818" s="92"/>
      <c r="B818" s="66"/>
      <c r="C818" s="98"/>
      <c r="D818" s="68"/>
      <c r="E818" s="68"/>
      <c r="F818" s="69"/>
      <c r="G818" s="70"/>
      <c r="H818" s="70"/>
      <c r="I818" s="70"/>
      <c r="J818" s="70"/>
      <c r="K818" s="71"/>
      <c r="L818" s="76"/>
      <c r="M818" s="76"/>
      <c r="N818" s="76"/>
      <c r="O818" s="70"/>
      <c r="P818" s="73"/>
      <c r="Q818" s="71"/>
      <c r="R818" s="76"/>
      <c r="S818" s="72"/>
      <c r="T818" s="71"/>
      <c r="U818" s="71"/>
      <c r="V818" s="74"/>
      <c r="W818" s="74"/>
      <c r="X818" s="74"/>
      <c r="Y818" s="74"/>
      <c r="Z818" s="75"/>
    </row>
    <row r="819">
      <c r="A819" s="92"/>
      <c r="B819" s="66"/>
      <c r="C819" s="98"/>
      <c r="D819" s="68"/>
      <c r="E819" s="79"/>
      <c r="F819" s="69"/>
      <c r="G819" s="70"/>
      <c r="H819" s="70"/>
      <c r="I819" s="70"/>
      <c r="J819" s="70"/>
      <c r="K819" s="71"/>
      <c r="L819" s="76"/>
      <c r="M819" s="76"/>
      <c r="N819" s="76"/>
      <c r="O819" s="78"/>
      <c r="P819" s="80"/>
      <c r="Q819" s="76"/>
      <c r="R819" s="76"/>
      <c r="S819" s="72"/>
      <c r="T819" s="71"/>
      <c r="U819" s="71"/>
      <c r="V819" s="74"/>
      <c r="W819" s="74"/>
      <c r="X819" s="74"/>
      <c r="Y819" s="74"/>
      <c r="Z819" s="75"/>
    </row>
    <row r="820">
      <c r="A820" s="92"/>
      <c r="B820" s="66"/>
      <c r="C820" s="98"/>
      <c r="D820" s="68"/>
      <c r="E820" s="79"/>
      <c r="F820" s="69"/>
      <c r="G820" s="70"/>
      <c r="H820" s="70"/>
      <c r="I820" s="70"/>
      <c r="J820" s="70"/>
      <c r="K820" s="71"/>
      <c r="L820" s="76"/>
      <c r="M820" s="76"/>
      <c r="N820" s="76"/>
      <c r="O820" s="70"/>
      <c r="P820" s="73"/>
      <c r="Q820" s="71"/>
      <c r="R820" s="71"/>
      <c r="S820" s="71"/>
      <c r="T820" s="71"/>
      <c r="U820" s="71"/>
      <c r="V820" s="70"/>
      <c r="W820" s="70"/>
      <c r="X820" s="70"/>
      <c r="Y820" s="70"/>
      <c r="Z820" s="83"/>
    </row>
    <row r="821">
      <c r="A821" s="92"/>
      <c r="B821" s="66"/>
      <c r="C821" s="98"/>
      <c r="D821" s="79"/>
      <c r="E821" s="79"/>
      <c r="F821" s="69"/>
      <c r="G821" s="78"/>
      <c r="H821" s="78"/>
      <c r="I821" s="78"/>
      <c r="J821" s="78"/>
      <c r="K821" s="76"/>
      <c r="L821" s="76"/>
      <c r="M821" s="76"/>
      <c r="N821" s="76"/>
      <c r="O821" s="78"/>
      <c r="P821" s="80"/>
      <c r="Q821" s="76"/>
      <c r="R821" s="76"/>
      <c r="S821" s="76"/>
      <c r="T821" s="71"/>
      <c r="U821" s="71"/>
      <c r="V821" s="78"/>
      <c r="W821" s="78"/>
      <c r="X821" s="78"/>
      <c r="Y821" s="78"/>
      <c r="Z821" s="81"/>
    </row>
    <row r="822">
      <c r="A822" s="93"/>
      <c r="B822" s="66"/>
      <c r="C822" s="99"/>
      <c r="D822" s="68"/>
      <c r="E822" s="68"/>
      <c r="F822" s="69"/>
      <c r="G822" s="70"/>
      <c r="H822" s="70"/>
      <c r="I822" s="70"/>
      <c r="J822" s="70"/>
      <c r="K822" s="76"/>
      <c r="L822" s="76"/>
      <c r="M822" s="76"/>
      <c r="N822" s="76"/>
      <c r="O822" s="78"/>
      <c r="P822" s="80"/>
      <c r="Q822" s="76"/>
      <c r="R822" s="76"/>
      <c r="S822" s="76"/>
      <c r="T822" s="71"/>
      <c r="U822" s="71"/>
      <c r="V822" s="78"/>
      <c r="W822" s="78"/>
      <c r="X822" s="78"/>
      <c r="Y822" s="78"/>
      <c r="Z822" s="81"/>
    </row>
    <row r="823">
      <c r="A823" s="92"/>
      <c r="B823" s="66"/>
      <c r="C823" s="98"/>
      <c r="D823" s="79"/>
      <c r="E823" s="68"/>
      <c r="F823" s="69"/>
      <c r="G823" s="70"/>
      <c r="H823" s="70"/>
      <c r="I823" s="70"/>
      <c r="J823" s="70"/>
      <c r="K823" s="71"/>
      <c r="L823" s="76"/>
      <c r="M823" s="76"/>
      <c r="N823" s="76"/>
      <c r="O823" s="78"/>
      <c r="P823" s="80"/>
      <c r="Q823" s="76"/>
      <c r="R823" s="76"/>
      <c r="S823" s="72"/>
      <c r="T823" s="71"/>
      <c r="U823" s="71"/>
      <c r="V823" s="74"/>
      <c r="W823" s="74"/>
      <c r="X823" s="74"/>
      <c r="Y823" s="74"/>
      <c r="Z823" s="75"/>
    </row>
    <row r="824">
      <c r="A824" s="92"/>
      <c r="B824" s="66"/>
      <c r="C824" s="98"/>
      <c r="D824" s="68"/>
      <c r="E824" s="68"/>
      <c r="F824" s="69"/>
      <c r="G824" s="70"/>
      <c r="H824" s="70"/>
      <c r="I824" s="70"/>
      <c r="J824" s="70"/>
      <c r="K824" s="71"/>
      <c r="L824" s="76"/>
      <c r="M824" s="76"/>
      <c r="N824" s="76"/>
      <c r="O824" s="78"/>
      <c r="P824" s="80"/>
      <c r="Q824" s="76"/>
      <c r="R824" s="76"/>
      <c r="S824" s="72"/>
      <c r="T824" s="71"/>
      <c r="U824" s="71"/>
      <c r="V824" s="74"/>
      <c r="W824" s="74"/>
      <c r="X824" s="74"/>
      <c r="Y824" s="74"/>
      <c r="Z824" s="75"/>
    </row>
    <row r="825">
      <c r="A825" s="92"/>
      <c r="B825" s="66"/>
      <c r="C825" s="98"/>
      <c r="D825" s="68"/>
      <c r="E825" s="68"/>
      <c r="F825" s="69"/>
      <c r="G825" s="70"/>
      <c r="H825" s="70"/>
      <c r="I825" s="70"/>
      <c r="J825" s="70"/>
      <c r="K825" s="71"/>
      <c r="L825" s="76"/>
      <c r="M825" s="76"/>
      <c r="N825" s="76"/>
      <c r="O825" s="70"/>
      <c r="P825" s="73"/>
      <c r="Q825" s="76"/>
      <c r="R825" s="76"/>
      <c r="S825" s="76"/>
      <c r="T825" s="71"/>
      <c r="U825" s="71"/>
      <c r="V825" s="74"/>
      <c r="W825" s="74"/>
      <c r="X825" s="74"/>
      <c r="Y825" s="74"/>
      <c r="Z825" s="75"/>
    </row>
    <row r="826">
      <c r="A826" s="93"/>
      <c r="B826" s="66"/>
      <c r="C826" s="99"/>
      <c r="D826" s="68"/>
      <c r="E826" s="68"/>
      <c r="F826" s="69"/>
      <c r="G826" s="74"/>
      <c r="H826" s="74"/>
      <c r="I826" s="74"/>
      <c r="J826" s="74"/>
      <c r="K826" s="72"/>
      <c r="L826" s="72"/>
      <c r="M826" s="76"/>
      <c r="N826" s="76"/>
      <c r="O826" s="74"/>
      <c r="P826" s="73"/>
      <c r="Q826" s="72"/>
      <c r="R826" s="72"/>
      <c r="S826" s="72"/>
      <c r="T826" s="71"/>
      <c r="U826" s="71"/>
      <c r="V826" s="74"/>
      <c r="W826" s="74"/>
      <c r="X826" s="74"/>
      <c r="Y826" s="74"/>
      <c r="Z826" s="75"/>
    </row>
    <row r="827">
      <c r="A827" s="92"/>
      <c r="B827" s="66"/>
      <c r="C827" s="98"/>
      <c r="D827" s="68"/>
      <c r="E827" s="68"/>
      <c r="F827" s="69"/>
      <c r="G827" s="70"/>
      <c r="H827" s="70"/>
      <c r="I827" s="70"/>
      <c r="J827" s="70"/>
      <c r="K827" s="76"/>
      <c r="L827" s="76"/>
      <c r="M827" s="76"/>
      <c r="N827" s="76"/>
      <c r="O827" s="78"/>
      <c r="P827" s="80"/>
      <c r="Q827" s="76"/>
      <c r="R827" s="76"/>
      <c r="S827" s="76"/>
      <c r="T827" s="71"/>
      <c r="U827" s="71"/>
      <c r="V827" s="78"/>
      <c r="W827" s="78"/>
      <c r="X827" s="78"/>
      <c r="Y827" s="78"/>
      <c r="Z827" s="81"/>
    </row>
    <row r="828">
      <c r="A828" s="92"/>
      <c r="B828" s="66"/>
      <c r="C828" s="98"/>
      <c r="D828" s="79"/>
      <c r="E828" s="68"/>
      <c r="F828" s="69"/>
      <c r="G828" s="78"/>
      <c r="H828" s="74"/>
      <c r="I828" s="78"/>
      <c r="J828" s="78"/>
      <c r="K828" s="71"/>
      <c r="L828" s="76"/>
      <c r="M828" s="76"/>
      <c r="N828" s="76"/>
      <c r="O828" s="78"/>
      <c r="P828" s="80"/>
      <c r="Q828" s="71"/>
      <c r="R828" s="71"/>
      <c r="S828" s="71"/>
      <c r="T828" s="71"/>
      <c r="U828" s="71"/>
      <c r="V828" s="70"/>
      <c r="W828" s="70"/>
      <c r="X828" s="70"/>
      <c r="Y828" s="70"/>
      <c r="Z828" s="83"/>
    </row>
    <row r="829">
      <c r="A829" s="92"/>
      <c r="B829" s="66"/>
      <c r="C829" s="98"/>
      <c r="D829" s="79"/>
      <c r="E829" s="68"/>
      <c r="F829" s="69"/>
      <c r="G829" s="101"/>
      <c r="H829" s="101"/>
      <c r="I829" s="101"/>
      <c r="J829" s="101"/>
      <c r="K829" s="76"/>
      <c r="L829" s="76"/>
      <c r="M829" s="76"/>
      <c r="N829" s="76"/>
      <c r="O829" s="78"/>
      <c r="P829" s="80"/>
      <c r="Q829" s="76"/>
      <c r="R829" s="76"/>
      <c r="S829" s="76"/>
      <c r="T829" s="71"/>
      <c r="U829" s="71"/>
      <c r="V829" s="78"/>
      <c r="W829" s="78"/>
      <c r="X829" s="78"/>
      <c r="Y829" s="78"/>
      <c r="Z829" s="81"/>
    </row>
    <row r="830">
      <c r="A830" s="92"/>
      <c r="B830" s="66"/>
      <c r="C830" s="98"/>
      <c r="D830" s="68"/>
      <c r="E830" s="68"/>
      <c r="F830" s="69"/>
      <c r="G830" s="70"/>
      <c r="H830" s="70"/>
      <c r="I830" s="70"/>
      <c r="J830" s="70"/>
      <c r="K830" s="71"/>
      <c r="L830" s="76"/>
      <c r="M830" s="76"/>
      <c r="N830" s="72"/>
      <c r="O830" s="70"/>
      <c r="P830" s="73"/>
      <c r="Q830" s="76"/>
      <c r="R830" s="76"/>
      <c r="S830" s="72"/>
      <c r="T830" s="71"/>
      <c r="U830" s="71"/>
      <c r="V830" s="74"/>
      <c r="W830" s="74"/>
      <c r="X830" s="74"/>
      <c r="Y830" s="74"/>
      <c r="Z830" s="75"/>
    </row>
    <row r="831">
      <c r="A831" s="92"/>
      <c r="B831" s="66"/>
      <c r="C831" s="98"/>
      <c r="D831" s="68"/>
      <c r="E831" s="68"/>
      <c r="F831" s="69"/>
      <c r="G831" s="70"/>
      <c r="H831" s="70"/>
      <c r="I831" s="70"/>
      <c r="J831" s="70"/>
      <c r="K831" s="71"/>
      <c r="L831" s="76"/>
      <c r="M831" s="76"/>
      <c r="N831" s="76"/>
      <c r="O831" s="70"/>
      <c r="P831" s="73"/>
      <c r="Q831" s="76"/>
      <c r="R831" s="71"/>
      <c r="S831" s="76"/>
      <c r="T831" s="71"/>
      <c r="U831" s="71"/>
      <c r="V831" s="70"/>
      <c r="W831" s="70"/>
      <c r="X831" s="70"/>
      <c r="Y831" s="70"/>
      <c r="Z831" s="83"/>
    </row>
    <row r="832">
      <c r="A832" s="92"/>
      <c r="B832" s="66"/>
      <c r="C832" s="98"/>
      <c r="D832" s="68"/>
      <c r="E832" s="68"/>
      <c r="F832" s="69"/>
      <c r="G832" s="70"/>
      <c r="H832" s="70"/>
      <c r="I832" s="70"/>
      <c r="J832" s="70"/>
      <c r="K832" s="71"/>
      <c r="L832" s="76"/>
      <c r="M832" s="76"/>
      <c r="N832" s="76"/>
      <c r="O832" s="70"/>
      <c r="P832" s="73"/>
      <c r="Q832" s="71"/>
      <c r="R832" s="76"/>
      <c r="S832" s="72"/>
      <c r="T832" s="71"/>
      <c r="U832" s="71"/>
      <c r="V832" s="74"/>
      <c r="W832" s="74"/>
      <c r="X832" s="74"/>
      <c r="Y832" s="74"/>
      <c r="Z832" s="75"/>
    </row>
    <row r="833">
      <c r="A833" s="92"/>
      <c r="B833" s="66"/>
      <c r="C833" s="98"/>
      <c r="D833" s="68"/>
      <c r="E833" s="68"/>
      <c r="F833" s="69"/>
      <c r="G833" s="78"/>
      <c r="H833" s="74"/>
      <c r="I833" s="78"/>
      <c r="J833" s="78"/>
      <c r="K833" s="71"/>
      <c r="L833" s="76"/>
      <c r="M833" s="76"/>
      <c r="N833" s="76"/>
      <c r="O833" s="78"/>
      <c r="P833" s="80"/>
      <c r="Q833" s="76"/>
      <c r="R833" s="76"/>
      <c r="S833" s="72"/>
      <c r="T833" s="71"/>
      <c r="U833" s="71"/>
      <c r="V833" s="74"/>
      <c r="W833" s="74"/>
      <c r="X833" s="74"/>
      <c r="Y833" s="74"/>
      <c r="Z833" s="75"/>
    </row>
    <row r="834">
      <c r="A834" s="92"/>
      <c r="B834" s="66"/>
      <c r="C834" s="98"/>
      <c r="D834" s="68"/>
      <c r="E834" s="68"/>
      <c r="F834" s="69"/>
      <c r="G834" s="70"/>
      <c r="H834" s="70"/>
      <c r="I834" s="70"/>
      <c r="J834" s="70"/>
      <c r="K834" s="71"/>
      <c r="L834" s="76"/>
      <c r="M834" s="76"/>
      <c r="N834" s="72"/>
      <c r="O834" s="70"/>
      <c r="P834" s="73"/>
      <c r="Q834" s="76"/>
      <c r="R834" s="76"/>
      <c r="S834" s="72"/>
      <c r="T834" s="71"/>
      <c r="U834" s="71"/>
      <c r="V834" s="74"/>
      <c r="W834" s="74"/>
      <c r="X834" s="74"/>
      <c r="Y834" s="74"/>
      <c r="Z834" s="75"/>
    </row>
    <row r="835">
      <c r="A835" s="92"/>
      <c r="B835" s="66"/>
      <c r="C835" s="98"/>
      <c r="D835" s="68"/>
      <c r="E835" s="68"/>
      <c r="F835" s="69"/>
      <c r="G835" s="70"/>
      <c r="H835" s="70"/>
      <c r="I835" s="70"/>
      <c r="J835" s="70"/>
      <c r="K835" s="71"/>
      <c r="L835" s="76"/>
      <c r="M835" s="76"/>
      <c r="N835" s="76"/>
      <c r="O835" s="70"/>
      <c r="P835" s="73"/>
      <c r="Q835" s="71"/>
      <c r="R835" s="71"/>
      <c r="S835" s="71"/>
      <c r="T835" s="71"/>
      <c r="U835" s="71"/>
      <c r="V835" s="70"/>
      <c r="W835" s="70"/>
      <c r="X835" s="70"/>
      <c r="Y835" s="70"/>
      <c r="Z835" s="83"/>
    </row>
    <row r="836">
      <c r="A836" s="92"/>
      <c r="B836" s="66"/>
      <c r="C836" s="98"/>
      <c r="D836" s="68"/>
      <c r="E836" s="68"/>
      <c r="F836" s="69"/>
      <c r="G836" s="70"/>
      <c r="H836" s="70"/>
      <c r="I836" s="70"/>
      <c r="J836" s="70"/>
      <c r="K836" s="76"/>
      <c r="L836" s="76"/>
      <c r="M836" s="76"/>
      <c r="N836" s="72"/>
      <c r="O836" s="78"/>
      <c r="P836" s="80"/>
      <c r="Q836" s="76"/>
      <c r="R836" s="76"/>
      <c r="S836" s="76"/>
      <c r="T836" s="71"/>
      <c r="U836" s="71"/>
      <c r="V836" s="78"/>
      <c r="W836" s="78"/>
      <c r="X836" s="78"/>
      <c r="Y836" s="78"/>
      <c r="Z836" s="81"/>
    </row>
    <row r="837">
      <c r="A837" s="92"/>
      <c r="B837" s="66"/>
      <c r="C837" s="98"/>
      <c r="D837" s="68"/>
      <c r="E837" s="68"/>
      <c r="F837" s="69"/>
      <c r="G837" s="70"/>
      <c r="H837" s="70"/>
      <c r="I837" s="70"/>
      <c r="J837" s="70"/>
      <c r="K837" s="71"/>
      <c r="L837" s="76"/>
      <c r="M837" s="76"/>
      <c r="N837" s="76"/>
      <c r="O837" s="70"/>
      <c r="P837" s="73"/>
      <c r="Q837" s="71"/>
      <c r="R837" s="71"/>
      <c r="S837" s="71"/>
      <c r="T837" s="71"/>
      <c r="U837" s="71"/>
      <c r="V837" s="70"/>
      <c r="W837" s="70"/>
      <c r="X837" s="70"/>
      <c r="Y837" s="70"/>
      <c r="Z837" s="83"/>
    </row>
    <row r="838">
      <c r="A838" s="92"/>
      <c r="B838" s="66"/>
      <c r="C838" s="98"/>
      <c r="D838" s="68"/>
      <c r="E838" s="68"/>
      <c r="F838" s="69"/>
      <c r="G838" s="70"/>
      <c r="H838" s="70"/>
      <c r="I838" s="70"/>
      <c r="J838" s="70"/>
      <c r="K838" s="76"/>
      <c r="L838" s="76"/>
      <c r="M838" s="76"/>
      <c r="N838" s="76"/>
      <c r="O838" s="78"/>
      <c r="P838" s="80"/>
      <c r="Q838" s="76"/>
      <c r="R838" s="76"/>
      <c r="S838" s="76"/>
      <c r="T838" s="71"/>
      <c r="U838" s="71"/>
      <c r="V838" s="78"/>
      <c r="W838" s="78"/>
      <c r="X838" s="78"/>
      <c r="Y838" s="78"/>
      <c r="Z838" s="81"/>
    </row>
    <row r="839">
      <c r="A839" s="93"/>
      <c r="B839" s="66"/>
      <c r="C839" s="99"/>
      <c r="D839" s="68"/>
      <c r="E839" s="68"/>
      <c r="F839" s="69"/>
      <c r="G839" s="74"/>
      <c r="H839" s="74"/>
      <c r="I839" s="74"/>
      <c r="J839" s="74"/>
      <c r="K839" s="72"/>
      <c r="L839" s="72"/>
      <c r="M839" s="72"/>
      <c r="N839" s="72"/>
      <c r="O839" s="74"/>
      <c r="P839" s="73"/>
      <c r="Q839" s="72"/>
      <c r="R839" s="72"/>
      <c r="S839" s="72"/>
      <c r="T839" s="71"/>
      <c r="U839" s="71"/>
      <c r="V839" s="74"/>
      <c r="W839" s="74"/>
      <c r="X839" s="74"/>
      <c r="Y839" s="74"/>
      <c r="Z839" s="75"/>
    </row>
    <row r="840">
      <c r="A840" s="93"/>
      <c r="B840" s="66"/>
      <c r="C840" s="99"/>
      <c r="D840" s="68"/>
      <c r="E840" s="68"/>
      <c r="F840" s="69"/>
      <c r="G840" s="74"/>
      <c r="H840" s="74"/>
      <c r="I840" s="74"/>
      <c r="J840" s="74"/>
      <c r="K840" s="72"/>
      <c r="L840" s="72"/>
      <c r="M840" s="72"/>
      <c r="N840" s="72"/>
      <c r="O840" s="74"/>
      <c r="P840" s="73"/>
      <c r="Q840" s="72"/>
      <c r="R840" s="72"/>
      <c r="S840" s="72"/>
      <c r="T840" s="71"/>
      <c r="U840" s="71"/>
      <c r="V840" s="74"/>
      <c r="W840" s="74"/>
      <c r="X840" s="74"/>
      <c r="Y840" s="74"/>
      <c r="Z840" s="75"/>
    </row>
    <row r="841">
      <c r="A841" s="92"/>
      <c r="B841" s="66"/>
      <c r="C841" s="98"/>
      <c r="D841" s="68"/>
      <c r="E841" s="68"/>
      <c r="F841" s="69"/>
      <c r="G841" s="70"/>
      <c r="H841" s="70"/>
      <c r="I841" s="78"/>
      <c r="J841" s="70"/>
      <c r="K841" s="71"/>
      <c r="L841" s="76"/>
      <c r="M841" s="76"/>
      <c r="N841" s="76"/>
      <c r="O841" s="70"/>
      <c r="P841" s="73"/>
      <c r="Q841" s="76"/>
      <c r="R841" s="76"/>
      <c r="S841" s="72"/>
      <c r="T841" s="71"/>
      <c r="U841" s="71"/>
      <c r="V841" s="74"/>
      <c r="W841" s="74"/>
      <c r="X841" s="74"/>
      <c r="Y841" s="74"/>
      <c r="Z841" s="75"/>
    </row>
    <row r="842">
      <c r="A842" s="92"/>
      <c r="B842" s="66"/>
      <c r="C842" s="98"/>
      <c r="D842" s="68"/>
      <c r="E842" s="68"/>
      <c r="F842" s="69"/>
      <c r="G842" s="70"/>
      <c r="H842" s="70"/>
      <c r="I842" s="70"/>
      <c r="J842" s="70"/>
      <c r="K842" s="76"/>
      <c r="L842" s="76"/>
      <c r="M842" s="76"/>
      <c r="N842" s="76"/>
      <c r="O842" s="70"/>
      <c r="P842" s="73"/>
      <c r="Q842" s="76"/>
      <c r="R842" s="76"/>
      <c r="S842" s="72"/>
      <c r="T842" s="71"/>
      <c r="U842" s="71"/>
      <c r="V842" s="74"/>
      <c r="W842" s="74"/>
      <c r="X842" s="74"/>
      <c r="Y842" s="74"/>
      <c r="Z842" s="75"/>
    </row>
    <row r="843">
      <c r="A843" s="92"/>
      <c r="B843" s="66"/>
      <c r="C843" s="98"/>
      <c r="D843" s="68"/>
      <c r="E843" s="68"/>
      <c r="F843" s="69"/>
      <c r="G843" s="70"/>
      <c r="H843" s="70"/>
      <c r="I843" s="70"/>
      <c r="J843" s="70"/>
      <c r="K843" s="76"/>
      <c r="L843" s="76"/>
      <c r="M843" s="71"/>
      <c r="N843" s="71"/>
      <c r="O843" s="70"/>
      <c r="P843" s="80"/>
      <c r="Q843" s="76"/>
      <c r="R843" s="76"/>
      <c r="S843" s="76"/>
      <c r="T843" s="71"/>
      <c r="U843" s="71"/>
      <c r="V843" s="78"/>
      <c r="W843" s="78"/>
      <c r="X843" s="78"/>
      <c r="Y843" s="78"/>
      <c r="Z843" s="81"/>
    </row>
    <row r="844">
      <c r="A844" s="92"/>
      <c r="B844" s="66"/>
      <c r="C844" s="98"/>
      <c r="D844" s="68"/>
      <c r="E844" s="68"/>
      <c r="F844" s="69"/>
      <c r="G844" s="70"/>
      <c r="H844" s="70"/>
      <c r="I844" s="70"/>
      <c r="J844" s="70"/>
      <c r="K844" s="76"/>
      <c r="L844" s="76"/>
      <c r="M844" s="76"/>
      <c r="N844" s="76"/>
      <c r="O844" s="78"/>
      <c r="P844" s="80"/>
      <c r="Q844" s="76"/>
      <c r="R844" s="76"/>
      <c r="S844" s="76"/>
      <c r="T844" s="71"/>
      <c r="U844" s="71"/>
      <c r="V844" s="78"/>
      <c r="W844" s="78"/>
      <c r="X844" s="78"/>
      <c r="Y844" s="78"/>
      <c r="Z844" s="81"/>
    </row>
    <row r="845">
      <c r="A845" s="92"/>
      <c r="B845" s="66"/>
      <c r="C845" s="98"/>
      <c r="D845" s="68"/>
      <c r="E845" s="68"/>
      <c r="F845" s="69"/>
      <c r="G845" s="70"/>
      <c r="H845" s="70"/>
      <c r="I845" s="70"/>
      <c r="J845" s="70"/>
      <c r="K845" s="76"/>
      <c r="L845" s="76"/>
      <c r="M845" s="76"/>
      <c r="N845" s="72"/>
      <c r="O845" s="70"/>
      <c r="P845" s="73"/>
      <c r="Q845" s="76"/>
      <c r="R845" s="76"/>
      <c r="S845" s="72"/>
      <c r="T845" s="71"/>
      <c r="U845" s="71"/>
      <c r="V845" s="74"/>
      <c r="W845" s="74"/>
      <c r="X845" s="74"/>
      <c r="Y845" s="74"/>
      <c r="Z845" s="75"/>
    </row>
    <row r="846">
      <c r="A846" s="92"/>
      <c r="B846" s="66"/>
      <c r="C846" s="98"/>
      <c r="D846" s="68"/>
      <c r="E846" s="68"/>
      <c r="F846" s="69"/>
      <c r="G846" s="70"/>
      <c r="H846" s="70"/>
      <c r="I846" s="70"/>
      <c r="J846" s="70"/>
      <c r="K846" s="76"/>
      <c r="L846" s="76"/>
      <c r="M846" s="76"/>
      <c r="N846" s="76"/>
      <c r="O846" s="78"/>
      <c r="P846" s="80"/>
      <c r="Q846" s="76"/>
      <c r="R846" s="76"/>
      <c r="S846" s="76"/>
      <c r="T846" s="71"/>
      <c r="U846" s="71"/>
      <c r="V846" s="78"/>
      <c r="W846" s="78"/>
      <c r="X846" s="78"/>
      <c r="Y846" s="78"/>
      <c r="Z846" s="81"/>
    </row>
    <row r="847">
      <c r="A847" s="92"/>
      <c r="B847" s="66"/>
      <c r="C847" s="98"/>
      <c r="D847" s="68"/>
      <c r="E847" s="68"/>
      <c r="F847" s="69"/>
      <c r="G847" s="70"/>
      <c r="H847" s="70"/>
      <c r="I847" s="70"/>
      <c r="J847" s="70"/>
      <c r="K847" s="76"/>
      <c r="L847" s="76"/>
      <c r="M847" s="71"/>
      <c r="N847" s="71"/>
      <c r="O847" s="70"/>
      <c r="P847" s="73"/>
      <c r="Q847" s="76"/>
      <c r="R847" s="76"/>
      <c r="S847" s="76"/>
      <c r="T847" s="71"/>
      <c r="U847" s="71"/>
      <c r="V847" s="78"/>
      <c r="W847" s="78"/>
      <c r="X847" s="78"/>
      <c r="Y847" s="78"/>
      <c r="Z847" s="81"/>
    </row>
    <row r="848">
      <c r="A848" s="92"/>
      <c r="B848" s="66"/>
      <c r="C848" s="98"/>
      <c r="D848" s="68"/>
      <c r="E848" s="68"/>
      <c r="F848" s="69"/>
      <c r="G848" s="70"/>
      <c r="H848" s="70"/>
      <c r="I848" s="70"/>
      <c r="J848" s="70"/>
      <c r="K848" s="76"/>
      <c r="L848" s="76"/>
      <c r="M848" s="76"/>
      <c r="N848" s="76"/>
      <c r="O848" s="78"/>
      <c r="P848" s="80"/>
      <c r="Q848" s="76"/>
      <c r="R848" s="76"/>
      <c r="S848" s="76"/>
      <c r="T848" s="71"/>
      <c r="U848" s="71"/>
      <c r="V848" s="78"/>
      <c r="W848" s="78"/>
      <c r="X848" s="78"/>
      <c r="Y848" s="78"/>
      <c r="Z848" s="81"/>
    </row>
    <row r="849">
      <c r="A849" s="92"/>
      <c r="B849" s="66"/>
      <c r="C849" s="98"/>
      <c r="D849" s="68"/>
      <c r="E849" s="68"/>
      <c r="F849" s="69"/>
      <c r="G849" s="70"/>
      <c r="H849" s="70"/>
      <c r="I849" s="70"/>
      <c r="J849" s="70"/>
      <c r="K849" s="76"/>
      <c r="L849" s="76"/>
      <c r="M849" s="76"/>
      <c r="N849" s="76"/>
      <c r="O849" s="78"/>
      <c r="P849" s="80"/>
      <c r="Q849" s="76"/>
      <c r="R849" s="76"/>
      <c r="S849" s="76"/>
      <c r="T849" s="71"/>
      <c r="U849" s="71"/>
      <c r="V849" s="78"/>
      <c r="W849" s="78"/>
      <c r="X849" s="78"/>
      <c r="Y849" s="78"/>
      <c r="Z849" s="81"/>
    </row>
    <row r="850">
      <c r="A850" s="92"/>
      <c r="B850" s="66"/>
      <c r="C850" s="98"/>
      <c r="D850" s="68"/>
      <c r="E850" s="68"/>
      <c r="F850" s="69"/>
      <c r="G850" s="70"/>
      <c r="H850" s="70"/>
      <c r="I850" s="70"/>
      <c r="J850" s="70"/>
      <c r="K850" s="76"/>
      <c r="L850" s="76"/>
      <c r="M850" s="76"/>
      <c r="N850" s="76"/>
      <c r="O850" s="78"/>
      <c r="P850" s="80"/>
      <c r="Q850" s="76"/>
      <c r="R850" s="76"/>
      <c r="S850" s="76"/>
      <c r="T850" s="71"/>
      <c r="U850" s="71"/>
      <c r="V850" s="78"/>
      <c r="W850" s="78"/>
      <c r="X850" s="78"/>
      <c r="Y850" s="78"/>
      <c r="Z850" s="81"/>
    </row>
    <row r="851">
      <c r="A851" s="92"/>
      <c r="B851" s="66"/>
      <c r="C851" s="98"/>
      <c r="D851" s="68"/>
      <c r="E851" s="68"/>
      <c r="F851" s="69"/>
      <c r="G851" s="70"/>
      <c r="H851" s="70"/>
      <c r="I851" s="70"/>
      <c r="J851" s="70"/>
      <c r="K851" s="76"/>
      <c r="L851" s="76"/>
      <c r="M851" s="71"/>
      <c r="N851" s="71"/>
      <c r="O851" s="70"/>
      <c r="P851" s="73"/>
      <c r="Q851" s="76"/>
      <c r="R851" s="76"/>
      <c r="S851" s="76"/>
      <c r="T851" s="71"/>
      <c r="U851" s="71"/>
      <c r="V851" s="78"/>
      <c r="W851" s="78"/>
      <c r="X851" s="78"/>
      <c r="Y851" s="78"/>
      <c r="Z851" s="81"/>
    </row>
    <row r="852">
      <c r="A852" s="97"/>
      <c r="B852" s="66"/>
      <c r="C852" s="99"/>
      <c r="D852" s="68"/>
      <c r="E852" s="68"/>
      <c r="F852" s="69"/>
      <c r="G852" s="70"/>
      <c r="H852" s="70"/>
      <c r="I852" s="70"/>
      <c r="J852" s="70"/>
      <c r="K852" s="76"/>
      <c r="L852" s="76"/>
      <c r="M852" s="71"/>
      <c r="N852" s="71"/>
      <c r="O852" s="70"/>
      <c r="P852" s="73"/>
      <c r="Q852" s="76"/>
      <c r="R852" s="76"/>
      <c r="S852" s="76"/>
      <c r="T852" s="71"/>
      <c r="U852" s="71"/>
      <c r="V852" s="78"/>
      <c r="W852" s="78"/>
      <c r="X852" s="78"/>
      <c r="Y852" s="78"/>
      <c r="Z852" s="81"/>
    </row>
    <row r="853">
      <c r="A853" s="92"/>
      <c r="B853" s="66"/>
      <c r="C853" s="98"/>
      <c r="D853" s="68"/>
      <c r="E853" s="68"/>
      <c r="F853" s="69"/>
      <c r="G853" s="70"/>
      <c r="H853" s="70"/>
      <c r="I853" s="78"/>
      <c r="J853" s="70"/>
      <c r="K853" s="71"/>
      <c r="L853" s="76"/>
      <c r="M853" s="76"/>
      <c r="N853" s="76"/>
      <c r="O853" s="70"/>
      <c r="P853" s="73"/>
      <c r="Q853" s="76"/>
      <c r="R853" s="71"/>
      <c r="S853" s="71"/>
      <c r="T853" s="71"/>
      <c r="U853" s="71"/>
      <c r="V853" s="70"/>
      <c r="W853" s="70"/>
      <c r="X853" s="70"/>
      <c r="Y853" s="70"/>
      <c r="Z853" s="83"/>
    </row>
    <row r="854">
      <c r="A854" s="94"/>
      <c r="B854" s="66"/>
      <c r="C854" s="70"/>
      <c r="D854" s="68"/>
      <c r="E854" s="68"/>
      <c r="F854" s="69"/>
      <c r="G854" s="70"/>
      <c r="H854" s="70"/>
      <c r="I854" s="70"/>
      <c r="J854" s="70"/>
      <c r="K854" s="71"/>
      <c r="L854" s="71"/>
      <c r="M854" s="71"/>
      <c r="N854" s="71"/>
      <c r="O854" s="70"/>
      <c r="P854" s="73"/>
      <c r="Q854" s="71"/>
      <c r="R854" s="71"/>
      <c r="S854" s="71"/>
      <c r="T854" s="71"/>
      <c r="U854" s="71"/>
      <c r="V854" s="70"/>
      <c r="W854" s="70"/>
      <c r="X854" s="70"/>
      <c r="Y854" s="70"/>
      <c r="Z854" s="83"/>
    </row>
    <row r="855">
      <c r="A855" s="94"/>
      <c r="B855" s="66"/>
      <c r="C855" s="70"/>
      <c r="D855" s="68"/>
      <c r="E855" s="68"/>
      <c r="F855" s="69"/>
      <c r="G855" s="70"/>
      <c r="H855" s="70"/>
      <c r="I855" s="70"/>
      <c r="J855" s="70"/>
      <c r="K855" s="71"/>
      <c r="L855" s="71"/>
      <c r="M855" s="71"/>
      <c r="N855" s="71"/>
      <c r="O855" s="70"/>
      <c r="P855" s="73"/>
      <c r="Q855" s="71"/>
      <c r="R855" s="71"/>
      <c r="S855" s="71"/>
      <c r="T855" s="71"/>
      <c r="U855" s="71"/>
      <c r="V855" s="70"/>
      <c r="W855" s="70"/>
      <c r="X855" s="70"/>
      <c r="Y855" s="70"/>
      <c r="Z855" s="83"/>
    </row>
    <row r="856">
      <c r="A856" s="94"/>
      <c r="B856" s="66"/>
      <c r="C856" s="70"/>
      <c r="D856" s="68"/>
      <c r="E856" s="68"/>
      <c r="F856" s="69"/>
      <c r="G856" s="70"/>
      <c r="H856" s="70"/>
      <c r="I856" s="70"/>
      <c r="J856" s="70"/>
      <c r="K856" s="71"/>
      <c r="L856" s="71"/>
      <c r="M856" s="71"/>
      <c r="N856" s="71"/>
      <c r="O856" s="70"/>
      <c r="P856" s="73"/>
      <c r="Q856" s="71"/>
      <c r="R856" s="71"/>
      <c r="S856" s="71"/>
      <c r="T856" s="71"/>
      <c r="U856" s="71"/>
      <c r="V856" s="70"/>
      <c r="W856" s="70"/>
      <c r="X856" s="70"/>
      <c r="Y856" s="70"/>
      <c r="Z856" s="83"/>
    </row>
    <row r="857">
      <c r="A857" s="94"/>
      <c r="B857" s="66"/>
      <c r="C857" s="70"/>
      <c r="D857" s="68"/>
      <c r="E857" s="68"/>
      <c r="F857" s="69"/>
      <c r="G857" s="70"/>
      <c r="H857" s="70"/>
      <c r="I857" s="70"/>
      <c r="J857" s="70"/>
      <c r="K857" s="71"/>
      <c r="L857" s="71"/>
      <c r="M857" s="71"/>
      <c r="N857" s="71"/>
      <c r="O857" s="70"/>
      <c r="P857" s="73"/>
      <c r="Q857" s="71"/>
      <c r="R857" s="71"/>
      <c r="S857" s="71"/>
      <c r="T857" s="71"/>
      <c r="U857" s="71"/>
      <c r="V857" s="70"/>
      <c r="W857" s="70"/>
      <c r="X857" s="70"/>
      <c r="Y857" s="70"/>
      <c r="Z857" s="83"/>
    </row>
    <row r="858">
      <c r="A858" s="94"/>
      <c r="B858" s="66"/>
      <c r="C858" s="70"/>
      <c r="D858" s="68"/>
      <c r="E858" s="68"/>
      <c r="F858" s="69"/>
      <c r="G858" s="70"/>
      <c r="H858" s="70"/>
      <c r="I858" s="70"/>
      <c r="J858" s="70"/>
      <c r="K858" s="71"/>
      <c r="L858" s="71"/>
      <c r="M858" s="71"/>
      <c r="N858" s="71"/>
      <c r="O858" s="70"/>
      <c r="P858" s="73"/>
      <c r="Q858" s="71"/>
      <c r="R858" s="71"/>
      <c r="S858" s="71"/>
      <c r="T858" s="71"/>
      <c r="U858" s="71"/>
      <c r="V858" s="70"/>
      <c r="W858" s="70"/>
      <c r="X858" s="70"/>
      <c r="Y858" s="70"/>
      <c r="Z858" s="83"/>
    </row>
    <row r="859">
      <c r="A859" s="94"/>
      <c r="B859" s="66"/>
      <c r="C859" s="70"/>
      <c r="D859" s="68"/>
      <c r="E859" s="68"/>
      <c r="F859" s="69"/>
      <c r="G859" s="70"/>
      <c r="H859" s="70"/>
      <c r="I859" s="70"/>
      <c r="J859" s="70"/>
      <c r="K859" s="71"/>
      <c r="L859" s="71"/>
      <c r="M859" s="71"/>
      <c r="N859" s="71"/>
      <c r="O859" s="70"/>
      <c r="P859" s="73"/>
      <c r="Q859" s="71"/>
      <c r="R859" s="71"/>
      <c r="S859" s="71"/>
      <c r="T859" s="71"/>
      <c r="U859" s="71"/>
      <c r="V859" s="70"/>
      <c r="W859" s="70"/>
      <c r="X859" s="70"/>
      <c r="Y859" s="70"/>
      <c r="Z859" s="83"/>
    </row>
    <row r="860">
      <c r="A860" s="94"/>
      <c r="B860" s="66"/>
      <c r="C860" s="70"/>
      <c r="D860" s="68"/>
      <c r="E860" s="68"/>
      <c r="F860" s="69"/>
      <c r="G860" s="70"/>
      <c r="H860" s="70"/>
      <c r="I860" s="70"/>
      <c r="J860" s="70"/>
      <c r="K860" s="71"/>
      <c r="L860" s="71"/>
      <c r="M860" s="71"/>
      <c r="N860" s="71"/>
      <c r="O860" s="70"/>
      <c r="P860" s="73"/>
      <c r="Q860" s="71"/>
      <c r="R860" s="71"/>
      <c r="S860" s="71"/>
      <c r="T860" s="71"/>
      <c r="U860" s="71"/>
      <c r="V860" s="70"/>
      <c r="W860" s="70"/>
      <c r="X860" s="70"/>
      <c r="Y860" s="70"/>
      <c r="Z860" s="83"/>
    </row>
    <row r="861">
      <c r="A861" s="94"/>
      <c r="B861" s="66"/>
      <c r="C861" s="70"/>
      <c r="D861" s="68"/>
      <c r="E861" s="68"/>
      <c r="F861" s="69"/>
      <c r="G861" s="70"/>
      <c r="H861" s="70"/>
      <c r="I861" s="70"/>
      <c r="J861" s="70"/>
      <c r="K861" s="71"/>
      <c r="L861" s="71"/>
      <c r="M861" s="71"/>
      <c r="N861" s="71"/>
      <c r="O861" s="70"/>
      <c r="P861" s="73"/>
      <c r="Q861" s="71"/>
      <c r="R861" s="71"/>
      <c r="S861" s="71"/>
      <c r="T861" s="71"/>
      <c r="U861" s="71"/>
      <c r="V861" s="70"/>
      <c r="W861" s="70"/>
      <c r="X861" s="70"/>
      <c r="Y861" s="70"/>
      <c r="Z861" s="83"/>
    </row>
    <row r="862">
      <c r="A862" s="94"/>
      <c r="B862" s="66"/>
      <c r="C862" s="70"/>
      <c r="D862" s="68"/>
      <c r="E862" s="68"/>
      <c r="F862" s="69"/>
      <c r="G862" s="70"/>
      <c r="H862" s="70"/>
      <c r="I862" s="70"/>
      <c r="J862" s="70"/>
      <c r="K862" s="71"/>
      <c r="L862" s="71"/>
      <c r="M862" s="71"/>
      <c r="N862" s="71"/>
      <c r="O862" s="70"/>
      <c r="P862" s="73"/>
      <c r="Q862" s="71"/>
      <c r="R862" s="71"/>
      <c r="S862" s="71"/>
      <c r="T862" s="71"/>
      <c r="U862" s="71"/>
      <c r="V862" s="70"/>
      <c r="W862" s="70"/>
      <c r="X862" s="70"/>
      <c r="Y862" s="70"/>
      <c r="Z862" s="83"/>
    </row>
    <row r="863">
      <c r="A863" s="94"/>
      <c r="B863" s="66"/>
      <c r="C863" s="70"/>
      <c r="D863" s="68"/>
      <c r="E863" s="68"/>
      <c r="F863" s="69"/>
      <c r="G863" s="70"/>
      <c r="H863" s="70"/>
      <c r="I863" s="70"/>
      <c r="J863" s="70"/>
      <c r="K863" s="71"/>
      <c r="L863" s="71"/>
      <c r="M863" s="71"/>
      <c r="N863" s="71"/>
      <c r="O863" s="70"/>
      <c r="P863" s="73"/>
      <c r="Q863" s="71"/>
      <c r="R863" s="71"/>
      <c r="S863" s="71"/>
      <c r="T863" s="71"/>
      <c r="U863" s="71"/>
      <c r="V863" s="70"/>
      <c r="W863" s="70"/>
      <c r="X863" s="70"/>
      <c r="Y863" s="70"/>
      <c r="Z863" s="83"/>
    </row>
    <row r="864">
      <c r="A864" s="94"/>
      <c r="B864" s="66"/>
      <c r="C864" s="70"/>
      <c r="D864" s="68"/>
      <c r="E864" s="68"/>
      <c r="F864" s="69"/>
      <c r="G864" s="70"/>
      <c r="H864" s="70"/>
      <c r="I864" s="70"/>
      <c r="J864" s="70"/>
      <c r="K864" s="71"/>
      <c r="L864" s="71"/>
      <c r="M864" s="71"/>
      <c r="N864" s="71"/>
      <c r="O864" s="70"/>
      <c r="P864" s="73"/>
      <c r="Q864" s="71"/>
      <c r="R864" s="71"/>
      <c r="S864" s="71"/>
      <c r="T864" s="71"/>
      <c r="U864" s="71"/>
      <c r="V864" s="70"/>
      <c r="W864" s="70"/>
      <c r="X864" s="70"/>
      <c r="Y864" s="70"/>
      <c r="Z864" s="83"/>
    </row>
    <row r="865">
      <c r="A865" s="94"/>
      <c r="B865" s="66"/>
      <c r="C865" s="70"/>
      <c r="D865" s="68"/>
      <c r="E865" s="68"/>
      <c r="F865" s="69"/>
      <c r="G865" s="70"/>
      <c r="H865" s="70"/>
      <c r="I865" s="70"/>
      <c r="J865" s="70"/>
      <c r="K865" s="71"/>
      <c r="L865" s="71"/>
      <c r="M865" s="71"/>
      <c r="N865" s="71"/>
      <c r="O865" s="70"/>
      <c r="P865" s="73"/>
      <c r="Q865" s="71"/>
      <c r="R865" s="71"/>
      <c r="S865" s="71"/>
      <c r="T865" s="71"/>
      <c r="U865" s="71"/>
      <c r="V865" s="70"/>
      <c r="W865" s="70"/>
      <c r="X865" s="70"/>
      <c r="Y865" s="70"/>
      <c r="Z865" s="83"/>
    </row>
    <row r="866">
      <c r="A866" s="94"/>
      <c r="B866" s="66"/>
      <c r="C866" s="70"/>
      <c r="D866" s="68"/>
      <c r="E866" s="68"/>
      <c r="F866" s="69"/>
      <c r="G866" s="70"/>
      <c r="H866" s="70"/>
      <c r="I866" s="70"/>
      <c r="J866" s="70"/>
      <c r="K866" s="71"/>
      <c r="L866" s="71"/>
      <c r="M866" s="71"/>
      <c r="N866" s="71"/>
      <c r="O866" s="70"/>
      <c r="P866" s="73"/>
      <c r="Q866" s="71"/>
      <c r="R866" s="71"/>
      <c r="S866" s="71"/>
      <c r="T866" s="71"/>
      <c r="U866" s="71"/>
      <c r="V866" s="70"/>
      <c r="W866" s="70"/>
      <c r="X866" s="70"/>
      <c r="Y866" s="70"/>
      <c r="Z866" s="83"/>
    </row>
    <row r="867">
      <c r="A867" s="94"/>
      <c r="B867" s="66"/>
      <c r="C867" s="70"/>
      <c r="D867" s="68"/>
      <c r="E867" s="68"/>
      <c r="F867" s="69"/>
      <c r="G867" s="70"/>
      <c r="H867" s="70"/>
      <c r="I867" s="70"/>
      <c r="J867" s="70"/>
      <c r="K867" s="71"/>
      <c r="L867" s="71"/>
      <c r="M867" s="71"/>
      <c r="N867" s="71"/>
      <c r="O867" s="70"/>
      <c r="P867" s="73"/>
      <c r="Q867" s="71"/>
      <c r="R867" s="71"/>
      <c r="S867" s="71"/>
      <c r="T867" s="71"/>
      <c r="U867" s="71"/>
      <c r="V867" s="70"/>
      <c r="W867" s="70"/>
      <c r="X867" s="70"/>
      <c r="Y867" s="70"/>
      <c r="Z867" s="83"/>
    </row>
    <row r="868">
      <c r="A868" s="94"/>
      <c r="B868" s="66"/>
      <c r="C868" s="70"/>
      <c r="D868" s="68"/>
      <c r="E868" s="68"/>
      <c r="F868" s="69"/>
      <c r="G868" s="70"/>
      <c r="H868" s="70"/>
      <c r="I868" s="70"/>
      <c r="J868" s="70"/>
      <c r="K868" s="71"/>
      <c r="L868" s="71"/>
      <c r="M868" s="71"/>
      <c r="N868" s="71"/>
      <c r="O868" s="70"/>
      <c r="P868" s="73"/>
      <c r="Q868" s="71"/>
      <c r="R868" s="71"/>
      <c r="S868" s="71"/>
      <c r="T868" s="71"/>
      <c r="U868" s="71"/>
      <c r="V868" s="70"/>
      <c r="W868" s="70"/>
      <c r="X868" s="70"/>
      <c r="Y868" s="70"/>
      <c r="Z868" s="83"/>
    </row>
    <row r="869">
      <c r="A869" s="94"/>
      <c r="B869" s="66"/>
      <c r="C869" s="70"/>
      <c r="D869" s="68"/>
      <c r="E869" s="68"/>
      <c r="F869" s="69"/>
      <c r="G869" s="70"/>
      <c r="H869" s="70"/>
      <c r="I869" s="70"/>
      <c r="J869" s="70"/>
      <c r="K869" s="71"/>
      <c r="L869" s="71"/>
      <c r="M869" s="71"/>
      <c r="N869" s="71"/>
      <c r="O869" s="70"/>
      <c r="P869" s="73"/>
      <c r="Q869" s="71"/>
      <c r="R869" s="71"/>
      <c r="S869" s="71"/>
      <c r="T869" s="71"/>
      <c r="U869" s="71"/>
      <c r="V869" s="70"/>
      <c r="W869" s="70"/>
      <c r="X869" s="70"/>
      <c r="Y869" s="70"/>
      <c r="Z869" s="83"/>
    </row>
    <row r="870">
      <c r="A870" s="94"/>
      <c r="B870" s="66"/>
      <c r="C870" s="70"/>
      <c r="D870" s="68"/>
      <c r="E870" s="68"/>
      <c r="F870" s="69"/>
      <c r="G870" s="70"/>
      <c r="H870" s="70"/>
      <c r="I870" s="70"/>
      <c r="J870" s="70"/>
      <c r="K870" s="71"/>
      <c r="L870" s="71"/>
      <c r="M870" s="71"/>
      <c r="N870" s="71"/>
      <c r="O870" s="70"/>
      <c r="P870" s="73"/>
      <c r="Q870" s="71"/>
      <c r="R870" s="71"/>
      <c r="S870" s="71"/>
      <c r="T870" s="71"/>
      <c r="U870" s="71"/>
      <c r="V870" s="70"/>
      <c r="W870" s="70"/>
      <c r="X870" s="70"/>
      <c r="Y870" s="70"/>
      <c r="Z870" s="83"/>
    </row>
    <row r="871">
      <c r="A871" s="94"/>
      <c r="B871" s="66"/>
      <c r="C871" s="70"/>
      <c r="D871" s="68"/>
      <c r="E871" s="68"/>
      <c r="F871" s="69"/>
      <c r="G871" s="70"/>
      <c r="H871" s="70"/>
      <c r="I871" s="70"/>
      <c r="J871" s="70"/>
      <c r="K871" s="71"/>
      <c r="L871" s="71"/>
      <c r="M871" s="71"/>
      <c r="N871" s="71"/>
      <c r="O871" s="70"/>
      <c r="P871" s="73"/>
      <c r="Q871" s="71"/>
      <c r="R871" s="71"/>
      <c r="S871" s="71"/>
      <c r="T871" s="71"/>
      <c r="U871" s="71"/>
      <c r="V871" s="70"/>
      <c r="W871" s="70"/>
      <c r="X871" s="70"/>
      <c r="Y871" s="70"/>
      <c r="Z871" s="83"/>
    </row>
    <row r="872">
      <c r="A872" s="94"/>
      <c r="B872" s="66"/>
      <c r="C872" s="70"/>
      <c r="D872" s="68"/>
      <c r="E872" s="68"/>
      <c r="F872" s="69"/>
      <c r="G872" s="70"/>
      <c r="H872" s="70"/>
      <c r="I872" s="70"/>
      <c r="J872" s="70"/>
      <c r="K872" s="71"/>
      <c r="L872" s="71"/>
      <c r="M872" s="71"/>
      <c r="N872" s="71"/>
      <c r="O872" s="70"/>
      <c r="P872" s="73"/>
      <c r="Q872" s="71"/>
      <c r="R872" s="71"/>
      <c r="S872" s="71"/>
      <c r="T872" s="71"/>
      <c r="U872" s="71"/>
      <c r="V872" s="70"/>
      <c r="W872" s="70"/>
      <c r="X872" s="70"/>
      <c r="Y872" s="70"/>
      <c r="Z872" s="83"/>
    </row>
    <row r="873">
      <c r="A873" s="94"/>
      <c r="B873" s="66"/>
      <c r="C873" s="70"/>
      <c r="D873" s="68"/>
      <c r="E873" s="68"/>
      <c r="F873" s="69"/>
      <c r="G873" s="70"/>
      <c r="H873" s="70"/>
      <c r="I873" s="70"/>
      <c r="J873" s="70"/>
      <c r="K873" s="71"/>
      <c r="L873" s="71"/>
      <c r="M873" s="71"/>
      <c r="N873" s="71"/>
      <c r="O873" s="70"/>
      <c r="P873" s="73"/>
      <c r="Q873" s="71"/>
      <c r="R873" s="71"/>
      <c r="S873" s="71"/>
      <c r="T873" s="71"/>
      <c r="U873" s="71"/>
      <c r="V873" s="70"/>
      <c r="W873" s="70"/>
      <c r="X873" s="70"/>
      <c r="Y873" s="70"/>
      <c r="Z873" s="83"/>
    </row>
    <row r="874">
      <c r="A874" s="94"/>
      <c r="B874" s="66"/>
      <c r="C874" s="70"/>
      <c r="D874" s="68"/>
      <c r="E874" s="68"/>
      <c r="F874" s="69"/>
      <c r="G874" s="70"/>
      <c r="H874" s="70"/>
      <c r="I874" s="70"/>
      <c r="J874" s="70"/>
      <c r="K874" s="71"/>
      <c r="L874" s="71"/>
      <c r="M874" s="71"/>
      <c r="N874" s="71"/>
      <c r="O874" s="70"/>
      <c r="P874" s="73"/>
      <c r="Q874" s="71"/>
      <c r="R874" s="71"/>
      <c r="S874" s="71"/>
      <c r="T874" s="71"/>
      <c r="U874" s="71"/>
      <c r="V874" s="70"/>
      <c r="W874" s="70"/>
      <c r="X874" s="70"/>
      <c r="Y874" s="70"/>
      <c r="Z874" s="83"/>
    </row>
    <row r="875">
      <c r="A875" s="94"/>
      <c r="B875" s="66"/>
      <c r="C875" s="70"/>
      <c r="D875" s="68"/>
      <c r="E875" s="68"/>
      <c r="F875" s="69"/>
      <c r="G875" s="70"/>
      <c r="H875" s="70"/>
      <c r="I875" s="70"/>
      <c r="J875" s="70"/>
      <c r="K875" s="71"/>
      <c r="L875" s="71"/>
      <c r="M875" s="71"/>
      <c r="N875" s="71"/>
      <c r="O875" s="70"/>
      <c r="P875" s="73"/>
      <c r="Q875" s="71"/>
      <c r="R875" s="71"/>
      <c r="S875" s="71"/>
      <c r="T875" s="71"/>
      <c r="U875" s="71"/>
      <c r="V875" s="70"/>
      <c r="W875" s="70"/>
      <c r="X875" s="70"/>
      <c r="Y875" s="70"/>
      <c r="Z875" s="83"/>
    </row>
    <row r="876">
      <c r="A876" s="94"/>
      <c r="B876" s="66"/>
      <c r="C876" s="70"/>
      <c r="D876" s="68"/>
      <c r="E876" s="68"/>
      <c r="F876" s="69"/>
      <c r="G876" s="70"/>
      <c r="H876" s="70"/>
      <c r="I876" s="70"/>
      <c r="J876" s="70"/>
      <c r="K876" s="71"/>
      <c r="L876" s="71"/>
      <c r="M876" s="71"/>
      <c r="N876" s="71"/>
      <c r="O876" s="70"/>
      <c r="P876" s="73"/>
      <c r="Q876" s="71"/>
      <c r="R876" s="71"/>
      <c r="S876" s="71"/>
      <c r="T876" s="71"/>
      <c r="U876" s="71"/>
      <c r="V876" s="70"/>
      <c r="W876" s="70"/>
      <c r="X876" s="70"/>
      <c r="Y876" s="70"/>
      <c r="Z876" s="83"/>
    </row>
    <row r="877">
      <c r="A877" s="94"/>
      <c r="B877" s="66"/>
      <c r="C877" s="70"/>
      <c r="D877" s="68"/>
      <c r="E877" s="68"/>
      <c r="F877" s="69"/>
      <c r="G877" s="70"/>
      <c r="H877" s="70"/>
      <c r="I877" s="70"/>
      <c r="J877" s="70"/>
      <c r="K877" s="71"/>
      <c r="L877" s="71"/>
      <c r="M877" s="71"/>
      <c r="N877" s="71"/>
      <c r="O877" s="70"/>
      <c r="P877" s="73"/>
      <c r="Q877" s="71"/>
      <c r="R877" s="71"/>
      <c r="S877" s="71"/>
      <c r="T877" s="71"/>
      <c r="U877" s="71"/>
      <c r="V877" s="70"/>
      <c r="W877" s="70"/>
      <c r="X877" s="70"/>
      <c r="Y877" s="70"/>
      <c r="Z877" s="83"/>
    </row>
    <row r="878">
      <c r="A878" s="94"/>
      <c r="B878" s="66"/>
      <c r="C878" s="70"/>
      <c r="D878" s="68"/>
      <c r="E878" s="68"/>
      <c r="F878" s="69"/>
      <c r="G878" s="70"/>
      <c r="H878" s="70"/>
      <c r="I878" s="70"/>
      <c r="J878" s="70"/>
      <c r="K878" s="71"/>
      <c r="L878" s="71"/>
      <c r="M878" s="71"/>
      <c r="N878" s="71"/>
      <c r="O878" s="70"/>
      <c r="P878" s="73"/>
      <c r="Q878" s="71"/>
      <c r="R878" s="71"/>
      <c r="S878" s="71"/>
      <c r="T878" s="71"/>
      <c r="U878" s="71"/>
      <c r="V878" s="70"/>
      <c r="W878" s="70"/>
      <c r="X878" s="70"/>
      <c r="Y878" s="70"/>
      <c r="Z878" s="83"/>
    </row>
    <row r="879">
      <c r="A879" s="94"/>
      <c r="B879" s="66"/>
      <c r="C879" s="70"/>
      <c r="D879" s="68"/>
      <c r="E879" s="68"/>
      <c r="F879" s="69"/>
      <c r="G879" s="70"/>
      <c r="H879" s="70"/>
      <c r="I879" s="70"/>
      <c r="J879" s="70"/>
      <c r="K879" s="71"/>
      <c r="L879" s="71"/>
      <c r="M879" s="71"/>
      <c r="N879" s="71"/>
      <c r="O879" s="70"/>
      <c r="P879" s="73"/>
      <c r="Q879" s="71"/>
      <c r="R879" s="71"/>
      <c r="S879" s="71"/>
      <c r="T879" s="71"/>
      <c r="U879" s="71"/>
      <c r="V879" s="70"/>
      <c r="W879" s="70"/>
      <c r="X879" s="70"/>
      <c r="Y879" s="70"/>
      <c r="Z879" s="83"/>
    </row>
    <row r="880">
      <c r="A880" s="94"/>
      <c r="B880" s="66"/>
      <c r="C880" s="70"/>
      <c r="D880" s="68"/>
      <c r="E880" s="68"/>
      <c r="F880" s="69"/>
      <c r="G880" s="70"/>
      <c r="H880" s="70"/>
      <c r="I880" s="70"/>
      <c r="J880" s="70"/>
      <c r="K880" s="71"/>
      <c r="L880" s="71"/>
      <c r="M880" s="71"/>
      <c r="N880" s="71"/>
      <c r="O880" s="70"/>
      <c r="P880" s="73"/>
      <c r="Q880" s="71"/>
      <c r="R880" s="71"/>
      <c r="S880" s="71"/>
      <c r="T880" s="71"/>
      <c r="U880" s="71"/>
      <c r="V880" s="70"/>
      <c r="W880" s="70"/>
      <c r="X880" s="70"/>
      <c r="Y880" s="70"/>
      <c r="Z880" s="83"/>
    </row>
    <row r="881">
      <c r="A881" s="94"/>
      <c r="B881" s="66"/>
      <c r="C881" s="70"/>
      <c r="D881" s="68"/>
      <c r="E881" s="68"/>
      <c r="F881" s="69"/>
      <c r="G881" s="70"/>
      <c r="H881" s="70"/>
      <c r="I881" s="70"/>
      <c r="J881" s="70"/>
      <c r="K881" s="71"/>
      <c r="L881" s="71"/>
      <c r="M881" s="71"/>
      <c r="N881" s="71"/>
      <c r="O881" s="70"/>
      <c r="P881" s="73"/>
      <c r="Q881" s="71"/>
      <c r="R881" s="71"/>
      <c r="S881" s="71"/>
      <c r="T881" s="71"/>
      <c r="U881" s="71"/>
      <c r="V881" s="70"/>
      <c r="W881" s="70"/>
      <c r="X881" s="70"/>
      <c r="Y881" s="70"/>
      <c r="Z881" s="83"/>
    </row>
    <row r="882">
      <c r="A882" s="94"/>
      <c r="B882" s="66"/>
      <c r="C882" s="70"/>
      <c r="D882" s="68"/>
      <c r="E882" s="68"/>
      <c r="F882" s="69"/>
      <c r="G882" s="70"/>
      <c r="H882" s="70"/>
      <c r="I882" s="70"/>
      <c r="J882" s="70"/>
      <c r="K882" s="71"/>
      <c r="L882" s="71"/>
      <c r="M882" s="71"/>
      <c r="N882" s="71"/>
      <c r="O882" s="70"/>
      <c r="P882" s="73"/>
      <c r="Q882" s="71"/>
      <c r="R882" s="71"/>
      <c r="S882" s="71"/>
      <c r="T882" s="71"/>
      <c r="U882" s="71"/>
      <c r="V882" s="70"/>
      <c r="W882" s="70"/>
      <c r="X882" s="70"/>
      <c r="Y882" s="70"/>
      <c r="Z882" s="83"/>
    </row>
    <row r="883">
      <c r="A883" s="94"/>
      <c r="B883" s="66"/>
      <c r="C883" s="70"/>
      <c r="D883" s="68"/>
      <c r="E883" s="68"/>
      <c r="F883" s="69"/>
      <c r="G883" s="70"/>
      <c r="H883" s="70"/>
      <c r="I883" s="70"/>
      <c r="J883" s="70"/>
      <c r="K883" s="71"/>
      <c r="L883" s="71"/>
      <c r="M883" s="71"/>
      <c r="N883" s="71"/>
      <c r="O883" s="70"/>
      <c r="P883" s="73"/>
      <c r="Q883" s="71"/>
      <c r="R883" s="71"/>
      <c r="S883" s="71"/>
      <c r="T883" s="71"/>
      <c r="U883" s="71"/>
      <c r="V883" s="70"/>
      <c r="W883" s="70"/>
      <c r="X883" s="70"/>
      <c r="Y883" s="70"/>
      <c r="Z883" s="83"/>
    </row>
    <row r="884">
      <c r="A884" s="94"/>
      <c r="B884" s="66"/>
      <c r="C884" s="70"/>
      <c r="D884" s="68"/>
      <c r="E884" s="68"/>
      <c r="F884" s="69"/>
      <c r="G884" s="70"/>
      <c r="H884" s="70"/>
      <c r="I884" s="70"/>
      <c r="J884" s="70"/>
      <c r="K884" s="71"/>
      <c r="L884" s="71"/>
      <c r="M884" s="71"/>
      <c r="N884" s="71"/>
      <c r="O884" s="70"/>
      <c r="P884" s="73"/>
      <c r="Q884" s="71"/>
      <c r="R884" s="71"/>
      <c r="S884" s="71"/>
      <c r="T884" s="71"/>
      <c r="U884" s="71"/>
      <c r="V884" s="70"/>
      <c r="W884" s="70"/>
      <c r="X884" s="70"/>
      <c r="Y884" s="70"/>
      <c r="Z884" s="83"/>
    </row>
    <row r="885">
      <c r="A885" s="94"/>
      <c r="B885" s="66"/>
      <c r="C885" s="70"/>
      <c r="D885" s="68"/>
      <c r="E885" s="68"/>
      <c r="F885" s="69"/>
      <c r="G885" s="70"/>
      <c r="H885" s="70"/>
      <c r="I885" s="70"/>
      <c r="J885" s="70"/>
      <c r="K885" s="71"/>
      <c r="L885" s="71"/>
      <c r="M885" s="71"/>
      <c r="N885" s="71"/>
      <c r="O885" s="70"/>
      <c r="P885" s="73"/>
      <c r="Q885" s="71"/>
      <c r="R885" s="71"/>
      <c r="S885" s="71"/>
      <c r="T885" s="71"/>
      <c r="U885" s="71"/>
      <c r="V885" s="70"/>
      <c r="W885" s="70"/>
      <c r="X885" s="70"/>
      <c r="Y885" s="70"/>
      <c r="Z885" s="83"/>
    </row>
    <row r="886">
      <c r="A886" s="94"/>
      <c r="B886" s="66"/>
      <c r="C886" s="70"/>
      <c r="D886" s="68"/>
      <c r="E886" s="68"/>
      <c r="F886" s="69"/>
      <c r="G886" s="70"/>
      <c r="H886" s="70"/>
      <c r="I886" s="70"/>
      <c r="J886" s="70"/>
      <c r="K886" s="71"/>
      <c r="L886" s="71"/>
      <c r="M886" s="71"/>
      <c r="N886" s="71"/>
      <c r="O886" s="70"/>
      <c r="P886" s="73"/>
      <c r="Q886" s="71"/>
      <c r="R886" s="71"/>
      <c r="S886" s="71"/>
      <c r="T886" s="71"/>
      <c r="U886" s="71"/>
      <c r="V886" s="70"/>
      <c r="W886" s="70"/>
      <c r="X886" s="70"/>
      <c r="Y886" s="70"/>
      <c r="Z886" s="83"/>
    </row>
    <row r="887">
      <c r="A887" s="94"/>
      <c r="B887" s="66"/>
      <c r="C887" s="70"/>
      <c r="D887" s="68"/>
      <c r="E887" s="68"/>
      <c r="F887" s="69"/>
      <c r="G887" s="70"/>
      <c r="H887" s="70"/>
      <c r="I887" s="70"/>
      <c r="J887" s="70"/>
      <c r="K887" s="71"/>
      <c r="L887" s="71"/>
      <c r="M887" s="71"/>
      <c r="N887" s="71"/>
      <c r="O887" s="70"/>
      <c r="P887" s="73"/>
      <c r="Q887" s="71"/>
      <c r="R887" s="71"/>
      <c r="S887" s="71"/>
      <c r="T887" s="71"/>
      <c r="U887" s="71"/>
      <c r="V887" s="70"/>
      <c r="W887" s="70"/>
      <c r="X887" s="70"/>
      <c r="Y887" s="70"/>
      <c r="Z887" s="83"/>
    </row>
    <row r="888">
      <c r="A888" s="94"/>
      <c r="B888" s="66"/>
      <c r="C888" s="70"/>
      <c r="D888" s="68"/>
      <c r="E888" s="68"/>
      <c r="F888" s="69"/>
      <c r="G888" s="70"/>
      <c r="H888" s="70"/>
      <c r="I888" s="70"/>
      <c r="J888" s="70"/>
      <c r="K888" s="71"/>
      <c r="L888" s="71"/>
      <c r="M888" s="71"/>
      <c r="N888" s="71"/>
      <c r="O888" s="70"/>
      <c r="P888" s="73"/>
      <c r="Q888" s="71"/>
      <c r="R888" s="71"/>
      <c r="S888" s="71"/>
      <c r="T888" s="71"/>
      <c r="U888" s="71"/>
      <c r="V888" s="70"/>
      <c r="W888" s="70"/>
      <c r="X888" s="70"/>
      <c r="Y888" s="70"/>
      <c r="Z888" s="83"/>
    </row>
    <row r="889">
      <c r="A889" s="94"/>
      <c r="B889" s="66"/>
      <c r="C889" s="70"/>
      <c r="D889" s="68"/>
      <c r="E889" s="68"/>
      <c r="F889" s="69"/>
      <c r="G889" s="70"/>
      <c r="H889" s="70"/>
      <c r="I889" s="70"/>
      <c r="J889" s="70"/>
      <c r="K889" s="71"/>
      <c r="L889" s="71"/>
      <c r="M889" s="71"/>
      <c r="N889" s="71"/>
      <c r="O889" s="70"/>
      <c r="P889" s="73"/>
      <c r="Q889" s="71"/>
      <c r="R889" s="71"/>
      <c r="S889" s="71"/>
      <c r="T889" s="71"/>
      <c r="U889" s="71"/>
      <c r="V889" s="70"/>
      <c r="W889" s="70"/>
      <c r="X889" s="70"/>
      <c r="Y889" s="70"/>
      <c r="Z889" s="83"/>
    </row>
    <row r="890">
      <c r="A890" s="94"/>
      <c r="B890" s="66"/>
      <c r="C890" s="70"/>
      <c r="D890" s="68"/>
      <c r="E890" s="68"/>
      <c r="F890" s="69"/>
      <c r="G890" s="70"/>
      <c r="H890" s="70"/>
      <c r="I890" s="70"/>
      <c r="J890" s="70"/>
      <c r="K890" s="71"/>
      <c r="L890" s="71"/>
      <c r="M890" s="71"/>
      <c r="N890" s="71"/>
      <c r="O890" s="70"/>
      <c r="P890" s="73"/>
      <c r="Q890" s="71"/>
      <c r="R890" s="71"/>
      <c r="S890" s="71"/>
      <c r="T890" s="71"/>
      <c r="U890" s="71"/>
      <c r="V890" s="70"/>
      <c r="W890" s="70"/>
      <c r="X890" s="70"/>
      <c r="Y890" s="70"/>
      <c r="Z890" s="83"/>
    </row>
    <row r="891">
      <c r="A891" s="94"/>
      <c r="B891" s="66"/>
      <c r="C891" s="70"/>
      <c r="D891" s="68"/>
      <c r="E891" s="68"/>
      <c r="F891" s="69"/>
      <c r="G891" s="70"/>
      <c r="H891" s="70"/>
      <c r="I891" s="70"/>
      <c r="J891" s="70"/>
      <c r="K891" s="71"/>
      <c r="L891" s="71"/>
      <c r="M891" s="71"/>
      <c r="N891" s="71"/>
      <c r="O891" s="70"/>
      <c r="P891" s="73"/>
      <c r="Q891" s="71"/>
      <c r="R891" s="71"/>
      <c r="S891" s="71"/>
      <c r="T891" s="71"/>
      <c r="U891" s="71"/>
      <c r="V891" s="70"/>
      <c r="W891" s="70"/>
      <c r="X891" s="70"/>
      <c r="Y891" s="70"/>
      <c r="Z891" s="83"/>
    </row>
    <row r="892">
      <c r="A892" s="94"/>
      <c r="B892" s="66"/>
      <c r="C892" s="70"/>
      <c r="D892" s="68"/>
      <c r="E892" s="68"/>
      <c r="F892" s="69"/>
      <c r="G892" s="70"/>
      <c r="H892" s="70"/>
      <c r="I892" s="70"/>
      <c r="J892" s="70"/>
      <c r="K892" s="71"/>
      <c r="L892" s="71"/>
      <c r="M892" s="71"/>
      <c r="N892" s="71"/>
      <c r="O892" s="70"/>
      <c r="P892" s="73"/>
      <c r="Q892" s="71"/>
      <c r="R892" s="71"/>
      <c r="S892" s="71"/>
      <c r="T892" s="71"/>
      <c r="U892" s="71"/>
      <c r="V892" s="70"/>
      <c r="W892" s="70"/>
      <c r="X892" s="70"/>
      <c r="Y892" s="70"/>
      <c r="Z892" s="83"/>
    </row>
    <row r="893">
      <c r="A893" s="94"/>
      <c r="B893" s="66"/>
      <c r="C893" s="70"/>
      <c r="D893" s="68"/>
      <c r="E893" s="68"/>
      <c r="F893" s="69"/>
      <c r="G893" s="70"/>
      <c r="H893" s="70"/>
      <c r="I893" s="70"/>
      <c r="J893" s="70"/>
      <c r="K893" s="71"/>
      <c r="L893" s="71"/>
      <c r="M893" s="71"/>
      <c r="N893" s="71"/>
      <c r="O893" s="70"/>
      <c r="P893" s="73"/>
      <c r="Q893" s="71"/>
      <c r="R893" s="71"/>
      <c r="S893" s="71"/>
      <c r="T893" s="71"/>
      <c r="U893" s="71"/>
      <c r="V893" s="70"/>
      <c r="W893" s="70"/>
      <c r="X893" s="70"/>
      <c r="Y893" s="70"/>
      <c r="Z893" s="83"/>
    </row>
    <row r="894">
      <c r="A894" s="94"/>
      <c r="B894" s="66"/>
      <c r="C894" s="70"/>
      <c r="D894" s="68"/>
      <c r="E894" s="68"/>
      <c r="F894" s="69"/>
      <c r="G894" s="70"/>
      <c r="H894" s="70"/>
      <c r="I894" s="70"/>
      <c r="J894" s="70"/>
      <c r="K894" s="71"/>
      <c r="L894" s="71"/>
      <c r="M894" s="71"/>
      <c r="N894" s="71"/>
      <c r="O894" s="70"/>
      <c r="P894" s="73"/>
      <c r="Q894" s="71"/>
      <c r="R894" s="71"/>
      <c r="S894" s="71"/>
      <c r="T894" s="71"/>
      <c r="U894" s="71"/>
      <c r="V894" s="70"/>
      <c r="W894" s="70"/>
      <c r="X894" s="70"/>
      <c r="Y894" s="70"/>
      <c r="Z894" s="83"/>
    </row>
    <row r="895">
      <c r="A895" s="94"/>
      <c r="B895" s="66"/>
      <c r="C895" s="70"/>
      <c r="D895" s="68"/>
      <c r="E895" s="68"/>
      <c r="F895" s="69"/>
      <c r="G895" s="70"/>
      <c r="H895" s="70"/>
      <c r="I895" s="70"/>
      <c r="J895" s="70"/>
      <c r="K895" s="71"/>
      <c r="L895" s="71"/>
      <c r="M895" s="71"/>
      <c r="N895" s="71"/>
      <c r="O895" s="70"/>
      <c r="P895" s="73"/>
      <c r="Q895" s="71"/>
      <c r="R895" s="71"/>
      <c r="S895" s="71"/>
      <c r="T895" s="71"/>
      <c r="U895" s="71"/>
      <c r="V895" s="70"/>
      <c r="W895" s="70"/>
      <c r="X895" s="70"/>
      <c r="Y895" s="70"/>
      <c r="Z895" s="83"/>
    </row>
    <row r="896">
      <c r="A896" s="94"/>
      <c r="B896" s="66"/>
      <c r="C896" s="70"/>
      <c r="D896" s="68"/>
      <c r="E896" s="68"/>
      <c r="F896" s="69"/>
      <c r="G896" s="70"/>
      <c r="H896" s="70"/>
      <c r="I896" s="70"/>
      <c r="J896" s="70"/>
      <c r="K896" s="71"/>
      <c r="L896" s="71"/>
      <c r="M896" s="71"/>
      <c r="N896" s="71"/>
      <c r="O896" s="70"/>
      <c r="P896" s="73"/>
      <c r="Q896" s="71"/>
      <c r="R896" s="71"/>
      <c r="S896" s="71"/>
      <c r="T896" s="71"/>
      <c r="U896" s="71"/>
      <c r="V896" s="70"/>
      <c r="W896" s="70"/>
      <c r="X896" s="70"/>
      <c r="Y896" s="70"/>
      <c r="Z896" s="83"/>
    </row>
    <row r="897">
      <c r="A897" s="94"/>
      <c r="B897" s="66"/>
      <c r="C897" s="70"/>
      <c r="D897" s="68"/>
      <c r="E897" s="68"/>
      <c r="F897" s="69"/>
      <c r="G897" s="70"/>
      <c r="H897" s="70"/>
      <c r="I897" s="70"/>
      <c r="J897" s="70"/>
      <c r="K897" s="71"/>
      <c r="L897" s="71"/>
      <c r="M897" s="71"/>
      <c r="N897" s="71"/>
      <c r="O897" s="70"/>
      <c r="P897" s="73"/>
      <c r="Q897" s="71"/>
      <c r="R897" s="71"/>
      <c r="S897" s="71"/>
      <c r="T897" s="71"/>
      <c r="U897" s="71"/>
      <c r="V897" s="70"/>
      <c r="W897" s="70"/>
      <c r="X897" s="70"/>
      <c r="Y897" s="70"/>
      <c r="Z897" s="83"/>
    </row>
    <row r="898">
      <c r="A898" s="94"/>
      <c r="B898" s="66"/>
      <c r="C898" s="70"/>
      <c r="D898" s="68"/>
      <c r="E898" s="68"/>
      <c r="F898" s="69"/>
      <c r="G898" s="70"/>
      <c r="H898" s="70"/>
      <c r="I898" s="70"/>
      <c r="J898" s="70"/>
      <c r="K898" s="71"/>
      <c r="L898" s="71"/>
      <c r="M898" s="71"/>
      <c r="N898" s="71"/>
      <c r="O898" s="70"/>
      <c r="P898" s="73"/>
      <c r="Q898" s="71"/>
      <c r="R898" s="71"/>
      <c r="S898" s="71"/>
      <c r="T898" s="71"/>
      <c r="U898" s="71"/>
      <c r="V898" s="70"/>
      <c r="W898" s="70"/>
      <c r="X898" s="70"/>
      <c r="Y898" s="70"/>
      <c r="Z898" s="83"/>
    </row>
    <row r="899">
      <c r="A899" s="94"/>
      <c r="B899" s="66"/>
      <c r="C899" s="70"/>
      <c r="D899" s="68"/>
      <c r="E899" s="68"/>
      <c r="F899" s="69"/>
      <c r="G899" s="70"/>
      <c r="H899" s="70"/>
      <c r="I899" s="70"/>
      <c r="J899" s="70"/>
      <c r="K899" s="71"/>
      <c r="L899" s="71"/>
      <c r="M899" s="71"/>
      <c r="N899" s="71"/>
      <c r="O899" s="70"/>
      <c r="P899" s="73"/>
      <c r="Q899" s="71"/>
      <c r="R899" s="71"/>
      <c r="S899" s="71"/>
      <c r="T899" s="71"/>
      <c r="U899" s="71"/>
      <c r="V899" s="70"/>
      <c r="W899" s="70"/>
      <c r="X899" s="70"/>
      <c r="Y899" s="70"/>
      <c r="Z899" s="83"/>
    </row>
    <row r="900">
      <c r="A900" s="94"/>
      <c r="B900" s="66"/>
      <c r="C900" s="70"/>
      <c r="D900" s="68"/>
      <c r="E900" s="68"/>
      <c r="F900" s="69"/>
      <c r="G900" s="70"/>
      <c r="H900" s="70"/>
      <c r="I900" s="70"/>
      <c r="J900" s="70"/>
      <c r="K900" s="71"/>
      <c r="L900" s="71"/>
      <c r="M900" s="71"/>
      <c r="N900" s="71"/>
      <c r="O900" s="70"/>
      <c r="P900" s="73"/>
      <c r="Q900" s="71"/>
      <c r="R900" s="71"/>
      <c r="S900" s="71"/>
      <c r="T900" s="71"/>
      <c r="U900" s="71"/>
      <c r="V900" s="70"/>
      <c r="W900" s="70"/>
      <c r="X900" s="70"/>
      <c r="Y900" s="70"/>
      <c r="Z900" s="83"/>
    </row>
    <row r="901">
      <c r="A901" s="94"/>
      <c r="B901" s="66"/>
      <c r="C901" s="70"/>
      <c r="D901" s="68"/>
      <c r="E901" s="68"/>
      <c r="F901" s="69"/>
      <c r="G901" s="70"/>
      <c r="H901" s="70"/>
      <c r="I901" s="70"/>
      <c r="J901" s="70"/>
      <c r="K901" s="71"/>
      <c r="L901" s="71"/>
      <c r="M901" s="71"/>
      <c r="N901" s="71"/>
      <c r="O901" s="70"/>
      <c r="P901" s="73"/>
      <c r="Q901" s="71"/>
      <c r="R901" s="71"/>
      <c r="S901" s="71"/>
      <c r="T901" s="71"/>
      <c r="U901" s="71"/>
      <c r="V901" s="70"/>
      <c r="W901" s="70"/>
      <c r="X901" s="70"/>
      <c r="Y901" s="70"/>
      <c r="Z901" s="83"/>
    </row>
    <row r="902">
      <c r="A902" s="94"/>
      <c r="B902" s="66"/>
      <c r="C902" s="70"/>
      <c r="D902" s="68"/>
      <c r="E902" s="68"/>
      <c r="F902" s="69"/>
      <c r="G902" s="70"/>
      <c r="H902" s="70"/>
      <c r="I902" s="70"/>
      <c r="J902" s="70"/>
      <c r="K902" s="71"/>
      <c r="L902" s="71"/>
      <c r="M902" s="71"/>
      <c r="N902" s="71"/>
      <c r="O902" s="70"/>
      <c r="P902" s="73"/>
      <c r="Q902" s="71"/>
      <c r="R902" s="71"/>
      <c r="S902" s="71"/>
      <c r="T902" s="71"/>
      <c r="U902" s="71"/>
      <c r="V902" s="70"/>
      <c r="W902" s="70"/>
      <c r="X902" s="70"/>
      <c r="Y902" s="70"/>
      <c r="Z902" s="83"/>
    </row>
    <row r="903">
      <c r="A903" s="94"/>
      <c r="B903" s="66"/>
      <c r="C903" s="70"/>
      <c r="D903" s="68"/>
      <c r="E903" s="68"/>
      <c r="F903" s="69"/>
      <c r="G903" s="70"/>
      <c r="H903" s="70"/>
      <c r="I903" s="70"/>
      <c r="J903" s="70"/>
      <c r="K903" s="71"/>
      <c r="L903" s="71"/>
      <c r="M903" s="71"/>
      <c r="N903" s="71"/>
      <c r="O903" s="70"/>
      <c r="P903" s="73"/>
      <c r="Q903" s="71"/>
      <c r="R903" s="71"/>
      <c r="S903" s="71"/>
      <c r="T903" s="71"/>
      <c r="U903" s="71"/>
      <c r="V903" s="70"/>
      <c r="W903" s="70"/>
      <c r="X903" s="70"/>
      <c r="Y903" s="70"/>
      <c r="Z903" s="83"/>
    </row>
    <row r="904">
      <c r="A904" s="94"/>
      <c r="B904" s="66"/>
      <c r="C904" s="70"/>
      <c r="D904" s="68"/>
      <c r="E904" s="68"/>
      <c r="F904" s="69"/>
      <c r="G904" s="70"/>
      <c r="H904" s="70"/>
      <c r="I904" s="70"/>
      <c r="J904" s="70"/>
      <c r="K904" s="71"/>
      <c r="L904" s="71"/>
      <c r="M904" s="71"/>
      <c r="N904" s="71"/>
      <c r="O904" s="70"/>
      <c r="P904" s="73"/>
      <c r="Q904" s="71"/>
      <c r="R904" s="71"/>
      <c r="S904" s="71"/>
      <c r="T904" s="71"/>
      <c r="U904" s="71"/>
      <c r="V904" s="70"/>
      <c r="W904" s="70"/>
      <c r="X904" s="70"/>
      <c r="Y904" s="70"/>
      <c r="Z904" s="83"/>
    </row>
    <row r="905">
      <c r="A905" s="94"/>
      <c r="B905" s="66"/>
      <c r="C905" s="70"/>
      <c r="D905" s="68"/>
      <c r="E905" s="68"/>
      <c r="F905" s="69"/>
      <c r="G905" s="70"/>
      <c r="H905" s="70"/>
      <c r="I905" s="70"/>
      <c r="J905" s="70"/>
      <c r="K905" s="71"/>
      <c r="L905" s="71"/>
      <c r="M905" s="71"/>
      <c r="N905" s="71"/>
      <c r="O905" s="70"/>
      <c r="P905" s="73"/>
      <c r="Q905" s="71"/>
      <c r="R905" s="71"/>
      <c r="S905" s="71"/>
      <c r="T905" s="71"/>
      <c r="U905" s="71"/>
      <c r="V905" s="70"/>
      <c r="W905" s="70"/>
      <c r="X905" s="70"/>
      <c r="Y905" s="70"/>
      <c r="Z905" s="83"/>
    </row>
    <row r="906">
      <c r="A906" s="94"/>
      <c r="B906" s="66"/>
      <c r="C906" s="70"/>
      <c r="D906" s="68"/>
      <c r="E906" s="68"/>
      <c r="F906" s="69"/>
      <c r="G906" s="70"/>
      <c r="H906" s="70"/>
      <c r="I906" s="70"/>
      <c r="J906" s="70"/>
      <c r="K906" s="71"/>
      <c r="L906" s="71"/>
      <c r="M906" s="71"/>
      <c r="N906" s="71"/>
      <c r="O906" s="70"/>
      <c r="P906" s="73"/>
      <c r="Q906" s="71"/>
      <c r="R906" s="71"/>
      <c r="S906" s="71"/>
      <c r="T906" s="71"/>
      <c r="U906" s="71"/>
      <c r="V906" s="70"/>
      <c r="W906" s="70"/>
      <c r="X906" s="70"/>
      <c r="Y906" s="70"/>
      <c r="Z906" s="83"/>
    </row>
    <row r="907">
      <c r="A907" s="94"/>
      <c r="B907" s="66"/>
      <c r="C907" s="70"/>
      <c r="D907" s="68"/>
      <c r="E907" s="68"/>
      <c r="F907" s="69"/>
      <c r="G907" s="70"/>
      <c r="H907" s="70"/>
      <c r="I907" s="70"/>
      <c r="J907" s="70"/>
      <c r="K907" s="71"/>
      <c r="L907" s="71"/>
      <c r="M907" s="71"/>
      <c r="N907" s="71"/>
      <c r="O907" s="70"/>
      <c r="P907" s="73"/>
      <c r="Q907" s="71"/>
      <c r="R907" s="71"/>
      <c r="S907" s="71"/>
      <c r="T907" s="71"/>
      <c r="U907" s="71"/>
      <c r="V907" s="70"/>
      <c r="W907" s="70"/>
      <c r="X907" s="70"/>
      <c r="Y907" s="70"/>
      <c r="Z907" s="83"/>
    </row>
    <row r="908">
      <c r="A908" s="94"/>
      <c r="B908" s="66"/>
      <c r="C908" s="70"/>
      <c r="D908" s="68"/>
      <c r="E908" s="68"/>
      <c r="F908" s="69"/>
      <c r="G908" s="70"/>
      <c r="H908" s="70"/>
      <c r="I908" s="70"/>
      <c r="J908" s="70"/>
      <c r="K908" s="71"/>
      <c r="L908" s="71"/>
      <c r="M908" s="71"/>
      <c r="N908" s="71"/>
      <c r="O908" s="70"/>
      <c r="P908" s="73"/>
      <c r="Q908" s="71"/>
      <c r="R908" s="71"/>
      <c r="S908" s="71"/>
      <c r="T908" s="71"/>
      <c r="U908" s="71"/>
      <c r="V908" s="70"/>
      <c r="W908" s="70"/>
      <c r="X908" s="70"/>
      <c r="Y908" s="70"/>
      <c r="Z908" s="83"/>
    </row>
    <row r="909">
      <c r="A909" s="94"/>
      <c r="B909" s="66"/>
      <c r="C909" s="70"/>
      <c r="D909" s="68"/>
      <c r="E909" s="68"/>
      <c r="F909" s="69"/>
      <c r="G909" s="70"/>
      <c r="H909" s="70"/>
      <c r="I909" s="70"/>
      <c r="J909" s="70"/>
      <c r="K909" s="71"/>
      <c r="L909" s="71"/>
      <c r="M909" s="71"/>
      <c r="N909" s="71"/>
      <c r="O909" s="70"/>
      <c r="P909" s="73"/>
      <c r="Q909" s="71"/>
      <c r="R909" s="71"/>
      <c r="S909" s="71"/>
      <c r="T909" s="71"/>
      <c r="U909" s="71"/>
      <c r="V909" s="70"/>
      <c r="W909" s="70"/>
      <c r="X909" s="70"/>
      <c r="Y909" s="70"/>
      <c r="Z909" s="83"/>
    </row>
    <row r="910">
      <c r="A910" s="94"/>
      <c r="B910" s="66"/>
      <c r="C910" s="70"/>
      <c r="D910" s="68"/>
      <c r="E910" s="68"/>
      <c r="F910" s="69"/>
      <c r="G910" s="70"/>
      <c r="H910" s="70"/>
      <c r="I910" s="70"/>
      <c r="J910" s="70"/>
      <c r="K910" s="71"/>
      <c r="L910" s="71"/>
      <c r="M910" s="71"/>
      <c r="N910" s="71"/>
      <c r="O910" s="70"/>
      <c r="P910" s="73"/>
      <c r="Q910" s="71"/>
      <c r="R910" s="71"/>
      <c r="S910" s="71"/>
      <c r="T910" s="71"/>
      <c r="U910" s="71"/>
      <c r="V910" s="70"/>
      <c r="W910" s="70"/>
      <c r="X910" s="70"/>
      <c r="Y910" s="70"/>
      <c r="Z910" s="83"/>
    </row>
    <row r="911">
      <c r="A911" s="94"/>
      <c r="B911" s="66"/>
      <c r="C911" s="70"/>
      <c r="D911" s="68"/>
      <c r="E911" s="68"/>
      <c r="F911" s="69"/>
      <c r="G911" s="70"/>
      <c r="H911" s="70"/>
      <c r="I911" s="70"/>
      <c r="J911" s="70"/>
      <c r="K911" s="71"/>
      <c r="L911" s="71"/>
      <c r="M911" s="71"/>
      <c r="N911" s="71"/>
      <c r="O911" s="70"/>
      <c r="P911" s="73"/>
      <c r="Q911" s="71"/>
      <c r="R911" s="71"/>
      <c r="S911" s="71"/>
      <c r="T911" s="71"/>
      <c r="U911" s="71"/>
      <c r="V911" s="70"/>
      <c r="W911" s="70"/>
      <c r="X911" s="70"/>
      <c r="Y911" s="70"/>
      <c r="Z911" s="83"/>
    </row>
    <row r="912">
      <c r="A912" s="94"/>
      <c r="B912" s="66"/>
      <c r="C912" s="70"/>
      <c r="D912" s="68"/>
      <c r="E912" s="68"/>
      <c r="F912" s="69"/>
      <c r="G912" s="70"/>
      <c r="H912" s="70"/>
      <c r="I912" s="70"/>
      <c r="J912" s="70"/>
      <c r="K912" s="71"/>
      <c r="L912" s="71"/>
      <c r="M912" s="71"/>
      <c r="N912" s="71"/>
      <c r="O912" s="70"/>
      <c r="P912" s="73"/>
      <c r="Q912" s="71"/>
      <c r="R912" s="71"/>
      <c r="S912" s="71"/>
      <c r="T912" s="71"/>
      <c r="U912" s="71"/>
      <c r="V912" s="70"/>
      <c r="W912" s="70"/>
      <c r="X912" s="70"/>
      <c r="Y912" s="70"/>
      <c r="Z912" s="83"/>
    </row>
    <row r="913">
      <c r="A913" s="94"/>
      <c r="B913" s="66"/>
      <c r="C913" s="70"/>
      <c r="D913" s="68"/>
      <c r="E913" s="68"/>
      <c r="F913" s="69"/>
      <c r="G913" s="70"/>
      <c r="H913" s="70"/>
      <c r="I913" s="70"/>
      <c r="J913" s="70"/>
      <c r="K913" s="71"/>
      <c r="L913" s="71"/>
      <c r="M913" s="71"/>
      <c r="N913" s="71"/>
      <c r="O913" s="70"/>
      <c r="P913" s="73"/>
      <c r="Q913" s="71"/>
      <c r="R913" s="71"/>
      <c r="S913" s="71"/>
      <c r="T913" s="71"/>
      <c r="U913" s="71"/>
      <c r="V913" s="70"/>
      <c r="W913" s="70"/>
      <c r="X913" s="70"/>
      <c r="Y913" s="70"/>
      <c r="Z913" s="83"/>
    </row>
    <row r="914">
      <c r="A914" s="94"/>
      <c r="B914" s="66"/>
      <c r="C914" s="70"/>
      <c r="D914" s="68"/>
      <c r="E914" s="68"/>
      <c r="F914" s="69"/>
      <c r="G914" s="70"/>
      <c r="H914" s="70"/>
      <c r="I914" s="70"/>
      <c r="J914" s="70"/>
      <c r="K914" s="71"/>
      <c r="L914" s="71"/>
      <c r="M914" s="71"/>
      <c r="N914" s="71"/>
      <c r="O914" s="70"/>
      <c r="P914" s="73"/>
      <c r="Q914" s="71"/>
      <c r="R914" s="71"/>
      <c r="S914" s="71"/>
      <c r="T914" s="71"/>
      <c r="U914" s="71"/>
      <c r="V914" s="70"/>
      <c r="W914" s="70"/>
      <c r="X914" s="70"/>
      <c r="Y914" s="70"/>
      <c r="Z914" s="83"/>
    </row>
    <row r="915">
      <c r="A915" s="94"/>
      <c r="B915" s="66"/>
      <c r="C915" s="70"/>
      <c r="D915" s="68"/>
      <c r="E915" s="68"/>
      <c r="F915" s="69"/>
      <c r="G915" s="70"/>
      <c r="H915" s="70"/>
      <c r="I915" s="70"/>
      <c r="J915" s="70"/>
      <c r="K915" s="71"/>
      <c r="L915" s="71"/>
      <c r="M915" s="71"/>
      <c r="N915" s="71"/>
      <c r="O915" s="70"/>
      <c r="P915" s="73"/>
      <c r="Q915" s="71"/>
      <c r="R915" s="71"/>
      <c r="S915" s="71"/>
      <c r="T915" s="71"/>
      <c r="U915" s="71"/>
      <c r="V915" s="70"/>
      <c r="W915" s="70"/>
      <c r="X915" s="70"/>
      <c r="Y915" s="70"/>
      <c r="Z915" s="83"/>
    </row>
    <row r="916">
      <c r="A916" s="94"/>
      <c r="B916" s="66"/>
      <c r="C916" s="70"/>
      <c r="D916" s="68"/>
      <c r="E916" s="68"/>
      <c r="F916" s="69"/>
      <c r="G916" s="70"/>
      <c r="H916" s="70"/>
      <c r="I916" s="70"/>
      <c r="J916" s="70"/>
      <c r="K916" s="71"/>
      <c r="L916" s="71"/>
      <c r="M916" s="71"/>
      <c r="N916" s="71"/>
      <c r="O916" s="70"/>
      <c r="P916" s="73"/>
      <c r="Q916" s="71"/>
      <c r="R916" s="71"/>
      <c r="S916" s="71"/>
      <c r="T916" s="71"/>
      <c r="U916" s="71"/>
      <c r="V916" s="70"/>
      <c r="W916" s="70"/>
      <c r="X916" s="70"/>
      <c r="Y916" s="70"/>
      <c r="Z916" s="83"/>
    </row>
    <row r="917">
      <c r="A917" s="94"/>
      <c r="B917" s="66"/>
      <c r="C917" s="70"/>
      <c r="D917" s="68"/>
      <c r="E917" s="68"/>
      <c r="F917" s="69"/>
      <c r="G917" s="70"/>
      <c r="H917" s="70"/>
      <c r="I917" s="70"/>
      <c r="J917" s="70"/>
      <c r="K917" s="71"/>
      <c r="L917" s="71"/>
      <c r="M917" s="71"/>
      <c r="N917" s="71"/>
      <c r="O917" s="70"/>
      <c r="P917" s="73"/>
      <c r="Q917" s="71"/>
      <c r="R917" s="71"/>
      <c r="S917" s="71"/>
      <c r="T917" s="71"/>
      <c r="U917" s="71"/>
      <c r="V917" s="70"/>
      <c r="W917" s="70"/>
      <c r="X917" s="70"/>
      <c r="Y917" s="70"/>
      <c r="Z917" s="83"/>
    </row>
    <row r="918">
      <c r="A918" s="94"/>
      <c r="B918" s="66"/>
      <c r="C918" s="70"/>
      <c r="D918" s="68"/>
      <c r="E918" s="68"/>
      <c r="F918" s="69"/>
      <c r="G918" s="70"/>
      <c r="H918" s="70"/>
      <c r="I918" s="70"/>
      <c r="J918" s="70"/>
      <c r="K918" s="71"/>
      <c r="L918" s="71"/>
      <c r="M918" s="71"/>
      <c r="N918" s="71"/>
      <c r="O918" s="70"/>
      <c r="P918" s="73"/>
      <c r="Q918" s="71"/>
      <c r="R918" s="71"/>
      <c r="S918" s="71"/>
      <c r="T918" s="71"/>
      <c r="U918" s="71"/>
      <c r="V918" s="70"/>
      <c r="W918" s="70"/>
      <c r="X918" s="70"/>
      <c r="Y918" s="70"/>
      <c r="Z918" s="83"/>
    </row>
    <row r="919">
      <c r="A919" s="94"/>
      <c r="B919" s="66"/>
      <c r="C919" s="70"/>
      <c r="D919" s="68"/>
      <c r="E919" s="68"/>
      <c r="F919" s="69"/>
      <c r="G919" s="70"/>
      <c r="H919" s="70"/>
      <c r="I919" s="70"/>
      <c r="J919" s="70"/>
      <c r="K919" s="71"/>
      <c r="L919" s="71"/>
      <c r="M919" s="71"/>
      <c r="N919" s="71"/>
      <c r="O919" s="70"/>
      <c r="P919" s="73"/>
      <c r="Q919" s="71"/>
      <c r="R919" s="71"/>
      <c r="S919" s="71"/>
      <c r="T919" s="71"/>
      <c r="U919" s="71"/>
      <c r="V919" s="70"/>
      <c r="W919" s="70"/>
      <c r="X919" s="70"/>
      <c r="Y919" s="70"/>
      <c r="Z919" s="83"/>
    </row>
    <row r="920">
      <c r="A920" s="94"/>
      <c r="B920" s="66"/>
      <c r="C920" s="70"/>
      <c r="D920" s="68"/>
      <c r="E920" s="68"/>
      <c r="F920" s="69"/>
      <c r="G920" s="70"/>
      <c r="H920" s="70"/>
      <c r="I920" s="70"/>
      <c r="J920" s="70"/>
      <c r="K920" s="71"/>
      <c r="L920" s="71"/>
      <c r="M920" s="71"/>
      <c r="N920" s="71"/>
      <c r="O920" s="70"/>
      <c r="P920" s="73"/>
      <c r="Q920" s="71"/>
      <c r="R920" s="71"/>
      <c r="S920" s="71"/>
      <c r="T920" s="71"/>
      <c r="U920" s="71"/>
      <c r="V920" s="70"/>
      <c r="W920" s="70"/>
      <c r="X920" s="70"/>
      <c r="Y920" s="70"/>
      <c r="Z920" s="83"/>
    </row>
    <row r="921">
      <c r="A921" s="94"/>
      <c r="B921" s="66"/>
      <c r="C921" s="70"/>
      <c r="D921" s="68"/>
      <c r="E921" s="68"/>
      <c r="F921" s="69"/>
      <c r="G921" s="70"/>
      <c r="H921" s="70"/>
      <c r="I921" s="70"/>
      <c r="J921" s="70"/>
      <c r="K921" s="71"/>
      <c r="L921" s="71"/>
      <c r="M921" s="71"/>
      <c r="N921" s="71"/>
      <c r="O921" s="70"/>
      <c r="P921" s="73"/>
      <c r="Q921" s="71"/>
      <c r="R921" s="71"/>
      <c r="S921" s="71"/>
      <c r="T921" s="71"/>
      <c r="U921" s="71"/>
      <c r="V921" s="70"/>
      <c r="W921" s="70"/>
      <c r="X921" s="70"/>
      <c r="Y921" s="70"/>
      <c r="Z921" s="83"/>
    </row>
    <row r="922">
      <c r="A922" s="94"/>
      <c r="B922" s="66"/>
      <c r="C922" s="70"/>
      <c r="D922" s="68"/>
      <c r="E922" s="68"/>
      <c r="F922" s="69"/>
      <c r="G922" s="70"/>
      <c r="H922" s="70"/>
      <c r="I922" s="70"/>
      <c r="J922" s="70"/>
      <c r="K922" s="71"/>
      <c r="L922" s="71"/>
      <c r="M922" s="71"/>
      <c r="N922" s="71"/>
      <c r="O922" s="70"/>
      <c r="P922" s="73"/>
      <c r="Q922" s="71"/>
      <c r="R922" s="71"/>
      <c r="S922" s="71"/>
      <c r="T922" s="71"/>
      <c r="U922" s="71"/>
      <c r="V922" s="70"/>
      <c r="W922" s="70"/>
      <c r="X922" s="70"/>
      <c r="Y922" s="70"/>
      <c r="Z922" s="83"/>
    </row>
    <row r="923">
      <c r="A923" s="94"/>
      <c r="B923" s="66"/>
      <c r="C923" s="70"/>
      <c r="D923" s="68"/>
      <c r="E923" s="68"/>
      <c r="F923" s="69"/>
      <c r="G923" s="70"/>
      <c r="H923" s="70"/>
      <c r="I923" s="70"/>
      <c r="J923" s="70"/>
      <c r="K923" s="71"/>
      <c r="L923" s="71"/>
      <c r="M923" s="71"/>
      <c r="N923" s="71"/>
      <c r="O923" s="70"/>
      <c r="P923" s="73"/>
      <c r="Q923" s="71"/>
      <c r="R923" s="71"/>
      <c r="S923" s="71"/>
      <c r="T923" s="71"/>
      <c r="U923" s="71"/>
      <c r="V923" s="70"/>
      <c r="W923" s="70"/>
      <c r="X923" s="70"/>
      <c r="Y923" s="70"/>
      <c r="Z923" s="83"/>
    </row>
    <row r="924">
      <c r="A924" s="94"/>
      <c r="B924" s="66"/>
      <c r="C924" s="70"/>
      <c r="D924" s="68"/>
      <c r="E924" s="68"/>
      <c r="F924" s="69"/>
      <c r="G924" s="70"/>
      <c r="H924" s="70"/>
      <c r="I924" s="70"/>
      <c r="J924" s="70"/>
      <c r="K924" s="71"/>
      <c r="L924" s="71"/>
      <c r="M924" s="71"/>
      <c r="N924" s="71"/>
      <c r="O924" s="70"/>
      <c r="P924" s="73"/>
      <c r="Q924" s="71"/>
      <c r="R924" s="71"/>
      <c r="S924" s="71"/>
      <c r="T924" s="71"/>
      <c r="U924" s="71"/>
      <c r="V924" s="70"/>
      <c r="W924" s="70"/>
      <c r="X924" s="70"/>
      <c r="Y924" s="70"/>
      <c r="Z924" s="83"/>
    </row>
    <row r="925">
      <c r="A925" s="94"/>
      <c r="B925" s="66"/>
      <c r="C925" s="70"/>
      <c r="D925" s="68"/>
      <c r="E925" s="68"/>
      <c r="F925" s="69"/>
      <c r="G925" s="70"/>
      <c r="H925" s="70"/>
      <c r="I925" s="70"/>
      <c r="J925" s="70"/>
      <c r="K925" s="71"/>
      <c r="L925" s="71"/>
      <c r="M925" s="71"/>
      <c r="N925" s="71"/>
      <c r="O925" s="70"/>
      <c r="P925" s="73"/>
      <c r="Q925" s="71"/>
      <c r="R925" s="71"/>
      <c r="S925" s="71"/>
      <c r="T925" s="71"/>
      <c r="U925" s="71"/>
      <c r="V925" s="70"/>
      <c r="W925" s="70"/>
      <c r="X925" s="70"/>
      <c r="Y925" s="70"/>
      <c r="Z925" s="83"/>
    </row>
    <row r="926">
      <c r="A926" s="94"/>
      <c r="B926" s="66"/>
      <c r="C926" s="70"/>
      <c r="D926" s="68"/>
      <c r="E926" s="68"/>
      <c r="F926" s="69"/>
      <c r="G926" s="70"/>
      <c r="H926" s="70"/>
      <c r="I926" s="70"/>
      <c r="J926" s="70"/>
      <c r="K926" s="71"/>
      <c r="L926" s="71"/>
      <c r="M926" s="71"/>
      <c r="N926" s="71"/>
      <c r="O926" s="70"/>
      <c r="P926" s="73"/>
      <c r="Q926" s="71"/>
      <c r="R926" s="71"/>
      <c r="S926" s="71"/>
      <c r="T926" s="71"/>
      <c r="U926" s="71"/>
      <c r="V926" s="70"/>
      <c r="W926" s="70"/>
      <c r="X926" s="70"/>
      <c r="Y926" s="70"/>
      <c r="Z926" s="83"/>
    </row>
    <row r="927">
      <c r="A927" s="94"/>
      <c r="B927" s="66"/>
      <c r="C927" s="70"/>
      <c r="D927" s="68"/>
      <c r="E927" s="68"/>
      <c r="F927" s="69"/>
      <c r="G927" s="70"/>
      <c r="H927" s="70"/>
      <c r="I927" s="70"/>
      <c r="J927" s="70"/>
      <c r="K927" s="71"/>
      <c r="L927" s="71"/>
      <c r="M927" s="71"/>
      <c r="N927" s="71"/>
      <c r="O927" s="70"/>
      <c r="P927" s="73"/>
      <c r="Q927" s="71"/>
      <c r="R927" s="71"/>
      <c r="S927" s="71"/>
      <c r="T927" s="71"/>
      <c r="U927" s="71"/>
      <c r="V927" s="70"/>
      <c r="W927" s="70"/>
      <c r="X927" s="70"/>
      <c r="Y927" s="70"/>
      <c r="Z927" s="83"/>
    </row>
    <row r="928">
      <c r="A928" s="94"/>
      <c r="B928" s="66"/>
      <c r="C928" s="70"/>
      <c r="D928" s="68"/>
      <c r="E928" s="68"/>
      <c r="F928" s="69"/>
      <c r="G928" s="70"/>
      <c r="H928" s="70"/>
      <c r="I928" s="70"/>
      <c r="J928" s="70"/>
      <c r="K928" s="71"/>
      <c r="L928" s="71"/>
      <c r="M928" s="71"/>
      <c r="N928" s="71"/>
      <c r="O928" s="70"/>
      <c r="P928" s="73"/>
      <c r="Q928" s="71"/>
      <c r="R928" s="71"/>
      <c r="S928" s="71"/>
      <c r="T928" s="71"/>
      <c r="U928" s="71"/>
      <c r="V928" s="70"/>
      <c r="W928" s="70"/>
      <c r="X928" s="70"/>
      <c r="Y928" s="70"/>
      <c r="Z928" s="83"/>
    </row>
    <row r="929">
      <c r="A929" s="94"/>
      <c r="B929" s="66"/>
      <c r="C929" s="70"/>
      <c r="D929" s="68"/>
      <c r="E929" s="68"/>
      <c r="F929" s="69"/>
      <c r="G929" s="70"/>
      <c r="H929" s="70"/>
      <c r="I929" s="70"/>
      <c r="J929" s="70"/>
      <c r="K929" s="71"/>
      <c r="L929" s="71"/>
      <c r="M929" s="71"/>
      <c r="N929" s="71"/>
      <c r="O929" s="70"/>
      <c r="P929" s="73"/>
      <c r="Q929" s="71"/>
      <c r="R929" s="71"/>
      <c r="S929" s="71"/>
      <c r="T929" s="71"/>
      <c r="U929" s="71"/>
      <c r="V929" s="70"/>
      <c r="W929" s="70"/>
      <c r="X929" s="70"/>
      <c r="Y929" s="70"/>
      <c r="Z929" s="83"/>
    </row>
    <row r="930">
      <c r="A930" s="94"/>
      <c r="B930" s="66"/>
      <c r="C930" s="70"/>
      <c r="D930" s="68"/>
      <c r="E930" s="68"/>
      <c r="F930" s="69"/>
      <c r="G930" s="70"/>
      <c r="H930" s="70"/>
      <c r="I930" s="70"/>
      <c r="J930" s="70"/>
      <c r="K930" s="71"/>
      <c r="L930" s="71"/>
      <c r="M930" s="71"/>
      <c r="N930" s="71"/>
      <c r="O930" s="70"/>
      <c r="P930" s="73"/>
      <c r="Q930" s="71"/>
      <c r="R930" s="71"/>
      <c r="S930" s="71"/>
      <c r="T930" s="71"/>
      <c r="U930" s="71"/>
      <c r="V930" s="70"/>
      <c r="W930" s="70"/>
      <c r="X930" s="70"/>
      <c r="Y930" s="70"/>
      <c r="Z930" s="83"/>
    </row>
    <row r="931">
      <c r="A931" s="94"/>
      <c r="B931" s="66"/>
      <c r="C931" s="70"/>
      <c r="D931" s="68"/>
      <c r="E931" s="68"/>
      <c r="F931" s="69"/>
      <c r="G931" s="70"/>
      <c r="H931" s="70"/>
      <c r="I931" s="70"/>
      <c r="J931" s="70"/>
      <c r="K931" s="71"/>
      <c r="L931" s="71"/>
      <c r="M931" s="71"/>
      <c r="N931" s="71"/>
      <c r="O931" s="70"/>
      <c r="P931" s="73"/>
      <c r="Q931" s="71"/>
      <c r="R931" s="71"/>
      <c r="S931" s="71"/>
      <c r="T931" s="71"/>
      <c r="U931" s="71"/>
      <c r="V931" s="70"/>
      <c r="W931" s="70"/>
      <c r="X931" s="70"/>
      <c r="Y931" s="70"/>
      <c r="Z931" s="83"/>
    </row>
    <row r="932">
      <c r="A932" s="94"/>
      <c r="B932" s="66"/>
      <c r="C932" s="70"/>
      <c r="D932" s="68"/>
      <c r="E932" s="68"/>
      <c r="F932" s="69"/>
      <c r="G932" s="70"/>
      <c r="H932" s="70"/>
      <c r="I932" s="70"/>
      <c r="J932" s="70"/>
      <c r="K932" s="71"/>
      <c r="L932" s="71"/>
      <c r="M932" s="71"/>
      <c r="N932" s="71"/>
      <c r="O932" s="70"/>
      <c r="P932" s="73"/>
      <c r="Q932" s="71"/>
      <c r="R932" s="71"/>
      <c r="S932" s="71"/>
      <c r="T932" s="71"/>
      <c r="U932" s="71"/>
      <c r="V932" s="70"/>
      <c r="W932" s="70"/>
      <c r="X932" s="70"/>
      <c r="Y932" s="70"/>
      <c r="Z932" s="83"/>
    </row>
    <row r="933">
      <c r="A933" s="94"/>
      <c r="B933" s="66"/>
      <c r="C933" s="70"/>
      <c r="D933" s="68"/>
      <c r="E933" s="68"/>
      <c r="F933" s="69"/>
      <c r="G933" s="70"/>
      <c r="H933" s="70"/>
      <c r="I933" s="70"/>
      <c r="J933" s="70"/>
      <c r="K933" s="71"/>
      <c r="L933" s="71"/>
      <c r="M933" s="71"/>
      <c r="N933" s="71"/>
      <c r="O933" s="70"/>
      <c r="P933" s="73"/>
      <c r="Q933" s="71"/>
      <c r="R933" s="71"/>
      <c r="S933" s="71"/>
      <c r="T933" s="71"/>
      <c r="U933" s="71"/>
      <c r="V933" s="70"/>
      <c r="W933" s="70"/>
      <c r="X933" s="70"/>
      <c r="Y933" s="70"/>
      <c r="Z933" s="83"/>
    </row>
    <row r="934">
      <c r="A934" s="94"/>
      <c r="B934" s="66"/>
      <c r="C934" s="70"/>
      <c r="D934" s="68"/>
      <c r="E934" s="68"/>
      <c r="F934" s="69"/>
      <c r="G934" s="70"/>
      <c r="H934" s="70"/>
      <c r="I934" s="70"/>
      <c r="J934" s="70"/>
      <c r="K934" s="71"/>
      <c r="L934" s="71"/>
      <c r="M934" s="71"/>
      <c r="N934" s="71"/>
      <c r="O934" s="70"/>
      <c r="P934" s="73"/>
      <c r="Q934" s="71"/>
      <c r="R934" s="71"/>
      <c r="S934" s="71"/>
      <c r="T934" s="71"/>
      <c r="U934" s="71"/>
      <c r="V934" s="70"/>
      <c r="W934" s="70"/>
      <c r="X934" s="70"/>
      <c r="Y934" s="70"/>
      <c r="Z934" s="83"/>
    </row>
    <row r="935">
      <c r="A935" s="94"/>
      <c r="B935" s="66"/>
      <c r="C935" s="70"/>
      <c r="D935" s="68"/>
      <c r="E935" s="68"/>
      <c r="F935" s="69"/>
      <c r="G935" s="70"/>
      <c r="H935" s="70"/>
      <c r="I935" s="70"/>
      <c r="J935" s="70"/>
      <c r="K935" s="71"/>
      <c r="L935" s="71"/>
      <c r="M935" s="71"/>
      <c r="N935" s="71"/>
      <c r="O935" s="70"/>
      <c r="P935" s="73"/>
      <c r="Q935" s="71"/>
      <c r="R935" s="71"/>
      <c r="S935" s="71"/>
      <c r="T935" s="71"/>
      <c r="U935" s="71"/>
      <c r="V935" s="70"/>
      <c r="W935" s="70"/>
      <c r="X935" s="70"/>
      <c r="Y935" s="70"/>
      <c r="Z935" s="83"/>
    </row>
    <row r="936">
      <c r="A936" s="94"/>
      <c r="B936" s="66"/>
      <c r="C936" s="70"/>
      <c r="D936" s="68"/>
      <c r="E936" s="68"/>
      <c r="F936" s="69"/>
      <c r="G936" s="70"/>
      <c r="H936" s="70"/>
      <c r="I936" s="70"/>
      <c r="J936" s="70"/>
      <c r="K936" s="71"/>
      <c r="L936" s="71"/>
      <c r="M936" s="71"/>
      <c r="N936" s="71"/>
      <c r="O936" s="70"/>
      <c r="P936" s="73"/>
      <c r="Q936" s="71"/>
      <c r="R936" s="71"/>
      <c r="S936" s="71"/>
      <c r="T936" s="71"/>
      <c r="U936" s="71"/>
      <c r="V936" s="70"/>
      <c r="W936" s="70"/>
      <c r="X936" s="70"/>
      <c r="Y936" s="70"/>
      <c r="Z936" s="83"/>
    </row>
    <row r="937">
      <c r="A937" s="94"/>
      <c r="B937" s="66"/>
      <c r="C937" s="70"/>
      <c r="D937" s="68"/>
      <c r="E937" s="68"/>
      <c r="F937" s="69"/>
      <c r="G937" s="70"/>
      <c r="H937" s="70"/>
      <c r="I937" s="70"/>
      <c r="J937" s="70"/>
      <c r="K937" s="71"/>
      <c r="L937" s="71"/>
      <c r="M937" s="71"/>
      <c r="N937" s="71"/>
      <c r="O937" s="70"/>
      <c r="P937" s="73"/>
      <c r="Q937" s="71"/>
      <c r="R937" s="71"/>
      <c r="S937" s="71"/>
      <c r="T937" s="71"/>
      <c r="U937" s="71"/>
      <c r="V937" s="70"/>
      <c r="W937" s="70"/>
      <c r="X937" s="70"/>
      <c r="Y937" s="70"/>
      <c r="Z937" s="83"/>
    </row>
    <row r="938">
      <c r="A938" s="94"/>
      <c r="B938" s="66"/>
      <c r="C938" s="70"/>
      <c r="D938" s="68"/>
      <c r="E938" s="68"/>
      <c r="F938" s="69"/>
      <c r="G938" s="70"/>
      <c r="H938" s="70"/>
      <c r="I938" s="70"/>
      <c r="J938" s="70"/>
      <c r="K938" s="71"/>
      <c r="L938" s="71"/>
      <c r="M938" s="71"/>
      <c r="N938" s="71"/>
      <c r="O938" s="70"/>
      <c r="P938" s="73"/>
      <c r="Q938" s="71"/>
      <c r="R938" s="71"/>
      <c r="S938" s="71"/>
      <c r="T938" s="71"/>
      <c r="U938" s="71"/>
      <c r="V938" s="70"/>
      <c r="W938" s="70"/>
      <c r="X938" s="70"/>
      <c r="Y938" s="70"/>
      <c r="Z938" s="83"/>
    </row>
    <row r="939">
      <c r="A939" s="94"/>
      <c r="B939" s="66"/>
      <c r="C939" s="70"/>
      <c r="D939" s="68"/>
      <c r="E939" s="68"/>
      <c r="F939" s="69"/>
      <c r="G939" s="70"/>
      <c r="H939" s="70"/>
      <c r="I939" s="70"/>
      <c r="J939" s="70"/>
      <c r="K939" s="71"/>
      <c r="L939" s="71"/>
      <c r="M939" s="71"/>
      <c r="N939" s="71"/>
      <c r="O939" s="70"/>
      <c r="P939" s="73"/>
      <c r="Q939" s="71"/>
      <c r="R939" s="71"/>
      <c r="S939" s="71"/>
      <c r="T939" s="71"/>
      <c r="U939" s="71"/>
      <c r="V939" s="70"/>
      <c r="W939" s="70"/>
      <c r="X939" s="70"/>
      <c r="Y939" s="70"/>
      <c r="Z939" s="83"/>
    </row>
    <row r="940">
      <c r="A940" s="94"/>
      <c r="B940" s="66"/>
      <c r="C940" s="70"/>
      <c r="D940" s="68"/>
      <c r="E940" s="68"/>
      <c r="F940" s="69"/>
      <c r="G940" s="70"/>
      <c r="H940" s="70"/>
      <c r="I940" s="70"/>
      <c r="J940" s="70"/>
      <c r="K940" s="71"/>
      <c r="L940" s="71"/>
      <c r="M940" s="71"/>
      <c r="N940" s="71"/>
      <c r="O940" s="70"/>
      <c r="P940" s="73"/>
      <c r="Q940" s="71"/>
      <c r="R940" s="71"/>
      <c r="S940" s="71"/>
      <c r="T940" s="71"/>
      <c r="U940" s="71"/>
      <c r="V940" s="70"/>
      <c r="W940" s="70"/>
      <c r="X940" s="70"/>
      <c r="Y940" s="70"/>
      <c r="Z940" s="83"/>
    </row>
    <row r="941">
      <c r="A941" s="94"/>
      <c r="B941" s="66"/>
      <c r="C941" s="70"/>
      <c r="D941" s="68"/>
      <c r="E941" s="68"/>
      <c r="F941" s="69"/>
      <c r="G941" s="70"/>
      <c r="H941" s="70"/>
      <c r="I941" s="70"/>
      <c r="J941" s="70"/>
      <c r="K941" s="71"/>
      <c r="L941" s="71"/>
      <c r="M941" s="71"/>
      <c r="N941" s="71"/>
      <c r="O941" s="70"/>
      <c r="P941" s="73"/>
      <c r="Q941" s="71"/>
      <c r="R941" s="71"/>
      <c r="S941" s="71"/>
      <c r="T941" s="71"/>
      <c r="U941" s="71"/>
      <c r="V941" s="70"/>
      <c r="W941" s="70"/>
      <c r="X941" s="70"/>
      <c r="Y941" s="70"/>
      <c r="Z941" s="83"/>
    </row>
    <row r="942">
      <c r="A942" s="94"/>
      <c r="B942" s="66"/>
      <c r="C942" s="70"/>
      <c r="D942" s="68"/>
      <c r="E942" s="68"/>
      <c r="F942" s="69"/>
      <c r="G942" s="70"/>
      <c r="H942" s="70"/>
      <c r="I942" s="70"/>
      <c r="J942" s="70"/>
      <c r="K942" s="71"/>
      <c r="L942" s="71"/>
      <c r="M942" s="71"/>
      <c r="N942" s="71"/>
      <c r="O942" s="70"/>
      <c r="P942" s="73"/>
      <c r="Q942" s="71"/>
      <c r="R942" s="71"/>
      <c r="S942" s="71"/>
      <c r="T942" s="71"/>
      <c r="U942" s="71"/>
      <c r="V942" s="70"/>
      <c r="W942" s="70"/>
      <c r="X942" s="70"/>
      <c r="Y942" s="70"/>
      <c r="Z942" s="83"/>
    </row>
    <row r="943">
      <c r="A943" s="94"/>
      <c r="B943" s="66"/>
      <c r="C943" s="70"/>
      <c r="D943" s="68"/>
      <c r="E943" s="68"/>
      <c r="F943" s="69"/>
      <c r="G943" s="70"/>
      <c r="H943" s="70"/>
      <c r="I943" s="70"/>
      <c r="J943" s="70"/>
      <c r="K943" s="71"/>
      <c r="L943" s="71"/>
      <c r="M943" s="71"/>
      <c r="N943" s="71"/>
      <c r="O943" s="70"/>
      <c r="P943" s="73"/>
      <c r="Q943" s="71"/>
      <c r="R943" s="71"/>
      <c r="S943" s="71"/>
      <c r="T943" s="71"/>
      <c r="U943" s="71"/>
      <c r="V943" s="70"/>
      <c r="W943" s="70"/>
      <c r="X943" s="70"/>
      <c r="Y943" s="70"/>
      <c r="Z943" s="83"/>
    </row>
    <row r="944">
      <c r="A944" s="94"/>
      <c r="B944" s="66"/>
      <c r="C944" s="70"/>
      <c r="D944" s="68"/>
      <c r="E944" s="68"/>
      <c r="F944" s="69"/>
      <c r="G944" s="70"/>
      <c r="H944" s="70"/>
      <c r="I944" s="70"/>
      <c r="J944" s="70"/>
      <c r="K944" s="71"/>
      <c r="L944" s="71"/>
      <c r="M944" s="71"/>
      <c r="N944" s="71"/>
      <c r="O944" s="70"/>
      <c r="P944" s="73"/>
      <c r="Q944" s="71"/>
      <c r="R944" s="71"/>
      <c r="S944" s="71"/>
      <c r="T944" s="71"/>
      <c r="U944" s="71"/>
      <c r="V944" s="70"/>
      <c r="W944" s="70"/>
      <c r="X944" s="70"/>
      <c r="Y944" s="70"/>
      <c r="Z944" s="83"/>
    </row>
    <row r="945">
      <c r="A945" s="94"/>
      <c r="B945" s="66"/>
      <c r="C945" s="70"/>
      <c r="D945" s="68"/>
      <c r="E945" s="68"/>
      <c r="F945" s="69"/>
      <c r="G945" s="70"/>
      <c r="H945" s="70"/>
      <c r="I945" s="70"/>
      <c r="J945" s="70"/>
      <c r="K945" s="71"/>
      <c r="L945" s="71"/>
      <c r="M945" s="71"/>
      <c r="N945" s="71"/>
      <c r="O945" s="70"/>
      <c r="P945" s="73"/>
      <c r="Q945" s="71"/>
      <c r="R945" s="71"/>
      <c r="S945" s="71"/>
      <c r="T945" s="71"/>
      <c r="U945" s="71"/>
      <c r="V945" s="70"/>
      <c r="W945" s="70"/>
      <c r="X945" s="70"/>
      <c r="Y945" s="70"/>
      <c r="Z945" s="83"/>
    </row>
    <row r="946">
      <c r="A946" s="94"/>
      <c r="B946" s="66"/>
      <c r="C946" s="70"/>
      <c r="D946" s="68"/>
      <c r="E946" s="68"/>
      <c r="F946" s="69"/>
      <c r="G946" s="70"/>
      <c r="H946" s="70"/>
      <c r="I946" s="70"/>
      <c r="J946" s="70"/>
      <c r="K946" s="71"/>
      <c r="L946" s="71"/>
      <c r="M946" s="71"/>
      <c r="N946" s="71"/>
      <c r="O946" s="70"/>
      <c r="P946" s="73"/>
      <c r="Q946" s="71"/>
      <c r="R946" s="71"/>
      <c r="S946" s="71"/>
      <c r="T946" s="71"/>
      <c r="U946" s="71"/>
      <c r="V946" s="70"/>
      <c r="W946" s="70"/>
      <c r="X946" s="70"/>
      <c r="Y946" s="70"/>
      <c r="Z946" s="83"/>
    </row>
    <row r="947">
      <c r="A947" s="94"/>
      <c r="B947" s="66"/>
      <c r="C947" s="70"/>
      <c r="D947" s="68"/>
      <c r="E947" s="68"/>
      <c r="F947" s="69"/>
      <c r="G947" s="70"/>
      <c r="H947" s="70"/>
      <c r="I947" s="70"/>
      <c r="J947" s="70"/>
      <c r="K947" s="71"/>
      <c r="L947" s="71"/>
      <c r="M947" s="71"/>
      <c r="N947" s="71"/>
      <c r="O947" s="70"/>
      <c r="P947" s="73"/>
      <c r="Q947" s="71"/>
      <c r="R947" s="71"/>
      <c r="S947" s="71"/>
      <c r="T947" s="71"/>
      <c r="U947" s="71"/>
      <c r="V947" s="70"/>
      <c r="W947" s="70"/>
      <c r="X947" s="70"/>
      <c r="Y947" s="70"/>
      <c r="Z947" s="83"/>
    </row>
    <row r="948">
      <c r="A948" s="94"/>
      <c r="B948" s="66"/>
      <c r="C948" s="70"/>
      <c r="D948" s="68"/>
      <c r="E948" s="68"/>
      <c r="F948" s="69"/>
      <c r="G948" s="70"/>
      <c r="H948" s="70"/>
      <c r="I948" s="70"/>
      <c r="J948" s="70"/>
      <c r="K948" s="71"/>
      <c r="L948" s="71"/>
      <c r="M948" s="71"/>
      <c r="N948" s="71"/>
      <c r="O948" s="70"/>
      <c r="P948" s="73"/>
      <c r="Q948" s="71"/>
      <c r="R948" s="71"/>
      <c r="S948" s="71"/>
      <c r="T948" s="71"/>
      <c r="U948" s="71"/>
      <c r="V948" s="70"/>
      <c r="W948" s="70"/>
      <c r="X948" s="70"/>
      <c r="Y948" s="70"/>
      <c r="Z948" s="83"/>
    </row>
    <row r="949">
      <c r="A949" s="94"/>
      <c r="B949" s="66"/>
      <c r="C949" s="70"/>
      <c r="D949" s="68"/>
      <c r="E949" s="68"/>
      <c r="F949" s="69"/>
      <c r="G949" s="70"/>
      <c r="H949" s="70"/>
      <c r="I949" s="70"/>
      <c r="J949" s="70"/>
      <c r="K949" s="71"/>
      <c r="L949" s="71"/>
      <c r="M949" s="71"/>
      <c r="N949" s="71"/>
      <c r="O949" s="70"/>
      <c r="P949" s="73"/>
      <c r="Q949" s="71"/>
      <c r="R949" s="71"/>
      <c r="S949" s="71"/>
      <c r="T949" s="71"/>
      <c r="U949" s="71"/>
      <c r="V949" s="70"/>
      <c r="W949" s="70"/>
      <c r="X949" s="70"/>
      <c r="Y949" s="70"/>
      <c r="Z949" s="83"/>
    </row>
    <row r="950">
      <c r="A950" s="94"/>
      <c r="B950" s="66"/>
      <c r="C950" s="70"/>
      <c r="D950" s="68"/>
      <c r="E950" s="68"/>
      <c r="F950" s="69"/>
      <c r="G950" s="70"/>
      <c r="H950" s="70"/>
      <c r="I950" s="70"/>
      <c r="J950" s="70"/>
      <c r="K950" s="71"/>
      <c r="L950" s="71"/>
      <c r="M950" s="71"/>
      <c r="N950" s="71"/>
      <c r="O950" s="70"/>
      <c r="P950" s="73"/>
      <c r="Q950" s="71"/>
      <c r="R950" s="71"/>
      <c r="S950" s="71"/>
      <c r="T950" s="71"/>
      <c r="U950" s="71"/>
      <c r="V950" s="70"/>
      <c r="W950" s="70"/>
      <c r="X950" s="70"/>
      <c r="Y950" s="70"/>
      <c r="Z950" s="83"/>
    </row>
    <row r="951">
      <c r="A951" s="94"/>
      <c r="B951" s="66"/>
      <c r="C951" s="70"/>
      <c r="D951" s="68"/>
      <c r="E951" s="68"/>
      <c r="F951" s="69"/>
      <c r="G951" s="70"/>
      <c r="H951" s="70"/>
      <c r="I951" s="70"/>
      <c r="J951" s="70"/>
      <c r="K951" s="71"/>
      <c r="L951" s="71"/>
      <c r="M951" s="71"/>
      <c r="N951" s="71"/>
      <c r="O951" s="70"/>
      <c r="P951" s="73"/>
      <c r="Q951" s="71"/>
      <c r="R951" s="71"/>
      <c r="S951" s="71"/>
      <c r="T951" s="71"/>
      <c r="U951" s="71"/>
      <c r="V951" s="70"/>
      <c r="W951" s="70"/>
      <c r="X951" s="70"/>
      <c r="Y951" s="70"/>
      <c r="Z951" s="83"/>
    </row>
    <row r="952">
      <c r="A952" s="94"/>
      <c r="B952" s="66"/>
      <c r="C952" s="70"/>
      <c r="D952" s="68"/>
      <c r="E952" s="68"/>
      <c r="F952" s="69"/>
      <c r="G952" s="70"/>
      <c r="H952" s="70"/>
      <c r="I952" s="70"/>
      <c r="J952" s="70"/>
      <c r="K952" s="71"/>
      <c r="L952" s="71"/>
      <c r="M952" s="71"/>
      <c r="N952" s="71"/>
      <c r="O952" s="70"/>
      <c r="P952" s="73"/>
      <c r="Q952" s="71"/>
      <c r="R952" s="71"/>
      <c r="S952" s="71"/>
      <c r="T952" s="71"/>
      <c r="U952" s="71"/>
      <c r="V952" s="70"/>
      <c r="W952" s="70"/>
      <c r="X952" s="70"/>
      <c r="Y952" s="70"/>
      <c r="Z952" s="83"/>
    </row>
    <row r="953">
      <c r="A953" s="94"/>
      <c r="B953" s="66"/>
      <c r="C953" s="70"/>
      <c r="D953" s="68"/>
      <c r="E953" s="68"/>
      <c r="F953" s="69"/>
      <c r="G953" s="70"/>
      <c r="H953" s="70"/>
      <c r="I953" s="70"/>
      <c r="J953" s="70"/>
      <c r="K953" s="71"/>
      <c r="L953" s="71"/>
      <c r="M953" s="71"/>
      <c r="N953" s="71"/>
      <c r="O953" s="70"/>
      <c r="P953" s="73"/>
      <c r="Q953" s="71"/>
      <c r="R953" s="71"/>
      <c r="S953" s="71"/>
      <c r="T953" s="71"/>
      <c r="U953" s="71"/>
      <c r="V953" s="70"/>
      <c r="W953" s="70"/>
      <c r="X953" s="70"/>
      <c r="Y953" s="70"/>
      <c r="Z953" s="83"/>
    </row>
    <row r="954">
      <c r="A954" s="94"/>
      <c r="B954" s="66"/>
      <c r="C954" s="70"/>
      <c r="D954" s="68"/>
      <c r="E954" s="68"/>
      <c r="F954" s="69"/>
      <c r="G954" s="70"/>
      <c r="H954" s="70"/>
      <c r="I954" s="70"/>
      <c r="J954" s="70"/>
      <c r="K954" s="71"/>
      <c r="L954" s="71"/>
      <c r="M954" s="71"/>
      <c r="N954" s="71"/>
      <c r="O954" s="70"/>
      <c r="P954" s="73"/>
      <c r="Q954" s="71"/>
      <c r="R954" s="71"/>
      <c r="S954" s="71"/>
      <c r="T954" s="71"/>
      <c r="U954" s="71"/>
      <c r="V954" s="70"/>
      <c r="W954" s="70"/>
      <c r="X954" s="70"/>
      <c r="Y954" s="70"/>
      <c r="Z954" s="83"/>
    </row>
    <row r="955">
      <c r="A955" s="94"/>
      <c r="B955" s="66"/>
      <c r="C955" s="70"/>
      <c r="D955" s="68"/>
      <c r="E955" s="68"/>
      <c r="F955" s="69"/>
      <c r="G955" s="70"/>
      <c r="H955" s="70"/>
      <c r="I955" s="70"/>
      <c r="J955" s="70"/>
      <c r="K955" s="71"/>
      <c r="L955" s="71"/>
      <c r="M955" s="71"/>
      <c r="N955" s="71"/>
      <c r="O955" s="70"/>
      <c r="P955" s="73"/>
      <c r="Q955" s="71"/>
      <c r="R955" s="71"/>
      <c r="S955" s="71"/>
      <c r="T955" s="71"/>
      <c r="U955" s="71"/>
      <c r="V955" s="70"/>
      <c r="W955" s="70"/>
      <c r="X955" s="70"/>
      <c r="Y955" s="70"/>
      <c r="Z955" s="83"/>
    </row>
    <row r="956">
      <c r="A956" s="94"/>
      <c r="B956" s="66"/>
      <c r="C956" s="70"/>
      <c r="D956" s="68"/>
      <c r="E956" s="68"/>
      <c r="F956" s="69"/>
      <c r="G956" s="70"/>
      <c r="H956" s="70"/>
      <c r="I956" s="70"/>
      <c r="J956" s="70"/>
      <c r="K956" s="71"/>
      <c r="L956" s="71"/>
      <c r="M956" s="71"/>
      <c r="N956" s="71"/>
      <c r="O956" s="70"/>
      <c r="P956" s="73"/>
      <c r="Q956" s="71"/>
      <c r="R956" s="71"/>
      <c r="S956" s="71"/>
      <c r="T956" s="71"/>
      <c r="U956" s="71"/>
      <c r="V956" s="70"/>
      <c r="W956" s="70"/>
      <c r="X956" s="70"/>
      <c r="Y956" s="70"/>
      <c r="Z956" s="83"/>
    </row>
    <row r="957">
      <c r="A957" s="94"/>
      <c r="B957" s="66"/>
      <c r="C957" s="70"/>
      <c r="D957" s="68"/>
      <c r="E957" s="68"/>
      <c r="F957" s="69"/>
      <c r="G957" s="70"/>
      <c r="H957" s="70"/>
      <c r="I957" s="70"/>
      <c r="J957" s="70"/>
      <c r="K957" s="71"/>
      <c r="L957" s="71"/>
      <c r="M957" s="71"/>
      <c r="N957" s="71"/>
      <c r="O957" s="70"/>
      <c r="P957" s="73"/>
      <c r="Q957" s="71"/>
      <c r="R957" s="71"/>
      <c r="S957" s="71"/>
      <c r="T957" s="71"/>
      <c r="U957" s="71"/>
      <c r="V957" s="70"/>
      <c r="W957" s="70"/>
      <c r="X957" s="70"/>
      <c r="Y957" s="70"/>
      <c r="Z957" s="83"/>
    </row>
    <row r="958">
      <c r="A958" s="94"/>
      <c r="B958" s="66"/>
      <c r="C958" s="70"/>
      <c r="D958" s="68"/>
      <c r="E958" s="68"/>
      <c r="F958" s="69"/>
      <c r="G958" s="70"/>
      <c r="H958" s="70"/>
      <c r="I958" s="70"/>
      <c r="J958" s="70"/>
      <c r="K958" s="71"/>
      <c r="L958" s="71"/>
      <c r="M958" s="71"/>
      <c r="N958" s="71"/>
      <c r="O958" s="70"/>
      <c r="P958" s="73"/>
      <c r="Q958" s="71"/>
      <c r="R958" s="71"/>
      <c r="S958" s="71"/>
      <c r="T958" s="71"/>
      <c r="U958" s="71"/>
      <c r="V958" s="70"/>
      <c r="W958" s="70"/>
      <c r="X958" s="70"/>
      <c r="Y958" s="70"/>
      <c r="Z958" s="83"/>
    </row>
    <row r="959">
      <c r="A959" s="94"/>
      <c r="B959" s="66"/>
      <c r="C959" s="70"/>
      <c r="D959" s="68"/>
      <c r="E959" s="68"/>
      <c r="F959" s="69"/>
      <c r="G959" s="70"/>
      <c r="H959" s="70"/>
      <c r="I959" s="70"/>
      <c r="J959" s="70"/>
      <c r="K959" s="71"/>
      <c r="L959" s="71"/>
      <c r="M959" s="71"/>
      <c r="N959" s="71"/>
      <c r="O959" s="70"/>
      <c r="P959" s="73"/>
      <c r="Q959" s="71"/>
      <c r="R959" s="71"/>
      <c r="S959" s="71"/>
      <c r="T959" s="71"/>
      <c r="U959" s="71"/>
      <c r="V959" s="70"/>
      <c r="W959" s="70"/>
      <c r="X959" s="70"/>
      <c r="Y959" s="70"/>
      <c r="Z959" s="83"/>
    </row>
    <row r="960">
      <c r="A960" s="94"/>
      <c r="B960" s="66"/>
      <c r="C960" s="70"/>
      <c r="D960" s="68"/>
      <c r="E960" s="68"/>
      <c r="F960" s="69"/>
      <c r="G960" s="70"/>
      <c r="H960" s="70"/>
      <c r="I960" s="70"/>
      <c r="J960" s="70"/>
      <c r="K960" s="71"/>
      <c r="L960" s="71"/>
      <c r="M960" s="71"/>
      <c r="N960" s="71"/>
      <c r="O960" s="70"/>
      <c r="P960" s="73"/>
      <c r="Q960" s="71"/>
      <c r="R960" s="71"/>
      <c r="S960" s="71"/>
      <c r="T960" s="71"/>
      <c r="U960" s="71"/>
      <c r="V960" s="70"/>
      <c r="W960" s="70"/>
      <c r="X960" s="70"/>
      <c r="Y960" s="70"/>
      <c r="Z960" s="83"/>
    </row>
    <row r="961">
      <c r="A961" s="94"/>
      <c r="B961" s="66"/>
      <c r="C961" s="70"/>
      <c r="D961" s="68"/>
      <c r="E961" s="68"/>
      <c r="F961" s="69"/>
      <c r="G961" s="70"/>
      <c r="H961" s="70"/>
      <c r="I961" s="70"/>
      <c r="J961" s="70"/>
      <c r="K961" s="71"/>
      <c r="L961" s="71"/>
      <c r="M961" s="71"/>
      <c r="N961" s="71"/>
      <c r="O961" s="70"/>
      <c r="P961" s="73"/>
      <c r="Q961" s="71"/>
      <c r="R961" s="71"/>
      <c r="S961" s="71"/>
      <c r="T961" s="71"/>
      <c r="U961" s="71"/>
      <c r="V961" s="70"/>
      <c r="W961" s="70"/>
      <c r="X961" s="70"/>
      <c r="Y961" s="70"/>
      <c r="Z961" s="83"/>
    </row>
    <row r="962">
      <c r="A962" s="94"/>
      <c r="B962" s="66"/>
      <c r="C962" s="70"/>
      <c r="D962" s="68"/>
      <c r="E962" s="68"/>
      <c r="F962" s="69"/>
      <c r="G962" s="70"/>
      <c r="H962" s="70"/>
      <c r="I962" s="70"/>
      <c r="J962" s="70"/>
      <c r="K962" s="71"/>
      <c r="L962" s="71"/>
      <c r="M962" s="71"/>
      <c r="N962" s="71"/>
      <c r="O962" s="70"/>
      <c r="P962" s="73"/>
      <c r="Q962" s="71"/>
      <c r="R962" s="71"/>
      <c r="S962" s="71"/>
      <c r="T962" s="71"/>
      <c r="U962" s="71"/>
      <c r="V962" s="70"/>
      <c r="W962" s="70"/>
      <c r="X962" s="70"/>
      <c r="Y962" s="70"/>
      <c r="Z962" s="83"/>
    </row>
    <row r="963">
      <c r="A963" s="94"/>
      <c r="B963" s="66"/>
      <c r="C963" s="70"/>
      <c r="D963" s="68"/>
      <c r="E963" s="68"/>
      <c r="F963" s="69"/>
      <c r="G963" s="70"/>
      <c r="H963" s="70"/>
      <c r="I963" s="70"/>
      <c r="J963" s="70"/>
      <c r="K963" s="71"/>
      <c r="L963" s="71"/>
      <c r="M963" s="71"/>
      <c r="N963" s="71"/>
      <c r="O963" s="70"/>
      <c r="P963" s="73"/>
      <c r="Q963" s="71"/>
      <c r="R963" s="71"/>
      <c r="S963" s="71"/>
      <c r="T963" s="71"/>
      <c r="U963" s="71"/>
      <c r="V963" s="70"/>
      <c r="W963" s="70"/>
      <c r="X963" s="70"/>
      <c r="Y963" s="70"/>
      <c r="Z963" s="83"/>
    </row>
    <row r="964">
      <c r="A964" s="94"/>
      <c r="B964" s="66"/>
      <c r="C964" s="70"/>
      <c r="D964" s="68"/>
      <c r="E964" s="68"/>
      <c r="F964" s="69"/>
      <c r="G964" s="70"/>
      <c r="H964" s="70"/>
      <c r="I964" s="70"/>
      <c r="J964" s="70"/>
      <c r="K964" s="71"/>
      <c r="L964" s="71"/>
      <c r="M964" s="71"/>
      <c r="N964" s="71"/>
      <c r="O964" s="70"/>
      <c r="P964" s="73"/>
      <c r="Q964" s="71"/>
      <c r="R964" s="71"/>
      <c r="S964" s="71"/>
      <c r="T964" s="71"/>
      <c r="U964" s="71"/>
      <c r="V964" s="70"/>
      <c r="W964" s="70"/>
      <c r="X964" s="70"/>
      <c r="Y964" s="70"/>
      <c r="Z964" s="83"/>
    </row>
    <row r="965">
      <c r="A965" s="94"/>
      <c r="B965" s="66"/>
      <c r="C965" s="70"/>
      <c r="D965" s="68"/>
      <c r="E965" s="68"/>
      <c r="F965" s="69"/>
      <c r="G965" s="70"/>
      <c r="H965" s="70"/>
      <c r="I965" s="70"/>
      <c r="J965" s="70"/>
      <c r="K965" s="71"/>
      <c r="L965" s="71"/>
      <c r="M965" s="71"/>
      <c r="N965" s="71"/>
      <c r="O965" s="70"/>
      <c r="P965" s="73"/>
      <c r="Q965" s="71"/>
      <c r="R965" s="71"/>
      <c r="S965" s="71"/>
      <c r="T965" s="71"/>
      <c r="U965" s="71"/>
      <c r="V965" s="70"/>
      <c r="W965" s="70"/>
      <c r="X965" s="70"/>
      <c r="Y965" s="70"/>
      <c r="Z965" s="83"/>
    </row>
    <row r="966">
      <c r="A966" s="94"/>
      <c r="B966" s="66"/>
      <c r="C966" s="70"/>
      <c r="D966" s="68"/>
      <c r="E966" s="68"/>
      <c r="F966" s="69"/>
      <c r="G966" s="70"/>
      <c r="H966" s="70"/>
      <c r="I966" s="70"/>
      <c r="J966" s="70"/>
      <c r="K966" s="71"/>
      <c r="L966" s="71"/>
      <c r="M966" s="71"/>
      <c r="N966" s="71"/>
      <c r="O966" s="70"/>
      <c r="P966" s="73"/>
      <c r="Q966" s="71"/>
      <c r="R966" s="71"/>
      <c r="S966" s="71"/>
      <c r="T966" s="71"/>
      <c r="U966" s="71"/>
      <c r="V966" s="70"/>
      <c r="W966" s="70"/>
      <c r="X966" s="70"/>
      <c r="Y966" s="70"/>
      <c r="Z966" s="83"/>
    </row>
    <row r="967">
      <c r="A967" s="94"/>
      <c r="B967" s="66"/>
      <c r="C967" s="70"/>
      <c r="D967" s="68"/>
      <c r="E967" s="68"/>
      <c r="F967" s="69"/>
      <c r="G967" s="70"/>
      <c r="H967" s="70"/>
      <c r="I967" s="70"/>
      <c r="J967" s="70"/>
      <c r="K967" s="71"/>
      <c r="L967" s="71"/>
      <c r="M967" s="71"/>
      <c r="N967" s="71"/>
      <c r="O967" s="70"/>
      <c r="P967" s="73"/>
      <c r="Q967" s="71"/>
      <c r="R967" s="71"/>
      <c r="S967" s="71"/>
      <c r="T967" s="71"/>
      <c r="U967" s="71"/>
      <c r="V967" s="70"/>
      <c r="W967" s="70"/>
      <c r="X967" s="70"/>
      <c r="Y967" s="70"/>
      <c r="Z967" s="83"/>
    </row>
    <row r="968">
      <c r="A968" s="94"/>
      <c r="B968" s="66"/>
      <c r="C968" s="70"/>
      <c r="D968" s="68"/>
      <c r="E968" s="68"/>
      <c r="F968" s="69"/>
      <c r="G968" s="70"/>
      <c r="H968" s="70"/>
      <c r="I968" s="70"/>
      <c r="J968" s="70"/>
      <c r="K968" s="71"/>
      <c r="L968" s="71"/>
      <c r="M968" s="71"/>
      <c r="N968" s="71"/>
      <c r="O968" s="70"/>
      <c r="P968" s="73"/>
      <c r="Q968" s="71"/>
      <c r="R968" s="71"/>
      <c r="S968" s="71"/>
      <c r="T968" s="71"/>
      <c r="U968" s="71"/>
      <c r="V968" s="70"/>
      <c r="W968" s="70"/>
      <c r="X968" s="70"/>
      <c r="Y968" s="70"/>
      <c r="Z968" s="83"/>
    </row>
    <row r="969">
      <c r="A969" s="94"/>
      <c r="B969" s="66"/>
      <c r="C969" s="70"/>
      <c r="D969" s="68"/>
      <c r="E969" s="68"/>
      <c r="F969" s="69"/>
      <c r="G969" s="70"/>
      <c r="H969" s="70"/>
      <c r="I969" s="70"/>
      <c r="J969" s="70"/>
      <c r="K969" s="71"/>
      <c r="L969" s="71"/>
      <c r="M969" s="71"/>
      <c r="N969" s="71"/>
      <c r="O969" s="70"/>
      <c r="P969" s="73"/>
      <c r="Q969" s="71"/>
      <c r="R969" s="71"/>
      <c r="S969" s="71"/>
      <c r="T969" s="71"/>
      <c r="U969" s="71"/>
      <c r="V969" s="70"/>
      <c r="W969" s="70"/>
      <c r="X969" s="70"/>
      <c r="Y969" s="70"/>
      <c r="Z969" s="83"/>
    </row>
    <row r="970">
      <c r="A970" s="94"/>
      <c r="B970" s="66"/>
      <c r="C970" s="70"/>
      <c r="D970" s="68"/>
      <c r="E970" s="68"/>
      <c r="F970" s="69"/>
      <c r="G970" s="70"/>
      <c r="H970" s="70"/>
      <c r="I970" s="70"/>
      <c r="J970" s="70"/>
      <c r="K970" s="71"/>
      <c r="L970" s="71"/>
      <c r="M970" s="71"/>
      <c r="N970" s="71"/>
      <c r="O970" s="70"/>
      <c r="P970" s="73"/>
      <c r="Q970" s="71"/>
      <c r="R970" s="71"/>
      <c r="S970" s="71"/>
      <c r="T970" s="71"/>
      <c r="U970" s="71"/>
      <c r="V970" s="70"/>
      <c r="W970" s="70"/>
      <c r="X970" s="70"/>
      <c r="Y970" s="70"/>
      <c r="Z970" s="83"/>
    </row>
    <row r="971">
      <c r="A971" s="94"/>
      <c r="B971" s="66"/>
      <c r="C971" s="70"/>
      <c r="D971" s="68"/>
      <c r="E971" s="68"/>
      <c r="F971" s="69"/>
      <c r="G971" s="70"/>
      <c r="H971" s="70"/>
      <c r="I971" s="70"/>
      <c r="J971" s="70"/>
      <c r="K971" s="71"/>
      <c r="L971" s="71"/>
      <c r="M971" s="71"/>
      <c r="N971" s="71"/>
      <c r="O971" s="70"/>
      <c r="P971" s="73"/>
      <c r="Q971" s="71"/>
      <c r="R971" s="71"/>
      <c r="S971" s="71"/>
      <c r="T971" s="71"/>
      <c r="U971" s="71"/>
      <c r="V971" s="70"/>
      <c r="W971" s="70"/>
      <c r="X971" s="70"/>
      <c r="Y971" s="70"/>
      <c r="Z971" s="83"/>
    </row>
    <row r="972">
      <c r="A972" s="94"/>
      <c r="B972" s="66"/>
      <c r="C972" s="70"/>
      <c r="D972" s="68"/>
      <c r="E972" s="68"/>
      <c r="F972" s="69"/>
      <c r="G972" s="70"/>
      <c r="H972" s="70"/>
      <c r="I972" s="70"/>
      <c r="J972" s="70"/>
      <c r="K972" s="71"/>
      <c r="L972" s="71"/>
      <c r="M972" s="71"/>
      <c r="N972" s="71"/>
      <c r="O972" s="70"/>
      <c r="P972" s="73"/>
      <c r="Q972" s="71"/>
      <c r="R972" s="71"/>
      <c r="S972" s="71"/>
      <c r="T972" s="71"/>
      <c r="U972" s="71"/>
      <c r="V972" s="70"/>
      <c r="W972" s="70"/>
      <c r="X972" s="70"/>
      <c r="Y972" s="70"/>
      <c r="Z972" s="83"/>
    </row>
    <row r="973">
      <c r="A973" s="94"/>
      <c r="B973" s="66"/>
      <c r="C973" s="70"/>
      <c r="D973" s="68"/>
      <c r="E973" s="68"/>
      <c r="F973" s="69"/>
      <c r="G973" s="70"/>
      <c r="H973" s="70"/>
      <c r="I973" s="70"/>
      <c r="J973" s="70"/>
      <c r="K973" s="71"/>
      <c r="L973" s="71"/>
      <c r="M973" s="71"/>
      <c r="N973" s="71"/>
      <c r="O973" s="70"/>
      <c r="P973" s="73"/>
      <c r="Q973" s="71"/>
      <c r="R973" s="71"/>
      <c r="S973" s="71"/>
      <c r="T973" s="71"/>
      <c r="U973" s="71"/>
      <c r="V973" s="70"/>
      <c r="W973" s="70"/>
      <c r="X973" s="70"/>
      <c r="Y973" s="70"/>
      <c r="Z973" s="83"/>
    </row>
    <row r="974">
      <c r="A974" s="94"/>
      <c r="B974" s="66"/>
      <c r="C974" s="70"/>
      <c r="D974" s="68"/>
      <c r="E974" s="68"/>
      <c r="F974" s="69"/>
      <c r="G974" s="70"/>
      <c r="H974" s="70"/>
      <c r="I974" s="70"/>
      <c r="J974" s="70"/>
      <c r="K974" s="71"/>
      <c r="L974" s="71"/>
      <c r="M974" s="71"/>
      <c r="N974" s="71"/>
      <c r="O974" s="70"/>
      <c r="P974" s="73"/>
      <c r="Q974" s="71"/>
      <c r="R974" s="71"/>
      <c r="S974" s="71"/>
      <c r="T974" s="71"/>
      <c r="U974" s="71"/>
      <c r="V974" s="70"/>
      <c r="W974" s="70"/>
      <c r="X974" s="70"/>
      <c r="Y974" s="70"/>
      <c r="Z974" s="83"/>
    </row>
    <row r="975">
      <c r="A975" s="94"/>
      <c r="B975" s="66"/>
      <c r="C975" s="70"/>
      <c r="D975" s="68"/>
      <c r="E975" s="68"/>
      <c r="F975" s="69"/>
      <c r="G975" s="70"/>
      <c r="H975" s="70"/>
      <c r="I975" s="70"/>
      <c r="J975" s="70"/>
      <c r="K975" s="71"/>
      <c r="L975" s="71"/>
      <c r="M975" s="71"/>
      <c r="N975" s="71"/>
      <c r="O975" s="70"/>
      <c r="P975" s="73"/>
      <c r="Q975" s="71"/>
      <c r="R975" s="71"/>
      <c r="S975" s="71"/>
      <c r="T975" s="71"/>
      <c r="U975" s="71"/>
      <c r="V975" s="70"/>
      <c r="W975" s="70"/>
      <c r="X975" s="70"/>
      <c r="Y975" s="70"/>
      <c r="Z975" s="83"/>
    </row>
    <row r="976">
      <c r="A976" s="94"/>
      <c r="B976" s="66"/>
      <c r="C976" s="70"/>
      <c r="D976" s="68"/>
      <c r="E976" s="68"/>
      <c r="F976" s="69"/>
      <c r="G976" s="70"/>
      <c r="H976" s="70"/>
      <c r="I976" s="70"/>
      <c r="J976" s="70"/>
      <c r="K976" s="71"/>
      <c r="L976" s="71"/>
      <c r="M976" s="71"/>
      <c r="N976" s="71"/>
      <c r="O976" s="70"/>
      <c r="P976" s="73"/>
      <c r="Q976" s="71"/>
      <c r="R976" s="71"/>
      <c r="S976" s="71"/>
      <c r="T976" s="71"/>
      <c r="U976" s="71"/>
      <c r="V976" s="70"/>
      <c r="W976" s="70"/>
      <c r="X976" s="70"/>
      <c r="Y976" s="70"/>
      <c r="Z976" s="83"/>
    </row>
    <row r="977">
      <c r="A977" s="94"/>
      <c r="B977" s="66"/>
      <c r="C977" s="70"/>
      <c r="D977" s="68"/>
      <c r="E977" s="68"/>
      <c r="F977" s="69"/>
      <c r="G977" s="70"/>
      <c r="H977" s="70"/>
      <c r="I977" s="70"/>
      <c r="J977" s="70"/>
      <c r="K977" s="71"/>
      <c r="L977" s="71"/>
      <c r="M977" s="71"/>
      <c r="N977" s="71"/>
      <c r="O977" s="70"/>
      <c r="P977" s="73"/>
      <c r="Q977" s="71"/>
      <c r="R977" s="71"/>
      <c r="S977" s="71"/>
      <c r="T977" s="71"/>
      <c r="U977" s="71"/>
      <c r="V977" s="70"/>
      <c r="W977" s="70"/>
      <c r="X977" s="70"/>
      <c r="Y977" s="70"/>
      <c r="Z977" s="83"/>
    </row>
    <row r="978">
      <c r="A978" s="94"/>
      <c r="B978" s="66"/>
      <c r="C978" s="70"/>
      <c r="D978" s="68"/>
      <c r="E978" s="68"/>
      <c r="F978" s="69"/>
      <c r="G978" s="70"/>
      <c r="H978" s="70"/>
      <c r="I978" s="70"/>
      <c r="J978" s="70"/>
      <c r="K978" s="71"/>
      <c r="L978" s="71"/>
      <c r="M978" s="71"/>
      <c r="N978" s="71"/>
      <c r="O978" s="70"/>
      <c r="P978" s="73"/>
      <c r="Q978" s="71"/>
      <c r="R978" s="71"/>
      <c r="S978" s="71"/>
      <c r="T978" s="71"/>
      <c r="U978" s="71"/>
      <c r="V978" s="70"/>
      <c r="W978" s="70"/>
      <c r="X978" s="70"/>
      <c r="Y978" s="70"/>
      <c r="Z978" s="83"/>
    </row>
    <row r="979">
      <c r="A979" s="94"/>
      <c r="B979" s="66"/>
      <c r="C979" s="70"/>
      <c r="D979" s="68"/>
      <c r="E979" s="68"/>
      <c r="F979" s="69"/>
      <c r="G979" s="70"/>
      <c r="H979" s="70"/>
      <c r="I979" s="70"/>
      <c r="J979" s="70"/>
      <c r="K979" s="71"/>
      <c r="L979" s="71"/>
      <c r="M979" s="71"/>
      <c r="N979" s="71"/>
      <c r="O979" s="70"/>
      <c r="P979" s="73"/>
      <c r="Q979" s="71"/>
      <c r="R979" s="71"/>
      <c r="S979" s="71"/>
      <c r="T979" s="71"/>
      <c r="U979" s="71"/>
      <c r="V979" s="70"/>
      <c r="W979" s="70"/>
      <c r="X979" s="70"/>
      <c r="Y979" s="70"/>
      <c r="Z979" s="83"/>
    </row>
    <row r="980">
      <c r="A980" s="94"/>
      <c r="B980" s="66"/>
      <c r="C980" s="70"/>
      <c r="D980" s="68"/>
      <c r="E980" s="68"/>
      <c r="F980" s="69"/>
      <c r="G980" s="70"/>
      <c r="H980" s="70"/>
      <c r="I980" s="70"/>
      <c r="J980" s="70"/>
      <c r="K980" s="71"/>
      <c r="L980" s="71"/>
      <c r="M980" s="71"/>
      <c r="N980" s="71"/>
      <c r="O980" s="70"/>
      <c r="P980" s="73"/>
      <c r="Q980" s="71"/>
      <c r="R980" s="71"/>
      <c r="S980" s="71"/>
      <c r="T980" s="71"/>
      <c r="U980" s="71"/>
      <c r="V980" s="70"/>
      <c r="W980" s="70"/>
      <c r="X980" s="70"/>
      <c r="Y980" s="70"/>
      <c r="Z980" s="83"/>
    </row>
    <row r="981">
      <c r="A981" s="94"/>
      <c r="B981" s="66"/>
      <c r="C981" s="70"/>
      <c r="D981" s="68"/>
      <c r="E981" s="68"/>
      <c r="F981" s="69"/>
      <c r="G981" s="70"/>
      <c r="H981" s="70"/>
      <c r="I981" s="70"/>
      <c r="J981" s="70"/>
      <c r="K981" s="71"/>
      <c r="L981" s="71"/>
      <c r="M981" s="71"/>
      <c r="N981" s="71"/>
      <c r="O981" s="70"/>
      <c r="P981" s="73"/>
      <c r="Q981" s="71"/>
      <c r="R981" s="71"/>
      <c r="S981" s="71"/>
      <c r="T981" s="71"/>
      <c r="U981" s="71"/>
      <c r="V981" s="70"/>
      <c r="W981" s="70"/>
      <c r="X981" s="70"/>
      <c r="Y981" s="70"/>
      <c r="Z981" s="83"/>
    </row>
    <row r="982">
      <c r="A982" s="94"/>
      <c r="B982" s="66"/>
      <c r="C982" s="70"/>
      <c r="D982" s="68"/>
      <c r="E982" s="68"/>
      <c r="F982" s="69"/>
      <c r="G982" s="70"/>
      <c r="H982" s="70"/>
      <c r="I982" s="70"/>
      <c r="J982" s="70"/>
      <c r="K982" s="71"/>
      <c r="L982" s="71"/>
      <c r="M982" s="71"/>
      <c r="N982" s="71"/>
      <c r="O982" s="70"/>
      <c r="P982" s="73"/>
      <c r="Q982" s="71"/>
      <c r="R982" s="71"/>
      <c r="S982" s="71"/>
      <c r="T982" s="71"/>
      <c r="U982" s="71"/>
      <c r="V982" s="70"/>
      <c r="W982" s="70"/>
      <c r="X982" s="70"/>
      <c r="Y982" s="70"/>
      <c r="Z982" s="83"/>
    </row>
    <row r="983">
      <c r="A983" s="94"/>
      <c r="B983" s="66"/>
      <c r="C983" s="70"/>
      <c r="D983" s="68"/>
      <c r="E983" s="68"/>
      <c r="F983" s="69"/>
      <c r="G983" s="70"/>
      <c r="H983" s="70"/>
      <c r="I983" s="70"/>
      <c r="J983" s="70"/>
      <c r="K983" s="71"/>
      <c r="L983" s="71"/>
      <c r="M983" s="71"/>
      <c r="N983" s="71"/>
      <c r="O983" s="70"/>
      <c r="P983" s="73"/>
      <c r="Q983" s="71"/>
      <c r="R983" s="71"/>
      <c r="S983" s="71"/>
      <c r="T983" s="71"/>
      <c r="U983" s="71"/>
      <c r="V983" s="70"/>
      <c r="W983" s="70"/>
      <c r="X983" s="70"/>
      <c r="Y983" s="70"/>
      <c r="Z983" s="83"/>
    </row>
    <row r="984">
      <c r="A984" s="94"/>
      <c r="B984" s="66"/>
      <c r="C984" s="70"/>
      <c r="D984" s="68"/>
      <c r="E984" s="68"/>
      <c r="F984" s="69"/>
      <c r="G984" s="70"/>
      <c r="H984" s="70"/>
      <c r="I984" s="70"/>
      <c r="J984" s="70"/>
      <c r="K984" s="71"/>
      <c r="L984" s="71"/>
      <c r="M984" s="71"/>
      <c r="N984" s="71"/>
      <c r="O984" s="70"/>
      <c r="P984" s="73"/>
      <c r="Q984" s="71"/>
      <c r="R984" s="71"/>
      <c r="S984" s="71"/>
      <c r="T984" s="71"/>
      <c r="U984" s="71"/>
      <c r="V984" s="70"/>
      <c r="W984" s="70"/>
      <c r="X984" s="70"/>
      <c r="Y984" s="70"/>
      <c r="Z984" s="83"/>
    </row>
    <row r="985">
      <c r="A985" s="94"/>
      <c r="B985" s="66"/>
      <c r="C985" s="70"/>
      <c r="D985" s="68"/>
      <c r="E985" s="68"/>
      <c r="F985" s="69"/>
      <c r="G985" s="70"/>
      <c r="H985" s="70"/>
      <c r="I985" s="70"/>
      <c r="J985" s="70"/>
      <c r="K985" s="71"/>
      <c r="L985" s="71"/>
      <c r="M985" s="71"/>
      <c r="N985" s="71"/>
      <c r="O985" s="70"/>
      <c r="P985" s="73"/>
      <c r="Q985" s="71"/>
      <c r="R985" s="71"/>
      <c r="S985" s="71"/>
      <c r="T985" s="71"/>
      <c r="U985" s="71"/>
      <c r="V985" s="70"/>
      <c r="W985" s="70"/>
      <c r="X985" s="70"/>
      <c r="Y985" s="70"/>
      <c r="Z985" s="83"/>
    </row>
    <row r="986">
      <c r="A986" s="94"/>
      <c r="B986" s="66"/>
      <c r="C986" s="70"/>
      <c r="D986" s="68"/>
      <c r="E986" s="68"/>
      <c r="F986" s="69"/>
      <c r="G986" s="70"/>
      <c r="H986" s="70"/>
      <c r="I986" s="70"/>
      <c r="J986" s="70"/>
      <c r="K986" s="71"/>
      <c r="L986" s="71"/>
      <c r="M986" s="71"/>
      <c r="N986" s="71"/>
      <c r="O986" s="70"/>
      <c r="P986" s="73"/>
      <c r="Q986" s="71"/>
      <c r="R986" s="71"/>
      <c r="S986" s="71"/>
      <c r="T986" s="71"/>
      <c r="U986" s="71"/>
      <c r="V986" s="70"/>
      <c r="W986" s="70"/>
      <c r="X986" s="70"/>
      <c r="Y986" s="70"/>
      <c r="Z986" s="83"/>
    </row>
    <row r="987">
      <c r="A987" s="94"/>
      <c r="B987" s="66"/>
      <c r="C987" s="70"/>
      <c r="D987" s="68"/>
      <c r="E987" s="68"/>
      <c r="F987" s="69"/>
      <c r="G987" s="70"/>
      <c r="H987" s="70"/>
      <c r="I987" s="70"/>
      <c r="J987" s="70"/>
      <c r="K987" s="71"/>
      <c r="L987" s="71"/>
      <c r="M987" s="71"/>
      <c r="N987" s="71"/>
      <c r="O987" s="70"/>
      <c r="P987" s="73"/>
      <c r="Q987" s="71"/>
      <c r="R987" s="71"/>
      <c r="S987" s="71"/>
      <c r="T987" s="71"/>
      <c r="U987" s="71"/>
      <c r="V987" s="70"/>
      <c r="W987" s="70"/>
      <c r="X987" s="70"/>
      <c r="Y987" s="70"/>
      <c r="Z987" s="83"/>
    </row>
    <row r="988">
      <c r="A988" s="94"/>
      <c r="B988" s="66"/>
      <c r="C988" s="70"/>
      <c r="D988" s="68"/>
      <c r="E988" s="68"/>
      <c r="F988" s="69"/>
      <c r="G988" s="70"/>
      <c r="H988" s="70"/>
      <c r="I988" s="70"/>
      <c r="J988" s="70"/>
      <c r="K988" s="71"/>
      <c r="L988" s="71"/>
      <c r="M988" s="71"/>
      <c r="N988" s="71"/>
      <c r="O988" s="70"/>
      <c r="P988" s="73"/>
      <c r="Q988" s="71"/>
      <c r="R988" s="71"/>
      <c r="S988" s="71"/>
      <c r="T988" s="71"/>
      <c r="U988" s="71"/>
      <c r="V988" s="70"/>
      <c r="W988" s="70"/>
      <c r="X988" s="70"/>
      <c r="Y988" s="70"/>
      <c r="Z988" s="83"/>
    </row>
    <row r="989">
      <c r="A989" s="94"/>
      <c r="B989" s="66"/>
      <c r="C989" s="70"/>
      <c r="D989" s="68"/>
      <c r="E989" s="68"/>
      <c r="F989" s="69"/>
      <c r="G989" s="70"/>
      <c r="H989" s="70"/>
      <c r="I989" s="70"/>
      <c r="J989" s="70"/>
      <c r="K989" s="71"/>
      <c r="L989" s="71"/>
      <c r="M989" s="71"/>
      <c r="N989" s="71"/>
      <c r="O989" s="70"/>
      <c r="P989" s="73"/>
      <c r="Q989" s="71"/>
      <c r="R989" s="71"/>
      <c r="S989" s="71"/>
      <c r="T989" s="71"/>
      <c r="U989" s="71"/>
      <c r="V989" s="70"/>
      <c r="W989" s="70"/>
      <c r="X989" s="70"/>
      <c r="Y989" s="70"/>
      <c r="Z989" s="83"/>
    </row>
    <row r="990">
      <c r="A990" s="94"/>
      <c r="B990" s="66"/>
      <c r="C990" s="70"/>
      <c r="D990" s="68"/>
      <c r="E990" s="68"/>
      <c r="F990" s="69"/>
      <c r="G990" s="70"/>
      <c r="H990" s="70"/>
      <c r="I990" s="70"/>
      <c r="J990" s="70"/>
      <c r="K990" s="71"/>
      <c r="L990" s="71"/>
      <c r="M990" s="71"/>
      <c r="N990" s="71"/>
      <c r="O990" s="70"/>
      <c r="P990" s="73"/>
      <c r="Q990" s="71"/>
      <c r="R990" s="71"/>
      <c r="S990" s="71"/>
      <c r="T990" s="71"/>
      <c r="U990" s="71"/>
      <c r="V990" s="70"/>
      <c r="W990" s="70"/>
      <c r="X990" s="70"/>
      <c r="Y990" s="70"/>
      <c r="Z990" s="83"/>
    </row>
    <row r="991">
      <c r="A991" s="94"/>
      <c r="B991" s="66"/>
      <c r="C991" s="70"/>
      <c r="D991" s="68"/>
      <c r="E991" s="68"/>
      <c r="F991" s="69"/>
      <c r="G991" s="70"/>
      <c r="H991" s="70"/>
      <c r="I991" s="70"/>
      <c r="J991" s="70"/>
      <c r="K991" s="71"/>
      <c r="L991" s="71"/>
      <c r="M991" s="71"/>
      <c r="N991" s="71"/>
      <c r="O991" s="70"/>
      <c r="P991" s="73"/>
      <c r="Q991" s="71"/>
      <c r="R991" s="71"/>
      <c r="S991" s="71"/>
      <c r="T991" s="71"/>
      <c r="U991" s="71"/>
      <c r="V991" s="70"/>
      <c r="W991" s="70"/>
      <c r="X991" s="70"/>
      <c r="Y991" s="70"/>
      <c r="Z991" s="83"/>
    </row>
    <row r="992">
      <c r="A992" s="94"/>
      <c r="B992" s="66"/>
      <c r="C992" s="70"/>
      <c r="D992" s="68"/>
      <c r="E992" s="68"/>
      <c r="F992" s="69"/>
      <c r="G992" s="70"/>
      <c r="H992" s="70"/>
      <c r="I992" s="70"/>
      <c r="J992" s="70"/>
      <c r="K992" s="71"/>
      <c r="L992" s="71"/>
      <c r="M992" s="71"/>
      <c r="N992" s="71"/>
      <c r="O992" s="70"/>
      <c r="P992" s="73"/>
      <c r="Q992" s="71"/>
      <c r="R992" s="71"/>
      <c r="S992" s="71"/>
      <c r="T992" s="71"/>
      <c r="U992" s="71"/>
      <c r="V992" s="70"/>
      <c r="W992" s="70"/>
      <c r="X992" s="70"/>
      <c r="Y992" s="70"/>
      <c r="Z992" s="83"/>
    </row>
    <row r="993">
      <c r="A993" s="94"/>
      <c r="B993" s="66"/>
      <c r="C993" s="70"/>
      <c r="D993" s="68"/>
      <c r="E993" s="68"/>
      <c r="F993" s="69"/>
      <c r="G993" s="70"/>
      <c r="H993" s="70"/>
      <c r="I993" s="70"/>
      <c r="J993" s="70"/>
      <c r="K993" s="71"/>
      <c r="L993" s="71"/>
      <c r="M993" s="71"/>
      <c r="N993" s="71"/>
      <c r="O993" s="70"/>
      <c r="P993" s="73"/>
      <c r="Q993" s="71"/>
      <c r="R993" s="71"/>
      <c r="S993" s="71"/>
      <c r="T993" s="71"/>
      <c r="U993" s="71"/>
      <c r="V993" s="70"/>
      <c r="W993" s="70"/>
      <c r="X993" s="70"/>
      <c r="Y993" s="70"/>
      <c r="Z993" s="83"/>
    </row>
    <row r="994">
      <c r="A994" s="94"/>
      <c r="B994" s="66"/>
      <c r="C994" s="70"/>
      <c r="D994" s="68"/>
      <c r="E994" s="68"/>
      <c r="F994" s="69"/>
      <c r="G994" s="70"/>
      <c r="H994" s="70"/>
      <c r="I994" s="70"/>
      <c r="J994" s="70"/>
      <c r="K994" s="71"/>
      <c r="L994" s="71"/>
      <c r="M994" s="71"/>
      <c r="N994" s="71"/>
      <c r="O994" s="70"/>
      <c r="P994" s="73"/>
      <c r="Q994" s="71"/>
      <c r="R994" s="71"/>
      <c r="S994" s="71"/>
      <c r="T994" s="71"/>
      <c r="U994" s="71"/>
      <c r="V994" s="70"/>
      <c r="W994" s="70"/>
      <c r="X994" s="70"/>
      <c r="Y994" s="70"/>
      <c r="Z994" s="83"/>
    </row>
    <row r="995">
      <c r="A995" s="94"/>
      <c r="B995" s="66"/>
      <c r="C995" s="70"/>
      <c r="D995" s="68"/>
      <c r="E995" s="68"/>
      <c r="F995" s="69"/>
      <c r="G995" s="70"/>
      <c r="H995" s="70"/>
      <c r="I995" s="70"/>
      <c r="J995" s="70"/>
      <c r="K995" s="71"/>
      <c r="L995" s="71"/>
      <c r="M995" s="71"/>
      <c r="N995" s="71"/>
      <c r="O995" s="70"/>
      <c r="P995" s="73"/>
      <c r="Q995" s="71"/>
      <c r="R995" s="71"/>
      <c r="S995" s="71"/>
      <c r="T995" s="71"/>
      <c r="U995" s="71"/>
      <c r="V995" s="70"/>
      <c r="W995" s="70"/>
      <c r="X995" s="70"/>
      <c r="Y995" s="70"/>
      <c r="Z995" s="83"/>
    </row>
    <row r="996">
      <c r="A996" s="94"/>
      <c r="B996" s="66"/>
      <c r="C996" s="70"/>
      <c r="D996" s="68"/>
      <c r="E996" s="68"/>
      <c r="F996" s="69"/>
      <c r="G996" s="70"/>
      <c r="H996" s="70"/>
      <c r="I996" s="70"/>
      <c r="J996" s="70"/>
      <c r="K996" s="71"/>
      <c r="L996" s="71"/>
      <c r="M996" s="71"/>
      <c r="N996" s="71"/>
      <c r="O996" s="70"/>
      <c r="P996" s="73"/>
      <c r="Q996" s="71"/>
      <c r="R996" s="71"/>
      <c r="S996" s="71"/>
      <c r="T996" s="71"/>
      <c r="U996" s="71"/>
      <c r="V996" s="70"/>
      <c r="W996" s="70"/>
      <c r="X996" s="70"/>
      <c r="Y996" s="70"/>
      <c r="Z996" s="83"/>
    </row>
    <row r="997">
      <c r="A997" s="94"/>
      <c r="B997" s="66"/>
      <c r="C997" s="70"/>
      <c r="D997" s="68"/>
      <c r="E997" s="68"/>
      <c r="F997" s="69"/>
      <c r="G997" s="70"/>
      <c r="H997" s="70"/>
      <c r="I997" s="70"/>
      <c r="J997" s="70"/>
      <c r="K997" s="71"/>
      <c r="L997" s="71"/>
      <c r="M997" s="71"/>
      <c r="N997" s="71"/>
      <c r="O997" s="70"/>
      <c r="P997" s="73"/>
      <c r="Q997" s="71"/>
      <c r="R997" s="71"/>
      <c r="S997" s="71"/>
      <c r="T997" s="71"/>
      <c r="U997" s="71"/>
      <c r="V997" s="70"/>
      <c r="W997" s="70"/>
      <c r="X997" s="70"/>
      <c r="Y997" s="70"/>
      <c r="Z997" s="83"/>
    </row>
    <row r="998">
      <c r="A998" s="94"/>
      <c r="B998" s="66"/>
      <c r="C998" s="70"/>
      <c r="D998" s="68"/>
      <c r="E998" s="68"/>
      <c r="F998" s="69"/>
      <c r="G998" s="70"/>
      <c r="H998" s="70"/>
      <c r="I998" s="70"/>
      <c r="J998" s="70"/>
      <c r="K998" s="71"/>
      <c r="L998" s="71"/>
      <c r="M998" s="71"/>
      <c r="N998" s="71"/>
      <c r="O998" s="70"/>
      <c r="P998" s="73"/>
      <c r="Q998" s="71"/>
      <c r="R998" s="71"/>
      <c r="S998" s="71"/>
      <c r="T998" s="71"/>
      <c r="U998" s="71"/>
      <c r="V998" s="70"/>
      <c r="W998" s="70"/>
      <c r="X998" s="70"/>
      <c r="Y998" s="70"/>
      <c r="Z998" s="83"/>
    </row>
    <row r="999">
      <c r="A999" s="94"/>
      <c r="B999" s="66"/>
      <c r="C999" s="70"/>
      <c r="D999" s="68"/>
      <c r="E999" s="68"/>
      <c r="F999" s="69"/>
      <c r="G999" s="70"/>
      <c r="H999" s="70"/>
      <c r="I999" s="70"/>
      <c r="J999" s="70"/>
      <c r="K999" s="71"/>
      <c r="L999" s="71"/>
      <c r="M999" s="71"/>
      <c r="N999" s="71"/>
      <c r="O999" s="70"/>
      <c r="P999" s="73"/>
      <c r="Q999" s="71"/>
      <c r="R999" s="71"/>
      <c r="S999" s="71"/>
      <c r="T999" s="71"/>
      <c r="U999" s="71"/>
      <c r="V999" s="70"/>
      <c r="W999" s="70"/>
      <c r="X999" s="70"/>
      <c r="Y999" s="70"/>
      <c r="Z999" s="83"/>
    </row>
    <row r="1000">
      <c r="A1000" s="94"/>
      <c r="B1000" s="66"/>
      <c r="C1000" s="70"/>
      <c r="D1000" s="68"/>
      <c r="E1000" s="68"/>
      <c r="F1000" s="69"/>
      <c r="G1000" s="70"/>
      <c r="H1000" s="70"/>
      <c r="I1000" s="70"/>
      <c r="J1000" s="70"/>
      <c r="K1000" s="71"/>
      <c r="L1000" s="71"/>
      <c r="M1000" s="71"/>
      <c r="N1000" s="71"/>
      <c r="O1000" s="70"/>
      <c r="P1000" s="73"/>
      <c r="Q1000" s="71"/>
      <c r="R1000" s="71"/>
      <c r="S1000" s="71"/>
      <c r="T1000" s="71"/>
      <c r="U1000" s="71"/>
      <c r="V1000" s="70"/>
      <c r="W1000" s="70"/>
      <c r="X1000" s="70"/>
      <c r="Y1000" s="70"/>
      <c r="Z1000" s="83"/>
    </row>
    <row r="1001">
      <c r="A1001" s="94"/>
      <c r="B1001" s="66"/>
      <c r="C1001" s="70"/>
      <c r="D1001" s="68"/>
      <c r="E1001" s="68"/>
      <c r="F1001" s="69"/>
      <c r="G1001" s="70"/>
      <c r="H1001" s="70"/>
      <c r="I1001" s="70"/>
      <c r="J1001" s="70"/>
      <c r="K1001" s="71"/>
      <c r="L1001" s="71"/>
      <c r="M1001" s="71"/>
      <c r="N1001" s="71"/>
      <c r="O1001" s="70"/>
      <c r="P1001" s="73"/>
      <c r="Q1001" s="71"/>
      <c r="R1001" s="71"/>
      <c r="S1001" s="71"/>
      <c r="T1001" s="71"/>
      <c r="U1001" s="71"/>
      <c r="V1001" s="70"/>
      <c r="W1001" s="70"/>
      <c r="X1001" s="70"/>
      <c r="Y1001" s="70"/>
      <c r="Z1001" s="83"/>
    </row>
    <row r="1002">
      <c r="A1002" s="94"/>
      <c r="B1002" s="66"/>
      <c r="C1002" s="70"/>
      <c r="D1002" s="68"/>
      <c r="E1002" s="68"/>
      <c r="F1002" s="69"/>
      <c r="G1002" s="70"/>
      <c r="H1002" s="70"/>
      <c r="I1002" s="70"/>
      <c r="J1002" s="70"/>
      <c r="K1002" s="71"/>
      <c r="L1002" s="71"/>
      <c r="M1002" s="71"/>
      <c r="N1002" s="71"/>
      <c r="O1002" s="70"/>
      <c r="P1002" s="73"/>
      <c r="Q1002" s="71"/>
      <c r="R1002" s="71"/>
      <c r="S1002" s="71"/>
      <c r="T1002" s="71"/>
      <c r="U1002" s="71"/>
      <c r="V1002" s="70"/>
      <c r="W1002" s="70"/>
      <c r="X1002" s="70"/>
      <c r="Y1002" s="70"/>
      <c r="Z1002" s="83"/>
    </row>
    <row r="1003">
      <c r="A1003" s="94"/>
      <c r="B1003" s="66"/>
      <c r="C1003" s="70"/>
      <c r="D1003" s="68"/>
      <c r="E1003" s="68"/>
      <c r="F1003" s="69"/>
      <c r="G1003" s="70"/>
      <c r="H1003" s="70"/>
      <c r="I1003" s="70"/>
      <c r="J1003" s="70"/>
      <c r="K1003" s="71"/>
      <c r="L1003" s="71"/>
      <c r="M1003" s="71"/>
      <c r="N1003" s="71"/>
      <c r="O1003" s="70"/>
      <c r="P1003" s="73"/>
      <c r="Q1003" s="71"/>
      <c r="R1003" s="71"/>
      <c r="S1003" s="71"/>
      <c r="T1003" s="71"/>
      <c r="U1003" s="71"/>
      <c r="V1003" s="70"/>
      <c r="W1003" s="70"/>
      <c r="X1003" s="70"/>
      <c r="Y1003" s="70"/>
      <c r="Z1003" s="83"/>
    </row>
    <row r="1004">
      <c r="A1004" s="94"/>
      <c r="B1004" s="66"/>
      <c r="C1004" s="70"/>
      <c r="D1004" s="68"/>
      <c r="E1004" s="68"/>
      <c r="F1004" s="69"/>
      <c r="G1004" s="70"/>
      <c r="H1004" s="70"/>
      <c r="I1004" s="70"/>
      <c r="J1004" s="70"/>
      <c r="K1004" s="71"/>
      <c r="L1004" s="71"/>
      <c r="M1004" s="71"/>
      <c r="N1004" s="71"/>
      <c r="O1004" s="70"/>
      <c r="P1004" s="73"/>
      <c r="Q1004" s="71"/>
      <c r="R1004" s="71"/>
      <c r="S1004" s="71"/>
      <c r="T1004" s="71"/>
      <c r="U1004" s="71"/>
      <c r="V1004" s="70"/>
      <c r="W1004" s="70"/>
      <c r="X1004" s="70"/>
      <c r="Y1004" s="70"/>
      <c r="Z1004" s="83"/>
    </row>
    <row r="1005">
      <c r="A1005" s="94"/>
      <c r="B1005" s="66"/>
      <c r="C1005" s="70"/>
      <c r="D1005" s="68"/>
      <c r="E1005" s="68"/>
      <c r="F1005" s="69"/>
      <c r="G1005" s="70"/>
      <c r="H1005" s="70"/>
      <c r="I1005" s="70"/>
      <c r="J1005" s="70"/>
      <c r="K1005" s="71"/>
      <c r="L1005" s="71"/>
      <c r="M1005" s="71"/>
      <c r="N1005" s="71"/>
      <c r="O1005" s="70"/>
      <c r="P1005" s="73"/>
      <c r="Q1005" s="71"/>
      <c r="R1005" s="71"/>
      <c r="S1005" s="71"/>
      <c r="T1005" s="71"/>
      <c r="U1005" s="71"/>
      <c r="V1005" s="70"/>
      <c r="W1005" s="70"/>
      <c r="X1005" s="70"/>
      <c r="Y1005" s="70"/>
      <c r="Z1005" s="83"/>
    </row>
    <row r="1006">
      <c r="A1006" s="94"/>
      <c r="B1006" s="66"/>
      <c r="C1006" s="70"/>
      <c r="D1006" s="68"/>
      <c r="E1006" s="68"/>
      <c r="F1006" s="69"/>
      <c r="G1006" s="70"/>
      <c r="H1006" s="70"/>
      <c r="I1006" s="70"/>
      <c r="J1006" s="70"/>
      <c r="K1006" s="71"/>
      <c r="L1006" s="71"/>
      <c r="M1006" s="71"/>
      <c r="N1006" s="71"/>
      <c r="O1006" s="70"/>
      <c r="P1006" s="73"/>
      <c r="Q1006" s="71"/>
      <c r="R1006" s="71"/>
      <c r="S1006" s="71"/>
      <c r="T1006" s="71"/>
      <c r="U1006" s="71"/>
      <c r="V1006" s="70"/>
      <c r="W1006" s="70"/>
      <c r="X1006" s="70"/>
      <c r="Y1006" s="70"/>
      <c r="Z1006" s="83"/>
    </row>
    <row r="1007">
      <c r="A1007" s="94"/>
      <c r="B1007" s="66"/>
      <c r="C1007" s="70"/>
      <c r="D1007" s="68"/>
      <c r="E1007" s="68"/>
      <c r="F1007" s="69"/>
      <c r="G1007" s="70"/>
      <c r="H1007" s="70"/>
      <c r="I1007" s="70"/>
      <c r="J1007" s="70"/>
      <c r="K1007" s="71"/>
      <c r="L1007" s="71"/>
      <c r="M1007" s="71"/>
      <c r="N1007" s="71"/>
      <c r="O1007" s="70"/>
      <c r="P1007" s="73"/>
      <c r="Q1007" s="71"/>
      <c r="R1007" s="71"/>
      <c r="S1007" s="71"/>
      <c r="T1007" s="71"/>
      <c r="U1007" s="71"/>
      <c r="V1007" s="70"/>
      <c r="W1007" s="70"/>
      <c r="X1007" s="70"/>
      <c r="Y1007" s="70"/>
      <c r="Z1007" s="83"/>
    </row>
    <row r="1008">
      <c r="A1008" s="94"/>
      <c r="B1008" s="66"/>
      <c r="C1008" s="70"/>
      <c r="D1008" s="68"/>
      <c r="E1008" s="68"/>
      <c r="F1008" s="69"/>
      <c r="G1008" s="70"/>
      <c r="H1008" s="70"/>
      <c r="I1008" s="70"/>
      <c r="J1008" s="70"/>
      <c r="K1008" s="71"/>
      <c r="L1008" s="71"/>
      <c r="M1008" s="71"/>
      <c r="N1008" s="71"/>
      <c r="O1008" s="70"/>
      <c r="P1008" s="73"/>
      <c r="Q1008" s="71"/>
      <c r="R1008" s="71"/>
      <c r="S1008" s="71"/>
      <c r="T1008" s="71"/>
      <c r="U1008" s="71"/>
      <c r="V1008" s="70"/>
      <c r="W1008" s="70"/>
      <c r="X1008" s="70"/>
      <c r="Y1008" s="70"/>
      <c r="Z1008" s="83"/>
    </row>
    <row r="1009">
      <c r="A1009" s="94"/>
      <c r="B1009" s="66"/>
      <c r="C1009" s="70"/>
      <c r="D1009" s="68"/>
      <c r="E1009" s="68"/>
      <c r="F1009" s="69"/>
      <c r="G1009" s="70"/>
      <c r="H1009" s="70"/>
      <c r="I1009" s="70"/>
      <c r="J1009" s="70"/>
      <c r="K1009" s="71"/>
      <c r="L1009" s="71"/>
      <c r="M1009" s="71"/>
      <c r="N1009" s="71"/>
      <c r="O1009" s="70"/>
      <c r="P1009" s="73"/>
      <c r="Q1009" s="71"/>
      <c r="R1009" s="71"/>
      <c r="S1009" s="71"/>
      <c r="T1009" s="71"/>
      <c r="U1009" s="71"/>
      <c r="V1009" s="70"/>
      <c r="W1009" s="70"/>
      <c r="X1009" s="70"/>
      <c r="Y1009" s="70"/>
      <c r="Z1009" s="83"/>
    </row>
    <row r="1010">
      <c r="A1010" s="94"/>
      <c r="B1010" s="66"/>
      <c r="C1010" s="70"/>
      <c r="D1010" s="68"/>
      <c r="E1010" s="68"/>
      <c r="F1010" s="69"/>
      <c r="G1010" s="70"/>
      <c r="H1010" s="70"/>
      <c r="I1010" s="70"/>
      <c r="J1010" s="70"/>
      <c r="K1010" s="71"/>
      <c r="L1010" s="71"/>
      <c r="M1010" s="71"/>
      <c r="N1010" s="71"/>
      <c r="O1010" s="70"/>
      <c r="P1010" s="73"/>
      <c r="Q1010" s="71"/>
      <c r="R1010" s="71"/>
      <c r="S1010" s="71"/>
      <c r="T1010" s="71"/>
      <c r="U1010" s="71"/>
      <c r="V1010" s="70"/>
      <c r="W1010" s="70"/>
      <c r="X1010" s="70"/>
      <c r="Y1010" s="70"/>
      <c r="Z1010" s="83"/>
    </row>
    <row r="1011">
      <c r="A1011" s="94"/>
      <c r="B1011" s="66"/>
      <c r="C1011" s="70"/>
      <c r="D1011" s="68"/>
      <c r="E1011" s="68"/>
      <c r="F1011" s="69"/>
      <c r="G1011" s="70"/>
      <c r="H1011" s="70"/>
      <c r="I1011" s="70"/>
      <c r="J1011" s="70"/>
      <c r="K1011" s="71"/>
      <c r="L1011" s="71"/>
      <c r="M1011" s="71"/>
      <c r="N1011" s="71"/>
      <c r="O1011" s="70"/>
      <c r="P1011" s="73"/>
      <c r="Q1011" s="71"/>
      <c r="R1011" s="71"/>
      <c r="S1011" s="71"/>
      <c r="T1011" s="71"/>
      <c r="U1011" s="71"/>
      <c r="V1011" s="70"/>
      <c r="W1011" s="70"/>
      <c r="X1011" s="70"/>
      <c r="Y1011" s="70"/>
      <c r="Z1011" s="83"/>
    </row>
    <row r="1012">
      <c r="A1012" s="94"/>
      <c r="B1012" s="66"/>
      <c r="C1012" s="70"/>
      <c r="D1012" s="68"/>
      <c r="E1012" s="68"/>
      <c r="F1012" s="69"/>
      <c r="G1012" s="70"/>
      <c r="H1012" s="70"/>
      <c r="I1012" s="70"/>
      <c r="J1012" s="70"/>
      <c r="K1012" s="71"/>
      <c r="L1012" s="71"/>
      <c r="M1012" s="71"/>
      <c r="N1012" s="71"/>
      <c r="O1012" s="70"/>
      <c r="P1012" s="73"/>
      <c r="Q1012" s="71"/>
      <c r="R1012" s="71"/>
      <c r="S1012" s="71"/>
      <c r="T1012" s="71"/>
      <c r="U1012" s="71"/>
      <c r="V1012" s="70"/>
      <c r="W1012" s="70"/>
      <c r="X1012" s="70"/>
      <c r="Y1012" s="70"/>
      <c r="Z1012" s="83"/>
    </row>
    <row r="1013">
      <c r="A1013" s="94"/>
      <c r="B1013" s="66"/>
      <c r="C1013" s="70"/>
      <c r="D1013" s="68"/>
      <c r="E1013" s="68"/>
      <c r="F1013" s="69"/>
      <c r="G1013" s="70"/>
      <c r="H1013" s="70"/>
      <c r="I1013" s="70"/>
      <c r="J1013" s="70"/>
      <c r="K1013" s="71"/>
      <c r="L1013" s="71"/>
      <c r="M1013" s="71"/>
      <c r="N1013" s="71"/>
      <c r="O1013" s="70"/>
      <c r="P1013" s="73"/>
      <c r="Q1013" s="71"/>
      <c r="R1013" s="71"/>
      <c r="S1013" s="71"/>
      <c r="T1013" s="71"/>
      <c r="U1013" s="71"/>
      <c r="V1013" s="70"/>
      <c r="W1013" s="70"/>
      <c r="X1013" s="70"/>
      <c r="Y1013" s="70"/>
      <c r="Z1013" s="83"/>
    </row>
    <row r="1014">
      <c r="A1014" s="94"/>
      <c r="B1014" s="66"/>
      <c r="C1014" s="70"/>
      <c r="D1014" s="68"/>
      <c r="E1014" s="68"/>
      <c r="F1014" s="69"/>
      <c r="G1014" s="70"/>
      <c r="H1014" s="70"/>
      <c r="I1014" s="70"/>
      <c r="J1014" s="70"/>
      <c r="K1014" s="71"/>
      <c r="L1014" s="71"/>
      <c r="M1014" s="71"/>
      <c r="N1014" s="71"/>
      <c r="O1014" s="70"/>
      <c r="P1014" s="73"/>
      <c r="Q1014" s="71"/>
      <c r="R1014" s="71"/>
      <c r="S1014" s="71"/>
      <c r="T1014" s="71"/>
      <c r="U1014" s="71"/>
      <c r="V1014" s="70"/>
      <c r="W1014" s="70"/>
      <c r="X1014" s="70"/>
      <c r="Y1014" s="70"/>
      <c r="Z1014" s="83"/>
    </row>
    <row r="1015">
      <c r="A1015" s="94"/>
      <c r="B1015" s="66"/>
      <c r="C1015" s="70"/>
      <c r="D1015" s="68"/>
      <c r="E1015" s="68"/>
      <c r="F1015" s="69"/>
      <c r="G1015" s="70"/>
      <c r="H1015" s="70"/>
      <c r="I1015" s="70"/>
      <c r="J1015" s="70"/>
      <c r="K1015" s="71"/>
      <c r="L1015" s="71"/>
      <c r="M1015" s="71"/>
      <c r="N1015" s="71"/>
      <c r="O1015" s="70"/>
      <c r="P1015" s="73"/>
      <c r="Q1015" s="71"/>
      <c r="R1015" s="71"/>
      <c r="S1015" s="71"/>
      <c r="T1015" s="71"/>
      <c r="U1015" s="71"/>
      <c r="V1015" s="70"/>
      <c r="W1015" s="70"/>
      <c r="X1015" s="70"/>
      <c r="Y1015" s="70"/>
      <c r="Z1015" s="83"/>
    </row>
    <row r="1016">
      <c r="A1016" s="94"/>
      <c r="B1016" s="66"/>
      <c r="C1016" s="70"/>
      <c r="D1016" s="68"/>
      <c r="E1016" s="68"/>
      <c r="F1016" s="69"/>
      <c r="G1016" s="70"/>
      <c r="H1016" s="70"/>
      <c r="I1016" s="70"/>
      <c r="J1016" s="70"/>
      <c r="K1016" s="71"/>
      <c r="L1016" s="71"/>
      <c r="M1016" s="71"/>
      <c r="N1016" s="71"/>
      <c r="O1016" s="70"/>
      <c r="P1016" s="73"/>
      <c r="Q1016" s="71"/>
      <c r="R1016" s="71"/>
      <c r="S1016" s="71"/>
      <c r="T1016" s="71"/>
      <c r="U1016" s="71"/>
      <c r="V1016" s="70"/>
      <c r="W1016" s="70"/>
      <c r="X1016" s="70"/>
      <c r="Y1016" s="70"/>
      <c r="Z1016" s="83"/>
    </row>
    <row r="1017">
      <c r="A1017" s="94"/>
      <c r="B1017" s="66"/>
      <c r="C1017" s="70"/>
      <c r="D1017" s="68"/>
      <c r="E1017" s="68"/>
      <c r="F1017" s="69"/>
      <c r="G1017" s="70"/>
      <c r="H1017" s="70"/>
      <c r="I1017" s="70"/>
      <c r="J1017" s="70"/>
      <c r="K1017" s="71"/>
      <c r="L1017" s="71"/>
      <c r="M1017" s="71"/>
      <c r="N1017" s="71"/>
      <c r="O1017" s="70"/>
      <c r="P1017" s="73"/>
      <c r="Q1017" s="71"/>
      <c r="R1017" s="71"/>
      <c r="S1017" s="71"/>
      <c r="T1017" s="71"/>
      <c r="U1017" s="71"/>
      <c r="V1017" s="70"/>
      <c r="W1017" s="70"/>
      <c r="X1017" s="70"/>
      <c r="Y1017" s="70"/>
      <c r="Z1017" s="83"/>
    </row>
    <row r="1018">
      <c r="A1018" s="94"/>
      <c r="B1018" s="66"/>
      <c r="C1018" s="70"/>
      <c r="D1018" s="68"/>
      <c r="E1018" s="68"/>
      <c r="F1018" s="69"/>
      <c r="G1018" s="70"/>
      <c r="H1018" s="70"/>
      <c r="I1018" s="70"/>
      <c r="J1018" s="70"/>
      <c r="K1018" s="71"/>
      <c r="L1018" s="71"/>
      <c r="M1018" s="71"/>
      <c r="N1018" s="71"/>
      <c r="O1018" s="70"/>
      <c r="P1018" s="73"/>
      <c r="Q1018" s="71"/>
      <c r="R1018" s="71"/>
      <c r="S1018" s="71"/>
      <c r="T1018" s="71"/>
      <c r="U1018" s="71"/>
      <c r="V1018" s="70"/>
      <c r="W1018" s="70"/>
      <c r="X1018" s="70"/>
      <c r="Y1018" s="70"/>
      <c r="Z1018" s="83"/>
    </row>
    <row r="1019">
      <c r="A1019" s="94"/>
      <c r="B1019" s="66"/>
      <c r="C1019" s="70"/>
      <c r="D1019" s="68"/>
      <c r="E1019" s="68"/>
      <c r="F1019" s="69"/>
      <c r="G1019" s="70"/>
      <c r="H1019" s="70"/>
      <c r="I1019" s="70"/>
      <c r="J1019" s="70"/>
      <c r="K1019" s="71"/>
      <c r="L1019" s="71"/>
      <c r="M1019" s="71"/>
      <c r="N1019" s="71"/>
      <c r="O1019" s="70"/>
      <c r="P1019" s="73"/>
      <c r="Q1019" s="71"/>
      <c r="R1019" s="71"/>
      <c r="S1019" s="71"/>
      <c r="T1019" s="71"/>
      <c r="U1019" s="71"/>
      <c r="V1019" s="70"/>
      <c r="W1019" s="70"/>
      <c r="X1019" s="70"/>
      <c r="Y1019" s="70"/>
      <c r="Z1019" s="83"/>
    </row>
    <row r="1020">
      <c r="A1020" s="94"/>
      <c r="B1020" s="66"/>
      <c r="C1020" s="70"/>
      <c r="D1020" s="68"/>
      <c r="E1020" s="68"/>
      <c r="F1020" s="69"/>
      <c r="G1020" s="70"/>
      <c r="H1020" s="70"/>
      <c r="I1020" s="70"/>
      <c r="J1020" s="70"/>
      <c r="K1020" s="71"/>
      <c r="L1020" s="71"/>
      <c r="M1020" s="71"/>
      <c r="N1020" s="71"/>
      <c r="O1020" s="70"/>
      <c r="P1020" s="73"/>
      <c r="Q1020" s="71"/>
      <c r="R1020" s="71"/>
      <c r="S1020" s="71"/>
      <c r="T1020" s="71"/>
      <c r="U1020" s="71"/>
      <c r="V1020" s="70"/>
      <c r="W1020" s="70"/>
      <c r="X1020" s="70"/>
      <c r="Y1020" s="70"/>
      <c r="Z1020" s="83"/>
    </row>
    <row r="1021">
      <c r="A1021" s="94"/>
      <c r="B1021" s="66"/>
      <c r="C1021" s="70"/>
      <c r="D1021" s="68"/>
      <c r="E1021" s="68"/>
      <c r="F1021" s="69"/>
      <c r="G1021" s="70"/>
      <c r="H1021" s="70"/>
      <c r="I1021" s="70"/>
      <c r="J1021" s="70"/>
      <c r="K1021" s="71"/>
      <c r="L1021" s="71"/>
      <c r="M1021" s="71"/>
      <c r="N1021" s="71"/>
      <c r="O1021" s="70"/>
      <c r="P1021" s="73"/>
      <c r="Q1021" s="71"/>
      <c r="R1021" s="71"/>
      <c r="S1021" s="71"/>
      <c r="T1021" s="71"/>
      <c r="U1021" s="71"/>
      <c r="V1021" s="70"/>
      <c r="W1021" s="70"/>
      <c r="X1021" s="70"/>
      <c r="Y1021" s="70"/>
      <c r="Z1021" s="83"/>
    </row>
    <row r="1022">
      <c r="A1022" s="94"/>
      <c r="B1022" s="66"/>
      <c r="C1022" s="70"/>
      <c r="D1022" s="68"/>
      <c r="E1022" s="68"/>
      <c r="F1022" s="69"/>
      <c r="G1022" s="70"/>
      <c r="H1022" s="70"/>
      <c r="I1022" s="70"/>
      <c r="J1022" s="70"/>
      <c r="K1022" s="71"/>
      <c r="L1022" s="71"/>
      <c r="M1022" s="71"/>
      <c r="N1022" s="71"/>
      <c r="O1022" s="70"/>
      <c r="P1022" s="73"/>
      <c r="Q1022" s="71"/>
      <c r="R1022" s="71"/>
      <c r="S1022" s="71"/>
      <c r="T1022" s="71"/>
      <c r="U1022" s="71"/>
      <c r="V1022" s="70"/>
      <c r="W1022" s="70"/>
      <c r="X1022" s="70"/>
      <c r="Y1022" s="70"/>
      <c r="Z1022" s="83"/>
    </row>
    <row r="1023">
      <c r="A1023" s="94"/>
      <c r="B1023" s="66"/>
      <c r="C1023" s="70"/>
      <c r="D1023" s="68"/>
      <c r="E1023" s="68"/>
      <c r="F1023" s="69"/>
      <c r="G1023" s="70"/>
      <c r="H1023" s="70"/>
      <c r="I1023" s="70"/>
      <c r="J1023" s="70"/>
      <c r="K1023" s="71"/>
      <c r="L1023" s="71"/>
      <c r="M1023" s="71"/>
      <c r="N1023" s="71"/>
      <c r="O1023" s="70"/>
      <c r="P1023" s="73"/>
      <c r="Q1023" s="71"/>
      <c r="R1023" s="71"/>
      <c r="S1023" s="71"/>
      <c r="T1023" s="71"/>
      <c r="U1023" s="71"/>
      <c r="V1023" s="70"/>
      <c r="W1023" s="70"/>
      <c r="X1023" s="70"/>
      <c r="Y1023" s="70"/>
      <c r="Z1023" s="83"/>
    </row>
    <row r="1024">
      <c r="A1024" s="94"/>
      <c r="B1024" s="66"/>
      <c r="C1024" s="70"/>
      <c r="D1024" s="68"/>
      <c r="E1024" s="68"/>
      <c r="F1024" s="69"/>
      <c r="G1024" s="70"/>
      <c r="H1024" s="70"/>
      <c r="I1024" s="70"/>
      <c r="J1024" s="70"/>
      <c r="K1024" s="71"/>
      <c r="L1024" s="71"/>
      <c r="M1024" s="71"/>
      <c r="N1024" s="71"/>
      <c r="O1024" s="70"/>
      <c r="P1024" s="73"/>
      <c r="Q1024" s="71"/>
      <c r="R1024" s="71"/>
      <c r="S1024" s="71"/>
      <c r="T1024" s="71"/>
      <c r="U1024" s="71"/>
      <c r="V1024" s="70"/>
      <c r="W1024" s="70"/>
      <c r="X1024" s="70"/>
      <c r="Y1024" s="70"/>
      <c r="Z1024" s="83"/>
    </row>
    <row r="1025">
      <c r="A1025" s="94"/>
      <c r="B1025" s="66"/>
      <c r="C1025" s="70"/>
      <c r="D1025" s="68"/>
      <c r="E1025" s="68"/>
      <c r="F1025" s="69"/>
      <c r="G1025" s="70"/>
      <c r="H1025" s="70"/>
      <c r="I1025" s="70"/>
      <c r="J1025" s="70"/>
      <c r="K1025" s="71"/>
      <c r="L1025" s="71"/>
      <c r="M1025" s="71"/>
      <c r="N1025" s="71"/>
      <c r="O1025" s="70"/>
      <c r="P1025" s="73"/>
      <c r="Q1025" s="71"/>
      <c r="R1025" s="71"/>
      <c r="S1025" s="71"/>
      <c r="T1025" s="71"/>
      <c r="U1025" s="71"/>
      <c r="V1025" s="70"/>
      <c r="W1025" s="70"/>
      <c r="X1025" s="70"/>
      <c r="Y1025" s="70"/>
      <c r="Z1025" s="83"/>
    </row>
    <row r="1026">
      <c r="A1026" s="94"/>
      <c r="B1026" s="66"/>
      <c r="C1026" s="70"/>
      <c r="D1026" s="68"/>
      <c r="E1026" s="68"/>
      <c r="F1026" s="69"/>
      <c r="G1026" s="70"/>
      <c r="H1026" s="70"/>
      <c r="I1026" s="70"/>
      <c r="J1026" s="70"/>
      <c r="K1026" s="71"/>
      <c r="L1026" s="71"/>
      <c r="M1026" s="71"/>
      <c r="N1026" s="71"/>
      <c r="O1026" s="70"/>
      <c r="P1026" s="73"/>
      <c r="Q1026" s="71"/>
      <c r="R1026" s="71"/>
      <c r="S1026" s="71"/>
      <c r="T1026" s="71"/>
      <c r="U1026" s="71"/>
      <c r="V1026" s="70"/>
      <c r="W1026" s="70"/>
      <c r="X1026" s="70"/>
      <c r="Y1026" s="70"/>
      <c r="Z1026" s="83"/>
    </row>
    <row r="1027">
      <c r="A1027" s="94"/>
      <c r="B1027" s="66"/>
      <c r="C1027" s="70"/>
      <c r="D1027" s="68"/>
      <c r="E1027" s="68"/>
      <c r="F1027" s="69"/>
      <c r="G1027" s="70"/>
      <c r="H1027" s="70"/>
      <c r="I1027" s="70"/>
      <c r="J1027" s="70"/>
      <c r="K1027" s="71"/>
      <c r="L1027" s="71"/>
      <c r="M1027" s="71"/>
      <c r="N1027" s="71"/>
      <c r="O1027" s="70"/>
      <c r="P1027" s="73"/>
      <c r="Q1027" s="71"/>
      <c r="R1027" s="71"/>
      <c r="S1027" s="71"/>
      <c r="T1027" s="71"/>
      <c r="U1027" s="71"/>
      <c r="V1027" s="70"/>
      <c r="W1027" s="70"/>
      <c r="X1027" s="70"/>
      <c r="Y1027" s="70"/>
      <c r="Z1027" s="83"/>
    </row>
    <row r="1028">
      <c r="A1028" s="94"/>
      <c r="B1028" s="66"/>
      <c r="C1028" s="70"/>
      <c r="D1028" s="68"/>
      <c r="E1028" s="68"/>
      <c r="F1028" s="69"/>
      <c r="G1028" s="70"/>
      <c r="H1028" s="70"/>
      <c r="I1028" s="70"/>
      <c r="J1028" s="70"/>
      <c r="K1028" s="71"/>
      <c r="L1028" s="71"/>
      <c r="M1028" s="71"/>
      <c r="N1028" s="71"/>
      <c r="O1028" s="70"/>
      <c r="P1028" s="73"/>
      <c r="Q1028" s="71"/>
      <c r="R1028" s="71"/>
      <c r="S1028" s="71"/>
      <c r="T1028" s="71"/>
      <c r="U1028" s="71"/>
      <c r="V1028" s="70"/>
      <c r="W1028" s="70"/>
      <c r="X1028" s="70"/>
      <c r="Y1028" s="70"/>
      <c r="Z1028" s="83"/>
    </row>
    <row r="1029">
      <c r="A1029" s="94"/>
      <c r="B1029" s="66"/>
      <c r="C1029" s="70"/>
      <c r="D1029" s="68"/>
      <c r="E1029" s="68"/>
      <c r="F1029" s="69"/>
      <c r="G1029" s="70"/>
      <c r="H1029" s="70"/>
      <c r="I1029" s="70"/>
      <c r="J1029" s="70"/>
      <c r="K1029" s="71"/>
      <c r="L1029" s="71"/>
      <c r="M1029" s="71"/>
      <c r="N1029" s="71"/>
      <c r="O1029" s="70"/>
      <c r="P1029" s="73"/>
      <c r="Q1029" s="71"/>
      <c r="R1029" s="71"/>
      <c r="S1029" s="71"/>
      <c r="T1029" s="71"/>
      <c r="U1029" s="71"/>
      <c r="V1029" s="70"/>
      <c r="W1029" s="70"/>
      <c r="X1029" s="70"/>
      <c r="Y1029" s="70"/>
      <c r="Z1029" s="83"/>
    </row>
    <row r="1030">
      <c r="A1030" s="94"/>
      <c r="B1030" s="66"/>
      <c r="C1030" s="70"/>
      <c r="D1030" s="68"/>
      <c r="E1030" s="68"/>
      <c r="F1030" s="69"/>
      <c r="G1030" s="70"/>
      <c r="H1030" s="70"/>
      <c r="I1030" s="70"/>
      <c r="J1030" s="70"/>
      <c r="K1030" s="71"/>
      <c r="L1030" s="71"/>
      <c r="M1030" s="71"/>
      <c r="N1030" s="71"/>
      <c r="O1030" s="70"/>
      <c r="P1030" s="73"/>
      <c r="Q1030" s="71"/>
      <c r="R1030" s="71"/>
      <c r="S1030" s="71"/>
      <c r="T1030" s="71"/>
      <c r="U1030" s="71"/>
      <c r="V1030" s="70"/>
      <c r="W1030" s="70"/>
      <c r="X1030" s="70"/>
      <c r="Y1030" s="70"/>
      <c r="Z1030" s="83"/>
    </row>
    <row r="1031">
      <c r="A1031" s="94"/>
      <c r="B1031" s="66"/>
      <c r="C1031" s="70"/>
      <c r="D1031" s="68"/>
      <c r="E1031" s="68"/>
      <c r="F1031" s="69"/>
      <c r="G1031" s="70"/>
      <c r="H1031" s="70"/>
      <c r="I1031" s="70"/>
      <c r="J1031" s="70"/>
      <c r="K1031" s="71"/>
      <c r="L1031" s="71"/>
      <c r="M1031" s="71"/>
      <c r="N1031" s="71"/>
      <c r="O1031" s="70"/>
      <c r="P1031" s="73"/>
      <c r="Q1031" s="71"/>
      <c r="R1031" s="71"/>
      <c r="S1031" s="71"/>
      <c r="T1031" s="71"/>
      <c r="U1031" s="71"/>
      <c r="V1031" s="70"/>
      <c r="W1031" s="70"/>
      <c r="X1031" s="70"/>
      <c r="Y1031" s="70"/>
      <c r="Z1031" s="83"/>
    </row>
    <row r="1032">
      <c r="A1032" s="94"/>
      <c r="B1032" s="66"/>
      <c r="C1032" s="70"/>
      <c r="D1032" s="68"/>
      <c r="E1032" s="68"/>
      <c r="F1032" s="69"/>
      <c r="G1032" s="70"/>
      <c r="H1032" s="70"/>
      <c r="I1032" s="70"/>
      <c r="J1032" s="70"/>
      <c r="K1032" s="71"/>
      <c r="L1032" s="71"/>
      <c r="M1032" s="71"/>
      <c r="N1032" s="71"/>
      <c r="O1032" s="70"/>
      <c r="P1032" s="73"/>
      <c r="Q1032" s="71"/>
      <c r="R1032" s="71"/>
      <c r="S1032" s="71"/>
      <c r="T1032" s="71"/>
      <c r="U1032" s="71"/>
      <c r="V1032" s="70"/>
      <c r="W1032" s="70"/>
      <c r="X1032" s="70"/>
      <c r="Y1032" s="70"/>
      <c r="Z1032" s="83"/>
    </row>
    <row r="1033">
      <c r="A1033" s="94"/>
      <c r="B1033" s="66"/>
      <c r="C1033" s="70"/>
      <c r="D1033" s="68"/>
      <c r="E1033" s="68"/>
      <c r="F1033" s="69"/>
      <c r="G1033" s="70"/>
      <c r="H1033" s="70"/>
      <c r="I1033" s="70"/>
      <c r="J1033" s="70"/>
      <c r="K1033" s="71"/>
      <c r="L1033" s="71"/>
      <c r="M1033" s="71"/>
      <c r="N1033" s="71"/>
      <c r="O1033" s="70"/>
      <c r="P1033" s="73"/>
      <c r="Q1033" s="71"/>
      <c r="R1033" s="71"/>
      <c r="S1033" s="71"/>
      <c r="T1033" s="71"/>
      <c r="U1033" s="71"/>
      <c r="V1033" s="70"/>
      <c r="W1033" s="70"/>
      <c r="X1033" s="70"/>
      <c r="Y1033" s="70"/>
      <c r="Z1033" s="83"/>
    </row>
    <row r="1034">
      <c r="A1034" s="94"/>
      <c r="B1034" s="66"/>
      <c r="C1034" s="70"/>
      <c r="D1034" s="68"/>
      <c r="E1034" s="68"/>
      <c r="F1034" s="69"/>
      <c r="G1034" s="70"/>
      <c r="H1034" s="70"/>
      <c r="I1034" s="70"/>
      <c r="J1034" s="70"/>
      <c r="K1034" s="71"/>
      <c r="L1034" s="71"/>
      <c r="M1034" s="71"/>
      <c r="N1034" s="71"/>
      <c r="O1034" s="70"/>
      <c r="P1034" s="73"/>
      <c r="Q1034" s="71"/>
      <c r="R1034" s="71"/>
      <c r="S1034" s="71"/>
      <c r="T1034" s="71"/>
      <c r="U1034" s="71"/>
      <c r="V1034" s="70"/>
      <c r="W1034" s="70"/>
      <c r="X1034" s="70"/>
      <c r="Y1034" s="70"/>
      <c r="Z1034" s="83"/>
    </row>
    <row r="1035">
      <c r="A1035" s="94"/>
      <c r="B1035" s="66"/>
      <c r="C1035" s="70"/>
      <c r="D1035" s="68"/>
      <c r="E1035" s="68"/>
      <c r="F1035" s="69"/>
      <c r="G1035" s="70"/>
      <c r="H1035" s="70"/>
      <c r="I1035" s="70"/>
      <c r="J1035" s="70"/>
      <c r="K1035" s="71"/>
      <c r="L1035" s="71"/>
      <c r="M1035" s="71"/>
      <c r="N1035" s="71"/>
      <c r="O1035" s="70"/>
      <c r="P1035" s="73"/>
      <c r="Q1035" s="71"/>
      <c r="R1035" s="71"/>
      <c r="S1035" s="71"/>
      <c r="T1035" s="71"/>
      <c r="U1035" s="71"/>
      <c r="V1035" s="70"/>
      <c r="W1035" s="70"/>
      <c r="X1035" s="70"/>
      <c r="Y1035" s="70"/>
      <c r="Z1035" s="83"/>
    </row>
    <row r="1036">
      <c r="A1036" s="94"/>
      <c r="B1036" s="66"/>
      <c r="C1036" s="70"/>
      <c r="D1036" s="68"/>
      <c r="E1036" s="68"/>
      <c r="F1036" s="69"/>
      <c r="G1036" s="70"/>
      <c r="H1036" s="70"/>
      <c r="I1036" s="70"/>
      <c r="J1036" s="70"/>
      <c r="K1036" s="71"/>
      <c r="L1036" s="71"/>
      <c r="M1036" s="71"/>
      <c r="N1036" s="71"/>
      <c r="O1036" s="70"/>
      <c r="P1036" s="73"/>
      <c r="Q1036" s="71"/>
      <c r="R1036" s="71"/>
      <c r="S1036" s="71"/>
      <c r="T1036" s="71"/>
      <c r="U1036" s="71"/>
      <c r="V1036" s="70"/>
      <c r="W1036" s="70"/>
      <c r="X1036" s="70"/>
      <c r="Y1036" s="70"/>
      <c r="Z1036" s="83"/>
    </row>
    <row r="1037">
      <c r="A1037" s="94"/>
      <c r="B1037" s="66"/>
      <c r="C1037" s="70"/>
      <c r="D1037" s="68"/>
      <c r="E1037" s="68"/>
      <c r="F1037" s="69"/>
      <c r="G1037" s="70"/>
      <c r="H1037" s="70"/>
      <c r="I1037" s="70"/>
      <c r="J1037" s="70"/>
      <c r="K1037" s="71"/>
      <c r="L1037" s="71"/>
      <c r="M1037" s="71"/>
      <c r="N1037" s="71"/>
      <c r="O1037" s="70"/>
      <c r="P1037" s="73"/>
      <c r="Q1037" s="71"/>
      <c r="R1037" s="71"/>
      <c r="S1037" s="71"/>
      <c r="T1037" s="71"/>
      <c r="U1037" s="71"/>
      <c r="V1037" s="70"/>
      <c r="W1037" s="70"/>
      <c r="X1037" s="70"/>
      <c r="Y1037" s="70"/>
      <c r="Z1037" s="83"/>
    </row>
    <row r="1038">
      <c r="A1038" s="94"/>
      <c r="B1038" s="66"/>
      <c r="C1038" s="70"/>
      <c r="D1038" s="68"/>
      <c r="E1038" s="68"/>
      <c r="F1038" s="69"/>
      <c r="G1038" s="70"/>
      <c r="H1038" s="70"/>
      <c r="I1038" s="70"/>
      <c r="J1038" s="70"/>
      <c r="K1038" s="71"/>
      <c r="L1038" s="71"/>
      <c r="M1038" s="71"/>
      <c r="N1038" s="71"/>
      <c r="O1038" s="70"/>
      <c r="P1038" s="73"/>
      <c r="Q1038" s="71"/>
      <c r="R1038" s="71"/>
      <c r="S1038" s="71"/>
      <c r="T1038" s="71"/>
      <c r="U1038" s="71"/>
      <c r="V1038" s="70"/>
      <c r="W1038" s="70"/>
      <c r="X1038" s="70"/>
      <c r="Y1038" s="70"/>
      <c r="Z1038" s="83"/>
    </row>
    <row r="1039">
      <c r="A1039" s="94"/>
      <c r="B1039" s="66"/>
      <c r="C1039" s="70"/>
      <c r="D1039" s="68"/>
      <c r="E1039" s="68"/>
      <c r="F1039" s="69"/>
      <c r="G1039" s="70"/>
      <c r="H1039" s="70"/>
      <c r="I1039" s="70"/>
      <c r="J1039" s="70"/>
      <c r="K1039" s="71"/>
      <c r="L1039" s="71"/>
      <c r="M1039" s="71"/>
      <c r="N1039" s="71"/>
      <c r="O1039" s="70"/>
      <c r="P1039" s="73"/>
      <c r="Q1039" s="71"/>
      <c r="R1039" s="71"/>
      <c r="S1039" s="71"/>
      <c r="T1039" s="71"/>
      <c r="U1039" s="71"/>
      <c r="V1039" s="70"/>
      <c r="W1039" s="70"/>
      <c r="X1039" s="70"/>
      <c r="Y1039" s="70"/>
      <c r="Z1039" s="83"/>
    </row>
    <row r="1040">
      <c r="A1040" s="94"/>
      <c r="B1040" s="66"/>
      <c r="C1040" s="70"/>
      <c r="D1040" s="68"/>
      <c r="E1040" s="68"/>
      <c r="F1040" s="69"/>
      <c r="G1040" s="70"/>
      <c r="H1040" s="70"/>
      <c r="I1040" s="70"/>
      <c r="J1040" s="70"/>
      <c r="K1040" s="71"/>
      <c r="L1040" s="71"/>
      <c r="M1040" s="71"/>
      <c r="N1040" s="71"/>
      <c r="O1040" s="70"/>
      <c r="P1040" s="73"/>
      <c r="Q1040" s="71"/>
      <c r="R1040" s="71"/>
      <c r="S1040" s="71"/>
      <c r="T1040" s="71"/>
      <c r="U1040" s="71"/>
      <c r="V1040" s="70"/>
      <c r="W1040" s="70"/>
      <c r="X1040" s="70"/>
      <c r="Y1040" s="70"/>
      <c r="Z1040" s="83"/>
    </row>
    <row r="1041">
      <c r="A1041" s="94"/>
      <c r="B1041" s="66"/>
      <c r="C1041" s="70"/>
      <c r="D1041" s="68"/>
      <c r="E1041" s="68"/>
      <c r="F1041" s="69"/>
      <c r="G1041" s="70"/>
      <c r="H1041" s="70"/>
      <c r="I1041" s="70"/>
      <c r="J1041" s="70"/>
      <c r="K1041" s="71"/>
      <c r="L1041" s="71"/>
      <c r="M1041" s="71"/>
      <c r="N1041" s="71"/>
      <c r="O1041" s="70"/>
      <c r="P1041" s="73"/>
      <c r="Q1041" s="71"/>
      <c r="R1041" s="71"/>
      <c r="S1041" s="71"/>
      <c r="T1041" s="71"/>
      <c r="U1041" s="71"/>
      <c r="V1041" s="70"/>
      <c r="W1041" s="70"/>
      <c r="X1041" s="70"/>
      <c r="Y1041" s="70"/>
      <c r="Z1041" s="83"/>
    </row>
    <row r="1042">
      <c r="A1042" s="94"/>
      <c r="B1042" s="66"/>
      <c r="C1042" s="70"/>
      <c r="D1042" s="68"/>
      <c r="E1042" s="68"/>
      <c r="F1042" s="69"/>
      <c r="G1042" s="70"/>
      <c r="H1042" s="70"/>
      <c r="I1042" s="70"/>
      <c r="J1042" s="70"/>
      <c r="K1042" s="71"/>
      <c r="L1042" s="71"/>
      <c r="M1042" s="71"/>
      <c r="N1042" s="71"/>
      <c r="O1042" s="70"/>
      <c r="P1042" s="73"/>
      <c r="Q1042" s="71"/>
      <c r="R1042" s="71"/>
      <c r="S1042" s="71"/>
      <c r="T1042" s="71"/>
      <c r="U1042" s="71"/>
      <c r="V1042" s="70"/>
      <c r="W1042" s="70"/>
      <c r="X1042" s="70"/>
      <c r="Y1042" s="70"/>
      <c r="Z1042" s="83"/>
    </row>
    <row r="1043">
      <c r="A1043" s="94"/>
      <c r="B1043" s="66"/>
      <c r="C1043" s="70"/>
      <c r="D1043" s="68"/>
      <c r="E1043" s="68"/>
      <c r="F1043" s="69"/>
      <c r="G1043" s="70"/>
      <c r="H1043" s="70"/>
      <c r="I1043" s="70"/>
      <c r="J1043" s="70"/>
      <c r="K1043" s="71"/>
      <c r="L1043" s="71"/>
      <c r="M1043" s="71"/>
      <c r="N1043" s="71"/>
      <c r="O1043" s="70"/>
      <c r="P1043" s="73"/>
      <c r="Q1043" s="71"/>
      <c r="R1043" s="71"/>
      <c r="S1043" s="71"/>
      <c r="T1043" s="71"/>
      <c r="U1043" s="71"/>
      <c r="V1043" s="70"/>
      <c r="W1043" s="70"/>
      <c r="X1043" s="70"/>
      <c r="Y1043" s="70"/>
      <c r="Z1043" s="83"/>
    </row>
    <row r="1044">
      <c r="A1044" s="94"/>
      <c r="B1044" s="66"/>
      <c r="C1044" s="70"/>
      <c r="D1044" s="68"/>
      <c r="E1044" s="68"/>
      <c r="F1044" s="69"/>
      <c r="G1044" s="70"/>
      <c r="H1044" s="70"/>
      <c r="I1044" s="70"/>
      <c r="J1044" s="70"/>
      <c r="K1044" s="71"/>
      <c r="L1044" s="71"/>
      <c r="M1044" s="71"/>
      <c r="N1044" s="71"/>
      <c r="O1044" s="70"/>
      <c r="P1044" s="73"/>
      <c r="Q1044" s="71"/>
      <c r="R1044" s="71"/>
      <c r="S1044" s="71"/>
      <c r="T1044" s="71"/>
      <c r="U1044" s="71"/>
      <c r="V1044" s="70"/>
      <c r="W1044" s="70"/>
      <c r="X1044" s="70"/>
      <c r="Y1044" s="70"/>
      <c r="Z1044" s="83"/>
    </row>
    <row r="1045">
      <c r="A1045" s="94"/>
      <c r="B1045" s="66"/>
      <c r="C1045" s="70"/>
      <c r="D1045" s="68"/>
      <c r="E1045" s="68"/>
      <c r="F1045" s="69"/>
      <c r="G1045" s="70"/>
      <c r="H1045" s="70"/>
      <c r="I1045" s="70"/>
      <c r="J1045" s="70"/>
      <c r="K1045" s="71"/>
      <c r="L1045" s="71"/>
      <c r="M1045" s="71"/>
      <c r="N1045" s="71"/>
      <c r="O1045" s="70"/>
      <c r="P1045" s="73"/>
      <c r="Q1045" s="71"/>
      <c r="R1045" s="71"/>
      <c r="S1045" s="71"/>
      <c r="T1045" s="71"/>
      <c r="U1045" s="71"/>
      <c r="V1045" s="70"/>
      <c r="W1045" s="70"/>
      <c r="X1045" s="70"/>
      <c r="Y1045" s="70"/>
      <c r="Z1045" s="83"/>
    </row>
    <row r="1046">
      <c r="A1046" s="94"/>
      <c r="B1046" s="66"/>
      <c r="C1046" s="70"/>
      <c r="D1046" s="68"/>
      <c r="E1046" s="68"/>
      <c r="F1046" s="69"/>
      <c r="G1046" s="70"/>
      <c r="H1046" s="70"/>
      <c r="I1046" s="70"/>
      <c r="J1046" s="70"/>
      <c r="K1046" s="71"/>
      <c r="L1046" s="71"/>
      <c r="M1046" s="71"/>
      <c r="N1046" s="71"/>
      <c r="O1046" s="70"/>
      <c r="P1046" s="73"/>
      <c r="Q1046" s="71"/>
      <c r="R1046" s="71"/>
      <c r="S1046" s="71"/>
      <c r="T1046" s="71"/>
      <c r="U1046" s="71"/>
      <c r="V1046" s="70"/>
      <c r="W1046" s="70"/>
      <c r="X1046" s="70"/>
      <c r="Y1046" s="70"/>
      <c r="Z1046" s="83"/>
    </row>
    <row r="1047">
      <c r="A1047" s="94"/>
      <c r="B1047" s="66"/>
      <c r="C1047" s="70"/>
      <c r="D1047" s="68"/>
      <c r="E1047" s="68"/>
      <c r="F1047" s="69"/>
      <c r="G1047" s="70"/>
      <c r="H1047" s="70"/>
      <c r="I1047" s="70"/>
      <c r="J1047" s="70"/>
      <c r="K1047" s="71"/>
      <c r="L1047" s="71"/>
      <c r="M1047" s="71"/>
      <c r="N1047" s="71"/>
      <c r="O1047" s="70"/>
      <c r="P1047" s="73"/>
      <c r="Q1047" s="71"/>
      <c r="R1047" s="71"/>
      <c r="S1047" s="71"/>
      <c r="T1047" s="71"/>
      <c r="U1047" s="71"/>
      <c r="V1047" s="70"/>
      <c r="W1047" s="70"/>
      <c r="X1047" s="70"/>
      <c r="Y1047" s="70"/>
      <c r="Z1047" s="83"/>
    </row>
    <row r="1048">
      <c r="A1048" s="94"/>
      <c r="B1048" s="66"/>
      <c r="C1048" s="70"/>
      <c r="D1048" s="68"/>
      <c r="E1048" s="68"/>
      <c r="F1048" s="69"/>
      <c r="G1048" s="70"/>
      <c r="H1048" s="70"/>
      <c r="I1048" s="70"/>
      <c r="J1048" s="70"/>
      <c r="K1048" s="71"/>
      <c r="L1048" s="71"/>
      <c r="M1048" s="71"/>
      <c r="N1048" s="71"/>
      <c r="O1048" s="70"/>
      <c r="P1048" s="73"/>
      <c r="Q1048" s="71"/>
      <c r="R1048" s="71"/>
      <c r="S1048" s="71"/>
      <c r="T1048" s="71"/>
      <c r="U1048" s="71"/>
      <c r="V1048" s="70"/>
      <c r="W1048" s="70"/>
      <c r="X1048" s="70"/>
      <c r="Y1048" s="70"/>
      <c r="Z1048" s="83"/>
    </row>
    <row r="1049">
      <c r="A1049" s="94"/>
      <c r="B1049" s="66"/>
      <c r="C1049" s="70"/>
      <c r="D1049" s="68"/>
      <c r="E1049" s="68"/>
      <c r="F1049" s="69"/>
      <c r="G1049" s="70"/>
      <c r="H1049" s="70"/>
      <c r="I1049" s="70"/>
      <c r="J1049" s="70"/>
      <c r="K1049" s="71"/>
      <c r="L1049" s="71"/>
      <c r="M1049" s="71"/>
      <c r="N1049" s="71"/>
      <c r="O1049" s="70"/>
      <c r="P1049" s="73"/>
      <c r="Q1049" s="71"/>
      <c r="R1049" s="71"/>
      <c r="S1049" s="71"/>
      <c r="T1049" s="71"/>
      <c r="U1049" s="71"/>
      <c r="V1049" s="70"/>
      <c r="W1049" s="70"/>
      <c r="X1049" s="70"/>
      <c r="Y1049" s="70"/>
      <c r="Z1049" s="83"/>
    </row>
    <row r="1050">
      <c r="A1050" s="94"/>
      <c r="B1050" s="66"/>
      <c r="C1050" s="70"/>
      <c r="D1050" s="68"/>
      <c r="E1050" s="68"/>
      <c r="F1050" s="69"/>
      <c r="G1050" s="70"/>
      <c r="H1050" s="70"/>
      <c r="I1050" s="70"/>
      <c r="J1050" s="70"/>
      <c r="K1050" s="71"/>
      <c r="L1050" s="71"/>
      <c r="M1050" s="71"/>
      <c r="N1050" s="71"/>
      <c r="O1050" s="70"/>
      <c r="P1050" s="73"/>
      <c r="Q1050" s="71"/>
      <c r="R1050" s="71"/>
      <c r="S1050" s="71"/>
      <c r="T1050" s="71"/>
      <c r="U1050" s="71"/>
      <c r="V1050" s="70"/>
      <c r="W1050" s="70"/>
      <c r="X1050" s="70"/>
      <c r="Y1050" s="70"/>
      <c r="Z1050" s="83"/>
    </row>
    <row r="1051">
      <c r="A1051" s="94"/>
      <c r="B1051" s="66"/>
      <c r="C1051" s="70"/>
      <c r="D1051" s="68"/>
      <c r="E1051" s="68"/>
      <c r="F1051" s="69"/>
      <c r="G1051" s="70"/>
      <c r="H1051" s="70"/>
      <c r="I1051" s="70"/>
      <c r="J1051" s="70"/>
      <c r="K1051" s="71"/>
      <c r="L1051" s="71"/>
      <c r="M1051" s="71"/>
      <c r="N1051" s="71"/>
      <c r="O1051" s="70"/>
      <c r="P1051" s="73"/>
      <c r="Q1051" s="71"/>
      <c r="R1051" s="71"/>
      <c r="S1051" s="71"/>
      <c r="T1051" s="71"/>
      <c r="U1051" s="71"/>
      <c r="V1051" s="70"/>
      <c r="W1051" s="70"/>
      <c r="X1051" s="70"/>
      <c r="Y1051" s="70"/>
      <c r="Z1051" s="83"/>
    </row>
    <row r="1052">
      <c r="A1052" s="94"/>
      <c r="B1052" s="66"/>
      <c r="C1052" s="70"/>
      <c r="D1052" s="68"/>
      <c r="E1052" s="68"/>
      <c r="F1052" s="69"/>
      <c r="G1052" s="70"/>
      <c r="H1052" s="70"/>
      <c r="I1052" s="70"/>
      <c r="J1052" s="70"/>
      <c r="K1052" s="71"/>
      <c r="L1052" s="71"/>
      <c r="M1052" s="71"/>
      <c r="N1052" s="71"/>
      <c r="O1052" s="70"/>
      <c r="P1052" s="73"/>
      <c r="Q1052" s="71"/>
      <c r="R1052" s="71"/>
      <c r="S1052" s="71"/>
      <c r="T1052" s="71"/>
      <c r="U1052" s="71"/>
      <c r="V1052" s="70"/>
      <c r="W1052" s="70"/>
      <c r="X1052" s="70"/>
      <c r="Y1052" s="70"/>
      <c r="Z1052" s="83"/>
    </row>
    <row r="1053">
      <c r="A1053" s="94"/>
      <c r="B1053" s="66"/>
      <c r="C1053" s="70"/>
      <c r="D1053" s="68"/>
      <c r="E1053" s="68"/>
      <c r="F1053" s="69"/>
      <c r="G1053" s="70"/>
      <c r="H1053" s="70"/>
      <c r="I1053" s="70"/>
      <c r="J1053" s="70"/>
      <c r="K1053" s="71"/>
      <c r="L1053" s="71"/>
      <c r="M1053" s="71"/>
      <c r="N1053" s="71"/>
      <c r="O1053" s="70"/>
      <c r="P1053" s="73"/>
      <c r="Q1053" s="71"/>
      <c r="R1053" s="71"/>
      <c r="S1053" s="71"/>
      <c r="T1053" s="71"/>
      <c r="U1053" s="71"/>
      <c r="V1053" s="70"/>
      <c r="W1053" s="70"/>
      <c r="X1053" s="70"/>
      <c r="Y1053" s="70"/>
      <c r="Z1053" s="83"/>
    </row>
    <row r="1054">
      <c r="A1054" s="94"/>
      <c r="B1054" s="66"/>
      <c r="C1054" s="70"/>
      <c r="D1054" s="68"/>
      <c r="E1054" s="68"/>
      <c r="F1054" s="69"/>
      <c r="G1054" s="70"/>
      <c r="H1054" s="70"/>
      <c r="I1054" s="70"/>
      <c r="J1054" s="70"/>
      <c r="K1054" s="71"/>
      <c r="L1054" s="71"/>
      <c r="M1054" s="71"/>
      <c r="N1054" s="71"/>
      <c r="O1054" s="70"/>
      <c r="P1054" s="73"/>
      <c r="Q1054" s="71"/>
      <c r="R1054" s="71"/>
      <c r="S1054" s="71"/>
      <c r="T1054" s="71"/>
      <c r="U1054" s="71"/>
      <c r="V1054" s="70"/>
      <c r="W1054" s="70"/>
      <c r="X1054" s="70"/>
      <c r="Y1054" s="70"/>
      <c r="Z1054" s="83"/>
    </row>
    <row r="1055">
      <c r="A1055" s="94"/>
      <c r="B1055" s="66"/>
      <c r="C1055" s="70"/>
      <c r="D1055" s="68"/>
      <c r="E1055" s="68"/>
      <c r="F1055" s="69"/>
      <c r="G1055" s="70"/>
      <c r="H1055" s="70"/>
      <c r="I1055" s="70"/>
      <c r="J1055" s="70"/>
      <c r="K1055" s="71"/>
      <c r="L1055" s="71"/>
      <c r="M1055" s="71"/>
      <c r="N1055" s="71"/>
      <c r="O1055" s="70"/>
      <c r="P1055" s="73"/>
      <c r="Q1055" s="71"/>
      <c r="R1055" s="71"/>
      <c r="S1055" s="71"/>
      <c r="T1055" s="71"/>
      <c r="U1055" s="71"/>
      <c r="V1055" s="70"/>
      <c r="W1055" s="70"/>
      <c r="X1055" s="70"/>
      <c r="Y1055" s="70"/>
      <c r="Z1055" s="83"/>
    </row>
    <row r="1056">
      <c r="A1056" s="94"/>
      <c r="B1056" s="66"/>
      <c r="C1056" s="70"/>
      <c r="D1056" s="68"/>
      <c r="E1056" s="68"/>
      <c r="F1056" s="69"/>
      <c r="G1056" s="70"/>
      <c r="H1056" s="70"/>
      <c r="I1056" s="70"/>
      <c r="J1056" s="70"/>
      <c r="K1056" s="71"/>
      <c r="L1056" s="71"/>
      <c r="M1056" s="71"/>
      <c r="N1056" s="71"/>
      <c r="O1056" s="70"/>
      <c r="P1056" s="73"/>
      <c r="Q1056" s="71"/>
      <c r="R1056" s="71"/>
      <c r="S1056" s="71"/>
      <c r="T1056" s="71"/>
      <c r="U1056" s="71"/>
      <c r="V1056" s="70"/>
      <c r="W1056" s="70"/>
      <c r="X1056" s="70"/>
      <c r="Y1056" s="70"/>
      <c r="Z1056" s="83"/>
    </row>
    <row r="1057">
      <c r="A1057" s="94"/>
      <c r="B1057" s="66"/>
      <c r="C1057" s="70"/>
      <c r="D1057" s="68"/>
      <c r="E1057" s="68"/>
      <c r="F1057" s="69"/>
      <c r="G1057" s="70"/>
      <c r="H1057" s="70"/>
      <c r="I1057" s="70"/>
      <c r="J1057" s="70"/>
      <c r="K1057" s="71"/>
      <c r="L1057" s="71"/>
      <c r="M1057" s="71"/>
      <c r="N1057" s="71"/>
      <c r="O1057" s="70"/>
      <c r="P1057" s="73"/>
      <c r="Q1057" s="71"/>
      <c r="R1057" s="71"/>
      <c r="S1057" s="71"/>
      <c r="T1057" s="71"/>
      <c r="U1057" s="71"/>
      <c r="V1057" s="70"/>
      <c r="W1057" s="70"/>
      <c r="X1057" s="70"/>
      <c r="Y1057" s="70"/>
      <c r="Z1057" s="83"/>
    </row>
    <row r="1058">
      <c r="A1058" s="94"/>
      <c r="B1058" s="66"/>
      <c r="C1058" s="70"/>
      <c r="D1058" s="68"/>
      <c r="E1058" s="68"/>
      <c r="F1058" s="69"/>
      <c r="G1058" s="70"/>
      <c r="H1058" s="70"/>
      <c r="I1058" s="70"/>
      <c r="J1058" s="70"/>
      <c r="K1058" s="71"/>
      <c r="L1058" s="71"/>
      <c r="M1058" s="71"/>
      <c r="N1058" s="71"/>
      <c r="O1058" s="70"/>
      <c r="P1058" s="73"/>
      <c r="Q1058" s="71"/>
      <c r="R1058" s="71"/>
      <c r="S1058" s="71"/>
      <c r="T1058" s="71"/>
      <c r="U1058" s="71"/>
      <c r="V1058" s="70"/>
      <c r="W1058" s="70"/>
      <c r="X1058" s="70"/>
      <c r="Y1058" s="70"/>
      <c r="Z1058" s="83"/>
    </row>
    <row r="1059">
      <c r="A1059" s="94"/>
      <c r="B1059" s="66"/>
      <c r="C1059" s="70"/>
      <c r="D1059" s="68"/>
      <c r="E1059" s="68"/>
      <c r="F1059" s="69"/>
      <c r="G1059" s="70"/>
      <c r="H1059" s="70"/>
      <c r="I1059" s="70"/>
      <c r="J1059" s="70"/>
      <c r="K1059" s="71"/>
      <c r="L1059" s="71"/>
      <c r="M1059" s="71"/>
      <c r="N1059" s="71"/>
      <c r="O1059" s="70"/>
      <c r="P1059" s="73"/>
      <c r="Q1059" s="71"/>
      <c r="R1059" s="71"/>
      <c r="S1059" s="71"/>
      <c r="T1059" s="71"/>
      <c r="U1059" s="71"/>
      <c r="V1059" s="70"/>
      <c r="W1059" s="70"/>
      <c r="X1059" s="70"/>
      <c r="Y1059" s="70"/>
      <c r="Z1059" s="83"/>
    </row>
    <row r="1060">
      <c r="A1060" s="94"/>
      <c r="B1060" s="66"/>
      <c r="C1060" s="70"/>
      <c r="D1060" s="68"/>
      <c r="E1060" s="68"/>
      <c r="F1060" s="69"/>
      <c r="G1060" s="70"/>
      <c r="H1060" s="70"/>
      <c r="I1060" s="70"/>
      <c r="J1060" s="70"/>
      <c r="K1060" s="71"/>
      <c r="L1060" s="71"/>
      <c r="M1060" s="71"/>
      <c r="N1060" s="71"/>
      <c r="O1060" s="70"/>
      <c r="P1060" s="73"/>
      <c r="Q1060" s="71"/>
      <c r="R1060" s="71"/>
      <c r="S1060" s="71"/>
      <c r="T1060" s="71"/>
      <c r="U1060" s="71"/>
      <c r="V1060" s="70"/>
      <c r="W1060" s="70"/>
      <c r="X1060" s="70"/>
      <c r="Y1060" s="70"/>
      <c r="Z1060" s="83"/>
    </row>
    <row r="1061">
      <c r="A1061" s="94"/>
      <c r="B1061" s="66"/>
      <c r="C1061" s="70"/>
      <c r="D1061" s="68"/>
      <c r="E1061" s="68"/>
      <c r="F1061" s="69"/>
      <c r="G1061" s="70"/>
      <c r="H1061" s="70"/>
      <c r="I1061" s="70"/>
      <c r="J1061" s="70"/>
      <c r="K1061" s="71"/>
      <c r="L1061" s="71"/>
      <c r="M1061" s="71"/>
      <c r="N1061" s="71"/>
      <c r="O1061" s="70"/>
      <c r="P1061" s="73"/>
      <c r="Q1061" s="71"/>
      <c r="R1061" s="71"/>
      <c r="S1061" s="71"/>
      <c r="T1061" s="71"/>
      <c r="U1061" s="71"/>
      <c r="V1061" s="70"/>
      <c r="W1061" s="70"/>
      <c r="X1061" s="70"/>
      <c r="Y1061" s="70"/>
      <c r="Z1061" s="83"/>
    </row>
    <row r="1062">
      <c r="A1062" s="94"/>
      <c r="B1062" s="66"/>
      <c r="C1062" s="70"/>
      <c r="D1062" s="68"/>
      <c r="E1062" s="68"/>
      <c r="F1062" s="69"/>
      <c r="G1062" s="70"/>
      <c r="H1062" s="70"/>
      <c r="I1062" s="70"/>
      <c r="J1062" s="70"/>
      <c r="K1062" s="71"/>
      <c r="L1062" s="71"/>
      <c r="M1062" s="71"/>
      <c r="N1062" s="71"/>
      <c r="O1062" s="70"/>
      <c r="P1062" s="73"/>
      <c r="Q1062" s="71"/>
      <c r="R1062" s="71"/>
      <c r="S1062" s="71"/>
      <c r="T1062" s="71"/>
      <c r="U1062" s="71"/>
      <c r="V1062" s="70"/>
      <c r="W1062" s="70"/>
      <c r="X1062" s="70"/>
      <c r="Y1062" s="70"/>
      <c r="Z1062" s="83"/>
    </row>
    <row r="1063">
      <c r="A1063" s="94"/>
      <c r="B1063" s="66"/>
      <c r="C1063" s="70"/>
      <c r="D1063" s="68"/>
      <c r="E1063" s="68"/>
      <c r="F1063" s="69"/>
      <c r="G1063" s="70"/>
      <c r="H1063" s="70"/>
      <c r="I1063" s="70"/>
      <c r="J1063" s="70"/>
      <c r="K1063" s="71"/>
      <c r="L1063" s="71"/>
      <c r="M1063" s="71"/>
      <c r="N1063" s="71"/>
      <c r="O1063" s="70"/>
      <c r="P1063" s="73"/>
      <c r="Q1063" s="71"/>
      <c r="R1063" s="71"/>
      <c r="S1063" s="71"/>
      <c r="T1063" s="71"/>
      <c r="U1063" s="71"/>
      <c r="V1063" s="70"/>
      <c r="W1063" s="70"/>
      <c r="X1063" s="70"/>
      <c r="Y1063" s="70"/>
      <c r="Z1063" s="83"/>
    </row>
    <row r="1064">
      <c r="A1064" s="94"/>
      <c r="B1064" s="66"/>
      <c r="C1064" s="70"/>
      <c r="D1064" s="68"/>
      <c r="E1064" s="68"/>
      <c r="F1064" s="69"/>
      <c r="G1064" s="70"/>
      <c r="H1064" s="70"/>
      <c r="I1064" s="70"/>
      <c r="J1064" s="70"/>
      <c r="K1064" s="71"/>
      <c r="L1064" s="71"/>
      <c r="M1064" s="71"/>
      <c r="N1064" s="71"/>
      <c r="O1064" s="70"/>
      <c r="P1064" s="73"/>
      <c r="Q1064" s="71"/>
      <c r="R1064" s="71"/>
      <c r="S1064" s="71"/>
      <c r="T1064" s="71"/>
      <c r="U1064" s="71"/>
      <c r="V1064" s="70"/>
      <c r="W1064" s="70"/>
      <c r="X1064" s="70"/>
      <c r="Y1064" s="70"/>
      <c r="Z1064" s="83"/>
    </row>
    <row r="1065">
      <c r="A1065" s="94"/>
      <c r="B1065" s="66"/>
      <c r="C1065" s="70"/>
      <c r="D1065" s="68"/>
      <c r="E1065" s="68"/>
      <c r="F1065" s="69"/>
      <c r="G1065" s="70"/>
      <c r="H1065" s="70"/>
      <c r="I1065" s="70"/>
      <c r="J1065" s="70"/>
      <c r="K1065" s="71"/>
      <c r="L1065" s="71"/>
      <c r="M1065" s="71"/>
      <c r="N1065" s="71"/>
      <c r="O1065" s="70"/>
      <c r="P1065" s="73"/>
      <c r="Q1065" s="71"/>
      <c r="R1065" s="71"/>
      <c r="S1065" s="71"/>
      <c r="T1065" s="71"/>
      <c r="U1065" s="71"/>
      <c r="V1065" s="70"/>
      <c r="W1065" s="70"/>
      <c r="X1065" s="70"/>
      <c r="Y1065" s="70"/>
      <c r="Z1065" s="83"/>
    </row>
    <row r="1066">
      <c r="A1066" s="94"/>
      <c r="B1066" s="66"/>
      <c r="C1066" s="70"/>
      <c r="D1066" s="68"/>
      <c r="E1066" s="68"/>
      <c r="F1066" s="69"/>
      <c r="G1066" s="70"/>
      <c r="H1066" s="70"/>
      <c r="I1066" s="70"/>
      <c r="J1066" s="70"/>
      <c r="K1066" s="71"/>
      <c r="L1066" s="71"/>
      <c r="M1066" s="71"/>
      <c r="N1066" s="71"/>
      <c r="O1066" s="70"/>
      <c r="P1066" s="73"/>
      <c r="Q1066" s="71"/>
      <c r="R1066" s="71"/>
      <c r="S1066" s="71"/>
      <c r="T1066" s="71"/>
      <c r="U1066" s="71"/>
      <c r="V1066" s="70"/>
      <c r="W1066" s="70"/>
      <c r="X1066" s="70"/>
      <c r="Y1066" s="70"/>
      <c r="Z1066" s="83"/>
    </row>
    <row r="1067">
      <c r="A1067" s="94"/>
      <c r="B1067" s="66"/>
      <c r="C1067" s="70"/>
      <c r="D1067" s="68"/>
      <c r="E1067" s="68"/>
      <c r="F1067" s="69"/>
      <c r="G1067" s="70"/>
      <c r="H1067" s="70"/>
      <c r="I1067" s="70"/>
      <c r="J1067" s="70"/>
      <c r="K1067" s="71"/>
      <c r="L1067" s="71"/>
      <c r="M1067" s="71"/>
      <c r="N1067" s="71"/>
      <c r="O1067" s="70"/>
      <c r="P1067" s="73"/>
      <c r="Q1067" s="71"/>
      <c r="R1067" s="71"/>
      <c r="S1067" s="71"/>
      <c r="T1067" s="71"/>
      <c r="U1067" s="71"/>
      <c r="V1067" s="70"/>
      <c r="W1067" s="70"/>
      <c r="X1067" s="70"/>
      <c r="Y1067" s="70"/>
      <c r="Z1067" s="83"/>
    </row>
    <row r="1068">
      <c r="A1068" s="94"/>
      <c r="B1068" s="66"/>
      <c r="C1068" s="70"/>
      <c r="D1068" s="68"/>
      <c r="E1068" s="68"/>
      <c r="F1068" s="69"/>
      <c r="G1068" s="70"/>
      <c r="H1068" s="70"/>
      <c r="I1068" s="70"/>
      <c r="J1068" s="70"/>
      <c r="K1068" s="71"/>
      <c r="L1068" s="71"/>
      <c r="M1068" s="71"/>
      <c r="N1068" s="71"/>
      <c r="O1068" s="70"/>
      <c r="P1068" s="73"/>
      <c r="Q1068" s="71"/>
      <c r="R1068" s="71"/>
      <c r="S1068" s="71"/>
      <c r="T1068" s="71"/>
      <c r="U1068" s="71"/>
      <c r="V1068" s="70"/>
      <c r="W1068" s="70"/>
      <c r="X1068" s="70"/>
      <c r="Y1068" s="70"/>
      <c r="Z1068" s="83"/>
    </row>
    <row r="1069">
      <c r="A1069" s="94"/>
      <c r="B1069" s="66"/>
      <c r="C1069" s="70"/>
      <c r="D1069" s="68"/>
      <c r="E1069" s="68"/>
      <c r="F1069" s="69"/>
      <c r="G1069" s="70"/>
      <c r="H1069" s="70"/>
      <c r="I1069" s="70"/>
      <c r="J1069" s="70"/>
      <c r="K1069" s="71"/>
      <c r="L1069" s="71"/>
      <c r="M1069" s="71"/>
      <c r="N1069" s="71"/>
      <c r="O1069" s="70"/>
      <c r="P1069" s="73"/>
      <c r="Q1069" s="71"/>
      <c r="R1069" s="71"/>
      <c r="S1069" s="71"/>
      <c r="T1069" s="71"/>
      <c r="U1069" s="71"/>
      <c r="V1069" s="70"/>
      <c r="W1069" s="70"/>
      <c r="X1069" s="70"/>
      <c r="Y1069" s="70"/>
      <c r="Z1069" s="83"/>
    </row>
    <row r="1070">
      <c r="A1070" s="94"/>
      <c r="B1070" s="66"/>
      <c r="C1070" s="70"/>
      <c r="D1070" s="68"/>
      <c r="E1070" s="68"/>
      <c r="F1070" s="69"/>
      <c r="G1070" s="70"/>
      <c r="H1070" s="70"/>
      <c r="I1070" s="70"/>
      <c r="J1070" s="70"/>
      <c r="K1070" s="71"/>
      <c r="L1070" s="71"/>
      <c r="M1070" s="71"/>
      <c r="N1070" s="71"/>
      <c r="O1070" s="70"/>
      <c r="P1070" s="73"/>
      <c r="Q1070" s="71"/>
      <c r="R1070" s="71"/>
      <c r="S1070" s="71"/>
      <c r="T1070" s="71"/>
      <c r="U1070" s="71"/>
      <c r="V1070" s="70"/>
      <c r="W1070" s="70"/>
      <c r="X1070" s="70"/>
      <c r="Y1070" s="70"/>
      <c r="Z1070" s="83"/>
    </row>
    <row r="1071">
      <c r="A1071" s="94"/>
      <c r="B1071" s="66"/>
      <c r="C1071" s="70"/>
      <c r="D1071" s="68"/>
      <c r="E1071" s="68"/>
      <c r="F1071" s="69"/>
      <c r="G1071" s="70"/>
      <c r="H1071" s="70"/>
      <c r="I1071" s="70"/>
      <c r="J1071" s="70"/>
      <c r="K1071" s="71"/>
      <c r="L1071" s="71"/>
      <c r="M1071" s="71"/>
      <c r="N1071" s="71"/>
      <c r="O1071" s="70"/>
      <c r="P1071" s="73"/>
      <c r="Q1071" s="71"/>
      <c r="R1071" s="71"/>
      <c r="S1071" s="71"/>
      <c r="T1071" s="71"/>
      <c r="U1071" s="71"/>
      <c r="V1071" s="70"/>
      <c r="W1071" s="70"/>
      <c r="X1071" s="70"/>
      <c r="Y1071" s="70"/>
      <c r="Z1071" s="83"/>
    </row>
    <row r="1072">
      <c r="A1072" s="94"/>
      <c r="B1072" s="66"/>
      <c r="C1072" s="70"/>
      <c r="D1072" s="68"/>
      <c r="E1072" s="68"/>
      <c r="F1072" s="69"/>
      <c r="G1072" s="70"/>
      <c r="H1072" s="70"/>
      <c r="I1072" s="70"/>
      <c r="J1072" s="70"/>
      <c r="K1072" s="71"/>
      <c r="L1072" s="71"/>
      <c r="M1072" s="71"/>
      <c r="N1072" s="71"/>
      <c r="O1072" s="70"/>
      <c r="P1072" s="73"/>
      <c r="Q1072" s="71"/>
      <c r="R1072" s="71"/>
      <c r="S1072" s="71"/>
      <c r="T1072" s="71"/>
      <c r="U1072" s="71"/>
      <c r="V1072" s="70"/>
      <c r="W1072" s="70"/>
      <c r="X1072" s="70"/>
      <c r="Y1072" s="70"/>
      <c r="Z1072" s="83"/>
    </row>
    <row r="1073">
      <c r="A1073" s="94"/>
      <c r="B1073" s="66"/>
      <c r="C1073" s="70"/>
      <c r="D1073" s="68"/>
      <c r="E1073" s="68"/>
      <c r="F1073" s="69"/>
      <c r="G1073" s="70"/>
      <c r="H1073" s="70"/>
      <c r="I1073" s="70"/>
      <c r="J1073" s="70"/>
      <c r="K1073" s="71"/>
      <c r="L1073" s="71"/>
      <c r="M1073" s="71"/>
      <c r="N1073" s="71"/>
      <c r="O1073" s="70"/>
      <c r="P1073" s="73"/>
      <c r="Q1073" s="71"/>
      <c r="R1073" s="71"/>
      <c r="S1073" s="71"/>
      <c r="T1073" s="71"/>
      <c r="U1073" s="71"/>
      <c r="V1073" s="70"/>
      <c r="W1073" s="70"/>
      <c r="X1073" s="70"/>
      <c r="Y1073" s="70"/>
      <c r="Z1073" s="83"/>
    </row>
    <row r="1074">
      <c r="A1074" s="94"/>
      <c r="B1074" s="66"/>
      <c r="C1074" s="70"/>
      <c r="D1074" s="68"/>
      <c r="E1074" s="68"/>
      <c r="F1074" s="69"/>
      <c r="G1074" s="70"/>
      <c r="H1074" s="70"/>
      <c r="I1074" s="70"/>
      <c r="J1074" s="70"/>
      <c r="K1074" s="71"/>
      <c r="L1074" s="71"/>
      <c r="M1074" s="71"/>
      <c r="N1074" s="71"/>
      <c r="O1074" s="70"/>
      <c r="P1074" s="73"/>
      <c r="Q1074" s="71"/>
      <c r="R1074" s="71"/>
      <c r="S1074" s="71"/>
      <c r="T1074" s="71"/>
      <c r="U1074" s="71"/>
      <c r="V1074" s="70"/>
      <c r="W1074" s="70"/>
      <c r="X1074" s="70"/>
      <c r="Y1074" s="70"/>
      <c r="Z1074" s="83"/>
    </row>
    <row r="1075">
      <c r="A1075" s="94"/>
      <c r="B1075" s="66"/>
      <c r="C1075" s="70"/>
      <c r="D1075" s="68"/>
      <c r="E1075" s="68"/>
      <c r="F1075" s="69"/>
      <c r="G1075" s="70"/>
      <c r="H1075" s="70"/>
      <c r="I1075" s="70"/>
      <c r="J1075" s="70"/>
      <c r="K1075" s="71"/>
      <c r="L1075" s="71"/>
      <c r="M1075" s="71"/>
      <c r="N1075" s="71"/>
      <c r="O1075" s="70"/>
      <c r="P1075" s="73"/>
      <c r="Q1075" s="71"/>
      <c r="R1075" s="71"/>
      <c r="S1075" s="71"/>
      <c r="T1075" s="71"/>
      <c r="U1075" s="71"/>
      <c r="V1075" s="70"/>
      <c r="W1075" s="70"/>
      <c r="X1075" s="70"/>
      <c r="Y1075" s="70"/>
      <c r="Z1075" s="83"/>
    </row>
    <row r="1076">
      <c r="A1076" s="94"/>
      <c r="B1076" s="66"/>
      <c r="C1076" s="70"/>
      <c r="D1076" s="68"/>
      <c r="E1076" s="68"/>
      <c r="F1076" s="69"/>
      <c r="G1076" s="70"/>
      <c r="H1076" s="70"/>
      <c r="I1076" s="70"/>
      <c r="J1076" s="70"/>
      <c r="K1076" s="71"/>
      <c r="L1076" s="71"/>
      <c r="M1076" s="71"/>
      <c r="N1076" s="71"/>
      <c r="O1076" s="70"/>
      <c r="P1076" s="73"/>
      <c r="Q1076" s="71"/>
      <c r="R1076" s="71"/>
      <c r="S1076" s="71"/>
      <c r="T1076" s="71"/>
      <c r="U1076" s="71"/>
      <c r="V1076" s="70"/>
      <c r="W1076" s="70"/>
      <c r="X1076" s="70"/>
      <c r="Y1076" s="70"/>
      <c r="Z1076" s="83"/>
    </row>
    <row r="1077">
      <c r="A1077" s="94"/>
      <c r="B1077" s="66"/>
      <c r="C1077" s="70"/>
      <c r="D1077" s="68"/>
      <c r="E1077" s="68"/>
      <c r="F1077" s="69"/>
      <c r="G1077" s="70"/>
      <c r="H1077" s="70"/>
      <c r="I1077" s="70"/>
      <c r="J1077" s="70"/>
      <c r="K1077" s="71"/>
      <c r="L1077" s="71"/>
      <c r="M1077" s="71"/>
      <c r="N1077" s="71"/>
      <c r="O1077" s="70"/>
      <c r="P1077" s="73"/>
      <c r="Q1077" s="71"/>
      <c r="R1077" s="71"/>
      <c r="S1077" s="71"/>
      <c r="T1077" s="71"/>
      <c r="U1077" s="71"/>
      <c r="V1077" s="70"/>
      <c r="W1077" s="70"/>
      <c r="X1077" s="70"/>
      <c r="Y1077" s="70"/>
      <c r="Z1077" s="83"/>
    </row>
    <row r="1078">
      <c r="A1078" s="94"/>
      <c r="B1078" s="66"/>
      <c r="C1078" s="70"/>
      <c r="D1078" s="68"/>
      <c r="E1078" s="68"/>
      <c r="F1078" s="69"/>
      <c r="G1078" s="70"/>
      <c r="H1078" s="70"/>
      <c r="I1078" s="70"/>
      <c r="J1078" s="70"/>
      <c r="K1078" s="71"/>
      <c r="L1078" s="71"/>
      <c r="M1078" s="71"/>
      <c r="N1078" s="71"/>
      <c r="O1078" s="70"/>
      <c r="P1078" s="73"/>
      <c r="Q1078" s="71"/>
      <c r="R1078" s="71"/>
      <c r="S1078" s="71"/>
      <c r="T1078" s="71"/>
      <c r="U1078" s="71"/>
      <c r="V1078" s="70"/>
      <c r="W1078" s="70"/>
      <c r="X1078" s="70"/>
      <c r="Y1078" s="70"/>
      <c r="Z1078" s="83"/>
    </row>
    <row r="1079">
      <c r="A1079" s="94"/>
      <c r="B1079" s="66"/>
      <c r="C1079" s="70"/>
      <c r="D1079" s="68"/>
      <c r="E1079" s="68"/>
      <c r="F1079" s="69"/>
      <c r="G1079" s="70"/>
      <c r="H1079" s="70"/>
      <c r="I1079" s="70"/>
      <c r="J1079" s="70"/>
      <c r="K1079" s="71"/>
      <c r="L1079" s="71"/>
      <c r="M1079" s="71"/>
      <c r="N1079" s="71"/>
      <c r="O1079" s="70"/>
      <c r="P1079" s="73"/>
      <c r="Q1079" s="71"/>
      <c r="R1079" s="71"/>
      <c r="S1079" s="71"/>
      <c r="T1079" s="71"/>
      <c r="U1079" s="71"/>
      <c r="V1079" s="70"/>
      <c r="W1079" s="70"/>
      <c r="X1079" s="70"/>
      <c r="Y1079" s="70"/>
      <c r="Z1079" s="83"/>
    </row>
    <row r="1080">
      <c r="A1080" s="94"/>
      <c r="B1080" s="66"/>
      <c r="C1080" s="70"/>
      <c r="D1080" s="68"/>
      <c r="E1080" s="68"/>
      <c r="F1080" s="69"/>
      <c r="G1080" s="70"/>
      <c r="H1080" s="70"/>
      <c r="I1080" s="70"/>
      <c r="J1080" s="70"/>
      <c r="K1080" s="71"/>
      <c r="L1080" s="71"/>
      <c r="M1080" s="71"/>
      <c r="N1080" s="71"/>
      <c r="O1080" s="70"/>
      <c r="P1080" s="73"/>
      <c r="Q1080" s="71"/>
      <c r="R1080" s="71"/>
      <c r="S1080" s="71"/>
      <c r="T1080" s="71"/>
      <c r="U1080" s="71"/>
      <c r="V1080" s="70"/>
      <c r="W1080" s="70"/>
      <c r="X1080" s="70"/>
      <c r="Y1080" s="70"/>
      <c r="Z1080" s="83"/>
    </row>
    <row r="1081">
      <c r="A1081" s="94"/>
      <c r="B1081" s="66"/>
      <c r="C1081" s="70"/>
      <c r="D1081" s="68"/>
      <c r="E1081" s="68"/>
      <c r="F1081" s="69"/>
      <c r="G1081" s="70"/>
      <c r="H1081" s="70"/>
      <c r="I1081" s="70"/>
      <c r="J1081" s="70"/>
      <c r="K1081" s="71"/>
      <c r="L1081" s="71"/>
      <c r="M1081" s="71"/>
      <c r="N1081" s="71"/>
      <c r="O1081" s="70"/>
      <c r="P1081" s="73"/>
      <c r="Q1081" s="71"/>
      <c r="R1081" s="71"/>
      <c r="S1081" s="71"/>
      <c r="T1081" s="71"/>
      <c r="U1081" s="71"/>
      <c r="V1081" s="70"/>
      <c r="W1081" s="70"/>
      <c r="X1081" s="70"/>
      <c r="Y1081" s="70"/>
      <c r="Z1081" s="83"/>
    </row>
    <row r="1082">
      <c r="A1082" s="94"/>
      <c r="B1082" s="66"/>
      <c r="C1082" s="70"/>
      <c r="D1082" s="68"/>
      <c r="E1082" s="68"/>
      <c r="F1082" s="69"/>
      <c r="G1082" s="70"/>
      <c r="H1082" s="70"/>
      <c r="I1082" s="70"/>
      <c r="J1082" s="70"/>
      <c r="K1082" s="71"/>
      <c r="L1082" s="71"/>
      <c r="M1082" s="71"/>
      <c r="N1082" s="71"/>
      <c r="O1082" s="70"/>
      <c r="P1082" s="73"/>
      <c r="Q1082" s="71"/>
      <c r="R1082" s="71"/>
      <c r="S1082" s="71"/>
      <c r="T1082" s="71"/>
      <c r="U1082" s="71"/>
      <c r="V1082" s="70"/>
      <c r="W1082" s="70"/>
      <c r="X1082" s="70"/>
      <c r="Y1082" s="70"/>
      <c r="Z1082" s="83"/>
    </row>
    <row r="1083">
      <c r="A1083" s="94"/>
      <c r="B1083" s="66"/>
      <c r="C1083" s="70"/>
      <c r="D1083" s="68"/>
      <c r="E1083" s="68"/>
      <c r="F1083" s="69"/>
      <c r="G1083" s="70"/>
      <c r="H1083" s="70"/>
      <c r="I1083" s="70"/>
      <c r="J1083" s="70"/>
      <c r="K1083" s="71"/>
      <c r="L1083" s="71"/>
      <c r="M1083" s="71"/>
      <c r="N1083" s="71"/>
      <c r="O1083" s="70"/>
      <c r="P1083" s="73"/>
      <c r="Q1083" s="71"/>
      <c r="R1083" s="71"/>
      <c r="S1083" s="71"/>
      <c r="T1083" s="71"/>
      <c r="U1083" s="71"/>
      <c r="V1083" s="70"/>
      <c r="W1083" s="70"/>
      <c r="X1083" s="70"/>
      <c r="Y1083" s="70"/>
      <c r="Z1083" s="83"/>
    </row>
    <row r="1084">
      <c r="A1084" s="94"/>
      <c r="B1084" s="66"/>
      <c r="C1084" s="70"/>
      <c r="D1084" s="68"/>
      <c r="E1084" s="68"/>
      <c r="F1084" s="69"/>
      <c r="G1084" s="70"/>
      <c r="H1084" s="70"/>
      <c r="I1084" s="70"/>
      <c r="J1084" s="70"/>
      <c r="K1084" s="71"/>
      <c r="L1084" s="71"/>
      <c r="M1084" s="71"/>
      <c r="N1084" s="71"/>
      <c r="O1084" s="70"/>
      <c r="P1084" s="73"/>
      <c r="Q1084" s="71"/>
      <c r="R1084" s="71"/>
      <c r="S1084" s="71"/>
      <c r="T1084" s="71"/>
      <c r="U1084" s="71"/>
      <c r="V1084" s="70"/>
      <c r="W1084" s="70"/>
      <c r="X1084" s="70"/>
      <c r="Y1084" s="70"/>
      <c r="Z1084" s="83"/>
    </row>
    <row r="1085">
      <c r="A1085" s="94"/>
      <c r="B1085" s="66"/>
      <c r="C1085" s="70"/>
      <c r="D1085" s="68"/>
      <c r="E1085" s="68"/>
      <c r="F1085" s="69"/>
      <c r="G1085" s="70"/>
      <c r="H1085" s="70"/>
      <c r="I1085" s="70"/>
      <c r="J1085" s="70"/>
      <c r="K1085" s="71"/>
      <c r="L1085" s="71"/>
      <c r="M1085" s="71"/>
      <c r="N1085" s="71"/>
      <c r="O1085" s="70"/>
      <c r="P1085" s="73"/>
      <c r="Q1085" s="71"/>
      <c r="R1085" s="71"/>
      <c r="S1085" s="71"/>
      <c r="T1085" s="71"/>
      <c r="U1085" s="71"/>
      <c r="V1085" s="70"/>
      <c r="W1085" s="70"/>
      <c r="X1085" s="70"/>
      <c r="Y1085" s="70"/>
      <c r="Z1085" s="83"/>
    </row>
    <row r="1086">
      <c r="A1086" s="94"/>
      <c r="B1086" s="66"/>
      <c r="C1086" s="70"/>
      <c r="D1086" s="68"/>
      <c r="E1086" s="68"/>
      <c r="F1086" s="69"/>
      <c r="G1086" s="70"/>
      <c r="H1086" s="70"/>
      <c r="I1086" s="70"/>
      <c r="J1086" s="70"/>
      <c r="K1086" s="71"/>
      <c r="L1086" s="71"/>
      <c r="M1086" s="71"/>
      <c r="N1086" s="71"/>
      <c r="O1086" s="70"/>
      <c r="P1086" s="73"/>
      <c r="Q1086" s="71"/>
      <c r="R1086" s="71"/>
      <c r="S1086" s="71"/>
      <c r="T1086" s="71"/>
      <c r="U1086" s="71"/>
      <c r="V1086" s="70"/>
      <c r="W1086" s="70"/>
      <c r="X1086" s="70"/>
      <c r="Y1086" s="70"/>
      <c r="Z1086" s="83"/>
    </row>
    <row r="1087">
      <c r="A1087" s="94"/>
      <c r="B1087" s="66"/>
      <c r="C1087" s="70"/>
      <c r="D1087" s="68"/>
      <c r="E1087" s="68"/>
      <c r="F1087" s="69"/>
      <c r="G1087" s="70"/>
      <c r="H1087" s="70"/>
      <c r="I1087" s="70"/>
      <c r="J1087" s="70"/>
      <c r="K1087" s="71"/>
      <c r="L1087" s="71"/>
      <c r="M1087" s="71"/>
      <c r="N1087" s="71"/>
      <c r="O1087" s="70"/>
      <c r="P1087" s="73"/>
      <c r="Q1087" s="71"/>
      <c r="R1087" s="71"/>
      <c r="S1087" s="71"/>
      <c r="T1087" s="71"/>
      <c r="U1087" s="71"/>
      <c r="V1087" s="70"/>
      <c r="W1087" s="70"/>
      <c r="X1087" s="70"/>
      <c r="Y1087" s="70"/>
      <c r="Z1087" s="83"/>
    </row>
    <row r="1088">
      <c r="A1088" s="94"/>
      <c r="B1088" s="66"/>
      <c r="C1088" s="70"/>
      <c r="D1088" s="68"/>
      <c r="E1088" s="68"/>
      <c r="F1088" s="69"/>
      <c r="G1088" s="70"/>
      <c r="H1088" s="70"/>
      <c r="I1088" s="70"/>
      <c r="J1088" s="70"/>
      <c r="K1088" s="71"/>
      <c r="L1088" s="71"/>
      <c r="M1088" s="71"/>
      <c r="N1088" s="71"/>
      <c r="O1088" s="70"/>
      <c r="P1088" s="73"/>
      <c r="Q1088" s="71"/>
      <c r="R1088" s="71"/>
      <c r="S1088" s="71"/>
      <c r="T1088" s="71"/>
      <c r="U1088" s="71"/>
      <c r="V1088" s="70"/>
      <c r="W1088" s="70"/>
      <c r="X1088" s="70"/>
      <c r="Y1088" s="70"/>
      <c r="Z1088" s="83"/>
    </row>
    <row r="1089">
      <c r="A1089" s="94"/>
      <c r="B1089" s="66"/>
      <c r="C1089" s="70"/>
      <c r="D1089" s="68"/>
      <c r="E1089" s="68"/>
      <c r="F1089" s="69"/>
      <c r="G1089" s="70"/>
      <c r="H1089" s="70"/>
      <c r="I1089" s="70"/>
      <c r="J1089" s="70"/>
      <c r="K1089" s="71"/>
      <c r="L1089" s="71"/>
      <c r="M1089" s="71"/>
      <c r="N1089" s="71"/>
      <c r="O1089" s="70"/>
      <c r="P1089" s="73"/>
      <c r="Q1089" s="71"/>
      <c r="R1089" s="71"/>
      <c r="S1089" s="71"/>
      <c r="T1089" s="71"/>
      <c r="U1089" s="71"/>
      <c r="V1089" s="70"/>
      <c r="W1089" s="70"/>
      <c r="X1089" s="70"/>
      <c r="Y1089" s="70"/>
      <c r="Z1089" s="83"/>
    </row>
    <row r="1090">
      <c r="A1090" s="94"/>
      <c r="B1090" s="66"/>
      <c r="C1090" s="70"/>
      <c r="D1090" s="68"/>
      <c r="E1090" s="68"/>
      <c r="F1090" s="69"/>
      <c r="G1090" s="70"/>
      <c r="H1090" s="70"/>
      <c r="I1090" s="70"/>
      <c r="J1090" s="70"/>
      <c r="K1090" s="71"/>
      <c r="L1090" s="71"/>
      <c r="M1090" s="71"/>
      <c r="N1090" s="71"/>
      <c r="O1090" s="70"/>
      <c r="P1090" s="73"/>
      <c r="Q1090" s="71"/>
      <c r="R1090" s="71"/>
      <c r="S1090" s="71"/>
      <c r="T1090" s="71"/>
      <c r="U1090" s="71"/>
      <c r="V1090" s="70"/>
      <c r="W1090" s="70"/>
      <c r="X1090" s="70"/>
      <c r="Y1090" s="70"/>
      <c r="Z1090" s="83"/>
    </row>
    <row r="1091">
      <c r="A1091" s="94"/>
      <c r="B1091" s="66"/>
      <c r="C1091" s="70"/>
      <c r="D1091" s="68"/>
      <c r="E1091" s="68"/>
      <c r="F1091" s="69"/>
      <c r="G1091" s="70"/>
      <c r="H1091" s="70"/>
      <c r="I1091" s="70"/>
      <c r="J1091" s="70"/>
      <c r="K1091" s="71"/>
      <c r="L1091" s="71"/>
      <c r="M1091" s="71"/>
      <c r="N1091" s="71"/>
      <c r="O1091" s="70"/>
      <c r="P1091" s="73"/>
      <c r="Q1091" s="71"/>
      <c r="R1091" s="71"/>
      <c r="S1091" s="71"/>
      <c r="T1091" s="71"/>
      <c r="U1091" s="71"/>
      <c r="V1091" s="70"/>
      <c r="W1091" s="70"/>
      <c r="X1091" s="70"/>
      <c r="Y1091" s="70"/>
      <c r="Z1091" s="83"/>
    </row>
    <row r="1092">
      <c r="A1092" s="94"/>
      <c r="B1092" s="66"/>
      <c r="C1092" s="70"/>
      <c r="D1092" s="68"/>
      <c r="E1092" s="68"/>
      <c r="F1092" s="69"/>
      <c r="G1092" s="70"/>
      <c r="H1092" s="70"/>
      <c r="I1092" s="70"/>
      <c r="J1092" s="70"/>
      <c r="K1092" s="71"/>
      <c r="L1092" s="71"/>
      <c r="M1092" s="71"/>
      <c r="N1092" s="71"/>
      <c r="O1092" s="70"/>
      <c r="P1092" s="73"/>
      <c r="Q1092" s="71"/>
      <c r="R1092" s="71"/>
      <c r="S1092" s="71"/>
      <c r="T1092" s="71"/>
      <c r="U1092" s="71"/>
      <c r="V1092" s="70"/>
      <c r="W1092" s="70"/>
      <c r="X1092" s="70"/>
      <c r="Y1092" s="70"/>
      <c r="Z1092" s="83"/>
    </row>
    <row r="1093">
      <c r="A1093" s="94"/>
      <c r="B1093" s="66"/>
      <c r="C1093" s="70"/>
      <c r="D1093" s="68"/>
      <c r="E1093" s="68"/>
      <c r="F1093" s="69"/>
      <c r="G1093" s="70"/>
      <c r="H1093" s="70"/>
      <c r="I1093" s="70"/>
      <c r="J1093" s="70"/>
      <c r="K1093" s="71"/>
      <c r="L1093" s="71"/>
      <c r="M1093" s="71"/>
      <c r="N1093" s="71"/>
      <c r="O1093" s="70"/>
      <c r="P1093" s="73"/>
      <c r="Q1093" s="71"/>
      <c r="R1093" s="71"/>
      <c r="S1093" s="71"/>
      <c r="T1093" s="71"/>
      <c r="U1093" s="71"/>
      <c r="V1093" s="70"/>
      <c r="W1093" s="70"/>
      <c r="X1093" s="70"/>
      <c r="Y1093" s="70"/>
      <c r="Z1093" s="83"/>
    </row>
    <row r="1094">
      <c r="A1094" s="94"/>
      <c r="B1094" s="66"/>
      <c r="C1094" s="70"/>
      <c r="D1094" s="68"/>
      <c r="E1094" s="68"/>
      <c r="F1094" s="69"/>
      <c r="G1094" s="70"/>
      <c r="H1094" s="70"/>
      <c r="I1094" s="70"/>
      <c r="J1094" s="70"/>
      <c r="K1094" s="71"/>
      <c r="L1094" s="71"/>
      <c r="M1094" s="71"/>
      <c r="N1094" s="71"/>
      <c r="O1094" s="70"/>
      <c r="P1094" s="73"/>
      <c r="Q1094" s="71"/>
      <c r="R1094" s="71"/>
      <c r="S1094" s="71"/>
      <c r="T1094" s="71"/>
      <c r="U1094" s="71"/>
      <c r="V1094" s="70"/>
      <c r="W1094" s="70"/>
      <c r="X1094" s="70"/>
      <c r="Y1094" s="70"/>
      <c r="Z1094" s="83"/>
    </row>
    <row r="1095">
      <c r="A1095" s="94"/>
      <c r="B1095" s="66"/>
      <c r="C1095" s="70"/>
      <c r="D1095" s="68"/>
      <c r="E1095" s="68"/>
      <c r="F1095" s="69"/>
      <c r="G1095" s="70"/>
      <c r="H1095" s="70"/>
      <c r="I1095" s="70"/>
      <c r="J1095" s="70"/>
      <c r="K1095" s="71"/>
      <c r="L1095" s="71"/>
      <c r="M1095" s="71"/>
      <c r="N1095" s="71"/>
      <c r="O1095" s="70"/>
      <c r="P1095" s="73"/>
      <c r="Q1095" s="71"/>
      <c r="R1095" s="71"/>
      <c r="S1095" s="71"/>
      <c r="T1095" s="71"/>
      <c r="U1095" s="71"/>
      <c r="V1095" s="70"/>
      <c r="W1095" s="70"/>
      <c r="X1095" s="70"/>
      <c r="Y1095" s="70"/>
      <c r="Z1095" s="83"/>
    </row>
    <row r="1096">
      <c r="A1096" s="94"/>
      <c r="B1096" s="66"/>
      <c r="C1096" s="70"/>
      <c r="D1096" s="68"/>
      <c r="E1096" s="68"/>
      <c r="F1096" s="69"/>
      <c r="G1096" s="70"/>
      <c r="H1096" s="70"/>
      <c r="I1096" s="70"/>
      <c r="J1096" s="70"/>
      <c r="K1096" s="71"/>
      <c r="L1096" s="71"/>
      <c r="M1096" s="71"/>
      <c r="N1096" s="71"/>
      <c r="O1096" s="70"/>
      <c r="P1096" s="73"/>
      <c r="Q1096" s="71"/>
      <c r="R1096" s="71"/>
      <c r="S1096" s="71"/>
      <c r="T1096" s="71"/>
      <c r="U1096" s="71"/>
      <c r="V1096" s="70"/>
      <c r="W1096" s="70"/>
      <c r="X1096" s="70"/>
      <c r="Y1096" s="70"/>
      <c r="Z1096" s="83"/>
    </row>
    <row r="1097">
      <c r="A1097" s="94"/>
      <c r="B1097" s="66"/>
      <c r="C1097" s="70"/>
      <c r="D1097" s="68"/>
      <c r="E1097" s="68"/>
      <c r="F1097" s="69"/>
      <c r="G1097" s="70"/>
      <c r="H1097" s="70"/>
      <c r="I1097" s="70"/>
      <c r="J1097" s="70"/>
      <c r="K1097" s="71"/>
      <c r="L1097" s="71"/>
      <c r="M1097" s="71"/>
      <c r="N1097" s="71"/>
      <c r="O1097" s="70"/>
      <c r="P1097" s="73"/>
      <c r="Q1097" s="71"/>
      <c r="R1097" s="71"/>
      <c r="S1097" s="71"/>
      <c r="T1097" s="71"/>
      <c r="U1097" s="71"/>
      <c r="V1097" s="70"/>
      <c r="W1097" s="70"/>
      <c r="X1097" s="70"/>
      <c r="Y1097" s="70"/>
      <c r="Z1097" s="83"/>
    </row>
    <row r="1098">
      <c r="A1098" s="94"/>
      <c r="B1098" s="66"/>
      <c r="C1098" s="70"/>
      <c r="D1098" s="68"/>
      <c r="E1098" s="68"/>
      <c r="F1098" s="69"/>
      <c r="G1098" s="70"/>
      <c r="H1098" s="70"/>
      <c r="I1098" s="70"/>
      <c r="J1098" s="70"/>
      <c r="K1098" s="71"/>
      <c r="L1098" s="71"/>
      <c r="M1098" s="71"/>
      <c r="N1098" s="71"/>
      <c r="O1098" s="70"/>
      <c r="P1098" s="73"/>
      <c r="Q1098" s="71"/>
      <c r="R1098" s="71"/>
      <c r="S1098" s="71"/>
      <c r="T1098" s="71"/>
      <c r="U1098" s="71"/>
      <c r="V1098" s="70"/>
      <c r="W1098" s="70"/>
      <c r="X1098" s="70"/>
      <c r="Y1098" s="70"/>
      <c r="Z1098" s="83"/>
    </row>
    <row r="1099">
      <c r="A1099" s="94"/>
      <c r="B1099" s="66"/>
      <c r="C1099" s="70"/>
      <c r="D1099" s="68"/>
      <c r="E1099" s="68"/>
      <c r="F1099" s="69"/>
      <c r="G1099" s="70"/>
      <c r="H1099" s="70"/>
      <c r="I1099" s="70"/>
      <c r="J1099" s="70"/>
      <c r="K1099" s="71"/>
      <c r="L1099" s="71"/>
      <c r="M1099" s="71"/>
      <c r="N1099" s="71"/>
      <c r="O1099" s="70"/>
      <c r="P1099" s="73"/>
      <c r="Q1099" s="71"/>
      <c r="R1099" s="71"/>
      <c r="S1099" s="71"/>
      <c r="T1099" s="71"/>
      <c r="U1099" s="71"/>
      <c r="V1099" s="70"/>
      <c r="W1099" s="70"/>
      <c r="X1099" s="70"/>
      <c r="Y1099" s="70"/>
      <c r="Z1099" s="83"/>
    </row>
    <row r="1100">
      <c r="A1100" s="94"/>
      <c r="B1100" s="66"/>
      <c r="C1100" s="70"/>
      <c r="D1100" s="68"/>
      <c r="E1100" s="68"/>
      <c r="F1100" s="69"/>
      <c r="G1100" s="70"/>
      <c r="H1100" s="70"/>
      <c r="I1100" s="70"/>
      <c r="J1100" s="70"/>
      <c r="K1100" s="71"/>
      <c r="L1100" s="71"/>
      <c r="M1100" s="71"/>
      <c r="N1100" s="71"/>
      <c r="O1100" s="70"/>
      <c r="P1100" s="73"/>
      <c r="Q1100" s="71"/>
      <c r="R1100" s="71"/>
      <c r="S1100" s="71"/>
      <c r="T1100" s="71"/>
      <c r="U1100" s="71"/>
      <c r="V1100" s="70"/>
      <c r="W1100" s="70"/>
      <c r="X1100" s="70"/>
      <c r="Y1100" s="70"/>
      <c r="Z1100" s="83"/>
    </row>
    <row r="1101">
      <c r="A1101" s="94"/>
      <c r="B1101" s="66"/>
      <c r="C1101" s="70"/>
      <c r="D1101" s="68"/>
      <c r="E1101" s="68"/>
      <c r="F1101" s="69"/>
      <c r="G1101" s="70"/>
      <c r="H1101" s="70"/>
      <c r="I1101" s="70"/>
      <c r="J1101" s="70"/>
      <c r="K1101" s="71"/>
      <c r="L1101" s="71"/>
      <c r="M1101" s="71"/>
      <c r="N1101" s="71"/>
      <c r="O1101" s="70"/>
      <c r="P1101" s="73"/>
      <c r="Q1101" s="71"/>
      <c r="R1101" s="71"/>
      <c r="S1101" s="71"/>
      <c r="T1101" s="71"/>
      <c r="U1101" s="71"/>
      <c r="V1101" s="70"/>
      <c r="W1101" s="70"/>
      <c r="X1101" s="70"/>
      <c r="Y1101" s="70"/>
      <c r="Z1101" s="83"/>
    </row>
    <row r="1102">
      <c r="A1102" s="94"/>
      <c r="B1102" s="66"/>
      <c r="C1102" s="70"/>
      <c r="D1102" s="68"/>
      <c r="E1102" s="68"/>
      <c r="F1102" s="69"/>
      <c r="G1102" s="70"/>
      <c r="H1102" s="70"/>
      <c r="I1102" s="70"/>
      <c r="J1102" s="70"/>
      <c r="K1102" s="71"/>
      <c r="L1102" s="71"/>
      <c r="M1102" s="71"/>
      <c r="N1102" s="71"/>
      <c r="O1102" s="70"/>
      <c r="P1102" s="73"/>
      <c r="Q1102" s="71"/>
      <c r="R1102" s="71"/>
      <c r="S1102" s="71"/>
      <c r="T1102" s="71"/>
      <c r="U1102" s="71"/>
      <c r="V1102" s="70"/>
      <c r="W1102" s="70"/>
      <c r="X1102" s="70"/>
      <c r="Y1102" s="70"/>
      <c r="Z1102" s="83"/>
    </row>
    <row r="1103">
      <c r="A1103" s="94"/>
      <c r="B1103" s="66"/>
      <c r="C1103" s="70"/>
      <c r="D1103" s="68"/>
      <c r="E1103" s="68"/>
      <c r="F1103" s="69"/>
      <c r="G1103" s="70"/>
      <c r="H1103" s="70"/>
      <c r="I1103" s="70"/>
      <c r="J1103" s="70"/>
      <c r="K1103" s="71"/>
      <c r="L1103" s="71"/>
      <c r="M1103" s="71"/>
      <c r="N1103" s="71"/>
      <c r="O1103" s="70"/>
      <c r="P1103" s="73"/>
      <c r="Q1103" s="71"/>
      <c r="R1103" s="71"/>
      <c r="S1103" s="71"/>
      <c r="T1103" s="71"/>
      <c r="U1103" s="71"/>
      <c r="V1103" s="70"/>
      <c r="W1103" s="70"/>
      <c r="X1103" s="70"/>
      <c r="Y1103" s="70"/>
      <c r="Z1103" s="83"/>
    </row>
    <row r="1104">
      <c r="A1104" s="94"/>
      <c r="B1104" s="66"/>
      <c r="C1104" s="70"/>
      <c r="D1104" s="68"/>
      <c r="E1104" s="68"/>
      <c r="F1104" s="69"/>
      <c r="G1104" s="70"/>
      <c r="H1104" s="70"/>
      <c r="I1104" s="70"/>
      <c r="J1104" s="70"/>
      <c r="K1104" s="71"/>
      <c r="L1104" s="71"/>
      <c r="M1104" s="71"/>
      <c r="N1104" s="71"/>
      <c r="O1104" s="70"/>
      <c r="P1104" s="73"/>
      <c r="Q1104" s="71"/>
      <c r="R1104" s="71"/>
      <c r="S1104" s="71"/>
      <c r="T1104" s="71"/>
      <c r="U1104" s="71"/>
      <c r="V1104" s="70"/>
      <c r="W1104" s="70"/>
      <c r="X1104" s="70"/>
      <c r="Y1104" s="70"/>
      <c r="Z1104" s="83"/>
    </row>
    <row r="1105">
      <c r="A1105" s="94"/>
      <c r="B1105" s="66"/>
      <c r="C1105" s="70"/>
      <c r="D1105" s="68"/>
      <c r="E1105" s="68"/>
      <c r="F1105" s="69"/>
      <c r="G1105" s="70"/>
      <c r="H1105" s="70"/>
      <c r="I1105" s="70"/>
      <c r="J1105" s="70"/>
      <c r="K1105" s="71"/>
      <c r="L1105" s="71"/>
      <c r="M1105" s="71"/>
      <c r="N1105" s="71"/>
      <c r="O1105" s="70"/>
      <c r="P1105" s="73"/>
      <c r="Q1105" s="71"/>
      <c r="R1105" s="71"/>
      <c r="S1105" s="71"/>
      <c r="T1105" s="71"/>
      <c r="U1105" s="71"/>
      <c r="V1105" s="70"/>
      <c r="W1105" s="70"/>
      <c r="X1105" s="70"/>
      <c r="Y1105" s="70"/>
      <c r="Z1105" s="83"/>
    </row>
    <row r="1106">
      <c r="A1106" s="94"/>
      <c r="B1106" s="66"/>
      <c r="C1106" s="70"/>
      <c r="D1106" s="68"/>
      <c r="E1106" s="68"/>
      <c r="F1106" s="69"/>
      <c r="G1106" s="70"/>
      <c r="H1106" s="70"/>
      <c r="I1106" s="70"/>
      <c r="J1106" s="70"/>
      <c r="K1106" s="71"/>
      <c r="L1106" s="71"/>
      <c r="M1106" s="71"/>
      <c r="N1106" s="71"/>
      <c r="O1106" s="70"/>
      <c r="P1106" s="73"/>
      <c r="Q1106" s="71"/>
      <c r="R1106" s="71"/>
      <c r="S1106" s="71"/>
      <c r="T1106" s="71"/>
      <c r="U1106" s="71"/>
      <c r="V1106" s="70"/>
      <c r="W1106" s="70"/>
      <c r="X1106" s="70"/>
      <c r="Y1106" s="70"/>
      <c r="Z1106" s="83"/>
    </row>
    <row r="1107">
      <c r="A1107" s="94"/>
      <c r="B1107" s="66"/>
      <c r="C1107" s="70"/>
      <c r="D1107" s="68"/>
      <c r="E1107" s="68"/>
      <c r="F1107" s="69"/>
      <c r="G1107" s="70"/>
      <c r="H1107" s="70"/>
      <c r="I1107" s="70"/>
      <c r="J1107" s="70"/>
      <c r="K1107" s="71"/>
      <c r="L1107" s="71"/>
      <c r="M1107" s="71"/>
      <c r="N1107" s="71"/>
      <c r="O1107" s="70"/>
      <c r="P1107" s="73"/>
      <c r="Q1107" s="71"/>
      <c r="R1107" s="71"/>
      <c r="S1107" s="71"/>
      <c r="T1107" s="71"/>
      <c r="U1107" s="71"/>
      <c r="V1107" s="70"/>
      <c r="W1107" s="70"/>
      <c r="X1107" s="70"/>
      <c r="Y1107" s="70"/>
      <c r="Z1107" s="83"/>
    </row>
    <row r="1108">
      <c r="A1108" s="94"/>
      <c r="B1108" s="66"/>
      <c r="C1108" s="70"/>
      <c r="D1108" s="68"/>
      <c r="E1108" s="68"/>
      <c r="F1108" s="69"/>
      <c r="G1108" s="70"/>
      <c r="H1108" s="70"/>
      <c r="I1108" s="70"/>
      <c r="J1108" s="70"/>
      <c r="K1108" s="71"/>
      <c r="L1108" s="71"/>
      <c r="M1108" s="71"/>
      <c r="N1108" s="71"/>
      <c r="O1108" s="70"/>
      <c r="P1108" s="73"/>
      <c r="Q1108" s="71"/>
      <c r="R1108" s="71"/>
      <c r="S1108" s="71"/>
      <c r="T1108" s="71"/>
      <c r="U1108" s="71"/>
      <c r="V1108" s="70"/>
      <c r="W1108" s="70"/>
      <c r="X1108" s="70"/>
      <c r="Y1108" s="70"/>
      <c r="Z1108" s="83"/>
    </row>
    <row r="1109">
      <c r="A1109" s="94"/>
      <c r="B1109" s="66"/>
      <c r="C1109" s="70"/>
      <c r="D1109" s="68"/>
      <c r="E1109" s="68"/>
      <c r="F1109" s="69"/>
      <c r="G1109" s="70"/>
      <c r="H1109" s="70"/>
      <c r="I1109" s="70"/>
      <c r="J1109" s="70"/>
      <c r="K1109" s="71"/>
      <c r="L1109" s="71"/>
      <c r="M1109" s="71"/>
      <c r="N1109" s="71"/>
      <c r="O1109" s="70"/>
      <c r="P1109" s="73"/>
      <c r="Q1109" s="71"/>
      <c r="R1109" s="71"/>
      <c r="S1109" s="71"/>
      <c r="T1109" s="71"/>
      <c r="U1109" s="71"/>
      <c r="V1109" s="70"/>
      <c r="W1109" s="70"/>
      <c r="X1109" s="70"/>
      <c r="Y1109" s="70"/>
      <c r="Z1109" s="83"/>
    </row>
    <row r="1110">
      <c r="A1110" s="94"/>
      <c r="B1110" s="66"/>
      <c r="C1110" s="70"/>
      <c r="D1110" s="68"/>
      <c r="E1110" s="68"/>
      <c r="F1110" s="69"/>
      <c r="G1110" s="70"/>
      <c r="H1110" s="70"/>
      <c r="I1110" s="70"/>
      <c r="J1110" s="70"/>
      <c r="K1110" s="71"/>
      <c r="L1110" s="71"/>
      <c r="M1110" s="71"/>
      <c r="N1110" s="71"/>
      <c r="O1110" s="70"/>
      <c r="P1110" s="73"/>
      <c r="Q1110" s="71"/>
      <c r="R1110" s="71"/>
      <c r="S1110" s="71"/>
      <c r="T1110" s="71"/>
      <c r="U1110" s="71"/>
      <c r="V1110" s="70"/>
      <c r="W1110" s="70"/>
      <c r="X1110" s="70"/>
      <c r="Y1110" s="70"/>
      <c r="Z1110" s="83"/>
    </row>
    <row r="1111">
      <c r="A1111" s="94"/>
      <c r="B1111" s="66"/>
      <c r="C1111" s="70"/>
      <c r="D1111" s="68"/>
      <c r="E1111" s="68"/>
      <c r="F1111" s="69"/>
      <c r="G1111" s="70"/>
      <c r="H1111" s="70"/>
      <c r="I1111" s="70"/>
      <c r="J1111" s="70"/>
      <c r="K1111" s="71"/>
      <c r="L1111" s="71"/>
      <c r="M1111" s="71"/>
      <c r="N1111" s="71"/>
      <c r="O1111" s="70"/>
      <c r="P1111" s="73"/>
      <c r="Q1111" s="71"/>
      <c r="R1111" s="71"/>
      <c r="S1111" s="71"/>
      <c r="T1111" s="71"/>
      <c r="U1111" s="71"/>
      <c r="V1111" s="70"/>
      <c r="W1111" s="70"/>
      <c r="X1111" s="70"/>
      <c r="Y1111" s="70"/>
      <c r="Z1111" s="83"/>
    </row>
    <row r="1112">
      <c r="A1112" s="94"/>
      <c r="B1112" s="66"/>
      <c r="C1112" s="70"/>
      <c r="D1112" s="68"/>
      <c r="E1112" s="68"/>
      <c r="F1112" s="69"/>
      <c r="G1112" s="70"/>
      <c r="H1112" s="70"/>
      <c r="I1112" s="70"/>
      <c r="J1112" s="70"/>
      <c r="K1112" s="71"/>
      <c r="L1112" s="71"/>
      <c r="M1112" s="71"/>
      <c r="N1112" s="71"/>
      <c r="O1112" s="70"/>
      <c r="P1112" s="73"/>
      <c r="Q1112" s="71"/>
      <c r="R1112" s="71"/>
      <c r="S1112" s="71"/>
      <c r="T1112" s="71"/>
      <c r="U1112" s="71"/>
      <c r="V1112" s="70"/>
      <c r="W1112" s="70"/>
      <c r="X1112" s="70"/>
      <c r="Y1112" s="70"/>
      <c r="Z1112" s="83"/>
    </row>
    <row r="1113">
      <c r="A1113" s="94"/>
      <c r="B1113" s="66"/>
      <c r="C1113" s="70"/>
      <c r="D1113" s="68"/>
      <c r="E1113" s="68"/>
      <c r="F1113" s="69"/>
      <c r="G1113" s="70"/>
      <c r="H1113" s="70"/>
      <c r="I1113" s="70"/>
      <c r="J1113" s="70"/>
      <c r="K1113" s="71"/>
      <c r="L1113" s="71"/>
      <c r="M1113" s="71"/>
      <c r="N1113" s="71"/>
      <c r="O1113" s="70"/>
      <c r="P1113" s="73"/>
      <c r="Q1113" s="71"/>
      <c r="R1113" s="71"/>
      <c r="S1113" s="71"/>
      <c r="T1113" s="71"/>
      <c r="U1113" s="71"/>
      <c r="V1113" s="70"/>
      <c r="W1113" s="70"/>
      <c r="X1113" s="70"/>
      <c r="Y1113" s="70"/>
      <c r="Z1113" s="83"/>
    </row>
    <row r="1114">
      <c r="A1114" s="94"/>
      <c r="B1114" s="66"/>
      <c r="C1114" s="70"/>
      <c r="D1114" s="68"/>
      <c r="E1114" s="68"/>
      <c r="F1114" s="69"/>
      <c r="G1114" s="70"/>
      <c r="H1114" s="70"/>
      <c r="I1114" s="70"/>
      <c r="J1114" s="70"/>
      <c r="K1114" s="71"/>
      <c r="L1114" s="71"/>
      <c r="M1114" s="71"/>
      <c r="N1114" s="71"/>
      <c r="O1114" s="70"/>
      <c r="P1114" s="73"/>
      <c r="Q1114" s="71"/>
      <c r="R1114" s="71"/>
      <c r="S1114" s="71"/>
      <c r="T1114" s="71"/>
      <c r="U1114" s="71"/>
      <c r="V1114" s="70"/>
      <c r="W1114" s="70"/>
      <c r="X1114" s="70"/>
      <c r="Y1114" s="70"/>
      <c r="Z1114" s="83"/>
    </row>
    <row r="1115">
      <c r="A1115" s="94"/>
      <c r="B1115" s="66"/>
      <c r="C1115" s="70"/>
      <c r="D1115" s="68"/>
      <c r="E1115" s="68"/>
      <c r="F1115" s="69"/>
      <c r="G1115" s="70"/>
      <c r="H1115" s="70"/>
      <c r="I1115" s="70"/>
      <c r="J1115" s="70"/>
      <c r="K1115" s="71"/>
      <c r="L1115" s="71"/>
      <c r="M1115" s="71"/>
      <c r="N1115" s="71"/>
      <c r="O1115" s="70"/>
      <c r="P1115" s="73"/>
      <c r="Q1115" s="71"/>
      <c r="R1115" s="71"/>
      <c r="S1115" s="71"/>
      <c r="T1115" s="71"/>
      <c r="U1115" s="71"/>
      <c r="V1115" s="70"/>
      <c r="W1115" s="70"/>
      <c r="X1115" s="70"/>
      <c r="Y1115" s="70"/>
      <c r="Z1115" s="83"/>
    </row>
    <row r="1116">
      <c r="A1116" s="94"/>
      <c r="B1116" s="66"/>
      <c r="C1116" s="70"/>
      <c r="D1116" s="68"/>
      <c r="E1116" s="68"/>
      <c r="F1116" s="69"/>
      <c r="G1116" s="70"/>
      <c r="H1116" s="70"/>
      <c r="I1116" s="70"/>
      <c r="J1116" s="70"/>
      <c r="K1116" s="71"/>
      <c r="L1116" s="71"/>
      <c r="M1116" s="71"/>
      <c r="N1116" s="71"/>
      <c r="O1116" s="70"/>
      <c r="P1116" s="73"/>
      <c r="Q1116" s="71"/>
      <c r="R1116" s="71"/>
      <c r="S1116" s="71"/>
      <c r="T1116" s="71"/>
      <c r="U1116" s="71"/>
      <c r="V1116" s="70"/>
      <c r="W1116" s="70"/>
      <c r="X1116" s="70"/>
      <c r="Y1116" s="70"/>
      <c r="Z1116" s="83"/>
    </row>
    <row r="1117">
      <c r="A1117" s="94"/>
      <c r="B1117" s="66"/>
      <c r="C1117" s="70"/>
      <c r="D1117" s="68"/>
      <c r="E1117" s="68"/>
      <c r="F1117" s="69"/>
      <c r="G1117" s="70"/>
      <c r="H1117" s="70"/>
      <c r="I1117" s="70"/>
      <c r="J1117" s="70"/>
      <c r="K1117" s="71"/>
      <c r="L1117" s="71"/>
      <c r="M1117" s="71"/>
      <c r="N1117" s="71"/>
      <c r="O1117" s="70"/>
      <c r="P1117" s="73"/>
      <c r="Q1117" s="71"/>
      <c r="R1117" s="71"/>
      <c r="S1117" s="71"/>
      <c r="T1117" s="71"/>
      <c r="U1117" s="71"/>
      <c r="V1117" s="70"/>
      <c r="W1117" s="70"/>
      <c r="X1117" s="70"/>
      <c r="Y1117" s="70"/>
      <c r="Z1117" s="83"/>
    </row>
    <row r="1118">
      <c r="A1118" s="94"/>
      <c r="B1118" s="66"/>
      <c r="C1118" s="70"/>
      <c r="D1118" s="68"/>
      <c r="E1118" s="68"/>
      <c r="F1118" s="69"/>
      <c r="G1118" s="70"/>
      <c r="H1118" s="70"/>
      <c r="I1118" s="70"/>
      <c r="J1118" s="70"/>
      <c r="K1118" s="71"/>
      <c r="L1118" s="71"/>
      <c r="M1118" s="71"/>
      <c r="N1118" s="71"/>
      <c r="O1118" s="70"/>
      <c r="P1118" s="73"/>
      <c r="Q1118" s="71"/>
      <c r="R1118" s="71"/>
      <c r="S1118" s="71"/>
      <c r="T1118" s="71"/>
      <c r="U1118" s="71"/>
      <c r="V1118" s="70"/>
      <c r="W1118" s="70"/>
      <c r="X1118" s="70"/>
      <c r="Y1118" s="70"/>
      <c r="Z1118" s="83"/>
    </row>
    <row r="1119">
      <c r="A1119" s="94"/>
      <c r="B1119" s="66"/>
      <c r="C1119" s="70"/>
      <c r="D1119" s="68"/>
      <c r="E1119" s="68"/>
      <c r="F1119" s="69"/>
      <c r="G1119" s="70"/>
      <c r="H1119" s="70"/>
      <c r="I1119" s="70"/>
      <c r="J1119" s="70"/>
      <c r="K1119" s="71"/>
      <c r="L1119" s="71"/>
      <c r="M1119" s="71"/>
      <c r="N1119" s="71"/>
      <c r="O1119" s="70"/>
      <c r="P1119" s="73"/>
      <c r="Q1119" s="71"/>
      <c r="R1119" s="71"/>
      <c r="S1119" s="71"/>
      <c r="T1119" s="71"/>
      <c r="U1119" s="71"/>
      <c r="V1119" s="70"/>
      <c r="W1119" s="70"/>
      <c r="X1119" s="70"/>
      <c r="Y1119" s="70"/>
      <c r="Z1119" s="83"/>
    </row>
    <row r="1120">
      <c r="A1120" s="94"/>
      <c r="B1120" s="66"/>
      <c r="C1120" s="70"/>
      <c r="D1120" s="68"/>
      <c r="E1120" s="68"/>
      <c r="F1120" s="69"/>
      <c r="G1120" s="70"/>
      <c r="H1120" s="70"/>
      <c r="I1120" s="70"/>
      <c r="J1120" s="70"/>
      <c r="K1120" s="71"/>
      <c r="L1120" s="71"/>
      <c r="M1120" s="71"/>
      <c r="N1120" s="71"/>
      <c r="O1120" s="70"/>
      <c r="P1120" s="73"/>
      <c r="Q1120" s="71"/>
      <c r="R1120" s="71"/>
      <c r="S1120" s="71"/>
      <c r="T1120" s="71"/>
      <c r="U1120" s="71"/>
      <c r="V1120" s="70"/>
      <c r="W1120" s="70"/>
      <c r="X1120" s="70"/>
      <c r="Y1120" s="70"/>
      <c r="Z1120" s="83"/>
    </row>
    <row r="1121">
      <c r="A1121" s="94"/>
      <c r="B1121" s="66"/>
      <c r="C1121" s="70"/>
      <c r="D1121" s="68"/>
      <c r="E1121" s="68"/>
      <c r="F1121" s="69"/>
      <c r="G1121" s="70"/>
      <c r="H1121" s="70"/>
      <c r="I1121" s="70"/>
      <c r="J1121" s="70"/>
      <c r="K1121" s="71"/>
      <c r="L1121" s="71"/>
      <c r="M1121" s="71"/>
      <c r="N1121" s="71"/>
      <c r="O1121" s="70"/>
      <c r="P1121" s="73"/>
      <c r="Q1121" s="71"/>
      <c r="R1121" s="71"/>
      <c r="S1121" s="71"/>
      <c r="T1121" s="71"/>
      <c r="U1121" s="71"/>
      <c r="V1121" s="70"/>
      <c r="W1121" s="70"/>
      <c r="X1121" s="70"/>
      <c r="Y1121" s="70"/>
      <c r="Z1121" s="83"/>
    </row>
    <row r="1122">
      <c r="A1122" s="94"/>
      <c r="B1122" s="66"/>
      <c r="C1122" s="70"/>
      <c r="D1122" s="68"/>
      <c r="E1122" s="68"/>
      <c r="F1122" s="69"/>
      <c r="G1122" s="70"/>
      <c r="H1122" s="70"/>
      <c r="I1122" s="70"/>
      <c r="J1122" s="70"/>
      <c r="K1122" s="71"/>
      <c r="L1122" s="71"/>
      <c r="M1122" s="71"/>
      <c r="N1122" s="71"/>
      <c r="O1122" s="70"/>
      <c r="P1122" s="73"/>
      <c r="Q1122" s="71"/>
      <c r="R1122" s="71"/>
      <c r="S1122" s="71"/>
      <c r="T1122" s="71"/>
      <c r="U1122" s="71"/>
      <c r="V1122" s="70"/>
      <c r="W1122" s="70"/>
      <c r="X1122" s="70"/>
      <c r="Y1122" s="70"/>
      <c r="Z1122" s="83"/>
    </row>
    <row r="1123">
      <c r="A1123" s="94"/>
      <c r="B1123" s="66"/>
      <c r="C1123" s="70"/>
      <c r="D1123" s="68"/>
      <c r="E1123" s="68"/>
      <c r="F1123" s="69"/>
      <c r="G1123" s="70"/>
      <c r="H1123" s="70"/>
      <c r="I1123" s="70"/>
      <c r="J1123" s="70"/>
      <c r="K1123" s="71"/>
      <c r="L1123" s="71"/>
      <c r="M1123" s="71"/>
      <c r="N1123" s="71"/>
      <c r="O1123" s="70"/>
      <c r="P1123" s="73"/>
      <c r="Q1123" s="71"/>
      <c r="R1123" s="71"/>
      <c r="S1123" s="71"/>
      <c r="T1123" s="71"/>
      <c r="U1123" s="71"/>
      <c r="V1123" s="70"/>
      <c r="W1123" s="70"/>
      <c r="X1123" s="70"/>
      <c r="Y1123" s="70"/>
      <c r="Z1123" s="83"/>
    </row>
    <row r="1124">
      <c r="A1124" s="94"/>
      <c r="B1124" s="66"/>
      <c r="C1124" s="70"/>
      <c r="D1124" s="68"/>
      <c r="E1124" s="68"/>
      <c r="F1124" s="69"/>
      <c r="G1124" s="70"/>
      <c r="H1124" s="70"/>
      <c r="I1124" s="70"/>
      <c r="J1124" s="70"/>
      <c r="K1124" s="71"/>
      <c r="L1124" s="71"/>
      <c r="M1124" s="71"/>
      <c r="N1124" s="71"/>
      <c r="O1124" s="70"/>
      <c r="P1124" s="73"/>
      <c r="Q1124" s="71"/>
      <c r="R1124" s="71"/>
      <c r="S1124" s="71"/>
      <c r="T1124" s="71"/>
      <c r="U1124" s="71"/>
      <c r="V1124" s="70"/>
      <c r="W1124" s="70"/>
      <c r="X1124" s="70"/>
      <c r="Y1124" s="70"/>
      <c r="Z1124" s="83"/>
    </row>
    <row r="1125">
      <c r="A1125" s="94"/>
      <c r="B1125" s="66"/>
      <c r="C1125" s="70"/>
      <c r="D1125" s="68"/>
      <c r="E1125" s="68"/>
      <c r="F1125" s="69"/>
      <c r="G1125" s="70"/>
      <c r="H1125" s="70"/>
      <c r="I1125" s="70"/>
      <c r="J1125" s="70"/>
      <c r="K1125" s="71"/>
      <c r="L1125" s="71"/>
      <c r="M1125" s="71"/>
      <c r="N1125" s="71"/>
      <c r="O1125" s="70"/>
      <c r="P1125" s="73"/>
      <c r="Q1125" s="71"/>
      <c r="R1125" s="71"/>
      <c r="S1125" s="71"/>
      <c r="T1125" s="71"/>
      <c r="U1125" s="71"/>
      <c r="V1125" s="70"/>
      <c r="W1125" s="70"/>
      <c r="X1125" s="70"/>
      <c r="Y1125" s="70"/>
      <c r="Z1125" s="83"/>
    </row>
    <row r="1126">
      <c r="A1126" s="94"/>
      <c r="B1126" s="66"/>
      <c r="C1126" s="70"/>
      <c r="D1126" s="68"/>
      <c r="E1126" s="68"/>
      <c r="F1126" s="69"/>
      <c r="G1126" s="70"/>
      <c r="H1126" s="70"/>
      <c r="I1126" s="70"/>
      <c r="J1126" s="70"/>
      <c r="K1126" s="71"/>
      <c r="L1126" s="71"/>
      <c r="M1126" s="71"/>
      <c r="N1126" s="71"/>
      <c r="O1126" s="70"/>
      <c r="P1126" s="73"/>
      <c r="Q1126" s="71"/>
      <c r="R1126" s="71"/>
      <c r="S1126" s="71"/>
      <c r="T1126" s="71"/>
      <c r="U1126" s="71"/>
      <c r="V1126" s="70"/>
      <c r="W1126" s="70"/>
      <c r="X1126" s="70"/>
      <c r="Y1126" s="70"/>
      <c r="Z1126" s="83"/>
    </row>
    <row r="1127">
      <c r="A1127" s="94"/>
      <c r="B1127" s="66"/>
      <c r="C1127" s="70"/>
      <c r="D1127" s="68"/>
      <c r="E1127" s="68"/>
      <c r="F1127" s="69"/>
      <c r="G1127" s="70"/>
      <c r="H1127" s="70"/>
      <c r="I1127" s="70"/>
      <c r="J1127" s="70"/>
      <c r="K1127" s="71"/>
      <c r="L1127" s="71"/>
      <c r="M1127" s="71"/>
      <c r="N1127" s="71"/>
      <c r="O1127" s="70"/>
      <c r="P1127" s="73"/>
      <c r="Q1127" s="71"/>
      <c r="R1127" s="71"/>
      <c r="S1127" s="71"/>
      <c r="T1127" s="71"/>
      <c r="U1127" s="71"/>
      <c r="V1127" s="70"/>
      <c r="W1127" s="70"/>
      <c r="X1127" s="70"/>
      <c r="Y1127" s="70"/>
      <c r="Z1127" s="83"/>
    </row>
    <row r="1128">
      <c r="A1128" s="94"/>
      <c r="B1128" s="66"/>
      <c r="C1128" s="70"/>
      <c r="D1128" s="68"/>
      <c r="E1128" s="68"/>
      <c r="F1128" s="69"/>
      <c r="G1128" s="70"/>
      <c r="H1128" s="70"/>
      <c r="I1128" s="70"/>
      <c r="J1128" s="70"/>
      <c r="K1128" s="71"/>
      <c r="L1128" s="71"/>
      <c r="M1128" s="71"/>
      <c r="N1128" s="71"/>
      <c r="O1128" s="70"/>
      <c r="P1128" s="73"/>
      <c r="Q1128" s="71"/>
      <c r="R1128" s="71"/>
      <c r="S1128" s="71"/>
      <c r="T1128" s="71"/>
      <c r="U1128" s="71"/>
      <c r="V1128" s="70"/>
      <c r="W1128" s="70"/>
      <c r="X1128" s="70"/>
      <c r="Y1128" s="70"/>
      <c r="Z1128" s="83"/>
    </row>
    <row r="1129">
      <c r="A1129" s="94"/>
      <c r="B1129" s="66"/>
      <c r="C1129" s="70"/>
      <c r="D1129" s="68"/>
      <c r="E1129" s="68"/>
      <c r="F1129" s="69"/>
      <c r="G1129" s="70"/>
      <c r="H1129" s="70"/>
      <c r="I1129" s="70"/>
      <c r="J1129" s="70"/>
      <c r="K1129" s="71"/>
      <c r="L1129" s="71"/>
      <c r="M1129" s="71"/>
      <c r="N1129" s="71"/>
      <c r="O1129" s="70"/>
      <c r="P1129" s="73"/>
      <c r="Q1129" s="71"/>
      <c r="R1129" s="71"/>
      <c r="S1129" s="71"/>
      <c r="T1129" s="71"/>
      <c r="U1129" s="71"/>
      <c r="V1129" s="70"/>
      <c r="W1129" s="70"/>
      <c r="X1129" s="70"/>
      <c r="Y1129" s="70"/>
      <c r="Z1129" s="83"/>
    </row>
    <row r="1130">
      <c r="A1130" s="94"/>
      <c r="B1130" s="66"/>
      <c r="C1130" s="70"/>
      <c r="D1130" s="68"/>
      <c r="E1130" s="68"/>
      <c r="F1130" s="69"/>
      <c r="G1130" s="70"/>
      <c r="H1130" s="70"/>
      <c r="I1130" s="70"/>
      <c r="J1130" s="70"/>
      <c r="K1130" s="71"/>
      <c r="L1130" s="71"/>
      <c r="M1130" s="71"/>
      <c r="N1130" s="71"/>
      <c r="O1130" s="70"/>
      <c r="P1130" s="73"/>
      <c r="Q1130" s="71"/>
      <c r="R1130" s="71"/>
      <c r="S1130" s="71"/>
      <c r="T1130" s="71"/>
      <c r="U1130" s="71"/>
      <c r="V1130" s="70"/>
      <c r="W1130" s="70"/>
      <c r="X1130" s="70"/>
      <c r="Y1130" s="70"/>
      <c r="Z1130" s="83"/>
    </row>
    <row r="1131">
      <c r="A1131" s="94"/>
      <c r="B1131" s="66"/>
      <c r="C1131" s="70"/>
      <c r="D1131" s="68"/>
      <c r="E1131" s="68"/>
      <c r="F1131" s="69"/>
      <c r="G1131" s="70"/>
      <c r="H1131" s="70"/>
      <c r="I1131" s="70"/>
      <c r="J1131" s="70"/>
      <c r="K1131" s="71"/>
      <c r="L1131" s="71"/>
      <c r="M1131" s="71"/>
      <c r="N1131" s="71"/>
      <c r="O1131" s="70"/>
      <c r="P1131" s="73"/>
      <c r="Q1131" s="71"/>
      <c r="R1131" s="71"/>
      <c r="S1131" s="71"/>
      <c r="T1131" s="71"/>
      <c r="U1131" s="71"/>
      <c r="V1131" s="70"/>
      <c r="W1131" s="70"/>
      <c r="X1131" s="70"/>
      <c r="Y1131" s="70"/>
      <c r="Z1131" s="83"/>
    </row>
    <row r="1132">
      <c r="A1132" s="94"/>
      <c r="B1132" s="66"/>
      <c r="C1132" s="70"/>
      <c r="D1132" s="68"/>
      <c r="E1132" s="68"/>
      <c r="F1132" s="69"/>
      <c r="G1132" s="70"/>
      <c r="H1132" s="70"/>
      <c r="I1132" s="70"/>
      <c r="J1132" s="70"/>
      <c r="K1132" s="71"/>
      <c r="L1132" s="71"/>
      <c r="M1132" s="71"/>
      <c r="N1132" s="71"/>
      <c r="O1132" s="70"/>
      <c r="P1132" s="73"/>
      <c r="Q1132" s="71"/>
      <c r="R1132" s="71"/>
      <c r="S1132" s="71"/>
      <c r="T1132" s="71"/>
      <c r="U1132" s="71"/>
      <c r="V1132" s="70"/>
      <c r="W1132" s="70"/>
      <c r="X1132" s="70"/>
      <c r="Y1132" s="70"/>
      <c r="Z1132" s="83"/>
    </row>
    <row r="1133">
      <c r="A1133" s="94"/>
      <c r="B1133" s="66"/>
      <c r="C1133" s="70"/>
      <c r="D1133" s="68"/>
      <c r="E1133" s="68"/>
      <c r="F1133" s="69"/>
      <c r="G1133" s="70"/>
      <c r="H1133" s="70"/>
      <c r="I1133" s="70"/>
      <c r="J1133" s="70"/>
      <c r="K1133" s="71"/>
      <c r="L1133" s="71"/>
      <c r="M1133" s="71"/>
      <c r="N1133" s="71"/>
      <c r="O1133" s="70"/>
      <c r="P1133" s="73"/>
      <c r="Q1133" s="71"/>
      <c r="R1133" s="71"/>
      <c r="S1133" s="71"/>
      <c r="T1133" s="71"/>
      <c r="U1133" s="71"/>
      <c r="V1133" s="70"/>
      <c r="W1133" s="70"/>
      <c r="X1133" s="70"/>
      <c r="Y1133" s="70"/>
      <c r="Z1133" s="83"/>
    </row>
    <row r="1134">
      <c r="A1134" s="94"/>
      <c r="B1134" s="66"/>
      <c r="C1134" s="70"/>
      <c r="D1134" s="68"/>
      <c r="E1134" s="68"/>
      <c r="F1134" s="69"/>
      <c r="G1134" s="70"/>
      <c r="H1134" s="70"/>
      <c r="I1134" s="70"/>
      <c r="J1134" s="70"/>
      <c r="K1134" s="71"/>
      <c r="L1134" s="71"/>
      <c r="M1134" s="71"/>
      <c r="N1134" s="71"/>
      <c r="O1134" s="70"/>
      <c r="P1134" s="73"/>
      <c r="Q1134" s="71"/>
      <c r="R1134" s="71"/>
      <c r="S1134" s="71"/>
      <c r="T1134" s="71"/>
      <c r="U1134" s="71"/>
      <c r="V1134" s="70"/>
      <c r="W1134" s="70"/>
      <c r="X1134" s="70"/>
      <c r="Y1134" s="70"/>
      <c r="Z1134" s="83"/>
    </row>
    <row r="1135">
      <c r="A1135" s="94"/>
      <c r="B1135" s="66"/>
      <c r="C1135" s="70"/>
      <c r="D1135" s="68"/>
      <c r="E1135" s="68"/>
      <c r="F1135" s="69"/>
      <c r="G1135" s="70"/>
      <c r="H1135" s="70"/>
      <c r="I1135" s="70"/>
      <c r="J1135" s="70"/>
      <c r="K1135" s="71"/>
      <c r="L1135" s="71"/>
      <c r="M1135" s="71"/>
      <c r="N1135" s="71"/>
      <c r="O1135" s="70"/>
      <c r="P1135" s="73"/>
      <c r="Q1135" s="71"/>
      <c r="R1135" s="71"/>
      <c r="S1135" s="71"/>
      <c r="T1135" s="71"/>
      <c r="U1135" s="71"/>
      <c r="V1135" s="70"/>
      <c r="W1135" s="70"/>
      <c r="X1135" s="70"/>
      <c r="Y1135" s="70"/>
      <c r="Z1135" s="83"/>
    </row>
    <row r="1136">
      <c r="A1136" s="94"/>
      <c r="B1136" s="66"/>
      <c r="C1136" s="70"/>
      <c r="D1136" s="68"/>
      <c r="E1136" s="68"/>
      <c r="F1136" s="69"/>
      <c r="G1136" s="70"/>
      <c r="H1136" s="70"/>
      <c r="I1136" s="70"/>
      <c r="J1136" s="70"/>
      <c r="K1136" s="71"/>
      <c r="L1136" s="71"/>
      <c r="M1136" s="71"/>
      <c r="N1136" s="71"/>
      <c r="O1136" s="70"/>
      <c r="P1136" s="73"/>
      <c r="Q1136" s="71"/>
      <c r="R1136" s="71"/>
      <c r="S1136" s="71"/>
      <c r="T1136" s="71"/>
      <c r="U1136" s="71"/>
      <c r="V1136" s="70"/>
      <c r="W1136" s="70"/>
      <c r="X1136" s="70"/>
      <c r="Y1136" s="70"/>
      <c r="Z1136" s="83"/>
    </row>
    <row r="1137">
      <c r="A1137" s="94"/>
      <c r="B1137" s="66"/>
      <c r="C1137" s="70"/>
      <c r="D1137" s="68"/>
      <c r="E1137" s="68"/>
      <c r="F1137" s="69"/>
      <c r="G1137" s="70"/>
      <c r="H1137" s="70"/>
      <c r="I1137" s="70"/>
      <c r="J1137" s="70"/>
      <c r="K1137" s="71"/>
      <c r="L1137" s="71"/>
      <c r="M1137" s="71"/>
      <c r="N1137" s="71"/>
      <c r="O1137" s="70"/>
      <c r="P1137" s="73"/>
      <c r="Q1137" s="71"/>
      <c r="R1137" s="71"/>
      <c r="S1137" s="71"/>
      <c r="T1137" s="71"/>
      <c r="U1137" s="71"/>
      <c r="V1137" s="70"/>
      <c r="W1137" s="70"/>
      <c r="X1137" s="70"/>
      <c r="Y1137" s="70"/>
      <c r="Z1137" s="83"/>
    </row>
    <row r="1138">
      <c r="A1138" s="94"/>
      <c r="B1138" s="66"/>
      <c r="C1138" s="70"/>
      <c r="D1138" s="68"/>
      <c r="E1138" s="68"/>
      <c r="F1138" s="69"/>
      <c r="G1138" s="70"/>
      <c r="H1138" s="70"/>
      <c r="I1138" s="70"/>
      <c r="J1138" s="70"/>
      <c r="K1138" s="71"/>
      <c r="L1138" s="71"/>
      <c r="M1138" s="71"/>
      <c r="N1138" s="71"/>
      <c r="O1138" s="70"/>
      <c r="P1138" s="73"/>
      <c r="Q1138" s="71"/>
      <c r="R1138" s="71"/>
      <c r="S1138" s="71"/>
      <c r="T1138" s="71"/>
      <c r="U1138" s="71"/>
      <c r="V1138" s="70"/>
      <c r="W1138" s="70"/>
      <c r="X1138" s="70"/>
      <c r="Y1138" s="70"/>
      <c r="Z1138" s="83"/>
    </row>
    <row r="1139">
      <c r="A1139" s="94"/>
      <c r="B1139" s="66"/>
      <c r="C1139" s="70"/>
      <c r="D1139" s="68"/>
      <c r="E1139" s="68"/>
      <c r="F1139" s="69"/>
      <c r="G1139" s="70"/>
      <c r="H1139" s="70"/>
      <c r="I1139" s="70"/>
      <c r="J1139" s="70"/>
      <c r="K1139" s="71"/>
      <c r="L1139" s="71"/>
      <c r="M1139" s="71"/>
      <c r="N1139" s="71"/>
      <c r="O1139" s="70"/>
      <c r="P1139" s="73"/>
      <c r="Q1139" s="71"/>
      <c r="R1139" s="71"/>
      <c r="S1139" s="71"/>
      <c r="T1139" s="71"/>
      <c r="U1139" s="71"/>
      <c r="V1139" s="70"/>
      <c r="W1139" s="70"/>
      <c r="X1139" s="70"/>
      <c r="Y1139" s="70"/>
      <c r="Z1139" s="83"/>
    </row>
    <row r="1140">
      <c r="A1140" s="94"/>
      <c r="B1140" s="66"/>
      <c r="C1140" s="70"/>
      <c r="D1140" s="68"/>
      <c r="E1140" s="68"/>
      <c r="F1140" s="69"/>
      <c r="G1140" s="70"/>
      <c r="H1140" s="70"/>
      <c r="I1140" s="70"/>
      <c r="J1140" s="70"/>
      <c r="K1140" s="71"/>
      <c r="L1140" s="71"/>
      <c r="M1140" s="71"/>
      <c r="N1140" s="71"/>
      <c r="O1140" s="70"/>
      <c r="P1140" s="73"/>
      <c r="Q1140" s="71"/>
      <c r="R1140" s="71"/>
      <c r="S1140" s="71"/>
      <c r="T1140" s="71"/>
      <c r="U1140" s="71"/>
      <c r="V1140" s="70"/>
      <c r="W1140" s="70"/>
      <c r="X1140" s="70"/>
      <c r="Y1140" s="70"/>
      <c r="Z1140" s="83"/>
    </row>
    <row r="1141">
      <c r="A1141" s="94"/>
      <c r="B1141" s="66"/>
      <c r="C1141" s="70"/>
      <c r="D1141" s="68"/>
      <c r="E1141" s="68"/>
      <c r="F1141" s="69"/>
      <c r="G1141" s="70"/>
      <c r="H1141" s="70"/>
      <c r="I1141" s="70"/>
      <c r="J1141" s="70"/>
      <c r="K1141" s="71"/>
      <c r="L1141" s="71"/>
      <c r="M1141" s="71"/>
      <c r="N1141" s="71"/>
      <c r="O1141" s="70"/>
      <c r="P1141" s="73"/>
      <c r="Q1141" s="71"/>
      <c r="R1141" s="71"/>
      <c r="S1141" s="71"/>
      <c r="T1141" s="71"/>
      <c r="U1141" s="71"/>
      <c r="V1141" s="70"/>
      <c r="W1141" s="70"/>
      <c r="X1141" s="70"/>
      <c r="Y1141" s="70"/>
      <c r="Z1141" s="83"/>
    </row>
    <row r="1142">
      <c r="A1142" s="94"/>
      <c r="B1142" s="66"/>
      <c r="C1142" s="70"/>
      <c r="D1142" s="68"/>
      <c r="E1142" s="68"/>
      <c r="F1142" s="69"/>
      <c r="G1142" s="70"/>
      <c r="H1142" s="70"/>
      <c r="I1142" s="70"/>
      <c r="J1142" s="70"/>
      <c r="K1142" s="71"/>
      <c r="L1142" s="71"/>
      <c r="M1142" s="71"/>
      <c r="N1142" s="71"/>
      <c r="O1142" s="70"/>
      <c r="P1142" s="73"/>
      <c r="Q1142" s="71"/>
      <c r="R1142" s="71"/>
      <c r="S1142" s="71"/>
      <c r="T1142" s="71"/>
      <c r="U1142" s="71"/>
      <c r="V1142" s="70"/>
      <c r="W1142" s="70"/>
      <c r="X1142" s="70"/>
      <c r="Y1142" s="70"/>
      <c r="Z1142" s="83"/>
    </row>
    <row r="1143">
      <c r="A1143" s="94"/>
      <c r="B1143" s="66"/>
      <c r="C1143" s="70"/>
      <c r="D1143" s="68"/>
      <c r="E1143" s="68"/>
      <c r="F1143" s="69"/>
      <c r="G1143" s="70"/>
      <c r="H1143" s="70"/>
      <c r="I1143" s="70"/>
      <c r="J1143" s="70"/>
      <c r="K1143" s="71"/>
      <c r="L1143" s="71"/>
      <c r="M1143" s="71"/>
      <c r="N1143" s="71"/>
      <c r="O1143" s="70"/>
      <c r="P1143" s="73"/>
      <c r="Q1143" s="71"/>
      <c r="R1143" s="71"/>
      <c r="S1143" s="71"/>
      <c r="T1143" s="71"/>
      <c r="U1143" s="71"/>
      <c r="V1143" s="70"/>
      <c r="W1143" s="70"/>
      <c r="X1143" s="70"/>
      <c r="Y1143" s="70"/>
      <c r="Z1143" s="83"/>
    </row>
    <row r="1144">
      <c r="A1144" s="94"/>
      <c r="B1144" s="66"/>
      <c r="C1144" s="70"/>
      <c r="D1144" s="68"/>
      <c r="E1144" s="68"/>
      <c r="F1144" s="69"/>
      <c r="G1144" s="70"/>
      <c r="H1144" s="70"/>
      <c r="I1144" s="70"/>
      <c r="J1144" s="70"/>
      <c r="K1144" s="71"/>
      <c r="L1144" s="71"/>
      <c r="M1144" s="71"/>
      <c r="N1144" s="71"/>
      <c r="O1144" s="70"/>
      <c r="P1144" s="73"/>
      <c r="Q1144" s="71"/>
      <c r="R1144" s="71"/>
      <c r="S1144" s="71"/>
      <c r="T1144" s="71"/>
      <c r="U1144" s="71"/>
      <c r="V1144" s="70"/>
      <c r="W1144" s="70"/>
      <c r="X1144" s="70"/>
      <c r="Y1144" s="70"/>
      <c r="Z1144" s="83"/>
    </row>
    <row r="1145">
      <c r="A1145" s="94"/>
      <c r="B1145" s="66"/>
      <c r="C1145" s="70"/>
      <c r="D1145" s="68"/>
      <c r="E1145" s="68"/>
      <c r="F1145" s="69"/>
      <c r="G1145" s="70"/>
      <c r="H1145" s="70"/>
      <c r="I1145" s="70"/>
      <c r="J1145" s="70"/>
      <c r="K1145" s="71"/>
      <c r="L1145" s="71"/>
      <c r="M1145" s="71"/>
      <c r="N1145" s="71"/>
      <c r="O1145" s="70"/>
      <c r="P1145" s="73"/>
      <c r="Q1145" s="71"/>
      <c r="R1145" s="71"/>
      <c r="S1145" s="71"/>
      <c r="T1145" s="71"/>
      <c r="U1145" s="71"/>
      <c r="V1145" s="70"/>
      <c r="W1145" s="70"/>
      <c r="X1145" s="70"/>
      <c r="Y1145" s="70"/>
      <c r="Z1145" s="83"/>
    </row>
    <row r="1146">
      <c r="A1146" s="94"/>
      <c r="B1146" s="66"/>
      <c r="C1146" s="70"/>
      <c r="D1146" s="68"/>
      <c r="E1146" s="68"/>
      <c r="F1146" s="69"/>
      <c r="G1146" s="70"/>
      <c r="H1146" s="70"/>
      <c r="I1146" s="70"/>
      <c r="J1146" s="70"/>
      <c r="K1146" s="71"/>
      <c r="L1146" s="71"/>
      <c r="M1146" s="71"/>
      <c r="N1146" s="71"/>
      <c r="O1146" s="70"/>
      <c r="P1146" s="73"/>
      <c r="Q1146" s="71"/>
      <c r="R1146" s="71"/>
      <c r="S1146" s="71"/>
      <c r="T1146" s="71"/>
      <c r="U1146" s="71"/>
      <c r="V1146" s="70"/>
      <c r="W1146" s="70"/>
      <c r="X1146" s="70"/>
      <c r="Y1146" s="70"/>
      <c r="Z1146" s="83"/>
    </row>
    <row r="1147">
      <c r="A1147" s="94"/>
      <c r="B1147" s="66"/>
      <c r="C1147" s="70"/>
      <c r="D1147" s="68"/>
      <c r="E1147" s="68"/>
      <c r="F1147" s="69"/>
      <c r="G1147" s="70"/>
      <c r="H1147" s="70"/>
      <c r="I1147" s="70"/>
      <c r="J1147" s="70"/>
      <c r="K1147" s="71"/>
      <c r="L1147" s="71"/>
      <c r="M1147" s="71"/>
      <c r="N1147" s="71"/>
      <c r="O1147" s="70"/>
      <c r="P1147" s="73"/>
      <c r="Q1147" s="71"/>
      <c r="R1147" s="71"/>
      <c r="S1147" s="71"/>
      <c r="T1147" s="71"/>
      <c r="U1147" s="71"/>
      <c r="V1147" s="70"/>
      <c r="W1147" s="70"/>
      <c r="X1147" s="70"/>
      <c r="Y1147" s="70"/>
      <c r="Z1147" s="83"/>
    </row>
    <row r="1148">
      <c r="A1148" s="94"/>
      <c r="B1148" s="66"/>
      <c r="C1148" s="70"/>
      <c r="D1148" s="68"/>
      <c r="E1148" s="68"/>
      <c r="F1148" s="69"/>
      <c r="G1148" s="70"/>
      <c r="H1148" s="70"/>
      <c r="I1148" s="70"/>
      <c r="J1148" s="70"/>
      <c r="K1148" s="71"/>
      <c r="L1148" s="71"/>
      <c r="M1148" s="71"/>
      <c r="N1148" s="71"/>
      <c r="O1148" s="70"/>
      <c r="P1148" s="73"/>
      <c r="Q1148" s="71"/>
      <c r="R1148" s="71"/>
      <c r="S1148" s="71"/>
      <c r="T1148" s="71"/>
      <c r="U1148" s="71"/>
      <c r="V1148" s="70"/>
      <c r="W1148" s="70"/>
      <c r="X1148" s="70"/>
      <c r="Y1148" s="70"/>
      <c r="Z1148" s="83"/>
    </row>
    <row r="1149">
      <c r="A1149" s="94"/>
      <c r="B1149" s="66"/>
      <c r="C1149" s="70"/>
      <c r="D1149" s="68"/>
      <c r="E1149" s="68"/>
      <c r="F1149" s="69"/>
      <c r="G1149" s="70"/>
      <c r="H1149" s="70"/>
      <c r="I1149" s="70"/>
      <c r="J1149" s="70"/>
      <c r="K1149" s="71"/>
      <c r="L1149" s="71"/>
      <c r="M1149" s="71"/>
      <c r="N1149" s="71"/>
      <c r="O1149" s="70"/>
      <c r="P1149" s="73"/>
      <c r="Q1149" s="71"/>
      <c r="R1149" s="71"/>
      <c r="S1149" s="71"/>
      <c r="T1149" s="71"/>
      <c r="U1149" s="71"/>
      <c r="V1149" s="70"/>
      <c r="W1149" s="70"/>
      <c r="X1149" s="70"/>
      <c r="Y1149" s="70"/>
      <c r="Z1149" s="83"/>
    </row>
    <row r="1150">
      <c r="A1150" s="94"/>
      <c r="B1150" s="66"/>
      <c r="C1150" s="70"/>
      <c r="D1150" s="68"/>
      <c r="E1150" s="68"/>
      <c r="F1150" s="69"/>
      <c r="G1150" s="70"/>
      <c r="H1150" s="70"/>
      <c r="I1150" s="70"/>
      <c r="J1150" s="70"/>
      <c r="K1150" s="71"/>
      <c r="L1150" s="71"/>
      <c r="M1150" s="71"/>
      <c r="N1150" s="71"/>
      <c r="O1150" s="70"/>
      <c r="P1150" s="73"/>
      <c r="Q1150" s="71"/>
      <c r="R1150" s="71"/>
      <c r="S1150" s="71"/>
      <c r="T1150" s="71"/>
      <c r="U1150" s="71"/>
      <c r="V1150" s="70"/>
      <c r="W1150" s="70"/>
      <c r="X1150" s="70"/>
      <c r="Y1150" s="70"/>
      <c r="Z1150" s="83"/>
    </row>
    <row r="1151">
      <c r="A1151" s="94"/>
      <c r="B1151" s="66"/>
      <c r="C1151" s="70"/>
      <c r="D1151" s="68"/>
      <c r="E1151" s="68"/>
      <c r="F1151" s="69"/>
      <c r="G1151" s="70"/>
      <c r="H1151" s="70"/>
      <c r="I1151" s="70"/>
      <c r="J1151" s="70"/>
      <c r="K1151" s="71"/>
      <c r="L1151" s="71"/>
      <c r="M1151" s="71"/>
      <c r="N1151" s="71"/>
      <c r="O1151" s="70"/>
      <c r="P1151" s="73"/>
      <c r="Q1151" s="71"/>
      <c r="R1151" s="71"/>
      <c r="S1151" s="71"/>
      <c r="T1151" s="71"/>
      <c r="U1151" s="71"/>
      <c r="V1151" s="70"/>
      <c r="W1151" s="70"/>
      <c r="X1151" s="70"/>
      <c r="Y1151" s="70"/>
      <c r="Z1151" s="83"/>
    </row>
    <row r="1152">
      <c r="A1152" s="94"/>
      <c r="B1152" s="66"/>
      <c r="C1152" s="70"/>
      <c r="D1152" s="68"/>
      <c r="E1152" s="68"/>
      <c r="F1152" s="69"/>
      <c r="G1152" s="70"/>
      <c r="H1152" s="70"/>
      <c r="I1152" s="70"/>
      <c r="J1152" s="70"/>
      <c r="K1152" s="71"/>
      <c r="L1152" s="71"/>
      <c r="M1152" s="71"/>
      <c r="N1152" s="71"/>
      <c r="O1152" s="70"/>
      <c r="P1152" s="73"/>
      <c r="Q1152" s="71"/>
      <c r="R1152" s="71"/>
      <c r="S1152" s="71"/>
      <c r="T1152" s="71"/>
      <c r="U1152" s="71"/>
      <c r="V1152" s="70"/>
      <c r="W1152" s="70"/>
      <c r="X1152" s="70"/>
      <c r="Y1152" s="70"/>
      <c r="Z1152" s="83"/>
    </row>
    <row r="1153">
      <c r="A1153" s="94"/>
      <c r="B1153" s="66"/>
      <c r="C1153" s="70"/>
      <c r="D1153" s="68"/>
      <c r="E1153" s="68"/>
      <c r="F1153" s="69"/>
      <c r="G1153" s="70"/>
      <c r="H1153" s="70"/>
      <c r="I1153" s="70"/>
      <c r="J1153" s="70"/>
      <c r="K1153" s="71"/>
      <c r="L1153" s="71"/>
      <c r="M1153" s="71"/>
      <c r="N1153" s="71"/>
      <c r="O1153" s="70"/>
      <c r="P1153" s="73"/>
      <c r="Q1153" s="71"/>
      <c r="R1153" s="71"/>
      <c r="S1153" s="71"/>
      <c r="T1153" s="71"/>
      <c r="U1153" s="71"/>
      <c r="V1153" s="70"/>
      <c r="W1153" s="70"/>
      <c r="X1153" s="70"/>
      <c r="Y1153" s="70"/>
      <c r="Z1153" s="83"/>
    </row>
    <row r="1154">
      <c r="A1154" s="94"/>
      <c r="B1154" s="66"/>
      <c r="C1154" s="70"/>
      <c r="D1154" s="68"/>
      <c r="E1154" s="68"/>
      <c r="F1154" s="69"/>
      <c r="G1154" s="70"/>
      <c r="H1154" s="70"/>
      <c r="I1154" s="70"/>
      <c r="J1154" s="70"/>
      <c r="K1154" s="71"/>
      <c r="L1154" s="71"/>
      <c r="M1154" s="71"/>
      <c r="N1154" s="71"/>
      <c r="O1154" s="70"/>
      <c r="P1154" s="73"/>
      <c r="Q1154" s="71"/>
      <c r="R1154" s="71"/>
      <c r="S1154" s="71"/>
      <c r="T1154" s="71"/>
      <c r="U1154" s="71"/>
      <c r="V1154" s="70"/>
      <c r="W1154" s="70"/>
      <c r="X1154" s="70"/>
      <c r="Y1154" s="70"/>
      <c r="Z1154" s="83"/>
    </row>
    <row r="1155">
      <c r="A1155" s="94"/>
      <c r="B1155" s="66"/>
      <c r="C1155" s="70"/>
      <c r="D1155" s="68"/>
      <c r="E1155" s="68"/>
      <c r="F1155" s="69"/>
      <c r="G1155" s="70"/>
      <c r="H1155" s="70"/>
      <c r="I1155" s="70"/>
      <c r="J1155" s="70"/>
      <c r="K1155" s="71"/>
      <c r="L1155" s="71"/>
      <c r="M1155" s="71"/>
      <c r="N1155" s="71"/>
      <c r="O1155" s="70"/>
      <c r="P1155" s="73"/>
      <c r="Q1155" s="71"/>
      <c r="R1155" s="71"/>
      <c r="S1155" s="71"/>
      <c r="T1155" s="71"/>
      <c r="U1155" s="71"/>
      <c r="V1155" s="70"/>
      <c r="W1155" s="70"/>
      <c r="X1155" s="70"/>
      <c r="Y1155" s="70"/>
      <c r="Z1155" s="83"/>
    </row>
    <row r="1156">
      <c r="A1156" s="94"/>
      <c r="B1156" s="66"/>
      <c r="C1156" s="70"/>
      <c r="D1156" s="68"/>
      <c r="E1156" s="68"/>
      <c r="F1156" s="69"/>
      <c r="G1156" s="70"/>
      <c r="H1156" s="70"/>
      <c r="I1156" s="70"/>
      <c r="J1156" s="70"/>
      <c r="K1156" s="71"/>
      <c r="L1156" s="71"/>
      <c r="M1156" s="71"/>
      <c r="N1156" s="71"/>
      <c r="O1156" s="70"/>
      <c r="P1156" s="73"/>
      <c r="Q1156" s="71"/>
      <c r="R1156" s="71"/>
      <c r="S1156" s="71"/>
      <c r="T1156" s="71"/>
      <c r="U1156" s="71"/>
      <c r="V1156" s="70"/>
      <c r="W1156" s="70"/>
      <c r="X1156" s="70"/>
      <c r="Y1156" s="70"/>
      <c r="Z1156" s="83"/>
    </row>
    <row r="1157">
      <c r="A1157" s="94"/>
      <c r="B1157" s="66"/>
      <c r="C1157" s="70"/>
      <c r="D1157" s="68"/>
      <c r="E1157" s="68"/>
      <c r="F1157" s="69"/>
      <c r="G1157" s="70"/>
      <c r="H1157" s="70"/>
      <c r="I1157" s="70"/>
      <c r="J1157" s="70"/>
      <c r="K1157" s="71"/>
      <c r="L1157" s="71"/>
      <c r="M1157" s="71"/>
      <c r="N1157" s="71"/>
      <c r="O1157" s="70"/>
      <c r="P1157" s="73"/>
      <c r="Q1157" s="71"/>
      <c r="R1157" s="71"/>
      <c r="S1157" s="71"/>
      <c r="T1157" s="71"/>
      <c r="U1157" s="71"/>
      <c r="V1157" s="70"/>
      <c r="W1157" s="70"/>
      <c r="X1157" s="70"/>
      <c r="Y1157" s="70"/>
      <c r="Z1157" s="83"/>
    </row>
    <row r="1158">
      <c r="A1158" s="94"/>
      <c r="B1158" s="66"/>
      <c r="C1158" s="70"/>
      <c r="D1158" s="68"/>
      <c r="E1158" s="68"/>
      <c r="F1158" s="69"/>
      <c r="G1158" s="70"/>
      <c r="H1158" s="70"/>
      <c r="I1158" s="70"/>
      <c r="J1158" s="70"/>
      <c r="K1158" s="71"/>
      <c r="L1158" s="71"/>
      <c r="M1158" s="71"/>
      <c r="N1158" s="71"/>
      <c r="O1158" s="70"/>
      <c r="P1158" s="73"/>
      <c r="Q1158" s="71"/>
      <c r="R1158" s="71"/>
      <c r="S1158" s="71"/>
      <c r="T1158" s="71"/>
      <c r="U1158" s="71"/>
      <c r="V1158" s="70"/>
      <c r="W1158" s="70"/>
      <c r="X1158" s="70"/>
      <c r="Y1158" s="70"/>
      <c r="Z1158" s="83"/>
    </row>
    <row r="1159">
      <c r="A1159" s="94"/>
      <c r="B1159" s="66"/>
      <c r="C1159" s="70"/>
      <c r="D1159" s="68"/>
      <c r="E1159" s="68"/>
      <c r="F1159" s="69"/>
      <c r="G1159" s="70"/>
      <c r="H1159" s="70"/>
      <c r="I1159" s="70"/>
      <c r="J1159" s="70"/>
      <c r="K1159" s="71"/>
      <c r="L1159" s="71"/>
      <c r="M1159" s="71"/>
      <c r="N1159" s="71"/>
      <c r="O1159" s="70"/>
      <c r="P1159" s="73"/>
      <c r="Q1159" s="71"/>
      <c r="R1159" s="71"/>
      <c r="S1159" s="71"/>
      <c r="T1159" s="71"/>
      <c r="U1159" s="71"/>
      <c r="V1159" s="70"/>
      <c r="W1159" s="70"/>
      <c r="X1159" s="70"/>
      <c r="Y1159" s="70"/>
      <c r="Z1159" s="83"/>
    </row>
    <row r="1160">
      <c r="A1160" s="94"/>
      <c r="B1160" s="66"/>
      <c r="C1160" s="70"/>
      <c r="D1160" s="68"/>
      <c r="E1160" s="68"/>
      <c r="F1160" s="69"/>
      <c r="G1160" s="70"/>
      <c r="H1160" s="70"/>
      <c r="I1160" s="70"/>
      <c r="J1160" s="70"/>
      <c r="K1160" s="71"/>
      <c r="L1160" s="71"/>
      <c r="M1160" s="71"/>
      <c r="N1160" s="71"/>
      <c r="O1160" s="70"/>
      <c r="P1160" s="73"/>
      <c r="Q1160" s="71"/>
      <c r="R1160" s="71"/>
      <c r="S1160" s="71"/>
      <c r="T1160" s="71"/>
      <c r="U1160" s="71"/>
      <c r="V1160" s="70"/>
      <c r="W1160" s="70"/>
      <c r="X1160" s="70"/>
      <c r="Y1160" s="70"/>
      <c r="Z1160" s="83"/>
    </row>
    <row r="1161">
      <c r="A1161" s="94"/>
      <c r="B1161" s="66"/>
      <c r="C1161" s="70"/>
      <c r="D1161" s="68"/>
      <c r="E1161" s="68"/>
      <c r="F1161" s="69"/>
      <c r="G1161" s="70"/>
      <c r="H1161" s="70"/>
      <c r="I1161" s="70"/>
      <c r="J1161" s="70"/>
      <c r="K1161" s="71"/>
      <c r="L1161" s="71"/>
      <c r="M1161" s="71"/>
      <c r="N1161" s="71"/>
      <c r="O1161" s="70"/>
      <c r="P1161" s="73"/>
      <c r="Q1161" s="71"/>
      <c r="R1161" s="71"/>
      <c r="S1161" s="71"/>
      <c r="T1161" s="71"/>
      <c r="U1161" s="71"/>
      <c r="V1161" s="70"/>
      <c r="W1161" s="70"/>
      <c r="X1161" s="70"/>
      <c r="Y1161" s="70"/>
      <c r="Z1161" s="83"/>
    </row>
    <row r="1162">
      <c r="A1162" s="94"/>
      <c r="B1162" s="66"/>
      <c r="C1162" s="70"/>
      <c r="D1162" s="68"/>
      <c r="E1162" s="68"/>
      <c r="F1162" s="69"/>
      <c r="G1162" s="70"/>
      <c r="H1162" s="70"/>
      <c r="I1162" s="70"/>
      <c r="J1162" s="70"/>
      <c r="K1162" s="71"/>
      <c r="L1162" s="71"/>
      <c r="M1162" s="71"/>
      <c r="N1162" s="71"/>
      <c r="O1162" s="70"/>
      <c r="P1162" s="73"/>
      <c r="Q1162" s="71"/>
      <c r="R1162" s="71"/>
      <c r="S1162" s="71"/>
      <c r="T1162" s="71"/>
      <c r="U1162" s="71"/>
      <c r="V1162" s="70"/>
      <c r="W1162" s="70"/>
      <c r="X1162" s="70"/>
      <c r="Y1162" s="70"/>
      <c r="Z1162" s="83"/>
    </row>
    <row r="1163">
      <c r="A1163" s="94"/>
      <c r="B1163" s="66"/>
      <c r="C1163" s="70"/>
      <c r="D1163" s="68"/>
      <c r="E1163" s="68"/>
      <c r="F1163" s="69"/>
      <c r="G1163" s="70"/>
      <c r="H1163" s="70"/>
      <c r="I1163" s="70"/>
      <c r="J1163" s="70"/>
      <c r="K1163" s="71"/>
      <c r="L1163" s="71"/>
      <c r="M1163" s="71"/>
      <c r="N1163" s="71"/>
      <c r="O1163" s="70"/>
      <c r="P1163" s="73"/>
      <c r="Q1163" s="71"/>
      <c r="R1163" s="71"/>
      <c r="S1163" s="71"/>
      <c r="T1163" s="71"/>
      <c r="U1163" s="71"/>
      <c r="V1163" s="70"/>
      <c r="W1163" s="70"/>
      <c r="X1163" s="70"/>
      <c r="Y1163" s="70"/>
      <c r="Z1163" s="83"/>
    </row>
    <row r="1164">
      <c r="A1164" s="94"/>
      <c r="B1164" s="66"/>
      <c r="C1164" s="70"/>
      <c r="D1164" s="68"/>
      <c r="E1164" s="68"/>
      <c r="F1164" s="69"/>
      <c r="G1164" s="70"/>
      <c r="H1164" s="70"/>
      <c r="I1164" s="70"/>
      <c r="J1164" s="70"/>
      <c r="K1164" s="71"/>
      <c r="L1164" s="71"/>
      <c r="M1164" s="71"/>
      <c r="N1164" s="71"/>
      <c r="O1164" s="70"/>
      <c r="P1164" s="73"/>
      <c r="Q1164" s="71"/>
      <c r="R1164" s="71"/>
      <c r="S1164" s="71"/>
      <c r="T1164" s="71"/>
      <c r="U1164" s="71"/>
      <c r="V1164" s="70"/>
      <c r="W1164" s="70"/>
      <c r="X1164" s="70"/>
      <c r="Y1164" s="70"/>
      <c r="Z1164" s="83"/>
    </row>
    <row r="1165">
      <c r="A1165" s="94"/>
      <c r="B1165" s="66"/>
      <c r="C1165" s="70"/>
      <c r="D1165" s="68"/>
      <c r="E1165" s="68"/>
      <c r="F1165" s="69"/>
      <c r="G1165" s="70"/>
      <c r="H1165" s="70"/>
      <c r="I1165" s="70"/>
      <c r="J1165" s="70"/>
      <c r="K1165" s="71"/>
      <c r="L1165" s="71"/>
      <c r="M1165" s="71"/>
      <c r="N1165" s="71"/>
      <c r="O1165" s="70"/>
      <c r="P1165" s="73"/>
      <c r="Q1165" s="71"/>
      <c r="R1165" s="71"/>
      <c r="S1165" s="71"/>
      <c r="T1165" s="71"/>
      <c r="U1165" s="71"/>
      <c r="V1165" s="70"/>
      <c r="W1165" s="70"/>
      <c r="X1165" s="70"/>
      <c r="Y1165" s="70"/>
      <c r="Z1165" s="83"/>
    </row>
    <row r="1166">
      <c r="A1166" s="94"/>
      <c r="B1166" s="66"/>
      <c r="C1166" s="70"/>
      <c r="D1166" s="68"/>
      <c r="E1166" s="68"/>
      <c r="F1166" s="69"/>
      <c r="G1166" s="70"/>
      <c r="H1166" s="70"/>
      <c r="I1166" s="70"/>
      <c r="J1166" s="70"/>
      <c r="K1166" s="71"/>
      <c r="L1166" s="71"/>
      <c r="M1166" s="71"/>
      <c r="N1166" s="71"/>
      <c r="O1166" s="70"/>
      <c r="P1166" s="73"/>
      <c r="Q1166" s="71"/>
      <c r="R1166" s="71"/>
      <c r="S1166" s="71"/>
      <c r="T1166" s="71"/>
      <c r="U1166" s="71"/>
      <c r="V1166" s="70"/>
      <c r="W1166" s="70"/>
      <c r="X1166" s="70"/>
      <c r="Y1166" s="70"/>
      <c r="Z1166" s="83"/>
    </row>
    <row r="1167">
      <c r="A1167" s="94"/>
      <c r="B1167" s="66"/>
      <c r="C1167" s="70"/>
      <c r="D1167" s="68"/>
      <c r="E1167" s="68"/>
      <c r="F1167" s="69"/>
      <c r="G1167" s="70"/>
      <c r="H1167" s="70"/>
      <c r="I1167" s="70"/>
      <c r="J1167" s="70"/>
      <c r="K1167" s="71"/>
      <c r="L1167" s="71"/>
      <c r="M1167" s="71"/>
      <c r="N1167" s="71"/>
      <c r="O1167" s="70"/>
      <c r="P1167" s="73"/>
      <c r="Q1167" s="71"/>
      <c r="R1167" s="71"/>
      <c r="S1167" s="71"/>
      <c r="T1167" s="71"/>
      <c r="U1167" s="71"/>
      <c r="V1167" s="70"/>
      <c r="W1167" s="70"/>
      <c r="X1167" s="70"/>
      <c r="Y1167" s="70"/>
      <c r="Z1167" s="83"/>
    </row>
    <row r="1168">
      <c r="A1168" s="94"/>
      <c r="B1168" s="66"/>
      <c r="C1168" s="70"/>
      <c r="D1168" s="68"/>
      <c r="E1168" s="68"/>
      <c r="F1168" s="69"/>
      <c r="G1168" s="70"/>
      <c r="H1168" s="70"/>
      <c r="I1168" s="70"/>
      <c r="J1168" s="70"/>
      <c r="K1168" s="71"/>
      <c r="L1168" s="71"/>
      <c r="M1168" s="71"/>
      <c r="N1168" s="71"/>
      <c r="O1168" s="70"/>
      <c r="P1168" s="73"/>
      <c r="Q1168" s="71"/>
      <c r="R1168" s="71"/>
      <c r="S1168" s="71"/>
      <c r="T1168" s="71"/>
      <c r="U1168" s="71"/>
      <c r="V1168" s="70"/>
      <c r="W1168" s="70"/>
      <c r="X1168" s="70"/>
      <c r="Y1168" s="70"/>
      <c r="Z1168" s="83"/>
    </row>
    <row r="1169">
      <c r="A1169" s="94"/>
      <c r="B1169" s="66"/>
      <c r="C1169" s="70"/>
      <c r="D1169" s="68"/>
      <c r="E1169" s="68"/>
      <c r="F1169" s="69"/>
      <c r="G1169" s="70"/>
      <c r="H1169" s="70"/>
      <c r="I1169" s="70"/>
      <c r="J1169" s="70"/>
      <c r="K1169" s="71"/>
      <c r="L1169" s="71"/>
      <c r="M1169" s="71"/>
      <c r="N1169" s="71"/>
      <c r="O1169" s="70"/>
      <c r="P1169" s="73"/>
      <c r="Q1169" s="71"/>
      <c r="R1169" s="71"/>
      <c r="S1169" s="71"/>
      <c r="T1169" s="71"/>
      <c r="U1169" s="71"/>
      <c r="V1169" s="70"/>
      <c r="W1169" s="70"/>
      <c r="X1169" s="70"/>
      <c r="Y1169" s="70"/>
      <c r="Z1169" s="83"/>
    </row>
    <row r="1170">
      <c r="A1170" s="94"/>
      <c r="B1170" s="66"/>
      <c r="C1170" s="70"/>
      <c r="D1170" s="68"/>
      <c r="E1170" s="68"/>
      <c r="F1170" s="69"/>
      <c r="G1170" s="70"/>
      <c r="H1170" s="70"/>
      <c r="I1170" s="70"/>
      <c r="J1170" s="70"/>
      <c r="K1170" s="71"/>
      <c r="L1170" s="71"/>
      <c r="M1170" s="71"/>
      <c r="N1170" s="71"/>
      <c r="O1170" s="70"/>
      <c r="P1170" s="73"/>
      <c r="Q1170" s="71"/>
      <c r="R1170" s="71"/>
      <c r="S1170" s="71"/>
      <c r="T1170" s="71"/>
      <c r="U1170" s="71"/>
      <c r="V1170" s="70"/>
      <c r="W1170" s="70"/>
      <c r="X1170" s="70"/>
      <c r="Y1170" s="70"/>
      <c r="Z1170" s="83"/>
    </row>
    <row r="1171">
      <c r="A1171" s="94"/>
      <c r="B1171" s="66"/>
      <c r="C1171" s="70"/>
      <c r="D1171" s="68"/>
      <c r="E1171" s="68"/>
      <c r="F1171" s="69"/>
      <c r="G1171" s="70"/>
      <c r="H1171" s="70"/>
      <c r="I1171" s="70"/>
      <c r="J1171" s="70"/>
      <c r="K1171" s="71"/>
      <c r="L1171" s="71"/>
      <c r="M1171" s="71"/>
      <c r="N1171" s="71"/>
      <c r="O1171" s="70"/>
      <c r="P1171" s="73"/>
      <c r="Q1171" s="71"/>
      <c r="R1171" s="71"/>
      <c r="S1171" s="71"/>
      <c r="T1171" s="71"/>
      <c r="U1171" s="71"/>
      <c r="V1171" s="70"/>
      <c r="W1171" s="70"/>
      <c r="X1171" s="70"/>
      <c r="Y1171" s="70"/>
      <c r="Z1171" s="83"/>
    </row>
    <row r="1172">
      <c r="A1172" s="94"/>
      <c r="B1172" s="66"/>
      <c r="C1172" s="70"/>
      <c r="D1172" s="68"/>
      <c r="E1172" s="68"/>
      <c r="F1172" s="69"/>
      <c r="G1172" s="70"/>
      <c r="H1172" s="70"/>
      <c r="I1172" s="70"/>
      <c r="J1172" s="70"/>
      <c r="K1172" s="71"/>
      <c r="L1172" s="71"/>
      <c r="M1172" s="71"/>
      <c r="N1172" s="71"/>
      <c r="O1172" s="70"/>
      <c r="P1172" s="73"/>
      <c r="Q1172" s="71"/>
      <c r="R1172" s="71"/>
      <c r="S1172" s="71"/>
      <c r="T1172" s="71"/>
      <c r="U1172" s="71"/>
      <c r="V1172" s="70"/>
      <c r="W1172" s="70"/>
      <c r="X1172" s="70"/>
      <c r="Y1172" s="70"/>
      <c r="Z1172" s="83"/>
    </row>
    <row r="1173">
      <c r="A1173" s="94"/>
      <c r="B1173" s="66"/>
      <c r="C1173" s="70"/>
      <c r="D1173" s="68"/>
      <c r="E1173" s="68"/>
      <c r="F1173" s="69"/>
      <c r="G1173" s="70"/>
      <c r="H1173" s="70"/>
      <c r="I1173" s="70"/>
      <c r="J1173" s="70"/>
      <c r="K1173" s="71"/>
      <c r="L1173" s="71"/>
      <c r="M1173" s="71"/>
      <c r="N1173" s="71"/>
      <c r="O1173" s="70"/>
      <c r="P1173" s="73"/>
      <c r="Q1173" s="71"/>
      <c r="R1173" s="71"/>
      <c r="S1173" s="71"/>
      <c r="T1173" s="71"/>
      <c r="U1173" s="71"/>
      <c r="V1173" s="70"/>
      <c r="W1173" s="70"/>
      <c r="X1173" s="70"/>
      <c r="Y1173" s="70"/>
      <c r="Z1173" s="83"/>
    </row>
    <row r="1174">
      <c r="A1174" s="94"/>
      <c r="B1174" s="66"/>
      <c r="C1174" s="70"/>
      <c r="D1174" s="68"/>
      <c r="E1174" s="68"/>
      <c r="F1174" s="69"/>
      <c r="G1174" s="70"/>
      <c r="H1174" s="70"/>
      <c r="I1174" s="70"/>
      <c r="J1174" s="70"/>
      <c r="K1174" s="71"/>
      <c r="L1174" s="71"/>
      <c r="M1174" s="71"/>
      <c r="N1174" s="71"/>
      <c r="O1174" s="70"/>
      <c r="P1174" s="73"/>
      <c r="Q1174" s="71"/>
      <c r="R1174" s="71"/>
      <c r="S1174" s="71"/>
      <c r="T1174" s="71"/>
      <c r="U1174" s="71"/>
      <c r="V1174" s="70"/>
      <c r="W1174" s="70"/>
      <c r="X1174" s="70"/>
      <c r="Y1174" s="70"/>
      <c r="Z1174" s="83"/>
    </row>
    <row r="1175">
      <c r="A1175" s="94"/>
      <c r="B1175" s="66"/>
      <c r="C1175" s="70"/>
      <c r="D1175" s="68"/>
      <c r="E1175" s="68"/>
      <c r="F1175" s="69"/>
      <c r="G1175" s="70"/>
      <c r="H1175" s="70"/>
      <c r="I1175" s="70"/>
      <c r="J1175" s="70"/>
      <c r="K1175" s="71"/>
      <c r="L1175" s="71"/>
      <c r="M1175" s="71"/>
      <c r="N1175" s="71"/>
      <c r="O1175" s="70"/>
      <c r="P1175" s="73"/>
      <c r="Q1175" s="71"/>
      <c r="R1175" s="71"/>
      <c r="S1175" s="71"/>
      <c r="T1175" s="71"/>
      <c r="U1175" s="71"/>
      <c r="V1175" s="70"/>
      <c r="W1175" s="70"/>
      <c r="X1175" s="70"/>
      <c r="Y1175" s="70"/>
      <c r="Z1175" s="83"/>
    </row>
    <row r="1176">
      <c r="A1176" s="94"/>
      <c r="B1176" s="66"/>
      <c r="C1176" s="70"/>
      <c r="D1176" s="68"/>
      <c r="E1176" s="68"/>
      <c r="F1176" s="69"/>
      <c r="G1176" s="70"/>
      <c r="H1176" s="70"/>
      <c r="I1176" s="70"/>
      <c r="J1176" s="70"/>
      <c r="K1176" s="71"/>
      <c r="L1176" s="71"/>
      <c r="M1176" s="71"/>
      <c r="N1176" s="71"/>
      <c r="O1176" s="70"/>
      <c r="P1176" s="73"/>
      <c r="Q1176" s="71"/>
      <c r="R1176" s="71"/>
      <c r="S1176" s="71"/>
      <c r="T1176" s="71"/>
      <c r="U1176" s="71"/>
      <c r="V1176" s="70"/>
      <c r="W1176" s="70"/>
      <c r="X1176" s="70"/>
      <c r="Y1176" s="70"/>
      <c r="Z1176" s="83"/>
    </row>
    <row r="1177">
      <c r="A1177" s="94"/>
      <c r="B1177" s="66"/>
      <c r="C1177" s="70"/>
      <c r="D1177" s="68"/>
      <c r="E1177" s="68"/>
      <c r="F1177" s="69"/>
      <c r="G1177" s="70"/>
      <c r="H1177" s="70"/>
      <c r="I1177" s="70"/>
      <c r="J1177" s="70"/>
      <c r="K1177" s="71"/>
      <c r="L1177" s="71"/>
      <c r="M1177" s="71"/>
      <c r="N1177" s="71"/>
      <c r="O1177" s="70"/>
      <c r="P1177" s="73"/>
      <c r="Q1177" s="71"/>
      <c r="R1177" s="71"/>
      <c r="S1177" s="71"/>
      <c r="T1177" s="71"/>
      <c r="U1177" s="71"/>
      <c r="V1177" s="70"/>
      <c r="W1177" s="70"/>
      <c r="X1177" s="70"/>
      <c r="Y1177" s="70"/>
      <c r="Z1177" s="83"/>
    </row>
    <row r="1178">
      <c r="A1178" s="94"/>
      <c r="B1178" s="66"/>
      <c r="C1178" s="70"/>
      <c r="D1178" s="68"/>
      <c r="E1178" s="68"/>
      <c r="F1178" s="69"/>
      <c r="G1178" s="70"/>
      <c r="H1178" s="70"/>
      <c r="I1178" s="70"/>
      <c r="J1178" s="70"/>
      <c r="K1178" s="71"/>
      <c r="L1178" s="71"/>
      <c r="M1178" s="71"/>
      <c r="N1178" s="71"/>
      <c r="O1178" s="70"/>
      <c r="P1178" s="73"/>
      <c r="Q1178" s="71"/>
      <c r="R1178" s="71"/>
      <c r="S1178" s="71"/>
      <c r="T1178" s="71"/>
      <c r="U1178" s="71"/>
      <c r="V1178" s="70"/>
      <c r="W1178" s="70"/>
      <c r="X1178" s="70"/>
      <c r="Y1178" s="70"/>
      <c r="Z1178" s="83"/>
    </row>
    <row r="1179">
      <c r="A1179" s="94"/>
      <c r="B1179" s="66"/>
      <c r="C1179" s="70"/>
      <c r="D1179" s="68"/>
      <c r="E1179" s="68"/>
      <c r="F1179" s="69"/>
      <c r="G1179" s="70"/>
      <c r="H1179" s="70"/>
      <c r="I1179" s="70"/>
      <c r="J1179" s="70"/>
      <c r="K1179" s="71"/>
      <c r="L1179" s="71"/>
      <c r="M1179" s="71"/>
      <c r="N1179" s="71"/>
      <c r="O1179" s="70"/>
      <c r="P1179" s="73"/>
      <c r="Q1179" s="71"/>
      <c r="R1179" s="71"/>
      <c r="S1179" s="71"/>
      <c r="T1179" s="71"/>
      <c r="U1179" s="71"/>
      <c r="V1179" s="70"/>
      <c r="W1179" s="70"/>
      <c r="X1179" s="70"/>
      <c r="Y1179" s="70"/>
      <c r="Z1179" s="83"/>
    </row>
    <row r="1180">
      <c r="A1180" s="94"/>
      <c r="B1180" s="66"/>
      <c r="C1180" s="70"/>
      <c r="D1180" s="68"/>
      <c r="E1180" s="68"/>
      <c r="F1180" s="69"/>
      <c r="G1180" s="70"/>
      <c r="H1180" s="70"/>
      <c r="I1180" s="70"/>
      <c r="J1180" s="70"/>
      <c r="K1180" s="71"/>
      <c r="L1180" s="71"/>
      <c r="M1180" s="71"/>
      <c r="N1180" s="71"/>
      <c r="O1180" s="70"/>
      <c r="P1180" s="73"/>
      <c r="Q1180" s="71"/>
      <c r="R1180" s="71"/>
      <c r="S1180" s="71"/>
      <c r="T1180" s="71"/>
      <c r="U1180" s="71"/>
      <c r="V1180" s="70"/>
      <c r="W1180" s="70"/>
      <c r="X1180" s="70"/>
      <c r="Y1180" s="70"/>
      <c r="Z1180" s="83"/>
    </row>
    <row r="1181">
      <c r="A1181" s="94"/>
      <c r="B1181" s="66"/>
      <c r="C1181" s="70"/>
      <c r="D1181" s="68"/>
      <c r="E1181" s="68"/>
      <c r="F1181" s="69"/>
      <c r="G1181" s="70"/>
      <c r="H1181" s="70"/>
      <c r="I1181" s="70"/>
      <c r="J1181" s="70"/>
      <c r="K1181" s="71"/>
      <c r="L1181" s="71"/>
      <c r="M1181" s="71"/>
      <c r="N1181" s="71"/>
      <c r="O1181" s="70"/>
      <c r="P1181" s="73"/>
      <c r="Q1181" s="71"/>
      <c r="R1181" s="71"/>
      <c r="S1181" s="71"/>
      <c r="T1181" s="71"/>
      <c r="U1181" s="71"/>
      <c r="V1181" s="70"/>
      <c r="W1181" s="70"/>
      <c r="X1181" s="70"/>
      <c r="Y1181" s="70"/>
      <c r="Z1181" s="83"/>
    </row>
    <row r="1182">
      <c r="A1182" s="94"/>
      <c r="B1182" s="66"/>
      <c r="C1182" s="70"/>
      <c r="D1182" s="68"/>
      <c r="E1182" s="68"/>
      <c r="F1182" s="69"/>
      <c r="G1182" s="70"/>
      <c r="H1182" s="70"/>
      <c r="I1182" s="70"/>
      <c r="J1182" s="70"/>
      <c r="K1182" s="71"/>
      <c r="L1182" s="71"/>
      <c r="M1182" s="71"/>
      <c r="N1182" s="71"/>
      <c r="O1182" s="70"/>
      <c r="P1182" s="73"/>
      <c r="Q1182" s="71"/>
      <c r="R1182" s="71"/>
      <c r="S1182" s="71"/>
      <c r="T1182" s="71"/>
      <c r="U1182" s="71"/>
      <c r="V1182" s="70"/>
      <c r="W1182" s="70"/>
      <c r="X1182" s="70"/>
      <c r="Y1182" s="70"/>
      <c r="Z1182" s="83"/>
    </row>
    <row r="1183">
      <c r="A1183" s="94"/>
      <c r="B1183" s="66"/>
      <c r="C1183" s="70"/>
      <c r="D1183" s="68"/>
      <c r="E1183" s="68"/>
      <c r="F1183" s="69"/>
      <c r="G1183" s="70"/>
      <c r="H1183" s="70"/>
      <c r="I1183" s="70"/>
      <c r="J1183" s="70"/>
      <c r="K1183" s="71"/>
      <c r="L1183" s="71"/>
      <c r="M1183" s="71"/>
      <c r="N1183" s="71"/>
      <c r="O1183" s="70"/>
      <c r="P1183" s="73"/>
      <c r="Q1183" s="71"/>
      <c r="R1183" s="71"/>
      <c r="S1183" s="71"/>
      <c r="T1183" s="71"/>
      <c r="U1183" s="71"/>
      <c r="V1183" s="70"/>
      <c r="W1183" s="70"/>
      <c r="X1183" s="70"/>
      <c r="Y1183" s="70"/>
      <c r="Z1183" s="83"/>
    </row>
    <row r="1184">
      <c r="A1184" s="94"/>
      <c r="B1184" s="66"/>
      <c r="C1184" s="70"/>
      <c r="D1184" s="68"/>
      <c r="E1184" s="68"/>
      <c r="F1184" s="69"/>
      <c r="G1184" s="70"/>
      <c r="H1184" s="70"/>
      <c r="I1184" s="70"/>
      <c r="J1184" s="70"/>
      <c r="K1184" s="71"/>
      <c r="L1184" s="71"/>
      <c r="M1184" s="71"/>
      <c r="N1184" s="71"/>
      <c r="O1184" s="70"/>
      <c r="P1184" s="73"/>
      <c r="Q1184" s="71"/>
      <c r="R1184" s="71"/>
      <c r="S1184" s="71"/>
      <c r="T1184" s="71"/>
      <c r="U1184" s="71"/>
      <c r="V1184" s="70"/>
      <c r="W1184" s="70"/>
      <c r="X1184" s="70"/>
      <c r="Y1184" s="70"/>
      <c r="Z1184" s="83"/>
    </row>
    <row r="1185">
      <c r="A1185" s="94"/>
      <c r="B1185" s="66"/>
      <c r="C1185" s="70"/>
      <c r="D1185" s="68"/>
      <c r="E1185" s="68"/>
      <c r="F1185" s="69"/>
      <c r="G1185" s="70"/>
      <c r="H1185" s="70"/>
      <c r="I1185" s="70"/>
      <c r="J1185" s="70"/>
      <c r="K1185" s="71"/>
      <c r="L1185" s="71"/>
      <c r="M1185" s="71"/>
      <c r="N1185" s="71"/>
      <c r="O1185" s="70"/>
      <c r="P1185" s="73"/>
      <c r="Q1185" s="71"/>
      <c r="R1185" s="71"/>
      <c r="S1185" s="71"/>
      <c r="T1185" s="71"/>
      <c r="U1185" s="71"/>
      <c r="V1185" s="70"/>
      <c r="W1185" s="70"/>
      <c r="X1185" s="70"/>
      <c r="Y1185" s="70"/>
      <c r="Z1185" s="83"/>
    </row>
    <row r="1186">
      <c r="A1186" s="94"/>
      <c r="B1186" s="66"/>
      <c r="C1186" s="70"/>
      <c r="D1186" s="68"/>
      <c r="E1186" s="68"/>
      <c r="F1186" s="69"/>
      <c r="G1186" s="70"/>
      <c r="H1186" s="70"/>
      <c r="I1186" s="70"/>
      <c r="J1186" s="70"/>
      <c r="K1186" s="71"/>
      <c r="L1186" s="71"/>
      <c r="M1186" s="71"/>
      <c r="N1186" s="71"/>
      <c r="O1186" s="70"/>
      <c r="P1186" s="73"/>
      <c r="Q1186" s="71"/>
      <c r="R1186" s="71"/>
      <c r="S1186" s="71"/>
      <c r="T1186" s="71"/>
      <c r="U1186" s="71"/>
      <c r="V1186" s="70"/>
      <c r="W1186" s="70"/>
      <c r="X1186" s="70"/>
      <c r="Y1186" s="70"/>
      <c r="Z1186" s="83"/>
    </row>
    <row r="1187">
      <c r="A1187" s="94"/>
      <c r="B1187" s="66"/>
      <c r="C1187" s="70"/>
      <c r="D1187" s="68"/>
      <c r="E1187" s="68"/>
      <c r="F1187" s="69"/>
      <c r="G1187" s="70"/>
      <c r="H1187" s="70"/>
      <c r="I1187" s="70"/>
      <c r="J1187" s="70"/>
      <c r="K1187" s="71"/>
      <c r="L1187" s="71"/>
      <c r="M1187" s="71"/>
      <c r="N1187" s="71"/>
      <c r="O1187" s="70"/>
      <c r="P1187" s="73"/>
      <c r="Q1187" s="71"/>
      <c r="R1187" s="71"/>
      <c r="S1187" s="71"/>
      <c r="T1187" s="71"/>
      <c r="U1187" s="71"/>
      <c r="V1187" s="70"/>
      <c r="W1187" s="70"/>
      <c r="X1187" s="70"/>
      <c r="Y1187" s="70"/>
      <c r="Z1187" s="83"/>
    </row>
    <row r="1188">
      <c r="A1188" s="94"/>
      <c r="B1188" s="66"/>
      <c r="C1188" s="70"/>
      <c r="D1188" s="68"/>
      <c r="E1188" s="68"/>
      <c r="F1188" s="69"/>
      <c r="G1188" s="70"/>
      <c r="H1188" s="70"/>
      <c r="I1188" s="70"/>
      <c r="J1188" s="70"/>
      <c r="K1188" s="71"/>
      <c r="L1188" s="71"/>
      <c r="M1188" s="71"/>
      <c r="N1188" s="71"/>
      <c r="O1188" s="70"/>
      <c r="P1188" s="73"/>
      <c r="Q1188" s="71"/>
      <c r="R1188" s="71"/>
      <c r="S1188" s="71"/>
      <c r="T1188" s="71"/>
      <c r="U1188" s="71"/>
      <c r="V1188" s="70"/>
      <c r="W1188" s="70"/>
      <c r="X1188" s="70"/>
      <c r="Y1188" s="70"/>
      <c r="Z1188" s="83"/>
    </row>
    <row r="1189">
      <c r="A1189" s="94"/>
      <c r="B1189" s="66"/>
      <c r="C1189" s="70"/>
      <c r="D1189" s="68"/>
      <c r="E1189" s="68"/>
      <c r="F1189" s="69"/>
      <c r="G1189" s="70"/>
      <c r="H1189" s="70"/>
      <c r="I1189" s="70"/>
      <c r="J1189" s="70"/>
      <c r="K1189" s="71"/>
      <c r="L1189" s="71"/>
      <c r="M1189" s="71"/>
      <c r="N1189" s="71"/>
      <c r="O1189" s="70"/>
      <c r="P1189" s="73"/>
      <c r="Q1189" s="71"/>
      <c r="R1189" s="71"/>
      <c r="S1189" s="71"/>
      <c r="T1189" s="71"/>
      <c r="U1189" s="71"/>
      <c r="V1189" s="70"/>
      <c r="W1189" s="70"/>
      <c r="X1189" s="70"/>
      <c r="Y1189" s="70"/>
      <c r="Z1189" s="83"/>
    </row>
    <row r="1190">
      <c r="A1190" s="94"/>
      <c r="B1190" s="66"/>
      <c r="C1190" s="70"/>
      <c r="D1190" s="68"/>
      <c r="E1190" s="68"/>
      <c r="F1190" s="69"/>
      <c r="G1190" s="70"/>
      <c r="H1190" s="70"/>
      <c r="I1190" s="70"/>
      <c r="J1190" s="70"/>
      <c r="K1190" s="71"/>
      <c r="L1190" s="71"/>
      <c r="M1190" s="71"/>
      <c r="N1190" s="71"/>
      <c r="O1190" s="70"/>
      <c r="P1190" s="73"/>
      <c r="Q1190" s="71"/>
      <c r="R1190" s="71"/>
      <c r="S1190" s="71"/>
      <c r="T1190" s="71"/>
      <c r="U1190" s="71"/>
      <c r="V1190" s="70"/>
      <c r="W1190" s="70"/>
      <c r="X1190" s="70"/>
      <c r="Y1190" s="70"/>
      <c r="Z1190" s="83"/>
    </row>
    <row r="1191">
      <c r="A1191" s="94"/>
      <c r="B1191" s="66"/>
      <c r="C1191" s="70"/>
      <c r="D1191" s="68"/>
      <c r="E1191" s="68"/>
      <c r="F1191" s="69"/>
      <c r="G1191" s="70"/>
      <c r="H1191" s="70"/>
      <c r="I1191" s="70"/>
      <c r="J1191" s="70"/>
      <c r="K1191" s="71"/>
      <c r="L1191" s="71"/>
      <c r="M1191" s="71"/>
      <c r="N1191" s="71"/>
      <c r="O1191" s="70"/>
      <c r="P1191" s="73"/>
      <c r="Q1191" s="71"/>
      <c r="R1191" s="71"/>
      <c r="S1191" s="71"/>
      <c r="T1191" s="71"/>
      <c r="U1191" s="71"/>
      <c r="V1191" s="70"/>
      <c r="W1191" s="70"/>
      <c r="X1191" s="70"/>
      <c r="Y1191" s="70"/>
      <c r="Z1191" s="83"/>
    </row>
    <row r="1192">
      <c r="A1192" s="94"/>
      <c r="B1192" s="66"/>
      <c r="C1192" s="70"/>
      <c r="D1192" s="68"/>
      <c r="E1192" s="68"/>
      <c r="F1192" s="69"/>
      <c r="G1192" s="70"/>
      <c r="H1192" s="70"/>
      <c r="I1192" s="70"/>
      <c r="J1192" s="70"/>
      <c r="K1192" s="71"/>
      <c r="L1192" s="71"/>
      <c r="M1192" s="71"/>
      <c r="N1192" s="71"/>
      <c r="O1192" s="70"/>
      <c r="P1192" s="73"/>
      <c r="Q1192" s="71"/>
      <c r="R1192" s="71"/>
      <c r="S1192" s="71"/>
      <c r="T1192" s="71"/>
      <c r="U1192" s="71"/>
      <c r="V1192" s="70"/>
      <c r="W1192" s="70"/>
      <c r="X1192" s="70"/>
      <c r="Y1192" s="70"/>
      <c r="Z1192" s="83"/>
    </row>
    <row r="1193">
      <c r="A1193" s="94"/>
      <c r="B1193" s="66"/>
      <c r="C1193" s="70"/>
      <c r="D1193" s="68"/>
      <c r="E1193" s="68"/>
      <c r="F1193" s="69"/>
      <c r="G1193" s="70"/>
      <c r="H1193" s="70"/>
      <c r="I1193" s="70"/>
      <c r="J1193" s="70"/>
      <c r="K1193" s="71"/>
      <c r="L1193" s="71"/>
      <c r="M1193" s="71"/>
      <c r="N1193" s="71"/>
      <c r="O1193" s="70"/>
      <c r="P1193" s="73"/>
      <c r="Q1193" s="71"/>
      <c r="R1193" s="71"/>
      <c r="S1193" s="71"/>
      <c r="T1193" s="71"/>
      <c r="U1193" s="71"/>
      <c r="V1193" s="70"/>
      <c r="W1193" s="70"/>
      <c r="X1193" s="70"/>
      <c r="Y1193" s="70"/>
      <c r="Z1193" s="83"/>
    </row>
    <row r="1194">
      <c r="A1194" s="94"/>
      <c r="B1194" s="66"/>
      <c r="C1194" s="70"/>
      <c r="D1194" s="68"/>
      <c r="E1194" s="68"/>
      <c r="F1194" s="69"/>
      <c r="G1194" s="70"/>
      <c r="H1194" s="70"/>
      <c r="I1194" s="70"/>
      <c r="J1194" s="70"/>
      <c r="K1194" s="71"/>
      <c r="L1194" s="71"/>
      <c r="M1194" s="71"/>
      <c r="N1194" s="71"/>
      <c r="O1194" s="70"/>
      <c r="P1194" s="73"/>
      <c r="Q1194" s="71"/>
      <c r="R1194" s="71"/>
      <c r="S1194" s="71"/>
      <c r="T1194" s="71"/>
      <c r="U1194" s="71"/>
      <c r="V1194" s="70"/>
      <c r="W1194" s="70"/>
      <c r="X1194" s="70"/>
      <c r="Y1194" s="70"/>
      <c r="Z1194" s="83"/>
    </row>
    <row r="1195">
      <c r="A1195" s="94"/>
      <c r="B1195" s="66"/>
      <c r="C1195" s="70"/>
      <c r="D1195" s="68"/>
      <c r="E1195" s="68"/>
      <c r="F1195" s="69"/>
      <c r="G1195" s="70"/>
      <c r="H1195" s="70"/>
      <c r="I1195" s="70"/>
      <c r="J1195" s="70"/>
      <c r="K1195" s="71"/>
      <c r="L1195" s="71"/>
      <c r="M1195" s="71"/>
      <c r="N1195" s="71"/>
      <c r="O1195" s="70"/>
      <c r="P1195" s="73"/>
      <c r="Q1195" s="71"/>
      <c r="R1195" s="71"/>
      <c r="S1195" s="71"/>
      <c r="T1195" s="71"/>
      <c r="U1195" s="71"/>
      <c r="V1195" s="70"/>
      <c r="W1195" s="70"/>
      <c r="X1195" s="70"/>
      <c r="Y1195" s="70"/>
      <c r="Z1195" s="83"/>
    </row>
    <row r="1196">
      <c r="A1196" s="94"/>
      <c r="B1196" s="66"/>
      <c r="C1196" s="70"/>
      <c r="D1196" s="68"/>
      <c r="E1196" s="68"/>
      <c r="F1196" s="69"/>
      <c r="G1196" s="70"/>
      <c r="H1196" s="70"/>
      <c r="I1196" s="70"/>
      <c r="J1196" s="70"/>
      <c r="K1196" s="71"/>
      <c r="L1196" s="71"/>
      <c r="M1196" s="71"/>
      <c r="N1196" s="71"/>
      <c r="O1196" s="70"/>
      <c r="P1196" s="73"/>
      <c r="Q1196" s="71"/>
      <c r="R1196" s="71"/>
      <c r="S1196" s="71"/>
      <c r="T1196" s="71"/>
      <c r="U1196" s="71"/>
      <c r="V1196" s="70"/>
      <c r="W1196" s="70"/>
      <c r="X1196" s="70"/>
      <c r="Y1196" s="70"/>
      <c r="Z1196" s="83"/>
    </row>
    <row r="1197">
      <c r="A1197" s="94"/>
      <c r="B1197" s="66"/>
      <c r="C1197" s="70"/>
      <c r="D1197" s="68"/>
      <c r="E1197" s="68"/>
      <c r="F1197" s="69"/>
      <c r="G1197" s="70"/>
      <c r="H1197" s="70"/>
      <c r="I1197" s="70"/>
      <c r="J1197" s="70"/>
      <c r="K1197" s="71"/>
      <c r="L1197" s="71"/>
      <c r="M1197" s="71"/>
      <c r="N1197" s="71"/>
      <c r="O1197" s="70"/>
      <c r="P1197" s="73"/>
      <c r="Q1197" s="71"/>
      <c r="R1197" s="71"/>
      <c r="S1197" s="71"/>
      <c r="T1197" s="71"/>
      <c r="U1197" s="71"/>
      <c r="V1197" s="70"/>
      <c r="W1197" s="70"/>
      <c r="X1197" s="70"/>
      <c r="Y1197" s="70"/>
      <c r="Z1197" s="83"/>
    </row>
    <row r="1198">
      <c r="A1198" s="94"/>
      <c r="B1198" s="66"/>
      <c r="C1198" s="70"/>
      <c r="D1198" s="68"/>
      <c r="E1198" s="68"/>
      <c r="F1198" s="69"/>
      <c r="G1198" s="70"/>
      <c r="H1198" s="70"/>
      <c r="I1198" s="70"/>
      <c r="J1198" s="70"/>
      <c r="K1198" s="71"/>
      <c r="L1198" s="71"/>
      <c r="M1198" s="71"/>
      <c r="N1198" s="71"/>
      <c r="O1198" s="70"/>
      <c r="P1198" s="73"/>
      <c r="Q1198" s="71"/>
      <c r="R1198" s="71"/>
      <c r="S1198" s="71"/>
      <c r="T1198" s="71"/>
      <c r="U1198" s="71"/>
      <c r="V1198" s="70"/>
      <c r="W1198" s="70"/>
      <c r="X1198" s="70"/>
      <c r="Y1198" s="70"/>
      <c r="Z1198" s="83"/>
    </row>
    <row r="1199">
      <c r="A1199" s="94"/>
      <c r="B1199" s="66"/>
      <c r="C1199" s="70"/>
      <c r="D1199" s="68"/>
      <c r="E1199" s="68"/>
      <c r="F1199" s="69"/>
      <c r="G1199" s="70"/>
      <c r="H1199" s="70"/>
      <c r="I1199" s="70"/>
      <c r="J1199" s="70"/>
      <c r="K1199" s="71"/>
      <c r="L1199" s="71"/>
      <c r="M1199" s="71"/>
      <c r="N1199" s="71"/>
      <c r="O1199" s="70"/>
      <c r="P1199" s="73"/>
      <c r="Q1199" s="71"/>
      <c r="R1199" s="71"/>
      <c r="S1199" s="71"/>
      <c r="T1199" s="71"/>
      <c r="U1199" s="71"/>
      <c r="V1199" s="70"/>
      <c r="W1199" s="70"/>
      <c r="X1199" s="70"/>
      <c r="Y1199" s="70"/>
      <c r="Z1199" s="83"/>
    </row>
    <row r="1200">
      <c r="A1200" s="94"/>
      <c r="B1200" s="66"/>
      <c r="C1200" s="70"/>
      <c r="D1200" s="68"/>
      <c r="E1200" s="68"/>
      <c r="F1200" s="69"/>
      <c r="G1200" s="70"/>
      <c r="H1200" s="70"/>
      <c r="I1200" s="70"/>
      <c r="J1200" s="70"/>
      <c r="K1200" s="71"/>
      <c r="L1200" s="71"/>
      <c r="M1200" s="71"/>
      <c r="N1200" s="71"/>
      <c r="O1200" s="70"/>
      <c r="P1200" s="73"/>
      <c r="Q1200" s="71"/>
      <c r="R1200" s="71"/>
      <c r="S1200" s="71"/>
      <c r="T1200" s="71"/>
      <c r="U1200" s="71"/>
      <c r="V1200" s="70"/>
      <c r="W1200" s="70"/>
      <c r="X1200" s="70"/>
      <c r="Y1200" s="70"/>
      <c r="Z1200" s="83"/>
    </row>
    <row r="1201">
      <c r="A1201" s="94"/>
      <c r="B1201" s="66"/>
      <c r="C1201" s="70"/>
      <c r="D1201" s="68"/>
      <c r="E1201" s="68"/>
      <c r="F1201" s="69"/>
      <c r="G1201" s="70"/>
      <c r="H1201" s="70"/>
      <c r="I1201" s="70"/>
      <c r="J1201" s="70"/>
      <c r="K1201" s="71"/>
      <c r="L1201" s="71"/>
      <c r="M1201" s="71"/>
      <c r="N1201" s="71"/>
      <c r="O1201" s="70"/>
      <c r="P1201" s="73"/>
      <c r="Q1201" s="71"/>
      <c r="R1201" s="71"/>
      <c r="S1201" s="71"/>
      <c r="T1201" s="71"/>
      <c r="U1201" s="71"/>
      <c r="V1201" s="70"/>
      <c r="W1201" s="70"/>
      <c r="X1201" s="70"/>
      <c r="Y1201" s="70"/>
      <c r="Z1201" s="83"/>
    </row>
    <row r="1202">
      <c r="A1202" s="94"/>
      <c r="B1202" s="66"/>
      <c r="C1202" s="70"/>
      <c r="D1202" s="68"/>
      <c r="E1202" s="68"/>
      <c r="F1202" s="69"/>
      <c r="G1202" s="70"/>
      <c r="H1202" s="70"/>
      <c r="I1202" s="70"/>
      <c r="J1202" s="70"/>
      <c r="K1202" s="71"/>
      <c r="L1202" s="71"/>
      <c r="M1202" s="71"/>
      <c r="N1202" s="71"/>
      <c r="O1202" s="70"/>
      <c r="P1202" s="73"/>
      <c r="Q1202" s="71"/>
      <c r="R1202" s="71"/>
      <c r="S1202" s="71"/>
      <c r="T1202" s="71"/>
      <c r="U1202" s="71"/>
      <c r="V1202" s="70"/>
      <c r="W1202" s="70"/>
      <c r="X1202" s="70"/>
      <c r="Y1202" s="70"/>
      <c r="Z1202" s="83"/>
    </row>
    <row r="1203">
      <c r="A1203" s="94"/>
      <c r="B1203" s="66"/>
      <c r="C1203" s="70"/>
      <c r="D1203" s="68"/>
      <c r="E1203" s="68"/>
      <c r="F1203" s="69"/>
      <c r="G1203" s="70"/>
      <c r="H1203" s="70"/>
      <c r="I1203" s="70"/>
      <c r="J1203" s="70"/>
      <c r="K1203" s="71"/>
      <c r="L1203" s="71"/>
      <c r="M1203" s="71"/>
      <c r="N1203" s="71"/>
      <c r="O1203" s="70"/>
      <c r="P1203" s="73"/>
      <c r="Q1203" s="71"/>
      <c r="R1203" s="71"/>
      <c r="S1203" s="71"/>
      <c r="T1203" s="71"/>
      <c r="U1203" s="71"/>
      <c r="V1203" s="70"/>
      <c r="W1203" s="70"/>
      <c r="X1203" s="70"/>
      <c r="Y1203" s="70"/>
      <c r="Z1203" s="83"/>
    </row>
    <row r="1204">
      <c r="A1204" s="94"/>
      <c r="B1204" s="66"/>
      <c r="C1204" s="70"/>
      <c r="D1204" s="68"/>
      <c r="E1204" s="68"/>
      <c r="F1204" s="69"/>
      <c r="G1204" s="70"/>
      <c r="H1204" s="70"/>
      <c r="I1204" s="70"/>
      <c r="J1204" s="70"/>
      <c r="K1204" s="71"/>
      <c r="L1204" s="71"/>
      <c r="M1204" s="71"/>
      <c r="N1204" s="71"/>
      <c r="O1204" s="70"/>
      <c r="P1204" s="73"/>
      <c r="Q1204" s="71"/>
      <c r="R1204" s="71"/>
      <c r="S1204" s="71"/>
      <c r="T1204" s="71"/>
      <c r="U1204" s="71"/>
      <c r="V1204" s="70"/>
      <c r="W1204" s="70"/>
      <c r="X1204" s="70"/>
      <c r="Y1204" s="70"/>
      <c r="Z1204" s="83"/>
    </row>
    <row r="1205">
      <c r="A1205" s="94"/>
      <c r="B1205" s="66"/>
      <c r="C1205" s="70"/>
      <c r="D1205" s="68"/>
      <c r="E1205" s="68"/>
      <c r="F1205" s="69"/>
      <c r="G1205" s="70"/>
      <c r="H1205" s="70"/>
      <c r="I1205" s="70"/>
      <c r="J1205" s="70"/>
      <c r="K1205" s="71"/>
      <c r="L1205" s="71"/>
      <c r="M1205" s="71"/>
      <c r="N1205" s="71"/>
      <c r="O1205" s="70"/>
      <c r="P1205" s="73"/>
      <c r="Q1205" s="71"/>
      <c r="R1205" s="71"/>
      <c r="S1205" s="71"/>
      <c r="T1205" s="71"/>
      <c r="U1205" s="71"/>
      <c r="V1205" s="70"/>
      <c r="W1205" s="70"/>
      <c r="X1205" s="70"/>
      <c r="Y1205" s="70"/>
      <c r="Z1205" s="83"/>
    </row>
    <row r="1206">
      <c r="A1206" s="94"/>
      <c r="B1206" s="66"/>
      <c r="C1206" s="70"/>
      <c r="D1206" s="68"/>
      <c r="E1206" s="68"/>
      <c r="F1206" s="69"/>
      <c r="G1206" s="70"/>
      <c r="H1206" s="70"/>
      <c r="I1206" s="70"/>
      <c r="J1206" s="70"/>
      <c r="K1206" s="71"/>
      <c r="L1206" s="71"/>
      <c r="M1206" s="71"/>
      <c r="N1206" s="71"/>
      <c r="O1206" s="70"/>
      <c r="P1206" s="73"/>
      <c r="Q1206" s="71"/>
      <c r="R1206" s="71"/>
      <c r="S1206" s="71"/>
      <c r="T1206" s="71"/>
      <c r="U1206" s="71"/>
      <c r="V1206" s="70"/>
      <c r="W1206" s="70"/>
      <c r="X1206" s="70"/>
      <c r="Y1206" s="70"/>
      <c r="Z1206" s="83"/>
    </row>
    <row r="1207">
      <c r="A1207" s="94"/>
      <c r="B1207" s="66"/>
      <c r="C1207" s="70"/>
      <c r="D1207" s="68"/>
      <c r="E1207" s="68"/>
      <c r="F1207" s="69"/>
      <c r="G1207" s="70"/>
      <c r="H1207" s="70"/>
      <c r="I1207" s="70"/>
      <c r="J1207" s="70"/>
      <c r="K1207" s="71"/>
      <c r="L1207" s="71"/>
      <c r="M1207" s="71"/>
      <c r="N1207" s="71"/>
      <c r="O1207" s="70"/>
      <c r="P1207" s="73"/>
      <c r="Q1207" s="71"/>
      <c r="R1207" s="71"/>
      <c r="S1207" s="71"/>
      <c r="T1207" s="71"/>
      <c r="U1207" s="71"/>
      <c r="V1207" s="70"/>
      <c r="W1207" s="70"/>
      <c r="X1207" s="70"/>
      <c r="Y1207" s="70"/>
      <c r="Z1207" s="83"/>
    </row>
    <row r="1208">
      <c r="A1208" s="94"/>
      <c r="B1208" s="66"/>
      <c r="C1208" s="70"/>
      <c r="D1208" s="68"/>
      <c r="E1208" s="68"/>
      <c r="F1208" s="69"/>
      <c r="G1208" s="70"/>
      <c r="H1208" s="70"/>
      <c r="I1208" s="70"/>
      <c r="J1208" s="70"/>
      <c r="K1208" s="71"/>
      <c r="L1208" s="71"/>
      <c r="M1208" s="71"/>
      <c r="N1208" s="71"/>
      <c r="O1208" s="70"/>
      <c r="P1208" s="73"/>
      <c r="Q1208" s="71"/>
      <c r="R1208" s="71"/>
      <c r="S1208" s="71"/>
      <c r="T1208" s="71"/>
      <c r="U1208" s="71"/>
      <c r="V1208" s="70"/>
      <c r="W1208" s="70"/>
      <c r="X1208" s="70"/>
      <c r="Y1208" s="70"/>
      <c r="Z1208" s="83"/>
    </row>
    <row r="1209">
      <c r="A1209" s="94"/>
      <c r="B1209" s="66"/>
      <c r="C1209" s="70"/>
      <c r="D1209" s="68"/>
      <c r="E1209" s="68"/>
      <c r="F1209" s="69"/>
      <c r="G1209" s="70"/>
      <c r="H1209" s="70"/>
      <c r="I1209" s="70"/>
      <c r="J1209" s="70"/>
      <c r="K1209" s="71"/>
      <c r="L1209" s="71"/>
      <c r="M1209" s="71"/>
      <c r="N1209" s="71"/>
      <c r="O1209" s="70"/>
      <c r="P1209" s="73"/>
      <c r="Q1209" s="71"/>
      <c r="R1209" s="71"/>
      <c r="S1209" s="71"/>
      <c r="T1209" s="71"/>
      <c r="U1209" s="71"/>
      <c r="V1209" s="70"/>
      <c r="W1209" s="70"/>
      <c r="X1209" s="70"/>
      <c r="Y1209" s="70"/>
      <c r="Z1209" s="83"/>
    </row>
    <row r="1210">
      <c r="A1210" s="94"/>
      <c r="B1210" s="66"/>
      <c r="C1210" s="70"/>
      <c r="D1210" s="68"/>
      <c r="E1210" s="68"/>
      <c r="F1210" s="69"/>
      <c r="G1210" s="70"/>
      <c r="H1210" s="70"/>
      <c r="I1210" s="70"/>
      <c r="J1210" s="70"/>
      <c r="K1210" s="71"/>
      <c r="L1210" s="71"/>
      <c r="M1210" s="71"/>
      <c r="N1210" s="71"/>
      <c r="O1210" s="70"/>
      <c r="P1210" s="73"/>
      <c r="Q1210" s="71"/>
      <c r="R1210" s="71"/>
      <c r="S1210" s="71"/>
      <c r="T1210" s="71"/>
      <c r="U1210" s="71"/>
      <c r="V1210" s="70"/>
      <c r="W1210" s="70"/>
      <c r="X1210" s="70"/>
      <c r="Y1210" s="70"/>
      <c r="Z1210" s="83"/>
    </row>
    <row r="1211">
      <c r="A1211" s="94"/>
      <c r="B1211" s="66"/>
      <c r="C1211" s="70"/>
      <c r="D1211" s="68"/>
      <c r="E1211" s="68"/>
      <c r="F1211" s="69"/>
      <c r="G1211" s="70"/>
      <c r="H1211" s="70"/>
      <c r="I1211" s="70"/>
      <c r="J1211" s="70"/>
      <c r="K1211" s="71"/>
      <c r="L1211" s="71"/>
      <c r="M1211" s="71"/>
      <c r="N1211" s="71"/>
      <c r="O1211" s="70"/>
      <c r="P1211" s="73"/>
      <c r="Q1211" s="71"/>
      <c r="R1211" s="71"/>
      <c r="S1211" s="71"/>
      <c r="T1211" s="71"/>
      <c r="U1211" s="71"/>
      <c r="V1211" s="70"/>
      <c r="W1211" s="70"/>
      <c r="X1211" s="70"/>
      <c r="Y1211" s="70"/>
      <c r="Z1211" s="83"/>
    </row>
    <row r="1212">
      <c r="A1212" s="94"/>
      <c r="B1212" s="66"/>
      <c r="C1212" s="70"/>
      <c r="D1212" s="68"/>
      <c r="E1212" s="68"/>
      <c r="F1212" s="69"/>
      <c r="G1212" s="70"/>
      <c r="H1212" s="70"/>
      <c r="I1212" s="70"/>
      <c r="J1212" s="70"/>
      <c r="K1212" s="71"/>
      <c r="L1212" s="71"/>
      <c r="M1212" s="71"/>
      <c r="N1212" s="71"/>
      <c r="O1212" s="70"/>
      <c r="P1212" s="73"/>
      <c r="Q1212" s="71"/>
      <c r="R1212" s="71"/>
      <c r="S1212" s="71"/>
      <c r="T1212" s="71"/>
      <c r="U1212" s="71"/>
      <c r="V1212" s="70"/>
      <c r="W1212" s="70"/>
      <c r="X1212" s="70"/>
      <c r="Y1212" s="70"/>
      <c r="Z1212" s="83"/>
    </row>
    <row r="1213">
      <c r="A1213" s="94"/>
      <c r="B1213" s="66"/>
      <c r="C1213" s="70"/>
      <c r="D1213" s="68"/>
      <c r="E1213" s="68"/>
      <c r="F1213" s="69"/>
      <c r="G1213" s="70"/>
      <c r="H1213" s="70"/>
      <c r="I1213" s="70"/>
      <c r="J1213" s="70"/>
      <c r="K1213" s="71"/>
      <c r="L1213" s="71"/>
      <c r="M1213" s="71"/>
      <c r="N1213" s="71"/>
      <c r="O1213" s="70"/>
      <c r="P1213" s="73"/>
      <c r="Q1213" s="71"/>
      <c r="R1213" s="71"/>
      <c r="S1213" s="71"/>
      <c r="T1213" s="71"/>
      <c r="U1213" s="71"/>
      <c r="V1213" s="70"/>
      <c r="W1213" s="70"/>
      <c r="X1213" s="70"/>
      <c r="Y1213" s="70"/>
      <c r="Z1213" s="83"/>
    </row>
    <row r="1214">
      <c r="A1214" s="94"/>
      <c r="B1214" s="66"/>
      <c r="C1214" s="70"/>
      <c r="D1214" s="68"/>
      <c r="E1214" s="68"/>
      <c r="F1214" s="69"/>
      <c r="G1214" s="70"/>
      <c r="H1214" s="70"/>
      <c r="I1214" s="70"/>
      <c r="J1214" s="70"/>
      <c r="K1214" s="71"/>
      <c r="L1214" s="71"/>
      <c r="M1214" s="71"/>
      <c r="N1214" s="71"/>
      <c r="O1214" s="70"/>
      <c r="P1214" s="73"/>
      <c r="Q1214" s="71"/>
      <c r="R1214" s="71"/>
      <c r="S1214" s="71"/>
      <c r="T1214" s="71"/>
      <c r="U1214" s="71"/>
      <c r="V1214" s="70"/>
      <c r="W1214" s="70"/>
      <c r="X1214" s="70"/>
      <c r="Y1214" s="70"/>
      <c r="Z1214" s="83"/>
    </row>
    <row r="1215">
      <c r="A1215" s="94"/>
      <c r="B1215" s="66"/>
      <c r="C1215" s="70"/>
      <c r="D1215" s="68"/>
      <c r="E1215" s="68"/>
      <c r="F1215" s="69"/>
      <c r="G1215" s="70"/>
      <c r="H1215" s="70"/>
      <c r="I1215" s="70"/>
      <c r="J1215" s="70"/>
      <c r="K1215" s="71"/>
      <c r="L1215" s="71"/>
      <c r="M1215" s="71"/>
      <c r="N1215" s="71"/>
      <c r="O1215" s="70"/>
      <c r="P1215" s="73"/>
      <c r="Q1215" s="71"/>
      <c r="R1215" s="71"/>
      <c r="S1215" s="71"/>
      <c r="T1215" s="71"/>
      <c r="U1215" s="71"/>
      <c r="V1215" s="70"/>
      <c r="W1215" s="70"/>
      <c r="X1215" s="70"/>
      <c r="Y1215" s="70"/>
      <c r="Z1215" s="83"/>
    </row>
    <row r="1216">
      <c r="A1216" s="94"/>
      <c r="B1216" s="66"/>
      <c r="C1216" s="70"/>
      <c r="D1216" s="68"/>
      <c r="E1216" s="68"/>
      <c r="F1216" s="69"/>
      <c r="G1216" s="70"/>
      <c r="H1216" s="70"/>
      <c r="I1216" s="70"/>
      <c r="J1216" s="70"/>
      <c r="K1216" s="71"/>
      <c r="L1216" s="71"/>
      <c r="M1216" s="71"/>
      <c r="N1216" s="71"/>
      <c r="O1216" s="70"/>
      <c r="P1216" s="73"/>
      <c r="Q1216" s="71"/>
      <c r="R1216" s="71"/>
      <c r="S1216" s="71"/>
      <c r="T1216" s="71"/>
      <c r="U1216" s="71"/>
      <c r="V1216" s="70"/>
      <c r="W1216" s="70"/>
      <c r="X1216" s="70"/>
      <c r="Y1216" s="70"/>
      <c r="Z1216" s="83"/>
    </row>
    <row r="1217">
      <c r="A1217" s="94"/>
      <c r="B1217" s="66"/>
      <c r="C1217" s="70"/>
      <c r="D1217" s="68"/>
      <c r="E1217" s="68"/>
      <c r="F1217" s="69"/>
      <c r="G1217" s="70"/>
      <c r="H1217" s="70"/>
      <c r="I1217" s="70"/>
      <c r="J1217" s="70"/>
      <c r="K1217" s="71"/>
      <c r="L1217" s="71"/>
      <c r="M1217" s="71"/>
      <c r="N1217" s="71"/>
      <c r="O1217" s="70"/>
      <c r="P1217" s="73"/>
      <c r="Q1217" s="71"/>
      <c r="R1217" s="71"/>
      <c r="S1217" s="71"/>
      <c r="T1217" s="71"/>
      <c r="U1217" s="71"/>
      <c r="V1217" s="70"/>
      <c r="W1217" s="70"/>
      <c r="X1217" s="70"/>
      <c r="Y1217" s="70"/>
      <c r="Z1217" s="83"/>
    </row>
    <row r="1218">
      <c r="A1218" s="94"/>
      <c r="B1218" s="66"/>
      <c r="C1218" s="70"/>
      <c r="D1218" s="68"/>
      <c r="E1218" s="68"/>
      <c r="F1218" s="69"/>
      <c r="G1218" s="70"/>
      <c r="H1218" s="70"/>
      <c r="I1218" s="70"/>
      <c r="J1218" s="70"/>
      <c r="K1218" s="71"/>
      <c r="L1218" s="71"/>
      <c r="M1218" s="71"/>
      <c r="N1218" s="71"/>
      <c r="O1218" s="70"/>
      <c r="P1218" s="73"/>
      <c r="Q1218" s="71"/>
      <c r="R1218" s="71"/>
      <c r="S1218" s="71"/>
      <c r="T1218" s="71"/>
      <c r="U1218" s="71"/>
      <c r="V1218" s="70"/>
      <c r="W1218" s="70"/>
      <c r="X1218" s="70"/>
      <c r="Y1218" s="70"/>
      <c r="Z1218" s="83"/>
    </row>
    <row r="1219">
      <c r="A1219" s="94"/>
      <c r="B1219" s="66"/>
      <c r="C1219" s="70"/>
      <c r="D1219" s="68"/>
      <c r="E1219" s="68"/>
      <c r="F1219" s="69"/>
      <c r="G1219" s="70"/>
      <c r="H1219" s="70"/>
      <c r="I1219" s="70"/>
      <c r="J1219" s="70"/>
      <c r="K1219" s="71"/>
      <c r="L1219" s="71"/>
      <c r="M1219" s="71"/>
      <c r="N1219" s="71"/>
      <c r="O1219" s="70"/>
      <c r="P1219" s="73"/>
      <c r="Q1219" s="71"/>
      <c r="R1219" s="71"/>
      <c r="S1219" s="71"/>
      <c r="T1219" s="71"/>
      <c r="U1219" s="71"/>
      <c r="V1219" s="70"/>
      <c r="W1219" s="70"/>
      <c r="X1219" s="70"/>
      <c r="Y1219" s="70"/>
      <c r="Z1219" s="83"/>
    </row>
    <row r="1220">
      <c r="A1220" s="94"/>
      <c r="B1220" s="66"/>
      <c r="C1220" s="70"/>
      <c r="D1220" s="68"/>
      <c r="E1220" s="68"/>
      <c r="F1220" s="69"/>
      <c r="G1220" s="70"/>
      <c r="H1220" s="70"/>
      <c r="I1220" s="70"/>
      <c r="J1220" s="70"/>
      <c r="K1220" s="71"/>
      <c r="L1220" s="71"/>
      <c r="M1220" s="71"/>
      <c r="N1220" s="71"/>
      <c r="O1220" s="70"/>
      <c r="P1220" s="73"/>
      <c r="Q1220" s="71"/>
      <c r="R1220" s="71"/>
      <c r="S1220" s="71"/>
      <c r="T1220" s="71"/>
      <c r="U1220" s="71"/>
      <c r="V1220" s="70"/>
      <c r="W1220" s="70"/>
      <c r="X1220" s="70"/>
      <c r="Y1220" s="70"/>
      <c r="Z1220" s="83"/>
    </row>
    <row r="1221">
      <c r="A1221" s="94"/>
      <c r="B1221" s="66"/>
      <c r="C1221" s="70"/>
      <c r="D1221" s="68"/>
      <c r="E1221" s="68"/>
      <c r="F1221" s="69"/>
      <c r="G1221" s="70"/>
      <c r="H1221" s="70"/>
      <c r="I1221" s="70"/>
      <c r="J1221" s="70"/>
      <c r="K1221" s="71"/>
      <c r="L1221" s="71"/>
      <c r="M1221" s="71"/>
      <c r="N1221" s="71"/>
      <c r="O1221" s="70"/>
      <c r="P1221" s="73"/>
      <c r="Q1221" s="71"/>
      <c r="R1221" s="71"/>
      <c r="S1221" s="71"/>
      <c r="T1221" s="71"/>
      <c r="U1221" s="71"/>
      <c r="V1221" s="70"/>
      <c r="W1221" s="70"/>
      <c r="X1221" s="70"/>
      <c r="Y1221" s="70"/>
      <c r="Z1221" s="83"/>
    </row>
    <row r="1222">
      <c r="A1222" s="94"/>
      <c r="B1222" s="66"/>
      <c r="C1222" s="70"/>
      <c r="D1222" s="68"/>
      <c r="E1222" s="68"/>
      <c r="F1222" s="69"/>
      <c r="G1222" s="70"/>
      <c r="H1222" s="70"/>
      <c r="I1222" s="70"/>
      <c r="J1222" s="70"/>
      <c r="K1222" s="71"/>
      <c r="L1222" s="71"/>
      <c r="M1222" s="71"/>
      <c r="N1222" s="71"/>
      <c r="O1222" s="70"/>
      <c r="P1222" s="73"/>
      <c r="Q1222" s="71"/>
      <c r="R1222" s="71"/>
      <c r="S1222" s="71"/>
      <c r="T1222" s="71"/>
      <c r="U1222" s="71"/>
      <c r="V1222" s="70"/>
      <c r="W1222" s="70"/>
      <c r="X1222" s="70"/>
      <c r="Y1222" s="70"/>
      <c r="Z1222" s="83"/>
    </row>
    <row r="1223">
      <c r="A1223" s="94"/>
      <c r="B1223" s="66"/>
      <c r="C1223" s="70"/>
      <c r="D1223" s="68"/>
      <c r="E1223" s="68"/>
      <c r="F1223" s="69"/>
      <c r="G1223" s="70"/>
      <c r="H1223" s="70"/>
      <c r="I1223" s="70"/>
      <c r="J1223" s="70"/>
      <c r="K1223" s="71"/>
      <c r="L1223" s="71"/>
      <c r="M1223" s="71"/>
      <c r="N1223" s="71"/>
      <c r="O1223" s="70"/>
      <c r="P1223" s="73"/>
      <c r="Q1223" s="71"/>
      <c r="R1223" s="71"/>
      <c r="S1223" s="71"/>
      <c r="T1223" s="71"/>
      <c r="U1223" s="71"/>
      <c r="V1223" s="70"/>
      <c r="W1223" s="70"/>
      <c r="X1223" s="70"/>
      <c r="Y1223" s="70"/>
      <c r="Z1223" s="83"/>
    </row>
    <row r="1224">
      <c r="A1224" s="94"/>
      <c r="B1224" s="66"/>
      <c r="C1224" s="70"/>
      <c r="D1224" s="68"/>
      <c r="E1224" s="68"/>
      <c r="F1224" s="69"/>
      <c r="G1224" s="70"/>
      <c r="H1224" s="70"/>
      <c r="I1224" s="70"/>
      <c r="J1224" s="70"/>
      <c r="K1224" s="71"/>
      <c r="L1224" s="71"/>
      <c r="M1224" s="71"/>
      <c r="N1224" s="71"/>
      <c r="O1224" s="70"/>
      <c r="P1224" s="73"/>
      <c r="Q1224" s="71"/>
      <c r="R1224" s="71"/>
      <c r="S1224" s="71"/>
      <c r="T1224" s="71"/>
      <c r="U1224" s="71"/>
      <c r="V1224" s="70"/>
      <c r="W1224" s="70"/>
      <c r="X1224" s="70"/>
      <c r="Y1224" s="70"/>
      <c r="Z1224" s="83"/>
    </row>
    <row r="1225">
      <c r="A1225" s="94"/>
      <c r="B1225" s="66"/>
      <c r="C1225" s="70"/>
      <c r="D1225" s="68"/>
      <c r="E1225" s="68"/>
      <c r="F1225" s="69"/>
      <c r="G1225" s="70"/>
      <c r="H1225" s="70"/>
      <c r="I1225" s="70"/>
      <c r="J1225" s="70"/>
      <c r="K1225" s="71"/>
      <c r="L1225" s="71"/>
      <c r="M1225" s="71"/>
      <c r="N1225" s="71"/>
      <c r="O1225" s="70"/>
      <c r="P1225" s="73"/>
      <c r="Q1225" s="71"/>
      <c r="R1225" s="71"/>
      <c r="S1225" s="71"/>
      <c r="T1225" s="71"/>
      <c r="U1225" s="71"/>
      <c r="V1225" s="70"/>
      <c r="W1225" s="70"/>
      <c r="X1225" s="70"/>
      <c r="Y1225" s="70"/>
      <c r="Z1225" s="83"/>
    </row>
    <row r="1226">
      <c r="A1226" s="94"/>
      <c r="B1226" s="66"/>
      <c r="C1226" s="70"/>
      <c r="D1226" s="68"/>
      <c r="E1226" s="68"/>
      <c r="F1226" s="69"/>
      <c r="G1226" s="70"/>
      <c r="H1226" s="70"/>
      <c r="I1226" s="70"/>
      <c r="J1226" s="70"/>
      <c r="K1226" s="71"/>
      <c r="L1226" s="71"/>
      <c r="M1226" s="71"/>
      <c r="N1226" s="71"/>
      <c r="O1226" s="70"/>
      <c r="P1226" s="73"/>
      <c r="Q1226" s="71"/>
      <c r="R1226" s="71"/>
      <c r="S1226" s="71"/>
      <c r="T1226" s="71"/>
      <c r="U1226" s="71"/>
      <c r="V1226" s="70"/>
      <c r="W1226" s="70"/>
      <c r="X1226" s="70"/>
      <c r="Y1226" s="70"/>
      <c r="Z1226" s="83"/>
    </row>
    <row r="1227">
      <c r="A1227" s="94"/>
      <c r="B1227" s="66"/>
      <c r="C1227" s="70"/>
      <c r="D1227" s="68"/>
      <c r="E1227" s="68"/>
      <c r="F1227" s="69"/>
      <c r="G1227" s="70"/>
      <c r="H1227" s="70"/>
      <c r="I1227" s="70"/>
      <c r="J1227" s="70"/>
      <c r="K1227" s="71"/>
      <c r="L1227" s="71"/>
      <c r="M1227" s="71"/>
      <c r="N1227" s="71"/>
      <c r="O1227" s="70"/>
      <c r="P1227" s="73"/>
      <c r="Q1227" s="71"/>
      <c r="R1227" s="71"/>
      <c r="S1227" s="71"/>
      <c r="T1227" s="71"/>
      <c r="U1227" s="71"/>
      <c r="V1227" s="70"/>
      <c r="W1227" s="70"/>
      <c r="X1227" s="70"/>
      <c r="Y1227" s="70"/>
      <c r="Z1227" s="83"/>
    </row>
    <row r="1228">
      <c r="A1228" s="94"/>
      <c r="B1228" s="66"/>
      <c r="C1228" s="70"/>
      <c r="D1228" s="68"/>
      <c r="E1228" s="68"/>
      <c r="F1228" s="69"/>
      <c r="G1228" s="70"/>
      <c r="H1228" s="70"/>
      <c r="I1228" s="70"/>
      <c r="J1228" s="70"/>
      <c r="K1228" s="71"/>
      <c r="L1228" s="71"/>
      <c r="M1228" s="71"/>
      <c r="N1228" s="71"/>
      <c r="O1228" s="70"/>
      <c r="P1228" s="73"/>
      <c r="Q1228" s="71"/>
      <c r="R1228" s="71"/>
      <c r="S1228" s="71"/>
      <c r="T1228" s="71"/>
      <c r="U1228" s="71"/>
      <c r="V1228" s="70"/>
      <c r="W1228" s="70"/>
      <c r="X1228" s="70"/>
      <c r="Y1228" s="70"/>
      <c r="Z1228" s="83"/>
    </row>
    <row r="1229">
      <c r="A1229" s="94"/>
      <c r="B1229" s="66"/>
      <c r="C1229" s="70"/>
      <c r="D1229" s="68"/>
      <c r="E1229" s="68"/>
      <c r="F1229" s="69"/>
      <c r="G1229" s="70"/>
      <c r="H1229" s="70"/>
      <c r="I1229" s="70"/>
      <c r="J1229" s="70"/>
      <c r="K1229" s="71"/>
      <c r="L1229" s="71"/>
      <c r="M1229" s="71"/>
      <c r="N1229" s="71"/>
      <c r="O1229" s="70"/>
      <c r="P1229" s="73"/>
      <c r="Q1229" s="71"/>
      <c r="R1229" s="71"/>
      <c r="S1229" s="71"/>
      <c r="T1229" s="71"/>
      <c r="U1229" s="71"/>
      <c r="V1229" s="70"/>
      <c r="W1229" s="70"/>
      <c r="X1229" s="70"/>
      <c r="Y1229" s="70"/>
      <c r="Z1229" s="83"/>
    </row>
    <row r="1230">
      <c r="A1230" s="94"/>
      <c r="B1230" s="66"/>
      <c r="C1230" s="70"/>
      <c r="D1230" s="68"/>
      <c r="E1230" s="68"/>
      <c r="F1230" s="69"/>
      <c r="G1230" s="70"/>
      <c r="H1230" s="70"/>
      <c r="I1230" s="70"/>
      <c r="J1230" s="70"/>
      <c r="K1230" s="71"/>
      <c r="L1230" s="71"/>
      <c r="M1230" s="71"/>
      <c r="N1230" s="71"/>
      <c r="O1230" s="70"/>
      <c r="P1230" s="73"/>
      <c r="Q1230" s="71"/>
      <c r="R1230" s="71"/>
      <c r="S1230" s="71"/>
      <c r="T1230" s="71"/>
      <c r="U1230" s="71"/>
      <c r="V1230" s="70"/>
      <c r="W1230" s="70"/>
      <c r="X1230" s="70"/>
      <c r="Y1230" s="70"/>
      <c r="Z1230" s="83"/>
    </row>
    <row r="1231">
      <c r="A1231" s="94"/>
      <c r="B1231" s="66"/>
      <c r="C1231" s="70"/>
      <c r="D1231" s="68"/>
      <c r="E1231" s="68"/>
      <c r="F1231" s="69"/>
      <c r="G1231" s="70"/>
      <c r="H1231" s="70"/>
      <c r="I1231" s="70"/>
      <c r="J1231" s="70"/>
      <c r="K1231" s="71"/>
      <c r="L1231" s="71"/>
      <c r="M1231" s="71"/>
      <c r="N1231" s="71"/>
      <c r="O1231" s="70"/>
      <c r="P1231" s="73"/>
      <c r="Q1231" s="71"/>
      <c r="R1231" s="71"/>
      <c r="S1231" s="71"/>
      <c r="T1231" s="71"/>
      <c r="U1231" s="71"/>
      <c r="V1231" s="70"/>
      <c r="W1231" s="70"/>
      <c r="X1231" s="70"/>
      <c r="Y1231" s="70"/>
      <c r="Z1231" s="83"/>
    </row>
    <row r="1232">
      <c r="A1232" s="94"/>
      <c r="B1232" s="66"/>
      <c r="C1232" s="70"/>
      <c r="D1232" s="68"/>
      <c r="E1232" s="68"/>
      <c r="F1232" s="69"/>
      <c r="G1232" s="70"/>
      <c r="H1232" s="70"/>
      <c r="I1232" s="70"/>
      <c r="J1232" s="70"/>
      <c r="K1232" s="71"/>
      <c r="L1232" s="71"/>
      <c r="M1232" s="71"/>
      <c r="N1232" s="71"/>
      <c r="O1232" s="70"/>
      <c r="P1232" s="73"/>
      <c r="Q1232" s="71"/>
      <c r="R1232" s="71"/>
      <c r="S1232" s="71"/>
      <c r="T1232" s="71"/>
      <c r="U1232" s="71"/>
      <c r="V1232" s="70"/>
      <c r="W1232" s="70"/>
      <c r="X1232" s="70"/>
      <c r="Y1232" s="70"/>
      <c r="Z1232" s="83"/>
    </row>
    <row r="1233">
      <c r="A1233" s="94"/>
      <c r="B1233" s="66"/>
      <c r="C1233" s="70"/>
      <c r="D1233" s="68"/>
      <c r="E1233" s="68"/>
      <c r="F1233" s="69"/>
      <c r="G1233" s="70"/>
      <c r="H1233" s="70"/>
      <c r="I1233" s="70"/>
      <c r="J1233" s="70"/>
      <c r="K1233" s="71"/>
      <c r="L1233" s="71"/>
      <c r="M1233" s="71"/>
      <c r="N1233" s="71"/>
      <c r="O1233" s="70"/>
      <c r="P1233" s="73"/>
      <c r="Q1233" s="71"/>
      <c r="R1233" s="71"/>
      <c r="S1233" s="71"/>
      <c r="T1233" s="71"/>
      <c r="U1233" s="71"/>
      <c r="V1233" s="70"/>
      <c r="W1233" s="70"/>
      <c r="X1233" s="70"/>
      <c r="Y1233" s="70"/>
      <c r="Z1233" s="83"/>
    </row>
    <row r="1234">
      <c r="A1234" s="94"/>
      <c r="B1234" s="66"/>
      <c r="C1234" s="70"/>
      <c r="D1234" s="68"/>
      <c r="E1234" s="68"/>
      <c r="F1234" s="69"/>
      <c r="G1234" s="70"/>
      <c r="H1234" s="70"/>
      <c r="I1234" s="70"/>
      <c r="J1234" s="70"/>
      <c r="K1234" s="71"/>
      <c r="L1234" s="71"/>
      <c r="M1234" s="71"/>
      <c r="N1234" s="71"/>
      <c r="O1234" s="70"/>
      <c r="P1234" s="73"/>
      <c r="Q1234" s="71"/>
      <c r="R1234" s="71"/>
      <c r="S1234" s="71"/>
      <c r="T1234" s="71"/>
      <c r="U1234" s="71"/>
      <c r="V1234" s="70"/>
      <c r="W1234" s="70"/>
      <c r="X1234" s="70"/>
      <c r="Y1234" s="70"/>
      <c r="Z1234" s="83"/>
    </row>
    <row r="1235">
      <c r="A1235" s="94"/>
      <c r="B1235" s="66"/>
      <c r="C1235" s="70"/>
      <c r="D1235" s="68"/>
      <c r="E1235" s="68"/>
      <c r="F1235" s="69"/>
      <c r="G1235" s="70"/>
      <c r="H1235" s="70"/>
      <c r="I1235" s="70"/>
      <c r="J1235" s="70"/>
      <c r="K1235" s="71"/>
      <c r="L1235" s="71"/>
      <c r="M1235" s="71"/>
      <c r="N1235" s="71"/>
      <c r="O1235" s="70"/>
      <c r="P1235" s="73"/>
      <c r="Q1235" s="71"/>
      <c r="R1235" s="71"/>
      <c r="S1235" s="71"/>
      <c r="T1235" s="71"/>
      <c r="U1235" s="71"/>
      <c r="V1235" s="70"/>
      <c r="W1235" s="70"/>
      <c r="X1235" s="70"/>
      <c r="Y1235" s="70"/>
      <c r="Z1235" s="83"/>
    </row>
    <row r="1236">
      <c r="A1236" s="94"/>
      <c r="B1236" s="66"/>
      <c r="C1236" s="70"/>
      <c r="D1236" s="68"/>
      <c r="E1236" s="68"/>
      <c r="F1236" s="69"/>
      <c r="G1236" s="70"/>
      <c r="H1236" s="70"/>
      <c r="I1236" s="70"/>
      <c r="J1236" s="70"/>
      <c r="K1236" s="71"/>
      <c r="L1236" s="71"/>
      <c r="M1236" s="71"/>
      <c r="N1236" s="71"/>
      <c r="O1236" s="70"/>
      <c r="P1236" s="73"/>
      <c r="Q1236" s="71"/>
      <c r="R1236" s="71"/>
      <c r="S1236" s="71"/>
      <c r="T1236" s="71"/>
      <c r="U1236" s="71"/>
      <c r="V1236" s="70"/>
      <c r="W1236" s="70"/>
      <c r="X1236" s="70"/>
      <c r="Y1236" s="70"/>
      <c r="Z1236" s="83"/>
    </row>
    <row r="1237">
      <c r="A1237" s="94"/>
      <c r="B1237" s="66"/>
      <c r="C1237" s="70"/>
      <c r="D1237" s="68"/>
      <c r="E1237" s="68"/>
      <c r="F1237" s="69"/>
      <c r="G1237" s="70"/>
      <c r="H1237" s="70"/>
      <c r="I1237" s="70"/>
      <c r="J1237" s="70"/>
      <c r="K1237" s="71"/>
      <c r="L1237" s="71"/>
      <c r="M1237" s="71"/>
      <c r="N1237" s="71"/>
      <c r="O1237" s="70"/>
      <c r="P1237" s="73"/>
      <c r="Q1237" s="71"/>
      <c r="R1237" s="71"/>
      <c r="S1237" s="71"/>
      <c r="T1237" s="71"/>
      <c r="U1237" s="71"/>
      <c r="V1237" s="70"/>
      <c r="W1237" s="70"/>
      <c r="X1237" s="70"/>
      <c r="Y1237" s="70"/>
      <c r="Z1237" s="83"/>
    </row>
    <row r="1238">
      <c r="A1238" s="94"/>
      <c r="B1238" s="66"/>
      <c r="C1238" s="70"/>
      <c r="D1238" s="68"/>
      <c r="E1238" s="68"/>
      <c r="F1238" s="69"/>
      <c r="G1238" s="70"/>
      <c r="H1238" s="70"/>
      <c r="I1238" s="70"/>
      <c r="J1238" s="70"/>
      <c r="K1238" s="71"/>
      <c r="L1238" s="71"/>
      <c r="M1238" s="71"/>
      <c r="N1238" s="71"/>
      <c r="O1238" s="70"/>
      <c r="P1238" s="73"/>
      <c r="Q1238" s="71"/>
      <c r="R1238" s="71"/>
      <c r="S1238" s="71"/>
      <c r="T1238" s="71"/>
      <c r="U1238" s="71"/>
      <c r="V1238" s="70"/>
      <c r="W1238" s="70"/>
      <c r="X1238" s="70"/>
      <c r="Y1238" s="70"/>
      <c r="Z1238" s="83"/>
    </row>
    <row r="1239">
      <c r="A1239" s="94"/>
      <c r="B1239" s="66"/>
      <c r="C1239" s="70"/>
      <c r="D1239" s="68"/>
      <c r="E1239" s="68"/>
      <c r="F1239" s="69"/>
      <c r="G1239" s="70"/>
      <c r="H1239" s="70"/>
      <c r="I1239" s="70"/>
      <c r="J1239" s="70"/>
      <c r="K1239" s="71"/>
      <c r="L1239" s="71"/>
      <c r="M1239" s="71"/>
      <c r="N1239" s="71"/>
      <c r="O1239" s="70"/>
      <c r="P1239" s="73"/>
      <c r="Q1239" s="71"/>
      <c r="R1239" s="71"/>
      <c r="S1239" s="71"/>
      <c r="T1239" s="71"/>
      <c r="U1239" s="71"/>
      <c r="V1239" s="70"/>
      <c r="W1239" s="70"/>
      <c r="X1239" s="70"/>
      <c r="Y1239" s="70"/>
      <c r="Z1239" s="83"/>
    </row>
    <row r="1240">
      <c r="A1240" s="94"/>
      <c r="B1240" s="66"/>
      <c r="C1240" s="70"/>
      <c r="D1240" s="68"/>
      <c r="E1240" s="68"/>
      <c r="F1240" s="69"/>
      <c r="G1240" s="70"/>
      <c r="H1240" s="70"/>
      <c r="I1240" s="70"/>
      <c r="J1240" s="70"/>
      <c r="K1240" s="71"/>
      <c r="L1240" s="71"/>
      <c r="M1240" s="71"/>
      <c r="N1240" s="71"/>
      <c r="O1240" s="70"/>
      <c r="P1240" s="73"/>
      <c r="Q1240" s="71"/>
      <c r="R1240" s="71"/>
      <c r="S1240" s="71"/>
      <c r="T1240" s="71"/>
      <c r="U1240" s="71"/>
      <c r="V1240" s="70"/>
      <c r="W1240" s="70"/>
      <c r="X1240" s="70"/>
      <c r="Y1240" s="70"/>
      <c r="Z1240" s="83"/>
    </row>
    <row r="1241">
      <c r="A1241" s="94"/>
      <c r="B1241" s="66"/>
      <c r="C1241" s="70"/>
      <c r="D1241" s="68"/>
      <c r="E1241" s="68"/>
      <c r="F1241" s="69"/>
      <c r="G1241" s="70"/>
      <c r="H1241" s="70"/>
      <c r="I1241" s="70"/>
      <c r="J1241" s="70"/>
      <c r="K1241" s="71"/>
      <c r="L1241" s="71"/>
      <c r="M1241" s="71"/>
      <c r="N1241" s="71"/>
      <c r="O1241" s="70"/>
      <c r="P1241" s="73"/>
      <c r="Q1241" s="71"/>
      <c r="R1241" s="71"/>
      <c r="S1241" s="71"/>
      <c r="T1241" s="71"/>
      <c r="U1241" s="71"/>
      <c r="V1241" s="70"/>
      <c r="W1241" s="70"/>
      <c r="X1241" s="70"/>
      <c r="Y1241" s="70"/>
      <c r="Z1241" s="83"/>
    </row>
    <row r="1242">
      <c r="A1242" s="94"/>
      <c r="B1242" s="66"/>
      <c r="C1242" s="70"/>
      <c r="D1242" s="68"/>
      <c r="E1242" s="68"/>
      <c r="F1242" s="69"/>
      <c r="G1242" s="70"/>
      <c r="H1242" s="70"/>
      <c r="I1242" s="70"/>
      <c r="J1242" s="70"/>
      <c r="K1242" s="71"/>
      <c r="L1242" s="71"/>
      <c r="M1242" s="71"/>
      <c r="N1242" s="71"/>
      <c r="O1242" s="70"/>
      <c r="P1242" s="73"/>
      <c r="Q1242" s="71"/>
      <c r="R1242" s="71"/>
      <c r="S1242" s="71"/>
      <c r="T1242" s="71"/>
      <c r="U1242" s="71"/>
      <c r="V1242" s="70"/>
      <c r="W1242" s="70"/>
      <c r="X1242" s="70"/>
      <c r="Y1242" s="70"/>
      <c r="Z1242" s="83"/>
    </row>
    <row r="1243">
      <c r="A1243" s="94"/>
      <c r="B1243" s="66"/>
      <c r="C1243" s="70"/>
      <c r="D1243" s="68"/>
      <c r="E1243" s="68"/>
      <c r="F1243" s="69"/>
      <c r="G1243" s="70"/>
      <c r="H1243" s="70"/>
      <c r="I1243" s="70"/>
      <c r="J1243" s="70"/>
      <c r="K1243" s="71"/>
      <c r="L1243" s="71"/>
      <c r="M1243" s="71"/>
      <c r="N1243" s="71"/>
      <c r="O1243" s="70"/>
      <c r="P1243" s="73"/>
      <c r="Q1243" s="71"/>
      <c r="R1243" s="71"/>
      <c r="S1243" s="71"/>
      <c r="T1243" s="71"/>
      <c r="U1243" s="71"/>
      <c r="V1243" s="70"/>
      <c r="W1243" s="70"/>
      <c r="X1243" s="70"/>
      <c r="Y1243" s="70"/>
      <c r="Z1243" s="83"/>
    </row>
    <row r="1244">
      <c r="A1244" s="94"/>
      <c r="B1244" s="66"/>
      <c r="C1244" s="70"/>
      <c r="D1244" s="68"/>
      <c r="E1244" s="68"/>
      <c r="F1244" s="69"/>
      <c r="G1244" s="70"/>
      <c r="H1244" s="70"/>
      <c r="I1244" s="70"/>
      <c r="J1244" s="70"/>
      <c r="K1244" s="71"/>
      <c r="L1244" s="71"/>
      <c r="M1244" s="71"/>
      <c r="N1244" s="71"/>
      <c r="O1244" s="70"/>
      <c r="P1244" s="73"/>
      <c r="Q1244" s="71"/>
      <c r="R1244" s="71"/>
      <c r="S1244" s="71"/>
      <c r="T1244" s="71"/>
      <c r="U1244" s="71"/>
      <c r="V1244" s="70"/>
      <c r="W1244" s="70"/>
      <c r="X1244" s="70"/>
      <c r="Y1244" s="70"/>
      <c r="Z1244" s="83"/>
    </row>
    <row r="1245">
      <c r="A1245" s="94"/>
      <c r="B1245" s="66"/>
      <c r="C1245" s="70"/>
      <c r="D1245" s="68"/>
      <c r="E1245" s="68"/>
      <c r="F1245" s="69"/>
      <c r="G1245" s="70"/>
      <c r="H1245" s="70"/>
      <c r="I1245" s="70"/>
      <c r="J1245" s="70"/>
      <c r="K1245" s="71"/>
      <c r="L1245" s="71"/>
      <c r="M1245" s="71"/>
      <c r="N1245" s="71"/>
      <c r="O1245" s="70"/>
      <c r="P1245" s="73"/>
      <c r="Q1245" s="71"/>
      <c r="R1245" s="71"/>
      <c r="S1245" s="71"/>
      <c r="T1245" s="71"/>
      <c r="U1245" s="71"/>
      <c r="V1245" s="70"/>
      <c r="W1245" s="70"/>
      <c r="X1245" s="70"/>
      <c r="Y1245" s="70"/>
      <c r="Z1245" s="83"/>
    </row>
    <row r="1246">
      <c r="A1246" s="94"/>
      <c r="B1246" s="66"/>
      <c r="C1246" s="70"/>
      <c r="D1246" s="68"/>
      <c r="E1246" s="68"/>
      <c r="F1246" s="69"/>
      <c r="G1246" s="70"/>
      <c r="H1246" s="70"/>
      <c r="I1246" s="70"/>
      <c r="J1246" s="70"/>
      <c r="K1246" s="71"/>
      <c r="L1246" s="71"/>
      <c r="M1246" s="71"/>
      <c r="N1246" s="71"/>
      <c r="O1246" s="70"/>
      <c r="P1246" s="73"/>
      <c r="Q1246" s="71"/>
      <c r="R1246" s="71"/>
      <c r="S1246" s="71"/>
      <c r="T1246" s="71"/>
      <c r="U1246" s="71"/>
      <c r="V1246" s="70"/>
      <c r="W1246" s="70"/>
      <c r="X1246" s="70"/>
      <c r="Y1246" s="70"/>
      <c r="Z1246" s="83"/>
    </row>
    <row r="1247">
      <c r="A1247" s="94"/>
      <c r="B1247" s="66"/>
      <c r="C1247" s="70"/>
      <c r="D1247" s="68"/>
      <c r="E1247" s="68"/>
      <c r="F1247" s="69"/>
      <c r="G1247" s="70"/>
      <c r="H1247" s="70"/>
      <c r="I1247" s="70"/>
      <c r="J1247" s="70"/>
      <c r="K1247" s="71"/>
      <c r="L1247" s="71"/>
      <c r="M1247" s="71"/>
      <c r="N1247" s="71"/>
      <c r="O1247" s="70"/>
      <c r="P1247" s="73"/>
      <c r="Q1247" s="71"/>
      <c r="R1247" s="71"/>
      <c r="S1247" s="71"/>
      <c r="T1247" s="71"/>
      <c r="U1247" s="71"/>
      <c r="V1247" s="70"/>
      <c r="W1247" s="70"/>
      <c r="X1247" s="70"/>
      <c r="Y1247" s="70"/>
      <c r="Z1247" s="83"/>
    </row>
    <row r="1248">
      <c r="A1248" s="94"/>
      <c r="B1248" s="66"/>
      <c r="C1248" s="70"/>
      <c r="D1248" s="68"/>
      <c r="E1248" s="68"/>
      <c r="F1248" s="69"/>
      <c r="G1248" s="70"/>
      <c r="H1248" s="70"/>
      <c r="I1248" s="70"/>
      <c r="J1248" s="70"/>
      <c r="K1248" s="71"/>
      <c r="L1248" s="71"/>
      <c r="M1248" s="71"/>
      <c r="N1248" s="71"/>
      <c r="O1248" s="70"/>
      <c r="P1248" s="73"/>
      <c r="Q1248" s="71"/>
      <c r="R1248" s="71"/>
      <c r="S1248" s="71"/>
      <c r="T1248" s="71"/>
      <c r="U1248" s="71"/>
      <c r="V1248" s="70"/>
      <c r="W1248" s="70"/>
      <c r="X1248" s="70"/>
      <c r="Y1248" s="70"/>
      <c r="Z1248" s="83"/>
    </row>
    <row r="1249">
      <c r="A1249" s="94"/>
      <c r="B1249" s="66"/>
      <c r="C1249" s="70"/>
      <c r="D1249" s="68"/>
      <c r="E1249" s="68"/>
      <c r="F1249" s="69"/>
      <c r="G1249" s="70"/>
      <c r="H1249" s="70"/>
      <c r="I1249" s="70"/>
      <c r="J1249" s="70"/>
      <c r="K1249" s="71"/>
      <c r="L1249" s="71"/>
      <c r="M1249" s="71"/>
      <c r="N1249" s="71"/>
      <c r="O1249" s="70"/>
      <c r="P1249" s="73"/>
      <c r="Q1249" s="71"/>
      <c r="R1249" s="71"/>
      <c r="S1249" s="71"/>
      <c r="T1249" s="71"/>
      <c r="U1249" s="71"/>
      <c r="V1249" s="70"/>
      <c r="W1249" s="70"/>
      <c r="X1249" s="70"/>
      <c r="Y1249" s="70"/>
      <c r="Z1249" s="83"/>
    </row>
    <row r="1250">
      <c r="A1250" s="94"/>
      <c r="B1250" s="66"/>
      <c r="C1250" s="70"/>
      <c r="D1250" s="68"/>
      <c r="E1250" s="68"/>
      <c r="F1250" s="69"/>
      <c r="G1250" s="70"/>
      <c r="H1250" s="70"/>
      <c r="I1250" s="70"/>
      <c r="J1250" s="70"/>
      <c r="K1250" s="71"/>
      <c r="L1250" s="71"/>
      <c r="M1250" s="71"/>
      <c r="N1250" s="71"/>
      <c r="O1250" s="70"/>
      <c r="P1250" s="73"/>
      <c r="Q1250" s="71"/>
      <c r="R1250" s="71"/>
      <c r="S1250" s="71"/>
      <c r="T1250" s="71"/>
      <c r="U1250" s="71"/>
      <c r="V1250" s="70"/>
      <c r="W1250" s="70"/>
      <c r="X1250" s="70"/>
      <c r="Y1250" s="70"/>
      <c r="Z1250" s="83"/>
    </row>
    <row r="1251">
      <c r="A1251" s="94"/>
      <c r="B1251" s="66"/>
      <c r="C1251" s="70"/>
      <c r="D1251" s="68"/>
      <c r="E1251" s="68"/>
      <c r="F1251" s="69"/>
      <c r="G1251" s="70"/>
      <c r="H1251" s="70"/>
      <c r="I1251" s="70"/>
      <c r="J1251" s="70"/>
      <c r="K1251" s="71"/>
      <c r="L1251" s="71"/>
      <c r="M1251" s="71"/>
      <c r="N1251" s="71"/>
      <c r="O1251" s="70"/>
      <c r="P1251" s="73"/>
      <c r="Q1251" s="71"/>
      <c r="R1251" s="71"/>
      <c r="S1251" s="71"/>
      <c r="T1251" s="71"/>
      <c r="U1251" s="71"/>
      <c r="V1251" s="70"/>
      <c r="W1251" s="70"/>
      <c r="X1251" s="70"/>
      <c r="Y1251" s="70"/>
      <c r="Z1251" s="83"/>
    </row>
    <row r="1252">
      <c r="A1252" s="94"/>
      <c r="B1252" s="66"/>
      <c r="C1252" s="70"/>
      <c r="D1252" s="68"/>
      <c r="E1252" s="68"/>
      <c r="F1252" s="69"/>
      <c r="G1252" s="70"/>
      <c r="H1252" s="70"/>
      <c r="I1252" s="70"/>
      <c r="J1252" s="70"/>
      <c r="K1252" s="71"/>
      <c r="L1252" s="71"/>
      <c r="M1252" s="71"/>
      <c r="N1252" s="71"/>
      <c r="O1252" s="70"/>
      <c r="P1252" s="73"/>
      <c r="Q1252" s="71"/>
      <c r="R1252" s="71"/>
      <c r="S1252" s="71"/>
      <c r="T1252" s="71"/>
      <c r="U1252" s="71"/>
      <c r="V1252" s="70"/>
      <c r="W1252" s="70"/>
      <c r="X1252" s="70"/>
      <c r="Y1252" s="70"/>
      <c r="Z1252" s="83"/>
    </row>
    <row r="1253">
      <c r="A1253" s="94"/>
      <c r="B1253" s="66"/>
      <c r="C1253" s="70"/>
      <c r="D1253" s="68"/>
      <c r="E1253" s="68"/>
      <c r="F1253" s="69"/>
      <c r="G1253" s="70"/>
      <c r="H1253" s="70"/>
      <c r="I1253" s="70"/>
      <c r="J1253" s="70"/>
      <c r="K1253" s="71"/>
      <c r="L1253" s="71"/>
      <c r="M1253" s="71"/>
      <c r="N1253" s="71"/>
      <c r="O1253" s="70"/>
      <c r="P1253" s="73"/>
      <c r="Q1253" s="71"/>
      <c r="R1253" s="71"/>
      <c r="S1253" s="71"/>
      <c r="T1253" s="71"/>
      <c r="U1253" s="71"/>
      <c r="V1253" s="70"/>
      <c r="W1253" s="70"/>
      <c r="X1253" s="70"/>
      <c r="Y1253" s="70"/>
      <c r="Z1253" s="83"/>
    </row>
    <row r="1254">
      <c r="A1254" s="94"/>
      <c r="B1254" s="66"/>
      <c r="C1254" s="70"/>
      <c r="D1254" s="68"/>
      <c r="E1254" s="68"/>
      <c r="F1254" s="69"/>
      <c r="G1254" s="70"/>
      <c r="H1254" s="70"/>
      <c r="I1254" s="70"/>
      <c r="J1254" s="70"/>
      <c r="K1254" s="71"/>
      <c r="L1254" s="71"/>
      <c r="M1254" s="71"/>
      <c r="N1254" s="71"/>
      <c r="O1254" s="70"/>
      <c r="P1254" s="73"/>
      <c r="Q1254" s="71"/>
      <c r="R1254" s="71"/>
      <c r="S1254" s="71"/>
      <c r="T1254" s="71"/>
      <c r="U1254" s="71"/>
      <c r="V1254" s="70"/>
      <c r="W1254" s="70"/>
      <c r="X1254" s="70"/>
      <c r="Y1254" s="70"/>
      <c r="Z1254" s="83"/>
    </row>
    <row r="1255">
      <c r="A1255" s="94"/>
      <c r="B1255" s="66"/>
      <c r="C1255" s="70"/>
      <c r="D1255" s="68"/>
      <c r="E1255" s="68"/>
      <c r="F1255" s="69"/>
      <c r="G1255" s="70"/>
      <c r="H1255" s="70"/>
      <c r="I1255" s="70"/>
      <c r="J1255" s="70"/>
      <c r="K1255" s="71"/>
      <c r="L1255" s="71"/>
      <c r="M1255" s="71"/>
      <c r="N1255" s="71"/>
      <c r="O1255" s="70"/>
      <c r="P1255" s="73"/>
      <c r="Q1255" s="71"/>
      <c r="R1255" s="71"/>
      <c r="S1255" s="71"/>
      <c r="T1255" s="71"/>
      <c r="U1255" s="71"/>
      <c r="V1255" s="70"/>
      <c r="W1255" s="70"/>
      <c r="X1255" s="70"/>
      <c r="Y1255" s="70"/>
      <c r="Z1255" s="83"/>
    </row>
    <row r="1256">
      <c r="A1256" s="94"/>
      <c r="B1256" s="66"/>
      <c r="C1256" s="70"/>
      <c r="D1256" s="68"/>
      <c r="E1256" s="68"/>
      <c r="F1256" s="69"/>
      <c r="G1256" s="70"/>
      <c r="H1256" s="70"/>
      <c r="I1256" s="70"/>
      <c r="J1256" s="70"/>
      <c r="K1256" s="71"/>
      <c r="L1256" s="71"/>
      <c r="M1256" s="71"/>
      <c r="N1256" s="71"/>
      <c r="O1256" s="70"/>
      <c r="P1256" s="73"/>
      <c r="Q1256" s="71"/>
      <c r="R1256" s="71"/>
      <c r="S1256" s="71"/>
      <c r="T1256" s="71"/>
      <c r="U1256" s="71"/>
      <c r="V1256" s="70"/>
      <c r="W1256" s="70"/>
      <c r="X1256" s="70"/>
      <c r="Y1256" s="70"/>
      <c r="Z1256" s="83"/>
    </row>
    <row r="1257">
      <c r="A1257" s="94"/>
      <c r="B1257" s="66"/>
      <c r="C1257" s="70"/>
      <c r="D1257" s="68"/>
      <c r="E1257" s="68"/>
      <c r="F1257" s="69"/>
      <c r="G1257" s="70"/>
      <c r="H1257" s="70"/>
      <c r="I1257" s="70"/>
      <c r="J1257" s="70"/>
      <c r="K1257" s="71"/>
      <c r="L1257" s="71"/>
      <c r="M1257" s="71"/>
      <c r="N1257" s="71"/>
      <c r="O1257" s="70"/>
      <c r="P1257" s="73"/>
      <c r="Q1257" s="71"/>
      <c r="R1257" s="71"/>
      <c r="S1257" s="71"/>
      <c r="T1257" s="71"/>
      <c r="U1257" s="71"/>
      <c r="V1257" s="70"/>
      <c r="W1257" s="70"/>
      <c r="X1257" s="70"/>
      <c r="Y1257" s="70"/>
      <c r="Z1257" s="83"/>
    </row>
    <row r="1258">
      <c r="A1258" s="94"/>
      <c r="B1258" s="66"/>
      <c r="C1258" s="70"/>
      <c r="D1258" s="68"/>
      <c r="E1258" s="68"/>
      <c r="F1258" s="69"/>
      <c r="G1258" s="70"/>
      <c r="H1258" s="70"/>
      <c r="I1258" s="70"/>
      <c r="J1258" s="70"/>
      <c r="K1258" s="71"/>
      <c r="L1258" s="71"/>
      <c r="M1258" s="71"/>
      <c r="N1258" s="71"/>
      <c r="O1258" s="70"/>
      <c r="P1258" s="73"/>
      <c r="Q1258" s="71"/>
      <c r="R1258" s="71"/>
      <c r="S1258" s="71"/>
      <c r="T1258" s="71"/>
      <c r="U1258" s="71"/>
      <c r="V1258" s="70"/>
      <c r="W1258" s="70"/>
      <c r="X1258" s="70"/>
      <c r="Y1258" s="70"/>
      <c r="Z1258" s="83"/>
    </row>
    <row r="1259">
      <c r="A1259" s="94"/>
      <c r="B1259" s="66"/>
      <c r="C1259" s="70"/>
      <c r="D1259" s="68"/>
      <c r="E1259" s="68"/>
      <c r="F1259" s="69"/>
      <c r="G1259" s="70"/>
      <c r="H1259" s="70"/>
      <c r="I1259" s="70"/>
      <c r="J1259" s="70"/>
      <c r="K1259" s="71"/>
      <c r="L1259" s="71"/>
      <c r="M1259" s="71"/>
      <c r="N1259" s="71"/>
      <c r="O1259" s="70"/>
      <c r="P1259" s="73"/>
      <c r="Q1259" s="71"/>
      <c r="R1259" s="71"/>
      <c r="S1259" s="71"/>
      <c r="T1259" s="71"/>
      <c r="U1259" s="71"/>
      <c r="V1259" s="70"/>
      <c r="W1259" s="70"/>
      <c r="X1259" s="70"/>
      <c r="Y1259" s="70"/>
      <c r="Z1259" s="83"/>
    </row>
    <row r="1260">
      <c r="A1260" s="94"/>
      <c r="B1260" s="66"/>
      <c r="C1260" s="70"/>
      <c r="D1260" s="68"/>
      <c r="E1260" s="68"/>
      <c r="F1260" s="69"/>
      <c r="G1260" s="70"/>
      <c r="H1260" s="70"/>
      <c r="I1260" s="70"/>
      <c r="J1260" s="70"/>
      <c r="K1260" s="71"/>
      <c r="L1260" s="71"/>
      <c r="M1260" s="71"/>
      <c r="N1260" s="71"/>
      <c r="O1260" s="70"/>
      <c r="P1260" s="73"/>
      <c r="Q1260" s="71"/>
      <c r="R1260" s="71"/>
      <c r="S1260" s="71"/>
      <c r="T1260" s="71"/>
      <c r="U1260" s="71"/>
      <c r="V1260" s="70"/>
      <c r="W1260" s="70"/>
      <c r="X1260" s="70"/>
      <c r="Y1260" s="70"/>
      <c r="Z1260" s="83"/>
    </row>
    <row r="1261">
      <c r="A1261" s="94"/>
      <c r="B1261" s="66"/>
      <c r="C1261" s="70"/>
      <c r="D1261" s="68"/>
      <c r="E1261" s="68"/>
      <c r="F1261" s="69"/>
      <c r="G1261" s="70"/>
      <c r="H1261" s="70"/>
      <c r="I1261" s="70"/>
      <c r="J1261" s="70"/>
      <c r="K1261" s="71"/>
      <c r="L1261" s="71"/>
      <c r="M1261" s="71"/>
      <c r="N1261" s="71"/>
      <c r="O1261" s="70"/>
      <c r="P1261" s="73"/>
      <c r="Q1261" s="71"/>
      <c r="R1261" s="71"/>
      <c r="S1261" s="71"/>
      <c r="T1261" s="71"/>
      <c r="U1261" s="71"/>
      <c r="V1261" s="70"/>
      <c r="W1261" s="70"/>
      <c r="X1261" s="70"/>
      <c r="Y1261" s="70"/>
      <c r="Z1261" s="83"/>
    </row>
    <row r="1262">
      <c r="A1262" s="94"/>
      <c r="B1262" s="66"/>
      <c r="C1262" s="70"/>
      <c r="D1262" s="68"/>
      <c r="E1262" s="68"/>
      <c r="F1262" s="69"/>
      <c r="G1262" s="70"/>
      <c r="H1262" s="70"/>
      <c r="I1262" s="70"/>
      <c r="J1262" s="70"/>
      <c r="K1262" s="71"/>
      <c r="L1262" s="71"/>
      <c r="M1262" s="71"/>
      <c r="N1262" s="71"/>
      <c r="O1262" s="70"/>
      <c r="P1262" s="73"/>
      <c r="Q1262" s="71"/>
      <c r="R1262" s="71"/>
      <c r="S1262" s="71"/>
      <c r="T1262" s="71"/>
      <c r="U1262" s="71"/>
      <c r="V1262" s="70"/>
      <c r="W1262" s="70"/>
      <c r="X1262" s="70"/>
      <c r="Y1262" s="70"/>
      <c r="Z1262" s="83"/>
    </row>
    <row r="1263">
      <c r="A1263" s="94"/>
      <c r="B1263" s="66"/>
      <c r="C1263" s="70"/>
      <c r="D1263" s="68"/>
      <c r="E1263" s="68"/>
      <c r="F1263" s="69"/>
      <c r="G1263" s="70"/>
      <c r="H1263" s="70"/>
      <c r="I1263" s="70"/>
      <c r="J1263" s="70"/>
      <c r="K1263" s="71"/>
      <c r="L1263" s="71"/>
      <c r="M1263" s="71"/>
      <c r="N1263" s="71"/>
      <c r="O1263" s="70"/>
      <c r="P1263" s="73"/>
      <c r="Q1263" s="71"/>
      <c r="R1263" s="71"/>
      <c r="S1263" s="71"/>
      <c r="T1263" s="71"/>
      <c r="U1263" s="71"/>
      <c r="V1263" s="70"/>
      <c r="W1263" s="70"/>
      <c r="X1263" s="70"/>
      <c r="Y1263" s="70"/>
      <c r="Z1263" s="83"/>
    </row>
    <row r="1264">
      <c r="A1264" s="94"/>
      <c r="B1264" s="66"/>
      <c r="C1264" s="70"/>
      <c r="D1264" s="68"/>
      <c r="E1264" s="68"/>
      <c r="F1264" s="69"/>
      <c r="G1264" s="70"/>
      <c r="H1264" s="70"/>
      <c r="I1264" s="70"/>
      <c r="J1264" s="70"/>
      <c r="K1264" s="71"/>
      <c r="L1264" s="71"/>
      <c r="M1264" s="71"/>
      <c r="N1264" s="71"/>
      <c r="O1264" s="70"/>
      <c r="P1264" s="73"/>
      <c r="Q1264" s="71"/>
      <c r="R1264" s="71"/>
      <c r="S1264" s="71"/>
      <c r="T1264" s="71"/>
      <c r="U1264" s="71"/>
      <c r="V1264" s="70"/>
      <c r="W1264" s="70"/>
      <c r="X1264" s="70"/>
      <c r="Y1264" s="70"/>
      <c r="Z1264" s="83"/>
    </row>
    <row r="1265">
      <c r="A1265" s="94"/>
      <c r="B1265" s="66"/>
      <c r="C1265" s="70"/>
      <c r="D1265" s="68"/>
      <c r="E1265" s="68"/>
      <c r="F1265" s="69"/>
      <c r="G1265" s="70"/>
      <c r="H1265" s="70"/>
      <c r="I1265" s="70"/>
      <c r="J1265" s="70"/>
      <c r="K1265" s="71"/>
      <c r="L1265" s="71"/>
      <c r="M1265" s="71"/>
      <c r="N1265" s="71"/>
      <c r="O1265" s="70"/>
      <c r="P1265" s="73"/>
      <c r="Q1265" s="71"/>
      <c r="R1265" s="71"/>
      <c r="S1265" s="71"/>
      <c r="T1265" s="71"/>
      <c r="U1265" s="71"/>
      <c r="V1265" s="70"/>
      <c r="W1265" s="70"/>
      <c r="X1265" s="70"/>
      <c r="Y1265" s="70"/>
      <c r="Z1265" s="83"/>
    </row>
    <row r="1266">
      <c r="A1266" s="94"/>
      <c r="B1266" s="66"/>
      <c r="C1266" s="70"/>
      <c r="D1266" s="68"/>
      <c r="E1266" s="68"/>
      <c r="F1266" s="69"/>
      <c r="G1266" s="70"/>
      <c r="H1266" s="70"/>
      <c r="I1266" s="70"/>
      <c r="J1266" s="70"/>
      <c r="K1266" s="71"/>
      <c r="L1266" s="71"/>
      <c r="M1266" s="71"/>
      <c r="N1266" s="71"/>
      <c r="O1266" s="70"/>
      <c r="P1266" s="73"/>
      <c r="Q1266" s="71"/>
      <c r="R1266" s="71"/>
      <c r="S1266" s="71"/>
      <c r="T1266" s="71"/>
      <c r="U1266" s="71"/>
      <c r="V1266" s="70"/>
      <c r="W1266" s="70"/>
      <c r="X1266" s="70"/>
      <c r="Y1266" s="70"/>
      <c r="Z1266" s="83"/>
    </row>
    <row r="1267">
      <c r="A1267" s="94"/>
      <c r="B1267" s="66"/>
      <c r="C1267" s="70"/>
      <c r="D1267" s="68"/>
      <c r="E1267" s="68"/>
      <c r="F1267" s="69"/>
      <c r="G1267" s="70"/>
      <c r="H1267" s="70"/>
      <c r="I1267" s="70"/>
      <c r="J1267" s="70"/>
      <c r="K1267" s="71"/>
      <c r="L1267" s="71"/>
      <c r="M1267" s="71"/>
      <c r="N1267" s="71"/>
      <c r="O1267" s="70"/>
      <c r="P1267" s="73"/>
      <c r="Q1267" s="71"/>
      <c r="R1267" s="71"/>
      <c r="S1267" s="71"/>
      <c r="T1267" s="71"/>
      <c r="U1267" s="71"/>
      <c r="V1267" s="70"/>
      <c r="W1267" s="70"/>
      <c r="X1267" s="70"/>
      <c r="Y1267" s="70"/>
      <c r="Z1267" s="83"/>
    </row>
    <row r="1268">
      <c r="A1268" s="94"/>
      <c r="B1268" s="66"/>
      <c r="C1268" s="70"/>
      <c r="D1268" s="68"/>
      <c r="E1268" s="68"/>
      <c r="F1268" s="69"/>
      <c r="G1268" s="70"/>
      <c r="H1268" s="70"/>
      <c r="I1268" s="70"/>
      <c r="J1268" s="70"/>
      <c r="K1268" s="71"/>
      <c r="L1268" s="71"/>
      <c r="M1268" s="71"/>
      <c r="N1268" s="71"/>
      <c r="O1268" s="70"/>
      <c r="P1268" s="73"/>
      <c r="Q1268" s="71"/>
      <c r="R1268" s="71"/>
      <c r="S1268" s="71"/>
      <c r="T1268" s="71"/>
      <c r="U1268" s="71"/>
      <c r="V1268" s="70"/>
      <c r="W1268" s="70"/>
      <c r="X1268" s="70"/>
      <c r="Y1268" s="70"/>
      <c r="Z1268" s="83"/>
    </row>
    <row r="1269">
      <c r="A1269" s="94"/>
      <c r="B1269" s="66"/>
      <c r="C1269" s="70"/>
      <c r="D1269" s="68"/>
      <c r="E1269" s="68"/>
      <c r="F1269" s="69"/>
      <c r="G1269" s="70"/>
      <c r="H1269" s="70"/>
      <c r="I1269" s="70"/>
      <c r="J1269" s="70"/>
      <c r="K1269" s="71"/>
      <c r="L1269" s="71"/>
      <c r="M1269" s="71"/>
      <c r="N1269" s="71"/>
      <c r="O1269" s="70"/>
      <c r="P1269" s="73"/>
      <c r="Q1269" s="71"/>
      <c r="R1269" s="71"/>
      <c r="S1269" s="71"/>
      <c r="T1269" s="71"/>
      <c r="U1269" s="71"/>
      <c r="V1269" s="70"/>
      <c r="W1269" s="70"/>
      <c r="X1269" s="70"/>
      <c r="Y1269" s="70"/>
      <c r="Z1269" s="83"/>
    </row>
    <row r="1270">
      <c r="A1270" s="94"/>
      <c r="B1270" s="66"/>
      <c r="C1270" s="70"/>
      <c r="D1270" s="68"/>
      <c r="E1270" s="68"/>
      <c r="F1270" s="69"/>
      <c r="G1270" s="70"/>
      <c r="H1270" s="70"/>
      <c r="I1270" s="70"/>
      <c r="J1270" s="70"/>
      <c r="K1270" s="71"/>
      <c r="L1270" s="71"/>
      <c r="M1270" s="71"/>
      <c r="N1270" s="71"/>
      <c r="O1270" s="70"/>
      <c r="P1270" s="73"/>
      <c r="Q1270" s="71"/>
      <c r="R1270" s="71"/>
      <c r="S1270" s="71"/>
      <c r="T1270" s="71"/>
      <c r="U1270" s="71"/>
      <c r="V1270" s="70"/>
      <c r="W1270" s="70"/>
      <c r="X1270" s="70"/>
      <c r="Y1270" s="70"/>
      <c r="Z1270" s="83"/>
    </row>
    <row r="1271">
      <c r="A1271" s="94"/>
      <c r="B1271" s="66"/>
      <c r="C1271" s="70"/>
      <c r="D1271" s="68"/>
      <c r="E1271" s="68"/>
      <c r="F1271" s="69"/>
      <c r="G1271" s="70"/>
      <c r="H1271" s="70"/>
      <c r="I1271" s="70"/>
      <c r="J1271" s="70"/>
      <c r="K1271" s="71"/>
      <c r="L1271" s="71"/>
      <c r="M1271" s="71"/>
      <c r="N1271" s="71"/>
      <c r="O1271" s="70"/>
      <c r="P1271" s="73"/>
      <c r="Q1271" s="71"/>
      <c r="R1271" s="71"/>
      <c r="S1271" s="71"/>
      <c r="T1271" s="71"/>
      <c r="U1271" s="71"/>
      <c r="V1271" s="70"/>
      <c r="W1271" s="70"/>
      <c r="X1271" s="70"/>
      <c r="Y1271" s="70"/>
      <c r="Z1271" s="83"/>
    </row>
    <row r="1272">
      <c r="A1272" s="94"/>
      <c r="B1272" s="66"/>
      <c r="C1272" s="70"/>
      <c r="D1272" s="68"/>
      <c r="E1272" s="68"/>
      <c r="F1272" s="69"/>
      <c r="G1272" s="70"/>
      <c r="H1272" s="70"/>
      <c r="I1272" s="70"/>
      <c r="J1272" s="70"/>
      <c r="K1272" s="71"/>
      <c r="L1272" s="71"/>
      <c r="M1272" s="71"/>
      <c r="N1272" s="71"/>
      <c r="O1272" s="70"/>
      <c r="P1272" s="73"/>
      <c r="Q1272" s="71"/>
      <c r="R1272" s="71"/>
      <c r="S1272" s="71"/>
      <c r="T1272" s="71"/>
      <c r="U1272" s="71"/>
      <c r="V1272" s="70"/>
      <c r="W1272" s="70"/>
      <c r="X1272" s="70"/>
      <c r="Y1272" s="70"/>
      <c r="Z1272" s="83"/>
    </row>
    <row r="1273">
      <c r="A1273" s="94"/>
      <c r="B1273" s="66"/>
      <c r="C1273" s="70"/>
      <c r="D1273" s="68"/>
      <c r="E1273" s="68"/>
      <c r="F1273" s="69"/>
      <c r="G1273" s="70"/>
      <c r="H1273" s="70"/>
      <c r="I1273" s="70"/>
      <c r="J1273" s="70"/>
      <c r="K1273" s="71"/>
      <c r="L1273" s="71"/>
      <c r="M1273" s="71"/>
      <c r="N1273" s="71"/>
      <c r="O1273" s="70"/>
      <c r="P1273" s="73"/>
      <c r="Q1273" s="71"/>
      <c r="R1273" s="71"/>
      <c r="S1273" s="71"/>
      <c r="T1273" s="71"/>
      <c r="U1273" s="71"/>
      <c r="V1273" s="70"/>
      <c r="W1273" s="70"/>
      <c r="X1273" s="70"/>
      <c r="Y1273" s="70"/>
      <c r="Z1273" s="83"/>
    </row>
    <row r="1274">
      <c r="A1274" s="94"/>
      <c r="B1274" s="66"/>
      <c r="C1274" s="70"/>
      <c r="D1274" s="68"/>
      <c r="E1274" s="68"/>
      <c r="F1274" s="69"/>
      <c r="G1274" s="70"/>
      <c r="H1274" s="70"/>
      <c r="I1274" s="70"/>
      <c r="J1274" s="70"/>
      <c r="K1274" s="71"/>
      <c r="L1274" s="71"/>
      <c r="M1274" s="71"/>
      <c r="N1274" s="71"/>
      <c r="O1274" s="70"/>
      <c r="P1274" s="73"/>
      <c r="Q1274" s="71"/>
      <c r="R1274" s="71"/>
      <c r="S1274" s="71"/>
      <c r="T1274" s="71"/>
      <c r="U1274" s="71"/>
      <c r="V1274" s="70"/>
      <c r="W1274" s="70"/>
      <c r="X1274" s="70"/>
      <c r="Y1274" s="70"/>
      <c r="Z1274" s="83"/>
    </row>
    <row r="1275">
      <c r="A1275" s="94"/>
      <c r="B1275" s="66"/>
      <c r="C1275" s="70"/>
      <c r="D1275" s="68"/>
      <c r="E1275" s="68"/>
      <c r="F1275" s="69"/>
      <c r="G1275" s="70"/>
      <c r="H1275" s="70"/>
      <c r="I1275" s="70"/>
      <c r="J1275" s="70"/>
      <c r="K1275" s="71"/>
      <c r="L1275" s="71"/>
      <c r="M1275" s="71"/>
      <c r="N1275" s="71"/>
      <c r="O1275" s="70"/>
      <c r="P1275" s="73"/>
      <c r="Q1275" s="71"/>
      <c r="R1275" s="71"/>
      <c r="S1275" s="71"/>
      <c r="T1275" s="71"/>
      <c r="U1275" s="71"/>
      <c r="V1275" s="70"/>
      <c r="W1275" s="70"/>
      <c r="X1275" s="70"/>
      <c r="Y1275" s="70"/>
      <c r="Z1275" s="83"/>
    </row>
    <row r="1276">
      <c r="A1276" s="94"/>
      <c r="B1276" s="66"/>
      <c r="C1276" s="70"/>
      <c r="D1276" s="68"/>
      <c r="E1276" s="68"/>
      <c r="F1276" s="69"/>
      <c r="G1276" s="70"/>
      <c r="H1276" s="70"/>
      <c r="I1276" s="70"/>
      <c r="J1276" s="70"/>
      <c r="K1276" s="71"/>
      <c r="L1276" s="71"/>
      <c r="M1276" s="71"/>
      <c r="N1276" s="71"/>
      <c r="O1276" s="70"/>
      <c r="P1276" s="73"/>
      <c r="Q1276" s="71"/>
      <c r="R1276" s="71"/>
      <c r="S1276" s="71"/>
      <c r="T1276" s="71"/>
      <c r="U1276" s="71"/>
      <c r="V1276" s="70"/>
      <c r="W1276" s="70"/>
      <c r="X1276" s="70"/>
      <c r="Y1276" s="70"/>
      <c r="Z1276" s="83"/>
    </row>
    <row r="1277">
      <c r="A1277" s="94"/>
      <c r="B1277" s="66"/>
      <c r="C1277" s="70"/>
      <c r="D1277" s="68"/>
      <c r="E1277" s="68"/>
      <c r="F1277" s="69"/>
      <c r="G1277" s="70"/>
      <c r="H1277" s="70"/>
      <c r="I1277" s="70"/>
      <c r="J1277" s="70"/>
      <c r="K1277" s="71"/>
      <c r="L1277" s="71"/>
      <c r="M1277" s="71"/>
      <c r="N1277" s="71"/>
      <c r="O1277" s="70"/>
      <c r="P1277" s="73"/>
      <c r="Q1277" s="71"/>
      <c r="R1277" s="71"/>
      <c r="S1277" s="71"/>
      <c r="T1277" s="71"/>
      <c r="U1277" s="71"/>
      <c r="V1277" s="70"/>
      <c r="W1277" s="70"/>
      <c r="X1277" s="70"/>
      <c r="Y1277" s="70"/>
      <c r="Z1277" s="83"/>
    </row>
    <row r="1278">
      <c r="A1278" s="94"/>
      <c r="B1278" s="66"/>
      <c r="C1278" s="70"/>
      <c r="D1278" s="68"/>
      <c r="E1278" s="68"/>
      <c r="F1278" s="69"/>
      <c r="G1278" s="70"/>
      <c r="H1278" s="70"/>
      <c r="I1278" s="70"/>
      <c r="J1278" s="70"/>
      <c r="K1278" s="71"/>
      <c r="L1278" s="71"/>
      <c r="M1278" s="71"/>
      <c r="N1278" s="71"/>
      <c r="O1278" s="70"/>
      <c r="P1278" s="73"/>
      <c r="Q1278" s="71"/>
      <c r="R1278" s="71"/>
      <c r="S1278" s="71"/>
      <c r="T1278" s="71"/>
      <c r="U1278" s="71"/>
      <c r="V1278" s="70"/>
      <c r="W1278" s="70"/>
      <c r="X1278" s="70"/>
      <c r="Y1278" s="70"/>
      <c r="Z1278" s="83"/>
    </row>
    <row r="1279">
      <c r="A1279" s="94"/>
      <c r="B1279" s="66"/>
      <c r="C1279" s="70"/>
      <c r="D1279" s="68"/>
      <c r="E1279" s="68"/>
      <c r="F1279" s="69"/>
      <c r="G1279" s="70"/>
      <c r="H1279" s="70"/>
      <c r="I1279" s="70"/>
      <c r="J1279" s="70"/>
      <c r="K1279" s="71"/>
      <c r="L1279" s="71"/>
      <c r="M1279" s="71"/>
      <c r="N1279" s="71"/>
      <c r="O1279" s="70"/>
      <c r="P1279" s="73"/>
      <c r="Q1279" s="71"/>
      <c r="R1279" s="71"/>
      <c r="S1279" s="71"/>
      <c r="T1279" s="71"/>
      <c r="U1279" s="71"/>
      <c r="V1279" s="70"/>
      <c r="W1279" s="70"/>
      <c r="X1279" s="70"/>
      <c r="Y1279" s="70"/>
      <c r="Z1279" s="83"/>
    </row>
    <row r="1280">
      <c r="A1280" s="94"/>
      <c r="B1280" s="66"/>
      <c r="C1280" s="70"/>
      <c r="D1280" s="68"/>
      <c r="E1280" s="68"/>
      <c r="F1280" s="69"/>
      <c r="G1280" s="70"/>
      <c r="H1280" s="70"/>
      <c r="I1280" s="70"/>
      <c r="J1280" s="70"/>
      <c r="K1280" s="71"/>
      <c r="L1280" s="71"/>
      <c r="M1280" s="71"/>
      <c r="N1280" s="71"/>
      <c r="O1280" s="70"/>
      <c r="P1280" s="73"/>
      <c r="Q1280" s="71"/>
      <c r="R1280" s="71"/>
      <c r="S1280" s="71"/>
      <c r="T1280" s="71"/>
      <c r="U1280" s="71"/>
      <c r="V1280" s="70"/>
      <c r="W1280" s="70"/>
      <c r="X1280" s="70"/>
      <c r="Y1280" s="70"/>
      <c r="Z1280" s="83"/>
    </row>
    <row r="1281">
      <c r="A1281" s="94"/>
      <c r="B1281" s="66"/>
      <c r="C1281" s="70"/>
      <c r="D1281" s="68"/>
      <c r="E1281" s="68"/>
      <c r="F1281" s="69"/>
      <c r="G1281" s="70"/>
      <c r="H1281" s="70"/>
      <c r="I1281" s="70"/>
      <c r="J1281" s="70"/>
      <c r="K1281" s="71"/>
      <c r="L1281" s="71"/>
      <c r="M1281" s="71"/>
      <c r="N1281" s="71"/>
      <c r="O1281" s="70"/>
      <c r="P1281" s="73"/>
      <c r="Q1281" s="71"/>
      <c r="R1281" s="71"/>
      <c r="S1281" s="71"/>
      <c r="T1281" s="71"/>
      <c r="U1281" s="71"/>
      <c r="V1281" s="70"/>
      <c r="W1281" s="70"/>
      <c r="X1281" s="70"/>
      <c r="Y1281" s="70"/>
      <c r="Z1281" s="83"/>
    </row>
    <row r="1282">
      <c r="A1282" s="94"/>
      <c r="B1282" s="66"/>
      <c r="C1282" s="70"/>
      <c r="D1282" s="68"/>
      <c r="E1282" s="68"/>
      <c r="F1282" s="69"/>
      <c r="G1282" s="70"/>
      <c r="H1282" s="70"/>
      <c r="I1282" s="70"/>
      <c r="J1282" s="70"/>
      <c r="K1282" s="71"/>
      <c r="L1282" s="71"/>
      <c r="M1282" s="71"/>
      <c r="N1282" s="71"/>
      <c r="O1282" s="70"/>
      <c r="P1282" s="73"/>
      <c r="Q1282" s="71"/>
      <c r="R1282" s="71"/>
      <c r="S1282" s="71"/>
      <c r="T1282" s="71"/>
      <c r="U1282" s="71"/>
      <c r="V1282" s="70"/>
      <c r="W1282" s="70"/>
      <c r="X1282" s="70"/>
      <c r="Y1282" s="70"/>
      <c r="Z1282" s="83"/>
    </row>
    <row r="1283">
      <c r="A1283" s="94"/>
      <c r="B1283" s="66"/>
      <c r="C1283" s="70"/>
      <c r="D1283" s="68"/>
      <c r="E1283" s="68"/>
      <c r="F1283" s="69"/>
      <c r="G1283" s="70"/>
      <c r="H1283" s="70"/>
      <c r="I1283" s="70"/>
      <c r="J1283" s="70"/>
      <c r="K1283" s="71"/>
      <c r="L1283" s="71"/>
      <c r="M1283" s="71"/>
      <c r="N1283" s="71"/>
      <c r="O1283" s="70"/>
      <c r="P1283" s="73"/>
      <c r="Q1283" s="71"/>
      <c r="R1283" s="71"/>
      <c r="S1283" s="71"/>
      <c r="T1283" s="71"/>
      <c r="U1283" s="71"/>
      <c r="V1283" s="70"/>
      <c r="W1283" s="70"/>
      <c r="X1283" s="70"/>
      <c r="Y1283" s="70"/>
      <c r="Z1283" s="83"/>
    </row>
    <row r="1284">
      <c r="A1284" s="94"/>
      <c r="B1284" s="66"/>
      <c r="C1284" s="70"/>
      <c r="D1284" s="68"/>
      <c r="E1284" s="68"/>
      <c r="F1284" s="69"/>
      <c r="G1284" s="70"/>
      <c r="H1284" s="70"/>
      <c r="I1284" s="70"/>
      <c r="J1284" s="70"/>
      <c r="K1284" s="71"/>
      <c r="L1284" s="71"/>
      <c r="M1284" s="71"/>
      <c r="N1284" s="71"/>
      <c r="O1284" s="70"/>
      <c r="P1284" s="73"/>
      <c r="Q1284" s="71"/>
      <c r="R1284" s="71"/>
      <c r="S1284" s="71"/>
      <c r="T1284" s="71"/>
      <c r="U1284" s="71"/>
      <c r="V1284" s="70"/>
      <c r="W1284" s="70"/>
      <c r="X1284" s="70"/>
      <c r="Y1284" s="70"/>
      <c r="Z1284" s="83"/>
    </row>
    <row r="1285">
      <c r="A1285" s="94"/>
      <c r="B1285" s="66"/>
      <c r="C1285" s="70"/>
      <c r="D1285" s="68"/>
      <c r="E1285" s="68"/>
      <c r="F1285" s="69"/>
      <c r="G1285" s="70"/>
      <c r="H1285" s="70"/>
      <c r="I1285" s="70"/>
      <c r="J1285" s="70"/>
      <c r="K1285" s="71"/>
      <c r="L1285" s="71"/>
      <c r="M1285" s="71"/>
      <c r="N1285" s="71"/>
      <c r="O1285" s="70"/>
      <c r="P1285" s="73"/>
      <c r="Q1285" s="71"/>
      <c r="R1285" s="71"/>
      <c r="S1285" s="71"/>
      <c r="T1285" s="71"/>
      <c r="U1285" s="71"/>
      <c r="V1285" s="70"/>
      <c r="W1285" s="70"/>
      <c r="X1285" s="70"/>
      <c r="Y1285" s="70"/>
      <c r="Z1285" s="83"/>
    </row>
    <row r="1286">
      <c r="A1286" s="94"/>
      <c r="B1286" s="66"/>
      <c r="C1286" s="70"/>
      <c r="D1286" s="68"/>
      <c r="E1286" s="68"/>
      <c r="F1286" s="69"/>
      <c r="G1286" s="70"/>
      <c r="H1286" s="70"/>
      <c r="I1286" s="70"/>
      <c r="J1286" s="70"/>
      <c r="K1286" s="71"/>
      <c r="L1286" s="71"/>
      <c r="M1286" s="71"/>
      <c r="N1286" s="71"/>
      <c r="O1286" s="70"/>
      <c r="P1286" s="73"/>
      <c r="Q1286" s="71"/>
      <c r="R1286" s="71"/>
      <c r="S1286" s="71"/>
      <c r="T1286" s="71"/>
      <c r="U1286" s="71"/>
      <c r="V1286" s="70"/>
      <c r="W1286" s="70"/>
      <c r="X1286" s="70"/>
      <c r="Y1286" s="70"/>
      <c r="Z1286" s="83"/>
    </row>
    <row r="1287">
      <c r="A1287" s="94"/>
      <c r="B1287" s="66"/>
      <c r="C1287" s="70"/>
      <c r="D1287" s="68"/>
      <c r="E1287" s="68"/>
      <c r="F1287" s="69"/>
      <c r="G1287" s="70"/>
      <c r="H1287" s="70"/>
      <c r="I1287" s="70"/>
      <c r="J1287" s="70"/>
      <c r="K1287" s="71"/>
      <c r="L1287" s="71"/>
      <c r="M1287" s="71"/>
      <c r="N1287" s="71"/>
      <c r="O1287" s="70"/>
      <c r="P1287" s="73"/>
      <c r="Q1287" s="71"/>
      <c r="R1287" s="71"/>
      <c r="S1287" s="71"/>
      <c r="T1287" s="71"/>
      <c r="U1287" s="71"/>
      <c r="V1287" s="70"/>
      <c r="W1287" s="70"/>
      <c r="X1287" s="70"/>
      <c r="Y1287" s="70"/>
      <c r="Z1287" s="83"/>
    </row>
    <row r="1288">
      <c r="A1288" s="94"/>
      <c r="B1288" s="66"/>
      <c r="C1288" s="70"/>
      <c r="D1288" s="68"/>
      <c r="E1288" s="68"/>
      <c r="F1288" s="69"/>
      <c r="G1288" s="70"/>
      <c r="H1288" s="70"/>
      <c r="I1288" s="70"/>
      <c r="J1288" s="70"/>
      <c r="K1288" s="71"/>
      <c r="L1288" s="71"/>
      <c r="M1288" s="71"/>
      <c r="N1288" s="71"/>
      <c r="O1288" s="70"/>
      <c r="P1288" s="73"/>
      <c r="Q1288" s="71"/>
      <c r="R1288" s="71"/>
      <c r="S1288" s="71"/>
      <c r="T1288" s="71"/>
      <c r="U1288" s="71"/>
      <c r="V1288" s="70"/>
      <c r="W1288" s="70"/>
      <c r="X1288" s="70"/>
      <c r="Y1288" s="70"/>
      <c r="Z1288" s="83"/>
    </row>
    <row r="1289">
      <c r="A1289" s="94"/>
      <c r="B1289" s="66"/>
      <c r="C1289" s="70"/>
      <c r="D1289" s="68"/>
      <c r="E1289" s="68"/>
      <c r="F1289" s="69"/>
      <c r="G1289" s="70"/>
      <c r="H1289" s="70"/>
      <c r="I1289" s="70"/>
      <c r="J1289" s="70"/>
      <c r="K1289" s="71"/>
      <c r="L1289" s="71"/>
      <c r="M1289" s="71"/>
      <c r="N1289" s="71"/>
      <c r="O1289" s="70"/>
      <c r="P1289" s="73"/>
      <c r="Q1289" s="71"/>
      <c r="R1289" s="71"/>
      <c r="S1289" s="71"/>
      <c r="T1289" s="71"/>
      <c r="U1289" s="71"/>
      <c r="V1289" s="70"/>
      <c r="W1289" s="70"/>
      <c r="X1289" s="70"/>
      <c r="Y1289" s="70"/>
      <c r="Z1289" s="83"/>
    </row>
    <row r="1290">
      <c r="A1290" s="94"/>
      <c r="B1290" s="66"/>
      <c r="C1290" s="70"/>
      <c r="D1290" s="68"/>
      <c r="E1290" s="68"/>
      <c r="F1290" s="69"/>
      <c r="G1290" s="70"/>
      <c r="H1290" s="70"/>
      <c r="I1290" s="70"/>
      <c r="J1290" s="70"/>
      <c r="K1290" s="71"/>
      <c r="L1290" s="71"/>
      <c r="M1290" s="71"/>
      <c r="N1290" s="71"/>
      <c r="O1290" s="70"/>
      <c r="P1290" s="73"/>
      <c r="Q1290" s="71"/>
      <c r="R1290" s="71"/>
      <c r="S1290" s="71"/>
      <c r="T1290" s="71"/>
      <c r="U1290" s="71"/>
      <c r="V1290" s="70"/>
      <c r="W1290" s="70"/>
      <c r="X1290" s="70"/>
      <c r="Y1290" s="70"/>
      <c r="Z1290" s="83"/>
    </row>
    <row r="1291">
      <c r="A1291" s="94"/>
      <c r="B1291" s="66"/>
      <c r="C1291" s="70"/>
      <c r="D1291" s="68"/>
      <c r="E1291" s="68"/>
      <c r="F1291" s="69"/>
      <c r="G1291" s="70"/>
      <c r="H1291" s="70"/>
      <c r="I1291" s="70"/>
      <c r="J1291" s="70"/>
      <c r="K1291" s="71"/>
      <c r="L1291" s="71"/>
      <c r="M1291" s="71"/>
      <c r="N1291" s="71"/>
      <c r="O1291" s="70"/>
      <c r="P1291" s="73"/>
      <c r="Q1291" s="71"/>
      <c r="R1291" s="71"/>
      <c r="S1291" s="71"/>
      <c r="T1291" s="71"/>
      <c r="U1291" s="71"/>
      <c r="V1291" s="70"/>
      <c r="W1291" s="70"/>
      <c r="X1291" s="70"/>
      <c r="Y1291" s="70"/>
      <c r="Z1291" s="83"/>
    </row>
    <row r="1292">
      <c r="A1292" s="94"/>
      <c r="B1292" s="66"/>
      <c r="C1292" s="70"/>
      <c r="D1292" s="68"/>
      <c r="E1292" s="68"/>
      <c r="F1292" s="69"/>
      <c r="G1292" s="70"/>
      <c r="H1292" s="70"/>
      <c r="I1292" s="70"/>
      <c r="J1292" s="70"/>
      <c r="K1292" s="71"/>
      <c r="L1292" s="71"/>
      <c r="M1292" s="71"/>
      <c r="N1292" s="71"/>
      <c r="O1292" s="70"/>
      <c r="P1292" s="73"/>
      <c r="Q1292" s="71"/>
      <c r="R1292" s="71"/>
      <c r="S1292" s="71"/>
      <c r="T1292" s="71"/>
      <c r="U1292" s="71"/>
      <c r="V1292" s="70"/>
      <c r="W1292" s="70"/>
      <c r="X1292" s="70"/>
      <c r="Y1292" s="70"/>
      <c r="Z1292" s="83"/>
    </row>
    <row r="1293">
      <c r="A1293" s="94"/>
      <c r="B1293" s="66"/>
      <c r="C1293" s="70"/>
      <c r="D1293" s="68"/>
      <c r="E1293" s="68"/>
      <c r="F1293" s="69"/>
      <c r="G1293" s="70"/>
      <c r="H1293" s="70"/>
      <c r="I1293" s="70"/>
      <c r="J1293" s="70"/>
      <c r="K1293" s="71"/>
      <c r="L1293" s="71"/>
      <c r="M1293" s="71"/>
      <c r="N1293" s="71"/>
      <c r="O1293" s="70"/>
      <c r="P1293" s="73"/>
      <c r="Q1293" s="71"/>
      <c r="R1293" s="71"/>
      <c r="S1293" s="71"/>
      <c r="T1293" s="71"/>
      <c r="U1293" s="71"/>
      <c r="V1293" s="70"/>
      <c r="W1293" s="70"/>
      <c r="X1293" s="70"/>
      <c r="Y1293" s="70"/>
      <c r="Z1293" s="83"/>
    </row>
    <row r="1294">
      <c r="A1294" s="94"/>
      <c r="B1294" s="66"/>
      <c r="C1294" s="70"/>
      <c r="D1294" s="68"/>
      <c r="E1294" s="68"/>
      <c r="F1294" s="69"/>
      <c r="G1294" s="70"/>
      <c r="H1294" s="70"/>
      <c r="I1294" s="70"/>
      <c r="J1294" s="70"/>
      <c r="K1294" s="71"/>
      <c r="L1294" s="71"/>
      <c r="M1294" s="71"/>
      <c r="N1294" s="71"/>
      <c r="O1294" s="70"/>
      <c r="P1294" s="73"/>
      <c r="Q1294" s="71"/>
      <c r="R1294" s="71"/>
      <c r="S1294" s="71"/>
      <c r="T1294" s="71"/>
      <c r="U1294" s="71"/>
      <c r="V1294" s="70"/>
      <c r="W1294" s="70"/>
      <c r="X1294" s="70"/>
      <c r="Y1294" s="70"/>
      <c r="Z1294" s="83"/>
    </row>
    <row r="1295">
      <c r="A1295" s="94"/>
      <c r="B1295" s="66"/>
      <c r="C1295" s="70"/>
      <c r="D1295" s="68"/>
      <c r="E1295" s="68"/>
      <c r="F1295" s="69"/>
      <c r="G1295" s="70"/>
      <c r="H1295" s="70"/>
      <c r="I1295" s="70"/>
      <c r="J1295" s="70"/>
      <c r="K1295" s="71"/>
      <c r="L1295" s="71"/>
      <c r="M1295" s="71"/>
      <c r="N1295" s="71"/>
      <c r="O1295" s="70"/>
      <c r="P1295" s="73"/>
      <c r="Q1295" s="71"/>
      <c r="R1295" s="71"/>
      <c r="S1295" s="71"/>
      <c r="T1295" s="71"/>
      <c r="U1295" s="71"/>
      <c r="V1295" s="70"/>
      <c r="W1295" s="70"/>
      <c r="X1295" s="70"/>
      <c r="Y1295" s="70"/>
      <c r="Z1295" s="83"/>
    </row>
    <row r="1296">
      <c r="A1296" s="94"/>
      <c r="B1296" s="66"/>
      <c r="C1296" s="70"/>
      <c r="D1296" s="68"/>
      <c r="E1296" s="68"/>
      <c r="F1296" s="69"/>
      <c r="G1296" s="70"/>
      <c r="H1296" s="70"/>
      <c r="I1296" s="70"/>
      <c r="J1296" s="70"/>
      <c r="K1296" s="71"/>
      <c r="L1296" s="71"/>
      <c r="M1296" s="71"/>
      <c r="N1296" s="71"/>
      <c r="O1296" s="70"/>
      <c r="P1296" s="73"/>
      <c r="Q1296" s="71"/>
      <c r="R1296" s="71"/>
      <c r="S1296" s="71"/>
      <c r="T1296" s="71"/>
      <c r="U1296" s="71"/>
      <c r="V1296" s="70"/>
      <c r="W1296" s="70"/>
      <c r="X1296" s="70"/>
      <c r="Y1296" s="70"/>
      <c r="Z1296" s="83"/>
    </row>
    <row r="1297">
      <c r="A1297" s="94"/>
      <c r="B1297" s="66"/>
      <c r="C1297" s="70"/>
      <c r="D1297" s="68"/>
      <c r="E1297" s="68"/>
      <c r="F1297" s="69"/>
      <c r="G1297" s="70"/>
      <c r="H1297" s="70"/>
      <c r="I1297" s="70"/>
      <c r="J1297" s="70"/>
      <c r="K1297" s="71"/>
      <c r="L1297" s="71"/>
      <c r="M1297" s="71"/>
      <c r="N1297" s="71"/>
      <c r="O1297" s="70"/>
      <c r="P1297" s="73"/>
      <c r="Q1297" s="71"/>
      <c r="R1297" s="71"/>
      <c r="S1297" s="71"/>
      <c r="T1297" s="71"/>
      <c r="U1297" s="71"/>
      <c r="V1297" s="70"/>
      <c r="W1297" s="70"/>
      <c r="X1297" s="70"/>
      <c r="Y1297" s="70"/>
      <c r="Z1297" s="83"/>
    </row>
    <row r="1298">
      <c r="A1298" s="94"/>
      <c r="B1298" s="66"/>
      <c r="C1298" s="70"/>
      <c r="D1298" s="68"/>
      <c r="E1298" s="68"/>
      <c r="F1298" s="69"/>
      <c r="G1298" s="70"/>
      <c r="H1298" s="70"/>
      <c r="I1298" s="70"/>
      <c r="J1298" s="70"/>
      <c r="K1298" s="71"/>
      <c r="L1298" s="71"/>
      <c r="M1298" s="71"/>
      <c r="N1298" s="71"/>
      <c r="O1298" s="70"/>
      <c r="P1298" s="73"/>
      <c r="Q1298" s="71"/>
      <c r="R1298" s="71"/>
      <c r="S1298" s="71"/>
      <c r="T1298" s="71"/>
      <c r="U1298" s="71"/>
      <c r="V1298" s="70"/>
      <c r="W1298" s="70"/>
      <c r="X1298" s="70"/>
      <c r="Y1298" s="70"/>
      <c r="Z1298" s="83"/>
    </row>
    <row r="1299">
      <c r="A1299" s="94"/>
      <c r="B1299" s="66"/>
      <c r="C1299" s="70"/>
      <c r="D1299" s="68"/>
      <c r="E1299" s="68"/>
      <c r="F1299" s="69"/>
      <c r="G1299" s="70"/>
      <c r="H1299" s="70"/>
      <c r="I1299" s="70"/>
      <c r="J1299" s="70"/>
      <c r="K1299" s="71"/>
      <c r="L1299" s="71"/>
      <c r="M1299" s="71"/>
      <c r="N1299" s="71"/>
      <c r="O1299" s="70"/>
      <c r="P1299" s="73"/>
      <c r="Q1299" s="71"/>
      <c r="R1299" s="71"/>
      <c r="S1299" s="71"/>
      <c r="T1299" s="71"/>
      <c r="U1299" s="71"/>
      <c r="V1299" s="70"/>
      <c r="W1299" s="70"/>
      <c r="X1299" s="70"/>
      <c r="Y1299" s="70"/>
      <c r="Z1299" s="83"/>
    </row>
    <row r="1300">
      <c r="A1300" s="94"/>
      <c r="B1300" s="66"/>
      <c r="C1300" s="70"/>
      <c r="D1300" s="68"/>
      <c r="E1300" s="68"/>
      <c r="F1300" s="69"/>
      <c r="G1300" s="70"/>
      <c r="H1300" s="70"/>
      <c r="I1300" s="70"/>
      <c r="J1300" s="70"/>
      <c r="K1300" s="71"/>
      <c r="L1300" s="71"/>
      <c r="M1300" s="71"/>
      <c r="N1300" s="71"/>
      <c r="O1300" s="70"/>
      <c r="P1300" s="73"/>
      <c r="Q1300" s="71"/>
      <c r="R1300" s="71"/>
      <c r="S1300" s="71"/>
      <c r="T1300" s="71"/>
      <c r="U1300" s="71"/>
      <c r="V1300" s="70"/>
      <c r="W1300" s="70"/>
      <c r="X1300" s="70"/>
      <c r="Y1300" s="70"/>
      <c r="Z1300" s="83"/>
    </row>
    <row r="1301">
      <c r="A1301" s="94"/>
      <c r="B1301" s="66"/>
      <c r="C1301" s="70"/>
      <c r="D1301" s="68"/>
      <c r="E1301" s="68"/>
      <c r="F1301" s="69"/>
      <c r="G1301" s="70"/>
      <c r="H1301" s="70"/>
      <c r="I1301" s="70"/>
      <c r="J1301" s="70"/>
      <c r="K1301" s="71"/>
      <c r="L1301" s="71"/>
      <c r="M1301" s="71"/>
      <c r="N1301" s="71"/>
      <c r="O1301" s="70"/>
      <c r="P1301" s="73"/>
      <c r="Q1301" s="71"/>
      <c r="R1301" s="71"/>
      <c r="S1301" s="71"/>
      <c r="T1301" s="71"/>
      <c r="U1301" s="71"/>
      <c r="V1301" s="70"/>
      <c r="W1301" s="70"/>
      <c r="X1301" s="70"/>
      <c r="Y1301" s="70"/>
      <c r="Z1301" s="83"/>
    </row>
    <row r="1302">
      <c r="A1302" s="94"/>
      <c r="B1302" s="66"/>
      <c r="C1302" s="70"/>
      <c r="D1302" s="68"/>
      <c r="E1302" s="68"/>
      <c r="F1302" s="69"/>
      <c r="G1302" s="70"/>
      <c r="H1302" s="70"/>
      <c r="I1302" s="70"/>
      <c r="J1302" s="70"/>
      <c r="K1302" s="71"/>
      <c r="L1302" s="71"/>
      <c r="M1302" s="71"/>
      <c r="N1302" s="71"/>
      <c r="O1302" s="70"/>
      <c r="P1302" s="73"/>
      <c r="Q1302" s="71"/>
      <c r="R1302" s="71"/>
      <c r="S1302" s="71"/>
      <c r="T1302" s="71"/>
      <c r="U1302" s="71"/>
      <c r="V1302" s="70"/>
      <c r="W1302" s="70"/>
      <c r="X1302" s="70"/>
      <c r="Y1302" s="70"/>
      <c r="Z1302" s="83"/>
    </row>
    <row r="1303">
      <c r="A1303" s="94"/>
      <c r="B1303" s="66"/>
      <c r="C1303" s="70"/>
      <c r="D1303" s="68"/>
      <c r="E1303" s="68"/>
      <c r="F1303" s="69"/>
      <c r="G1303" s="70"/>
      <c r="H1303" s="70"/>
      <c r="I1303" s="70"/>
      <c r="J1303" s="70"/>
      <c r="K1303" s="71"/>
      <c r="L1303" s="71"/>
      <c r="M1303" s="71"/>
      <c r="N1303" s="71"/>
      <c r="O1303" s="70"/>
      <c r="P1303" s="73"/>
      <c r="Q1303" s="71"/>
      <c r="R1303" s="71"/>
      <c r="S1303" s="71"/>
      <c r="T1303" s="71"/>
      <c r="U1303" s="71"/>
      <c r="V1303" s="70"/>
      <c r="W1303" s="70"/>
      <c r="X1303" s="70"/>
      <c r="Y1303" s="70"/>
      <c r="Z1303" s="83"/>
    </row>
    <row r="1304">
      <c r="A1304" s="94"/>
      <c r="B1304" s="66"/>
      <c r="C1304" s="70"/>
      <c r="D1304" s="68"/>
      <c r="E1304" s="68"/>
      <c r="F1304" s="69"/>
      <c r="G1304" s="70"/>
      <c r="H1304" s="70"/>
      <c r="I1304" s="70"/>
      <c r="J1304" s="70"/>
      <c r="K1304" s="71"/>
      <c r="L1304" s="71"/>
      <c r="M1304" s="71"/>
      <c r="N1304" s="71"/>
      <c r="O1304" s="70"/>
      <c r="P1304" s="73"/>
      <c r="Q1304" s="71"/>
      <c r="R1304" s="71"/>
      <c r="S1304" s="71"/>
      <c r="T1304" s="71"/>
      <c r="U1304" s="71"/>
      <c r="V1304" s="70"/>
      <c r="W1304" s="70"/>
      <c r="X1304" s="70"/>
      <c r="Y1304" s="70"/>
      <c r="Z1304" s="83"/>
    </row>
    <row r="1305">
      <c r="A1305" s="94"/>
      <c r="B1305" s="66"/>
      <c r="C1305" s="70"/>
      <c r="D1305" s="68"/>
      <c r="E1305" s="68"/>
      <c r="F1305" s="69"/>
      <c r="G1305" s="70"/>
      <c r="H1305" s="70"/>
      <c r="I1305" s="70"/>
      <c r="J1305" s="70"/>
      <c r="K1305" s="71"/>
      <c r="L1305" s="71"/>
      <c r="M1305" s="71"/>
      <c r="N1305" s="71"/>
      <c r="O1305" s="70"/>
      <c r="P1305" s="73"/>
      <c r="Q1305" s="71"/>
      <c r="R1305" s="71"/>
      <c r="S1305" s="71"/>
      <c r="T1305" s="71"/>
      <c r="U1305" s="71"/>
      <c r="V1305" s="70"/>
      <c r="W1305" s="70"/>
      <c r="X1305" s="70"/>
      <c r="Y1305" s="70"/>
      <c r="Z1305" s="83"/>
    </row>
    <row r="1306">
      <c r="A1306" s="94"/>
      <c r="B1306" s="66"/>
      <c r="C1306" s="70"/>
      <c r="D1306" s="68"/>
      <c r="E1306" s="68"/>
      <c r="F1306" s="69"/>
      <c r="G1306" s="70"/>
      <c r="H1306" s="70"/>
      <c r="I1306" s="70"/>
      <c r="J1306" s="70"/>
      <c r="K1306" s="71"/>
      <c r="L1306" s="71"/>
      <c r="M1306" s="71"/>
      <c r="N1306" s="71"/>
      <c r="O1306" s="70"/>
      <c r="P1306" s="73"/>
      <c r="Q1306" s="71"/>
      <c r="R1306" s="71"/>
      <c r="S1306" s="71"/>
      <c r="T1306" s="71"/>
      <c r="U1306" s="71"/>
      <c r="V1306" s="70"/>
      <c r="W1306" s="70"/>
      <c r="X1306" s="70"/>
      <c r="Y1306" s="70"/>
      <c r="Z1306" s="83"/>
    </row>
    <row r="1307">
      <c r="A1307" s="94"/>
      <c r="B1307" s="66"/>
      <c r="C1307" s="70"/>
      <c r="D1307" s="68"/>
      <c r="E1307" s="68"/>
      <c r="F1307" s="69"/>
      <c r="G1307" s="70"/>
      <c r="H1307" s="70"/>
      <c r="I1307" s="70"/>
      <c r="J1307" s="70"/>
      <c r="K1307" s="71"/>
      <c r="L1307" s="71"/>
      <c r="M1307" s="71"/>
      <c r="N1307" s="71"/>
      <c r="O1307" s="70"/>
      <c r="P1307" s="73"/>
      <c r="Q1307" s="71"/>
      <c r="R1307" s="71"/>
      <c r="S1307" s="71"/>
      <c r="T1307" s="71"/>
      <c r="U1307" s="71"/>
      <c r="V1307" s="70"/>
      <c r="W1307" s="70"/>
      <c r="X1307" s="70"/>
      <c r="Y1307" s="70"/>
      <c r="Z1307" s="83"/>
    </row>
    <row r="1308">
      <c r="A1308" s="94"/>
      <c r="B1308" s="66"/>
      <c r="C1308" s="70"/>
      <c r="D1308" s="68"/>
      <c r="E1308" s="68"/>
      <c r="F1308" s="69"/>
      <c r="G1308" s="70"/>
      <c r="H1308" s="70"/>
      <c r="I1308" s="70"/>
      <c r="J1308" s="70"/>
      <c r="K1308" s="71"/>
      <c r="L1308" s="71"/>
      <c r="M1308" s="71"/>
      <c r="N1308" s="71"/>
      <c r="O1308" s="70"/>
      <c r="P1308" s="73"/>
      <c r="Q1308" s="71"/>
      <c r="R1308" s="71"/>
      <c r="S1308" s="71"/>
      <c r="T1308" s="71"/>
      <c r="U1308" s="71"/>
      <c r="V1308" s="70"/>
      <c r="W1308" s="70"/>
      <c r="X1308" s="70"/>
      <c r="Y1308" s="70"/>
      <c r="Z1308" s="83"/>
    </row>
    <row r="1309">
      <c r="A1309" s="94"/>
      <c r="B1309" s="66"/>
      <c r="C1309" s="70"/>
      <c r="D1309" s="68"/>
      <c r="E1309" s="68"/>
      <c r="F1309" s="69"/>
      <c r="G1309" s="70"/>
      <c r="H1309" s="70"/>
      <c r="I1309" s="70"/>
      <c r="J1309" s="70"/>
      <c r="K1309" s="71"/>
      <c r="L1309" s="71"/>
      <c r="M1309" s="71"/>
      <c r="N1309" s="71"/>
      <c r="O1309" s="70"/>
      <c r="P1309" s="73"/>
      <c r="Q1309" s="71"/>
      <c r="R1309" s="71"/>
      <c r="S1309" s="71"/>
      <c r="T1309" s="71"/>
      <c r="U1309" s="71"/>
      <c r="V1309" s="70"/>
      <c r="W1309" s="70"/>
      <c r="X1309" s="70"/>
      <c r="Y1309" s="70"/>
      <c r="Z1309" s="83"/>
    </row>
    <row r="1310">
      <c r="A1310" s="94"/>
      <c r="B1310" s="66"/>
      <c r="C1310" s="70"/>
      <c r="D1310" s="68"/>
      <c r="E1310" s="68"/>
      <c r="F1310" s="69"/>
      <c r="G1310" s="70"/>
      <c r="H1310" s="70"/>
      <c r="I1310" s="70"/>
      <c r="J1310" s="70"/>
      <c r="K1310" s="71"/>
      <c r="L1310" s="71"/>
      <c r="M1310" s="71"/>
      <c r="N1310" s="71"/>
      <c r="O1310" s="70"/>
      <c r="P1310" s="73"/>
      <c r="Q1310" s="71"/>
      <c r="R1310" s="71"/>
      <c r="S1310" s="71"/>
      <c r="T1310" s="71"/>
      <c r="U1310" s="71"/>
      <c r="V1310" s="70"/>
      <c r="W1310" s="70"/>
      <c r="X1310" s="70"/>
      <c r="Y1310" s="70"/>
      <c r="Z1310" s="83"/>
    </row>
    <row r="1311">
      <c r="A1311" s="94"/>
      <c r="B1311" s="66"/>
      <c r="C1311" s="70"/>
      <c r="D1311" s="68"/>
      <c r="E1311" s="68"/>
      <c r="F1311" s="69"/>
      <c r="G1311" s="70"/>
      <c r="H1311" s="70"/>
      <c r="I1311" s="70"/>
      <c r="J1311" s="70"/>
      <c r="K1311" s="71"/>
      <c r="L1311" s="71"/>
      <c r="M1311" s="71"/>
      <c r="N1311" s="71"/>
      <c r="O1311" s="70"/>
      <c r="P1311" s="73"/>
      <c r="Q1311" s="71"/>
      <c r="R1311" s="71"/>
      <c r="S1311" s="71"/>
      <c r="T1311" s="71"/>
      <c r="U1311" s="71"/>
      <c r="V1311" s="70"/>
      <c r="W1311" s="70"/>
      <c r="X1311" s="70"/>
      <c r="Y1311" s="70"/>
      <c r="Z1311" s="83"/>
    </row>
    <row r="1312">
      <c r="A1312" s="94"/>
      <c r="B1312" s="66"/>
      <c r="C1312" s="70"/>
      <c r="D1312" s="68"/>
      <c r="E1312" s="68"/>
      <c r="F1312" s="69"/>
      <c r="G1312" s="70"/>
      <c r="H1312" s="70"/>
      <c r="I1312" s="70"/>
      <c r="J1312" s="70"/>
      <c r="K1312" s="71"/>
      <c r="L1312" s="71"/>
      <c r="M1312" s="71"/>
      <c r="N1312" s="71"/>
      <c r="O1312" s="70"/>
      <c r="P1312" s="73"/>
      <c r="Q1312" s="71"/>
      <c r="R1312" s="71"/>
      <c r="S1312" s="71"/>
      <c r="T1312" s="71"/>
      <c r="U1312" s="71"/>
      <c r="V1312" s="70"/>
      <c r="W1312" s="70"/>
      <c r="X1312" s="70"/>
      <c r="Y1312" s="70"/>
      <c r="Z1312" s="83"/>
    </row>
    <row r="1313">
      <c r="A1313" s="94"/>
      <c r="B1313" s="66"/>
      <c r="C1313" s="70"/>
      <c r="D1313" s="68"/>
      <c r="E1313" s="68"/>
      <c r="F1313" s="69"/>
      <c r="G1313" s="70"/>
      <c r="H1313" s="70"/>
      <c r="I1313" s="70"/>
      <c r="J1313" s="70"/>
      <c r="K1313" s="71"/>
      <c r="L1313" s="71"/>
      <c r="M1313" s="71"/>
      <c r="N1313" s="71"/>
      <c r="O1313" s="70"/>
      <c r="P1313" s="73"/>
      <c r="Q1313" s="71"/>
      <c r="R1313" s="71"/>
      <c r="S1313" s="71"/>
      <c r="T1313" s="71"/>
      <c r="U1313" s="71"/>
      <c r="V1313" s="70"/>
      <c r="W1313" s="70"/>
      <c r="X1313" s="70"/>
      <c r="Y1313" s="70"/>
      <c r="Z1313" s="83"/>
    </row>
    <row r="1314">
      <c r="A1314" s="94"/>
      <c r="B1314" s="66"/>
      <c r="C1314" s="70"/>
      <c r="D1314" s="68"/>
      <c r="E1314" s="68"/>
      <c r="F1314" s="69"/>
      <c r="G1314" s="70"/>
      <c r="H1314" s="70"/>
      <c r="I1314" s="70"/>
      <c r="J1314" s="70"/>
      <c r="K1314" s="71"/>
      <c r="L1314" s="71"/>
      <c r="M1314" s="71"/>
      <c r="N1314" s="71"/>
      <c r="O1314" s="70"/>
      <c r="P1314" s="73"/>
      <c r="Q1314" s="71"/>
      <c r="R1314" s="71"/>
      <c r="S1314" s="71"/>
      <c r="T1314" s="71"/>
      <c r="U1314" s="71"/>
      <c r="V1314" s="70"/>
      <c r="W1314" s="70"/>
      <c r="X1314" s="70"/>
      <c r="Y1314" s="70"/>
      <c r="Z1314" s="83"/>
    </row>
    <row r="1315">
      <c r="A1315" s="94"/>
      <c r="B1315" s="66"/>
      <c r="C1315" s="70"/>
      <c r="D1315" s="68"/>
      <c r="E1315" s="68"/>
      <c r="F1315" s="69"/>
      <c r="G1315" s="70"/>
      <c r="H1315" s="70"/>
      <c r="I1315" s="70"/>
      <c r="J1315" s="70"/>
      <c r="K1315" s="71"/>
      <c r="L1315" s="71"/>
      <c r="M1315" s="71"/>
      <c r="N1315" s="71"/>
      <c r="O1315" s="70"/>
      <c r="P1315" s="73"/>
      <c r="Q1315" s="71"/>
      <c r="R1315" s="71"/>
      <c r="S1315" s="71"/>
      <c r="T1315" s="71"/>
      <c r="U1315" s="71"/>
      <c r="V1315" s="70"/>
      <c r="W1315" s="70"/>
      <c r="X1315" s="70"/>
      <c r="Y1315" s="70"/>
      <c r="Z1315" s="83"/>
    </row>
    <row r="1316">
      <c r="A1316" s="94"/>
      <c r="B1316" s="66"/>
      <c r="C1316" s="70"/>
      <c r="D1316" s="68"/>
      <c r="E1316" s="68"/>
      <c r="F1316" s="69"/>
      <c r="G1316" s="70"/>
      <c r="H1316" s="70"/>
      <c r="I1316" s="70"/>
      <c r="J1316" s="70"/>
      <c r="K1316" s="71"/>
      <c r="L1316" s="71"/>
      <c r="M1316" s="71"/>
      <c r="N1316" s="71"/>
      <c r="O1316" s="70"/>
      <c r="P1316" s="73"/>
      <c r="Q1316" s="71"/>
      <c r="R1316" s="71"/>
      <c r="S1316" s="71"/>
      <c r="T1316" s="71"/>
      <c r="U1316" s="71"/>
      <c r="V1316" s="70"/>
      <c r="W1316" s="70"/>
      <c r="X1316" s="70"/>
      <c r="Y1316" s="70"/>
      <c r="Z1316" s="83"/>
    </row>
    <row r="1317">
      <c r="A1317" s="94"/>
      <c r="B1317" s="66"/>
      <c r="C1317" s="70"/>
      <c r="D1317" s="68"/>
      <c r="E1317" s="68"/>
      <c r="F1317" s="69"/>
      <c r="G1317" s="70"/>
      <c r="H1317" s="70"/>
      <c r="I1317" s="70"/>
      <c r="J1317" s="70"/>
      <c r="K1317" s="71"/>
      <c r="L1317" s="71"/>
      <c r="M1317" s="71"/>
      <c r="N1317" s="71"/>
      <c r="O1317" s="70"/>
      <c r="P1317" s="73"/>
      <c r="Q1317" s="71"/>
      <c r="R1317" s="71"/>
      <c r="S1317" s="71"/>
      <c r="T1317" s="71"/>
      <c r="U1317" s="71"/>
      <c r="V1317" s="70"/>
      <c r="W1317" s="70"/>
      <c r="X1317" s="70"/>
      <c r="Y1317" s="70"/>
      <c r="Z1317" s="83"/>
    </row>
    <row r="1318">
      <c r="A1318" s="94"/>
      <c r="B1318" s="66"/>
      <c r="C1318" s="70"/>
      <c r="D1318" s="68"/>
      <c r="E1318" s="68"/>
      <c r="F1318" s="69"/>
      <c r="G1318" s="70"/>
      <c r="H1318" s="70"/>
      <c r="I1318" s="70"/>
      <c r="J1318" s="70"/>
      <c r="K1318" s="71"/>
      <c r="L1318" s="71"/>
      <c r="M1318" s="71"/>
      <c r="N1318" s="71"/>
      <c r="O1318" s="70"/>
      <c r="P1318" s="73"/>
      <c r="Q1318" s="71"/>
      <c r="R1318" s="71"/>
      <c r="S1318" s="71"/>
      <c r="T1318" s="71"/>
      <c r="U1318" s="71"/>
      <c r="V1318" s="70"/>
      <c r="W1318" s="70"/>
      <c r="X1318" s="70"/>
      <c r="Y1318" s="70"/>
      <c r="Z1318" s="83"/>
    </row>
    <row r="1319">
      <c r="A1319" s="94"/>
      <c r="B1319" s="66"/>
      <c r="C1319" s="70"/>
      <c r="D1319" s="68"/>
      <c r="E1319" s="68"/>
      <c r="F1319" s="69"/>
      <c r="G1319" s="70"/>
      <c r="H1319" s="70"/>
      <c r="I1319" s="70"/>
      <c r="J1319" s="70"/>
      <c r="K1319" s="71"/>
      <c r="L1319" s="71"/>
      <c r="M1319" s="71"/>
      <c r="N1319" s="71"/>
      <c r="O1319" s="70"/>
      <c r="P1319" s="73"/>
      <c r="Q1319" s="71"/>
      <c r="R1319" s="71"/>
      <c r="S1319" s="71"/>
      <c r="T1319" s="71"/>
      <c r="U1319" s="71"/>
      <c r="V1319" s="70"/>
      <c r="W1319" s="70"/>
      <c r="X1319" s="70"/>
      <c r="Y1319" s="70"/>
      <c r="Z1319" s="83"/>
    </row>
    <row r="1320">
      <c r="A1320" s="94"/>
      <c r="B1320" s="66"/>
      <c r="C1320" s="70"/>
      <c r="D1320" s="68"/>
      <c r="E1320" s="68"/>
      <c r="F1320" s="69"/>
      <c r="G1320" s="70"/>
      <c r="H1320" s="70"/>
      <c r="I1320" s="70"/>
      <c r="J1320" s="70"/>
      <c r="K1320" s="71"/>
      <c r="L1320" s="71"/>
      <c r="M1320" s="71"/>
      <c r="N1320" s="71"/>
      <c r="O1320" s="70"/>
      <c r="P1320" s="73"/>
      <c r="Q1320" s="71"/>
      <c r="R1320" s="71"/>
      <c r="S1320" s="71"/>
      <c r="T1320" s="71"/>
      <c r="U1320" s="71"/>
      <c r="V1320" s="70"/>
      <c r="W1320" s="70"/>
      <c r="X1320" s="70"/>
      <c r="Y1320" s="70"/>
      <c r="Z1320" s="83"/>
    </row>
    <row r="1321">
      <c r="A1321" s="94"/>
      <c r="B1321" s="66"/>
      <c r="C1321" s="70"/>
      <c r="D1321" s="68"/>
      <c r="E1321" s="68"/>
      <c r="F1321" s="69"/>
      <c r="G1321" s="70"/>
      <c r="H1321" s="70"/>
      <c r="I1321" s="70"/>
      <c r="J1321" s="70"/>
      <c r="K1321" s="71"/>
      <c r="L1321" s="71"/>
      <c r="M1321" s="71"/>
      <c r="N1321" s="71"/>
      <c r="O1321" s="70"/>
      <c r="P1321" s="73"/>
      <c r="Q1321" s="71"/>
      <c r="R1321" s="71"/>
      <c r="S1321" s="71"/>
      <c r="T1321" s="71"/>
      <c r="U1321" s="71"/>
      <c r="V1321" s="70"/>
      <c r="W1321" s="70"/>
      <c r="X1321" s="70"/>
      <c r="Y1321" s="70"/>
      <c r="Z1321" s="83"/>
    </row>
    <row r="1322">
      <c r="A1322" s="94"/>
      <c r="B1322" s="66"/>
      <c r="C1322" s="70"/>
      <c r="D1322" s="68"/>
      <c r="E1322" s="68"/>
      <c r="F1322" s="69"/>
      <c r="G1322" s="70"/>
      <c r="H1322" s="70"/>
      <c r="I1322" s="70"/>
      <c r="J1322" s="70"/>
      <c r="K1322" s="71"/>
      <c r="L1322" s="71"/>
      <c r="M1322" s="71"/>
      <c r="N1322" s="71"/>
      <c r="O1322" s="70"/>
      <c r="P1322" s="73"/>
      <c r="Q1322" s="71"/>
      <c r="R1322" s="71"/>
      <c r="S1322" s="71"/>
      <c r="T1322" s="71"/>
      <c r="U1322" s="71"/>
      <c r="V1322" s="70"/>
      <c r="W1322" s="70"/>
      <c r="X1322" s="70"/>
      <c r="Y1322" s="70"/>
      <c r="Z1322" s="83"/>
    </row>
    <row r="1323">
      <c r="A1323" s="94"/>
      <c r="B1323" s="66"/>
      <c r="C1323" s="70"/>
      <c r="D1323" s="68"/>
      <c r="E1323" s="68"/>
      <c r="F1323" s="69"/>
      <c r="G1323" s="70"/>
      <c r="H1323" s="70"/>
      <c r="I1323" s="70"/>
      <c r="J1323" s="70"/>
      <c r="K1323" s="71"/>
      <c r="L1323" s="71"/>
      <c r="M1323" s="71"/>
      <c r="N1323" s="71"/>
      <c r="O1323" s="70"/>
      <c r="P1323" s="73"/>
      <c r="Q1323" s="71"/>
      <c r="R1323" s="71"/>
      <c r="S1323" s="71"/>
      <c r="T1323" s="71"/>
      <c r="U1323" s="71"/>
      <c r="V1323" s="70"/>
      <c r="W1323" s="70"/>
      <c r="X1323" s="70"/>
      <c r="Y1323" s="70"/>
      <c r="Z1323" s="83"/>
    </row>
    <row r="1324">
      <c r="A1324" s="94"/>
      <c r="B1324" s="66"/>
      <c r="C1324" s="70"/>
      <c r="D1324" s="68"/>
      <c r="E1324" s="68"/>
      <c r="F1324" s="69"/>
      <c r="G1324" s="70"/>
      <c r="H1324" s="70"/>
      <c r="I1324" s="70"/>
      <c r="J1324" s="70"/>
      <c r="K1324" s="71"/>
      <c r="L1324" s="71"/>
      <c r="M1324" s="71"/>
      <c r="N1324" s="71"/>
      <c r="O1324" s="70"/>
      <c r="P1324" s="73"/>
      <c r="Q1324" s="71"/>
      <c r="R1324" s="71"/>
      <c r="S1324" s="71"/>
      <c r="T1324" s="71"/>
      <c r="U1324" s="71"/>
      <c r="V1324" s="70"/>
      <c r="W1324" s="70"/>
      <c r="X1324" s="70"/>
      <c r="Y1324" s="70"/>
      <c r="Z1324" s="83"/>
    </row>
    <row r="1325">
      <c r="A1325" s="94"/>
      <c r="B1325" s="66"/>
      <c r="C1325" s="70"/>
      <c r="D1325" s="68"/>
      <c r="E1325" s="68"/>
      <c r="F1325" s="69"/>
      <c r="G1325" s="70"/>
      <c r="H1325" s="70"/>
      <c r="I1325" s="70"/>
      <c r="J1325" s="70"/>
      <c r="K1325" s="71"/>
      <c r="L1325" s="71"/>
      <c r="M1325" s="71"/>
      <c r="N1325" s="71"/>
      <c r="O1325" s="70"/>
      <c r="P1325" s="73"/>
      <c r="Q1325" s="71"/>
      <c r="R1325" s="71"/>
      <c r="S1325" s="71"/>
      <c r="T1325" s="71"/>
      <c r="U1325" s="71"/>
      <c r="V1325" s="70"/>
      <c r="W1325" s="70"/>
      <c r="X1325" s="70"/>
      <c r="Y1325" s="70"/>
      <c r="Z1325" s="83"/>
    </row>
    <row r="1326">
      <c r="A1326" s="94"/>
      <c r="B1326" s="66"/>
      <c r="C1326" s="70"/>
      <c r="D1326" s="68"/>
      <c r="E1326" s="68"/>
      <c r="F1326" s="69"/>
      <c r="G1326" s="70"/>
      <c r="H1326" s="70"/>
      <c r="I1326" s="70"/>
      <c r="J1326" s="70"/>
      <c r="K1326" s="71"/>
      <c r="L1326" s="71"/>
      <c r="M1326" s="71"/>
      <c r="N1326" s="71"/>
      <c r="O1326" s="70"/>
      <c r="P1326" s="73"/>
      <c r="Q1326" s="71"/>
      <c r="R1326" s="71"/>
      <c r="S1326" s="71"/>
      <c r="T1326" s="71"/>
      <c r="U1326" s="71"/>
      <c r="V1326" s="70"/>
      <c r="W1326" s="70"/>
      <c r="X1326" s="70"/>
      <c r="Y1326" s="70"/>
      <c r="Z1326" s="83"/>
    </row>
    <row r="1327">
      <c r="A1327" s="94"/>
      <c r="B1327" s="66"/>
      <c r="C1327" s="70"/>
      <c r="D1327" s="68"/>
      <c r="E1327" s="68"/>
      <c r="F1327" s="69"/>
      <c r="G1327" s="70"/>
      <c r="H1327" s="70"/>
      <c r="I1327" s="70"/>
      <c r="J1327" s="70"/>
      <c r="K1327" s="71"/>
      <c r="L1327" s="71"/>
      <c r="M1327" s="71"/>
      <c r="N1327" s="71"/>
      <c r="O1327" s="70"/>
      <c r="P1327" s="73"/>
      <c r="Q1327" s="71"/>
      <c r="R1327" s="71"/>
      <c r="S1327" s="71"/>
      <c r="T1327" s="71"/>
      <c r="U1327" s="71"/>
      <c r="V1327" s="70"/>
      <c r="W1327" s="70"/>
      <c r="X1327" s="70"/>
      <c r="Y1327" s="70"/>
      <c r="Z1327" s="83"/>
    </row>
    <row r="1328">
      <c r="A1328" s="94"/>
      <c r="B1328" s="66"/>
      <c r="C1328" s="70"/>
      <c r="D1328" s="68"/>
      <c r="E1328" s="68"/>
      <c r="F1328" s="69"/>
      <c r="G1328" s="70"/>
      <c r="H1328" s="70"/>
      <c r="I1328" s="70"/>
      <c r="J1328" s="70"/>
      <c r="K1328" s="71"/>
      <c r="L1328" s="71"/>
      <c r="M1328" s="71"/>
      <c r="N1328" s="71"/>
      <c r="O1328" s="70"/>
      <c r="P1328" s="73"/>
      <c r="Q1328" s="71"/>
      <c r="R1328" s="71"/>
      <c r="S1328" s="71"/>
      <c r="T1328" s="71"/>
      <c r="U1328" s="71"/>
      <c r="V1328" s="70"/>
      <c r="W1328" s="70"/>
      <c r="X1328" s="70"/>
      <c r="Y1328" s="70"/>
      <c r="Z1328" s="83"/>
    </row>
    <row r="1329">
      <c r="A1329" s="94"/>
      <c r="B1329" s="66"/>
      <c r="C1329" s="70"/>
      <c r="D1329" s="68"/>
      <c r="E1329" s="68"/>
      <c r="F1329" s="69"/>
      <c r="G1329" s="70"/>
      <c r="H1329" s="70"/>
      <c r="I1329" s="70"/>
      <c r="J1329" s="70"/>
      <c r="K1329" s="71"/>
      <c r="L1329" s="71"/>
      <c r="M1329" s="71"/>
      <c r="N1329" s="71"/>
      <c r="O1329" s="70"/>
      <c r="P1329" s="73"/>
      <c r="Q1329" s="71"/>
      <c r="R1329" s="71"/>
      <c r="S1329" s="71"/>
      <c r="T1329" s="71"/>
      <c r="U1329" s="71"/>
      <c r="V1329" s="70"/>
      <c r="W1329" s="70"/>
      <c r="X1329" s="70"/>
      <c r="Y1329" s="70"/>
      <c r="Z1329" s="83"/>
    </row>
    <row r="1330">
      <c r="A1330" s="94"/>
      <c r="B1330" s="66"/>
      <c r="C1330" s="70"/>
      <c r="D1330" s="68"/>
      <c r="E1330" s="68"/>
      <c r="F1330" s="69"/>
      <c r="G1330" s="70"/>
      <c r="H1330" s="70"/>
      <c r="I1330" s="70"/>
      <c r="J1330" s="70"/>
      <c r="K1330" s="71"/>
      <c r="L1330" s="71"/>
      <c r="M1330" s="71"/>
      <c r="N1330" s="71"/>
      <c r="O1330" s="70"/>
      <c r="P1330" s="73"/>
      <c r="Q1330" s="71"/>
      <c r="R1330" s="71"/>
      <c r="S1330" s="71"/>
      <c r="T1330" s="71"/>
      <c r="U1330" s="71"/>
      <c r="V1330" s="70"/>
      <c r="W1330" s="70"/>
      <c r="X1330" s="70"/>
      <c r="Y1330" s="70"/>
      <c r="Z1330" s="83"/>
    </row>
    <row r="1331">
      <c r="A1331" s="94"/>
      <c r="B1331" s="66"/>
      <c r="C1331" s="70"/>
      <c r="D1331" s="68"/>
      <c r="E1331" s="68"/>
      <c r="F1331" s="69"/>
      <c r="G1331" s="70"/>
      <c r="H1331" s="70"/>
      <c r="I1331" s="70"/>
      <c r="J1331" s="70"/>
      <c r="K1331" s="71"/>
      <c r="L1331" s="71"/>
      <c r="M1331" s="71"/>
      <c r="N1331" s="71"/>
      <c r="O1331" s="70"/>
      <c r="P1331" s="73"/>
      <c r="Q1331" s="71"/>
      <c r="R1331" s="71"/>
      <c r="S1331" s="71"/>
      <c r="T1331" s="71"/>
      <c r="U1331" s="71"/>
      <c r="V1331" s="70"/>
      <c r="W1331" s="70"/>
      <c r="X1331" s="70"/>
      <c r="Y1331" s="70"/>
      <c r="Z1331" s="83"/>
    </row>
    <row r="1332">
      <c r="A1332" s="94"/>
      <c r="B1332" s="66"/>
      <c r="C1332" s="70"/>
      <c r="D1332" s="68"/>
      <c r="E1332" s="68"/>
      <c r="F1332" s="69"/>
      <c r="G1332" s="70"/>
      <c r="H1332" s="70"/>
      <c r="I1332" s="70"/>
      <c r="J1332" s="70"/>
      <c r="K1332" s="71"/>
      <c r="L1332" s="71"/>
      <c r="M1332" s="71"/>
      <c r="N1332" s="71"/>
      <c r="O1332" s="70"/>
      <c r="P1332" s="73"/>
      <c r="Q1332" s="71"/>
      <c r="R1332" s="71"/>
      <c r="S1332" s="71"/>
      <c r="T1332" s="71"/>
      <c r="U1332" s="71"/>
      <c r="V1332" s="70"/>
      <c r="W1332" s="70"/>
      <c r="X1332" s="70"/>
      <c r="Y1332" s="70"/>
      <c r="Z1332" s="83"/>
    </row>
    <row r="1333">
      <c r="A1333" s="94"/>
      <c r="B1333" s="66"/>
      <c r="C1333" s="70"/>
      <c r="D1333" s="68"/>
      <c r="E1333" s="68"/>
      <c r="F1333" s="69"/>
      <c r="G1333" s="70"/>
      <c r="H1333" s="70"/>
      <c r="I1333" s="70"/>
      <c r="J1333" s="70"/>
      <c r="K1333" s="71"/>
      <c r="L1333" s="71"/>
      <c r="M1333" s="71"/>
      <c r="N1333" s="71"/>
      <c r="O1333" s="70"/>
      <c r="P1333" s="73"/>
      <c r="Q1333" s="71"/>
      <c r="R1333" s="71"/>
      <c r="S1333" s="71"/>
      <c r="T1333" s="71"/>
      <c r="U1333" s="71"/>
      <c r="V1333" s="70"/>
      <c r="W1333" s="70"/>
      <c r="X1333" s="70"/>
      <c r="Y1333" s="70"/>
      <c r="Z1333" s="83"/>
    </row>
    <row r="1334">
      <c r="A1334" s="94"/>
      <c r="B1334" s="66"/>
      <c r="C1334" s="70"/>
      <c r="D1334" s="68"/>
      <c r="E1334" s="68"/>
      <c r="F1334" s="69"/>
      <c r="G1334" s="70"/>
      <c r="H1334" s="70"/>
      <c r="I1334" s="70"/>
      <c r="J1334" s="70"/>
      <c r="K1334" s="71"/>
      <c r="L1334" s="71"/>
      <c r="M1334" s="71"/>
      <c r="N1334" s="71"/>
      <c r="O1334" s="70"/>
      <c r="P1334" s="73"/>
      <c r="Q1334" s="71"/>
      <c r="R1334" s="71"/>
      <c r="S1334" s="71"/>
      <c r="T1334" s="71"/>
      <c r="U1334" s="71"/>
      <c r="V1334" s="70"/>
      <c r="W1334" s="70"/>
      <c r="X1334" s="70"/>
      <c r="Y1334" s="70"/>
      <c r="Z1334" s="83"/>
    </row>
    <row r="1335">
      <c r="A1335" s="94"/>
      <c r="B1335" s="66"/>
      <c r="C1335" s="70"/>
      <c r="D1335" s="68"/>
      <c r="E1335" s="68"/>
      <c r="F1335" s="69"/>
      <c r="G1335" s="70"/>
      <c r="H1335" s="70"/>
      <c r="I1335" s="70"/>
      <c r="J1335" s="70"/>
      <c r="K1335" s="71"/>
      <c r="L1335" s="71"/>
      <c r="M1335" s="71"/>
      <c r="N1335" s="71"/>
      <c r="O1335" s="70"/>
      <c r="P1335" s="73"/>
      <c r="Q1335" s="71"/>
      <c r="R1335" s="71"/>
      <c r="S1335" s="71"/>
      <c r="T1335" s="71"/>
      <c r="U1335" s="71"/>
      <c r="V1335" s="70"/>
      <c r="W1335" s="70"/>
      <c r="X1335" s="70"/>
      <c r="Y1335" s="70"/>
      <c r="Z1335" s="83"/>
    </row>
    <row r="1336">
      <c r="A1336" s="94"/>
      <c r="B1336" s="66"/>
      <c r="C1336" s="70"/>
      <c r="D1336" s="68"/>
      <c r="E1336" s="68"/>
      <c r="F1336" s="69"/>
      <c r="G1336" s="70"/>
      <c r="H1336" s="70"/>
      <c r="I1336" s="70"/>
      <c r="J1336" s="70"/>
      <c r="K1336" s="71"/>
      <c r="L1336" s="71"/>
      <c r="M1336" s="71"/>
      <c r="N1336" s="71"/>
      <c r="O1336" s="70"/>
      <c r="P1336" s="73"/>
      <c r="Q1336" s="71"/>
      <c r="R1336" s="71"/>
      <c r="S1336" s="71"/>
      <c r="T1336" s="71"/>
      <c r="U1336" s="71"/>
      <c r="V1336" s="70"/>
      <c r="W1336" s="70"/>
      <c r="X1336" s="70"/>
      <c r="Y1336" s="70"/>
      <c r="Z1336" s="83"/>
    </row>
    <row r="1337">
      <c r="A1337" s="94"/>
      <c r="B1337" s="66"/>
      <c r="C1337" s="70"/>
      <c r="D1337" s="68"/>
      <c r="E1337" s="68"/>
      <c r="F1337" s="69"/>
      <c r="G1337" s="70"/>
      <c r="H1337" s="70"/>
      <c r="I1337" s="70"/>
      <c r="J1337" s="70"/>
      <c r="K1337" s="71"/>
      <c r="L1337" s="71"/>
      <c r="M1337" s="71"/>
      <c r="N1337" s="71"/>
      <c r="O1337" s="70"/>
      <c r="P1337" s="73"/>
      <c r="Q1337" s="71"/>
      <c r="R1337" s="71"/>
      <c r="S1337" s="71"/>
      <c r="T1337" s="71"/>
      <c r="U1337" s="71"/>
      <c r="V1337" s="70"/>
      <c r="W1337" s="70"/>
      <c r="X1337" s="70"/>
      <c r="Y1337" s="70"/>
      <c r="Z1337" s="83"/>
    </row>
    <row r="1338">
      <c r="A1338" s="94"/>
      <c r="B1338" s="66"/>
      <c r="C1338" s="70"/>
      <c r="D1338" s="68"/>
      <c r="E1338" s="68"/>
      <c r="F1338" s="69"/>
      <c r="G1338" s="70"/>
      <c r="H1338" s="70"/>
      <c r="I1338" s="70"/>
      <c r="J1338" s="70"/>
      <c r="K1338" s="71"/>
      <c r="L1338" s="71"/>
      <c r="M1338" s="71"/>
      <c r="N1338" s="71"/>
      <c r="O1338" s="70"/>
      <c r="P1338" s="73"/>
      <c r="Q1338" s="71"/>
      <c r="R1338" s="71"/>
      <c r="S1338" s="71"/>
      <c r="T1338" s="71"/>
      <c r="U1338" s="71"/>
      <c r="V1338" s="70"/>
      <c r="W1338" s="70"/>
      <c r="X1338" s="70"/>
      <c r="Y1338" s="70"/>
      <c r="Z1338" s="83"/>
    </row>
    <row r="1339">
      <c r="A1339" s="94"/>
      <c r="B1339" s="66"/>
      <c r="C1339" s="70"/>
      <c r="D1339" s="68"/>
      <c r="E1339" s="68"/>
      <c r="F1339" s="69"/>
      <c r="G1339" s="70"/>
      <c r="H1339" s="70"/>
      <c r="I1339" s="70"/>
      <c r="J1339" s="70"/>
      <c r="K1339" s="71"/>
      <c r="L1339" s="71"/>
      <c r="M1339" s="71"/>
      <c r="N1339" s="71"/>
      <c r="O1339" s="70"/>
      <c r="P1339" s="73"/>
      <c r="Q1339" s="71"/>
      <c r="R1339" s="71"/>
      <c r="S1339" s="71"/>
      <c r="T1339" s="71"/>
      <c r="U1339" s="71"/>
      <c r="V1339" s="70"/>
      <c r="W1339" s="70"/>
      <c r="X1339" s="70"/>
      <c r="Y1339" s="70"/>
      <c r="Z1339" s="83"/>
    </row>
    <row r="1340">
      <c r="A1340" s="94"/>
      <c r="B1340" s="66"/>
      <c r="C1340" s="70"/>
      <c r="D1340" s="68"/>
      <c r="E1340" s="68"/>
      <c r="F1340" s="69"/>
      <c r="G1340" s="70"/>
      <c r="H1340" s="70"/>
      <c r="I1340" s="70"/>
      <c r="J1340" s="70"/>
      <c r="K1340" s="71"/>
      <c r="L1340" s="71"/>
      <c r="M1340" s="71"/>
      <c r="N1340" s="71"/>
      <c r="O1340" s="70"/>
      <c r="P1340" s="73"/>
      <c r="Q1340" s="71"/>
      <c r="R1340" s="71"/>
      <c r="S1340" s="71"/>
      <c r="T1340" s="71"/>
      <c r="U1340" s="71"/>
      <c r="V1340" s="70"/>
      <c r="W1340" s="70"/>
      <c r="X1340" s="70"/>
      <c r="Y1340" s="70"/>
      <c r="Z1340" s="83"/>
    </row>
    <row r="1341">
      <c r="A1341" s="94"/>
      <c r="B1341" s="66"/>
      <c r="C1341" s="70"/>
      <c r="D1341" s="68"/>
      <c r="E1341" s="68"/>
      <c r="F1341" s="69"/>
      <c r="G1341" s="70"/>
      <c r="H1341" s="70"/>
      <c r="I1341" s="70"/>
      <c r="J1341" s="70"/>
      <c r="K1341" s="71"/>
      <c r="L1341" s="71"/>
      <c r="M1341" s="71"/>
      <c r="N1341" s="71"/>
      <c r="O1341" s="70"/>
      <c r="P1341" s="73"/>
      <c r="Q1341" s="71"/>
      <c r="R1341" s="71"/>
      <c r="S1341" s="71"/>
      <c r="T1341" s="71"/>
      <c r="U1341" s="71"/>
      <c r="V1341" s="70"/>
      <c r="W1341" s="70"/>
      <c r="X1341" s="70"/>
      <c r="Y1341" s="70"/>
      <c r="Z1341" s="83"/>
    </row>
    <row r="1342">
      <c r="A1342" s="94"/>
      <c r="B1342" s="66"/>
      <c r="C1342" s="70"/>
      <c r="D1342" s="68"/>
      <c r="E1342" s="68"/>
      <c r="F1342" s="69"/>
      <c r="G1342" s="70"/>
      <c r="H1342" s="70"/>
      <c r="I1342" s="70"/>
      <c r="J1342" s="70"/>
      <c r="K1342" s="71"/>
      <c r="L1342" s="71"/>
      <c r="M1342" s="71"/>
      <c r="N1342" s="71"/>
      <c r="O1342" s="70"/>
      <c r="P1342" s="73"/>
      <c r="Q1342" s="71"/>
      <c r="R1342" s="71"/>
      <c r="S1342" s="71"/>
      <c r="T1342" s="71"/>
      <c r="U1342" s="71"/>
      <c r="V1342" s="70"/>
      <c r="W1342" s="70"/>
      <c r="X1342" s="70"/>
      <c r="Y1342" s="70"/>
      <c r="Z1342" s="83"/>
    </row>
    <row r="1343">
      <c r="A1343" s="94"/>
      <c r="B1343" s="66"/>
      <c r="C1343" s="70"/>
      <c r="D1343" s="68"/>
      <c r="E1343" s="68"/>
      <c r="F1343" s="69"/>
      <c r="G1343" s="70"/>
      <c r="H1343" s="70"/>
      <c r="I1343" s="70"/>
      <c r="J1343" s="70"/>
      <c r="K1343" s="71"/>
      <c r="L1343" s="71"/>
      <c r="M1343" s="71"/>
      <c r="N1343" s="71"/>
      <c r="O1343" s="70"/>
      <c r="P1343" s="73"/>
      <c r="Q1343" s="71"/>
      <c r="R1343" s="71"/>
      <c r="S1343" s="71"/>
      <c r="T1343" s="71"/>
      <c r="U1343" s="71"/>
      <c r="V1343" s="70"/>
      <c r="W1343" s="70"/>
      <c r="X1343" s="70"/>
      <c r="Y1343" s="70"/>
      <c r="Z1343" s="83"/>
    </row>
    <row r="1344">
      <c r="A1344" s="94"/>
      <c r="B1344" s="66"/>
      <c r="C1344" s="70"/>
      <c r="D1344" s="68"/>
      <c r="E1344" s="68"/>
      <c r="F1344" s="69"/>
      <c r="G1344" s="70"/>
      <c r="H1344" s="70"/>
      <c r="I1344" s="70"/>
      <c r="J1344" s="70"/>
      <c r="K1344" s="71"/>
      <c r="L1344" s="71"/>
      <c r="M1344" s="71"/>
      <c r="N1344" s="71"/>
      <c r="O1344" s="70"/>
      <c r="P1344" s="73"/>
      <c r="Q1344" s="71"/>
      <c r="R1344" s="71"/>
      <c r="S1344" s="71"/>
      <c r="T1344" s="71"/>
      <c r="U1344" s="71"/>
      <c r="V1344" s="70"/>
      <c r="W1344" s="70"/>
      <c r="X1344" s="70"/>
      <c r="Y1344" s="70"/>
      <c r="Z1344" s="83"/>
    </row>
    <row r="1345">
      <c r="A1345" s="94"/>
      <c r="B1345" s="66"/>
      <c r="C1345" s="70"/>
      <c r="D1345" s="68"/>
      <c r="E1345" s="68"/>
      <c r="F1345" s="69"/>
      <c r="G1345" s="70"/>
      <c r="H1345" s="70"/>
      <c r="I1345" s="70"/>
      <c r="J1345" s="70"/>
      <c r="K1345" s="71"/>
      <c r="L1345" s="71"/>
      <c r="M1345" s="71"/>
      <c r="N1345" s="71"/>
      <c r="O1345" s="70"/>
      <c r="P1345" s="73"/>
      <c r="Q1345" s="71"/>
      <c r="R1345" s="71"/>
      <c r="S1345" s="71"/>
      <c r="T1345" s="71"/>
      <c r="U1345" s="71"/>
      <c r="V1345" s="70"/>
      <c r="W1345" s="70"/>
      <c r="X1345" s="70"/>
      <c r="Y1345" s="70"/>
      <c r="Z1345" s="83"/>
    </row>
    <row r="1346">
      <c r="A1346" s="94"/>
      <c r="B1346" s="66"/>
      <c r="C1346" s="70"/>
      <c r="D1346" s="68"/>
      <c r="E1346" s="68"/>
      <c r="F1346" s="69"/>
      <c r="G1346" s="70"/>
      <c r="H1346" s="70"/>
      <c r="I1346" s="70"/>
      <c r="J1346" s="70"/>
      <c r="K1346" s="71"/>
      <c r="L1346" s="71"/>
      <c r="M1346" s="71"/>
      <c r="N1346" s="71"/>
      <c r="O1346" s="70"/>
      <c r="P1346" s="73"/>
      <c r="Q1346" s="71"/>
      <c r="R1346" s="71"/>
      <c r="S1346" s="71"/>
      <c r="T1346" s="71"/>
      <c r="U1346" s="71"/>
      <c r="V1346" s="70"/>
      <c r="W1346" s="70"/>
      <c r="X1346" s="70"/>
      <c r="Y1346" s="70"/>
      <c r="Z1346" s="83"/>
    </row>
    <row r="1347">
      <c r="A1347" s="94"/>
      <c r="B1347" s="66"/>
      <c r="C1347" s="70"/>
      <c r="D1347" s="68"/>
      <c r="E1347" s="68"/>
      <c r="F1347" s="69"/>
      <c r="G1347" s="70"/>
      <c r="H1347" s="70"/>
      <c r="I1347" s="70"/>
      <c r="J1347" s="70"/>
      <c r="K1347" s="71"/>
      <c r="L1347" s="71"/>
      <c r="M1347" s="71"/>
      <c r="N1347" s="71"/>
      <c r="O1347" s="70"/>
      <c r="P1347" s="73"/>
      <c r="Q1347" s="71"/>
      <c r="R1347" s="71"/>
      <c r="S1347" s="71"/>
      <c r="T1347" s="71"/>
      <c r="U1347" s="71"/>
      <c r="V1347" s="70"/>
      <c r="W1347" s="70"/>
      <c r="X1347" s="70"/>
      <c r="Y1347" s="70"/>
      <c r="Z1347" s="83"/>
    </row>
    <row r="1348">
      <c r="A1348" s="94"/>
      <c r="B1348" s="66"/>
      <c r="C1348" s="70"/>
      <c r="D1348" s="68"/>
      <c r="E1348" s="68"/>
      <c r="F1348" s="69"/>
      <c r="G1348" s="70"/>
      <c r="H1348" s="70"/>
      <c r="I1348" s="70"/>
      <c r="J1348" s="70"/>
      <c r="K1348" s="71"/>
      <c r="L1348" s="71"/>
      <c r="M1348" s="71"/>
      <c r="N1348" s="71"/>
      <c r="O1348" s="70"/>
      <c r="P1348" s="73"/>
      <c r="Q1348" s="71"/>
      <c r="R1348" s="71"/>
      <c r="S1348" s="71"/>
      <c r="T1348" s="71"/>
      <c r="U1348" s="71"/>
      <c r="V1348" s="70"/>
      <c r="W1348" s="70"/>
      <c r="X1348" s="70"/>
      <c r="Y1348" s="70"/>
      <c r="Z1348" s="83"/>
    </row>
    <row r="1349">
      <c r="A1349" s="94"/>
      <c r="B1349" s="66"/>
      <c r="C1349" s="70"/>
      <c r="D1349" s="68"/>
      <c r="E1349" s="68"/>
      <c r="F1349" s="69"/>
      <c r="G1349" s="70"/>
      <c r="H1349" s="70"/>
      <c r="I1349" s="70"/>
      <c r="J1349" s="70"/>
      <c r="K1349" s="71"/>
      <c r="L1349" s="71"/>
      <c r="M1349" s="71"/>
      <c r="N1349" s="71"/>
      <c r="O1349" s="70"/>
      <c r="P1349" s="73"/>
      <c r="Q1349" s="71"/>
      <c r="R1349" s="71"/>
      <c r="S1349" s="71"/>
      <c r="T1349" s="71"/>
      <c r="U1349" s="71"/>
      <c r="V1349" s="70"/>
      <c r="W1349" s="70"/>
      <c r="X1349" s="70"/>
      <c r="Y1349" s="70"/>
      <c r="Z1349" s="83"/>
    </row>
    <row r="1350">
      <c r="A1350" s="94"/>
      <c r="B1350" s="66"/>
      <c r="C1350" s="70"/>
      <c r="D1350" s="68"/>
      <c r="E1350" s="68"/>
      <c r="F1350" s="69"/>
      <c r="G1350" s="70"/>
      <c r="H1350" s="70"/>
      <c r="I1350" s="70"/>
      <c r="J1350" s="70"/>
      <c r="K1350" s="71"/>
      <c r="L1350" s="71"/>
      <c r="M1350" s="71"/>
      <c r="N1350" s="71"/>
      <c r="O1350" s="70"/>
      <c r="P1350" s="73"/>
      <c r="Q1350" s="71"/>
      <c r="R1350" s="71"/>
      <c r="S1350" s="71"/>
      <c r="T1350" s="71"/>
      <c r="U1350" s="71"/>
      <c r="V1350" s="70"/>
      <c r="W1350" s="70"/>
      <c r="X1350" s="70"/>
      <c r="Y1350" s="70"/>
      <c r="Z1350" s="83"/>
    </row>
    <row r="1351">
      <c r="A1351" s="94"/>
      <c r="B1351" s="66"/>
      <c r="C1351" s="70"/>
      <c r="D1351" s="68"/>
      <c r="E1351" s="68"/>
      <c r="F1351" s="69"/>
      <c r="G1351" s="70"/>
      <c r="H1351" s="70"/>
      <c r="I1351" s="70"/>
      <c r="J1351" s="70"/>
      <c r="K1351" s="71"/>
      <c r="L1351" s="71"/>
      <c r="M1351" s="71"/>
      <c r="N1351" s="71"/>
      <c r="O1351" s="70"/>
      <c r="P1351" s="73"/>
      <c r="Q1351" s="71"/>
      <c r="R1351" s="71"/>
      <c r="S1351" s="71"/>
      <c r="T1351" s="71"/>
      <c r="U1351" s="71"/>
      <c r="V1351" s="70"/>
      <c r="W1351" s="70"/>
      <c r="X1351" s="70"/>
      <c r="Y1351" s="70"/>
      <c r="Z1351" s="83"/>
    </row>
    <row r="1352">
      <c r="A1352" s="94"/>
      <c r="B1352" s="66"/>
      <c r="C1352" s="70"/>
      <c r="D1352" s="68"/>
      <c r="E1352" s="68"/>
      <c r="F1352" s="69"/>
      <c r="G1352" s="70"/>
      <c r="H1352" s="70"/>
      <c r="I1352" s="70"/>
      <c r="J1352" s="70"/>
      <c r="K1352" s="71"/>
      <c r="L1352" s="71"/>
      <c r="M1352" s="71"/>
      <c r="N1352" s="71"/>
      <c r="O1352" s="70"/>
      <c r="P1352" s="73"/>
      <c r="Q1352" s="71"/>
      <c r="R1352" s="71"/>
      <c r="S1352" s="71"/>
      <c r="T1352" s="71"/>
      <c r="U1352" s="71"/>
      <c r="V1352" s="70"/>
      <c r="W1352" s="70"/>
      <c r="X1352" s="70"/>
      <c r="Y1352" s="70"/>
      <c r="Z1352" s="83"/>
    </row>
    <row r="1353">
      <c r="A1353" s="94"/>
      <c r="B1353" s="66"/>
      <c r="C1353" s="70"/>
      <c r="D1353" s="68"/>
      <c r="E1353" s="68"/>
      <c r="F1353" s="69"/>
      <c r="G1353" s="70"/>
      <c r="H1353" s="70"/>
      <c r="I1353" s="70"/>
      <c r="J1353" s="70"/>
      <c r="K1353" s="71"/>
      <c r="L1353" s="71"/>
      <c r="M1353" s="71"/>
      <c r="N1353" s="71"/>
      <c r="O1353" s="70"/>
      <c r="P1353" s="73"/>
      <c r="Q1353" s="71"/>
      <c r="R1353" s="71"/>
      <c r="S1353" s="71"/>
      <c r="T1353" s="71"/>
      <c r="U1353" s="71"/>
      <c r="V1353" s="70"/>
      <c r="W1353" s="70"/>
      <c r="X1353" s="70"/>
      <c r="Y1353" s="70"/>
      <c r="Z1353" s="83"/>
    </row>
    <row r="1354">
      <c r="A1354" s="94"/>
      <c r="B1354" s="66"/>
      <c r="C1354" s="70"/>
      <c r="D1354" s="68"/>
      <c r="E1354" s="68"/>
      <c r="F1354" s="69"/>
      <c r="G1354" s="70"/>
      <c r="H1354" s="70"/>
      <c r="I1354" s="70"/>
      <c r="J1354" s="70"/>
      <c r="K1354" s="71"/>
      <c r="L1354" s="71"/>
      <c r="M1354" s="71"/>
      <c r="N1354" s="71"/>
      <c r="O1354" s="70"/>
      <c r="P1354" s="73"/>
      <c r="Q1354" s="71"/>
      <c r="R1354" s="71"/>
      <c r="S1354" s="71"/>
      <c r="T1354" s="71"/>
      <c r="U1354" s="71"/>
      <c r="V1354" s="70"/>
      <c r="W1354" s="70"/>
      <c r="X1354" s="70"/>
      <c r="Y1354" s="70"/>
      <c r="Z1354" s="83"/>
    </row>
    <row r="1355">
      <c r="A1355" s="94"/>
      <c r="B1355" s="66"/>
      <c r="C1355" s="70"/>
      <c r="D1355" s="68"/>
      <c r="E1355" s="68"/>
      <c r="F1355" s="69"/>
      <c r="G1355" s="70"/>
      <c r="H1355" s="70"/>
      <c r="I1355" s="70"/>
      <c r="J1355" s="70"/>
      <c r="K1355" s="71"/>
      <c r="L1355" s="71"/>
      <c r="M1355" s="71"/>
      <c r="N1355" s="71"/>
      <c r="O1355" s="70"/>
      <c r="P1355" s="73"/>
      <c r="Q1355" s="71"/>
      <c r="R1355" s="71"/>
      <c r="S1355" s="71"/>
      <c r="T1355" s="71"/>
      <c r="U1355" s="71"/>
      <c r="V1355" s="70"/>
      <c r="W1355" s="70"/>
      <c r="X1355" s="70"/>
      <c r="Y1355" s="70"/>
      <c r="Z1355" s="83"/>
    </row>
    <row r="1356">
      <c r="A1356" s="94"/>
      <c r="B1356" s="66"/>
      <c r="C1356" s="70"/>
      <c r="D1356" s="68"/>
      <c r="E1356" s="68"/>
      <c r="F1356" s="69"/>
      <c r="G1356" s="70"/>
      <c r="H1356" s="70"/>
      <c r="I1356" s="70"/>
      <c r="J1356" s="70"/>
      <c r="K1356" s="71"/>
      <c r="L1356" s="71"/>
      <c r="M1356" s="71"/>
      <c r="N1356" s="71"/>
      <c r="O1356" s="70"/>
      <c r="P1356" s="73"/>
      <c r="Q1356" s="71"/>
      <c r="R1356" s="71"/>
      <c r="S1356" s="71"/>
      <c r="T1356" s="71"/>
      <c r="U1356" s="71"/>
      <c r="V1356" s="70"/>
      <c r="W1356" s="70"/>
      <c r="X1356" s="70"/>
      <c r="Y1356" s="70"/>
      <c r="Z1356" s="83"/>
    </row>
    <row r="1357">
      <c r="A1357" s="94"/>
      <c r="B1357" s="66"/>
      <c r="C1357" s="70"/>
      <c r="D1357" s="68"/>
      <c r="E1357" s="68"/>
      <c r="F1357" s="69"/>
      <c r="G1357" s="70"/>
      <c r="H1357" s="70"/>
      <c r="I1357" s="70"/>
      <c r="J1357" s="70"/>
      <c r="K1357" s="71"/>
      <c r="L1357" s="71"/>
      <c r="M1357" s="71"/>
      <c r="N1357" s="71"/>
      <c r="O1357" s="70"/>
      <c r="P1357" s="73"/>
      <c r="Q1357" s="71"/>
      <c r="R1357" s="71"/>
      <c r="S1357" s="71"/>
      <c r="T1357" s="71"/>
      <c r="U1357" s="71"/>
      <c r="V1357" s="70"/>
      <c r="W1357" s="70"/>
      <c r="X1357" s="70"/>
      <c r="Y1357" s="70"/>
      <c r="Z1357" s="83"/>
    </row>
    <row r="1358">
      <c r="A1358" s="94"/>
      <c r="B1358" s="66"/>
      <c r="C1358" s="70"/>
      <c r="D1358" s="68"/>
      <c r="E1358" s="68"/>
      <c r="F1358" s="69"/>
      <c r="G1358" s="70"/>
      <c r="H1358" s="70"/>
      <c r="I1358" s="70"/>
      <c r="J1358" s="70"/>
      <c r="K1358" s="71"/>
      <c r="L1358" s="71"/>
      <c r="M1358" s="71"/>
      <c r="N1358" s="71"/>
      <c r="O1358" s="70"/>
      <c r="P1358" s="73"/>
      <c r="Q1358" s="71"/>
      <c r="R1358" s="71"/>
      <c r="S1358" s="71"/>
      <c r="T1358" s="71"/>
      <c r="U1358" s="71"/>
      <c r="V1358" s="70"/>
      <c r="W1358" s="70"/>
      <c r="X1358" s="70"/>
      <c r="Y1358" s="70"/>
      <c r="Z1358" s="83"/>
    </row>
    <row r="1359">
      <c r="A1359" s="94"/>
      <c r="B1359" s="66"/>
      <c r="C1359" s="70"/>
      <c r="D1359" s="68"/>
      <c r="E1359" s="68"/>
      <c r="F1359" s="69"/>
      <c r="G1359" s="70"/>
      <c r="H1359" s="70"/>
      <c r="I1359" s="70"/>
      <c r="J1359" s="70"/>
      <c r="K1359" s="71"/>
      <c r="L1359" s="71"/>
      <c r="M1359" s="71"/>
      <c r="N1359" s="71"/>
      <c r="O1359" s="70"/>
      <c r="P1359" s="73"/>
      <c r="Q1359" s="71"/>
      <c r="R1359" s="71"/>
      <c r="S1359" s="71"/>
      <c r="T1359" s="71"/>
      <c r="U1359" s="71"/>
      <c r="V1359" s="70"/>
      <c r="W1359" s="70"/>
      <c r="X1359" s="70"/>
      <c r="Y1359" s="70"/>
      <c r="Z1359" s="83"/>
    </row>
    <row r="1360">
      <c r="A1360" s="94"/>
      <c r="B1360" s="66"/>
      <c r="C1360" s="70"/>
      <c r="D1360" s="68"/>
      <c r="E1360" s="68"/>
      <c r="F1360" s="69"/>
      <c r="G1360" s="70"/>
      <c r="H1360" s="70"/>
      <c r="I1360" s="70"/>
      <c r="J1360" s="70"/>
      <c r="K1360" s="71"/>
      <c r="L1360" s="71"/>
      <c r="M1360" s="71"/>
      <c r="N1360" s="71"/>
      <c r="O1360" s="70"/>
      <c r="P1360" s="73"/>
      <c r="Q1360" s="71"/>
      <c r="R1360" s="71"/>
      <c r="S1360" s="71"/>
      <c r="T1360" s="71"/>
      <c r="U1360" s="71"/>
      <c r="V1360" s="70"/>
      <c r="W1360" s="70"/>
      <c r="X1360" s="70"/>
      <c r="Y1360" s="70"/>
      <c r="Z1360" s="83"/>
    </row>
    <row r="1361">
      <c r="A1361" s="94"/>
      <c r="B1361" s="66"/>
      <c r="C1361" s="70"/>
      <c r="D1361" s="68"/>
      <c r="E1361" s="68"/>
      <c r="F1361" s="69"/>
      <c r="G1361" s="70"/>
      <c r="H1361" s="70"/>
      <c r="I1361" s="70"/>
      <c r="J1361" s="70"/>
      <c r="K1361" s="71"/>
      <c r="L1361" s="71"/>
      <c r="M1361" s="71"/>
      <c r="N1361" s="71"/>
      <c r="O1361" s="70"/>
      <c r="P1361" s="73"/>
      <c r="Q1361" s="71"/>
      <c r="R1361" s="71"/>
      <c r="S1361" s="71"/>
      <c r="T1361" s="71"/>
      <c r="U1361" s="71"/>
      <c r="V1361" s="70"/>
      <c r="W1361" s="70"/>
      <c r="X1361" s="70"/>
      <c r="Y1361" s="70"/>
      <c r="Z1361" s="83"/>
    </row>
    <row r="1362">
      <c r="A1362" s="94"/>
      <c r="B1362" s="66"/>
      <c r="C1362" s="70"/>
      <c r="D1362" s="68"/>
      <c r="E1362" s="68"/>
      <c r="F1362" s="69"/>
      <c r="G1362" s="70"/>
      <c r="H1362" s="70"/>
      <c r="I1362" s="70"/>
      <c r="J1362" s="70"/>
      <c r="K1362" s="71"/>
      <c r="L1362" s="71"/>
      <c r="M1362" s="71"/>
      <c r="N1362" s="71"/>
      <c r="O1362" s="70"/>
      <c r="P1362" s="73"/>
      <c r="Q1362" s="71"/>
      <c r="R1362" s="71"/>
      <c r="S1362" s="71"/>
      <c r="T1362" s="71"/>
      <c r="U1362" s="71"/>
      <c r="V1362" s="70"/>
      <c r="W1362" s="70"/>
      <c r="X1362" s="70"/>
      <c r="Y1362" s="70"/>
      <c r="Z1362" s="83"/>
    </row>
    <row r="1363">
      <c r="A1363" s="94"/>
      <c r="B1363" s="66"/>
      <c r="C1363" s="70"/>
      <c r="D1363" s="68"/>
      <c r="E1363" s="68"/>
      <c r="F1363" s="69"/>
      <c r="G1363" s="70"/>
      <c r="H1363" s="70"/>
      <c r="I1363" s="70"/>
      <c r="J1363" s="70"/>
      <c r="K1363" s="71"/>
      <c r="L1363" s="71"/>
      <c r="M1363" s="71"/>
      <c r="N1363" s="71"/>
      <c r="O1363" s="70"/>
      <c r="P1363" s="73"/>
      <c r="Q1363" s="71"/>
      <c r="R1363" s="71"/>
      <c r="S1363" s="71"/>
      <c r="T1363" s="71"/>
      <c r="U1363" s="71"/>
      <c r="V1363" s="70"/>
      <c r="W1363" s="70"/>
      <c r="X1363" s="70"/>
      <c r="Y1363" s="70"/>
      <c r="Z1363" s="83"/>
    </row>
    <row r="1364">
      <c r="A1364" s="94"/>
      <c r="B1364" s="66"/>
      <c r="C1364" s="70"/>
      <c r="D1364" s="68"/>
      <c r="E1364" s="68"/>
      <c r="F1364" s="69"/>
      <c r="G1364" s="70"/>
      <c r="H1364" s="70"/>
      <c r="I1364" s="70"/>
      <c r="J1364" s="70"/>
      <c r="K1364" s="71"/>
      <c r="L1364" s="71"/>
      <c r="M1364" s="71"/>
      <c r="N1364" s="71"/>
      <c r="O1364" s="70"/>
      <c r="P1364" s="73"/>
      <c r="Q1364" s="71"/>
      <c r="R1364" s="71"/>
      <c r="S1364" s="71"/>
      <c r="T1364" s="71"/>
      <c r="U1364" s="71"/>
      <c r="V1364" s="70"/>
      <c r="W1364" s="70"/>
      <c r="X1364" s="70"/>
      <c r="Y1364" s="70"/>
      <c r="Z1364" s="83"/>
    </row>
    <row r="1365">
      <c r="A1365" s="94"/>
      <c r="B1365" s="66"/>
      <c r="C1365" s="70"/>
      <c r="D1365" s="68"/>
      <c r="E1365" s="68"/>
      <c r="F1365" s="69"/>
      <c r="G1365" s="70"/>
      <c r="H1365" s="70"/>
      <c r="I1365" s="70"/>
      <c r="J1365" s="70"/>
      <c r="K1365" s="71"/>
      <c r="L1365" s="71"/>
      <c r="M1365" s="71"/>
      <c r="N1365" s="71"/>
      <c r="O1365" s="70"/>
      <c r="P1365" s="73"/>
      <c r="Q1365" s="71"/>
      <c r="R1365" s="71"/>
      <c r="S1365" s="71"/>
      <c r="T1365" s="71"/>
      <c r="U1365" s="71"/>
      <c r="V1365" s="70"/>
      <c r="W1365" s="70"/>
      <c r="X1365" s="70"/>
      <c r="Y1365" s="70"/>
      <c r="Z1365" s="83"/>
    </row>
    <row r="1366">
      <c r="A1366" s="94"/>
      <c r="B1366" s="66"/>
      <c r="C1366" s="70"/>
      <c r="D1366" s="68"/>
      <c r="E1366" s="68"/>
      <c r="F1366" s="69"/>
      <c r="G1366" s="70"/>
      <c r="H1366" s="70"/>
      <c r="I1366" s="70"/>
      <c r="J1366" s="70"/>
      <c r="K1366" s="71"/>
      <c r="L1366" s="71"/>
      <c r="M1366" s="71"/>
      <c r="N1366" s="71"/>
      <c r="O1366" s="70"/>
      <c r="P1366" s="73"/>
      <c r="Q1366" s="71"/>
      <c r="R1366" s="71"/>
      <c r="S1366" s="71"/>
      <c r="T1366" s="71"/>
      <c r="U1366" s="71"/>
      <c r="V1366" s="70"/>
      <c r="W1366" s="70"/>
      <c r="X1366" s="70"/>
      <c r="Y1366" s="70"/>
      <c r="Z1366" s="83"/>
    </row>
    <row r="1367">
      <c r="A1367" s="94"/>
      <c r="B1367" s="66"/>
      <c r="C1367" s="70"/>
      <c r="D1367" s="68"/>
      <c r="E1367" s="68"/>
      <c r="F1367" s="69"/>
      <c r="G1367" s="70"/>
      <c r="H1367" s="70"/>
      <c r="I1367" s="70"/>
      <c r="J1367" s="70"/>
      <c r="K1367" s="71"/>
      <c r="L1367" s="71"/>
      <c r="M1367" s="71"/>
      <c r="N1367" s="71"/>
      <c r="O1367" s="70"/>
      <c r="P1367" s="73"/>
      <c r="Q1367" s="71"/>
      <c r="R1367" s="71"/>
      <c r="S1367" s="71"/>
      <c r="T1367" s="71"/>
      <c r="U1367" s="71"/>
      <c r="V1367" s="70"/>
      <c r="W1367" s="70"/>
      <c r="X1367" s="70"/>
      <c r="Y1367" s="70"/>
      <c r="Z1367" s="83"/>
    </row>
    <row r="1368">
      <c r="A1368" s="94"/>
      <c r="B1368" s="66"/>
      <c r="C1368" s="70"/>
      <c r="D1368" s="68"/>
      <c r="E1368" s="68"/>
      <c r="F1368" s="69"/>
      <c r="G1368" s="70"/>
      <c r="H1368" s="70"/>
      <c r="I1368" s="70"/>
      <c r="J1368" s="70"/>
      <c r="K1368" s="71"/>
      <c r="L1368" s="71"/>
      <c r="M1368" s="71"/>
      <c r="N1368" s="71"/>
      <c r="O1368" s="70"/>
      <c r="P1368" s="73"/>
      <c r="Q1368" s="71"/>
      <c r="R1368" s="71"/>
      <c r="S1368" s="71"/>
      <c r="T1368" s="71"/>
      <c r="U1368" s="71"/>
      <c r="V1368" s="70"/>
      <c r="W1368" s="70"/>
      <c r="X1368" s="70"/>
      <c r="Y1368" s="70"/>
      <c r="Z1368" s="83"/>
    </row>
    <row r="1369">
      <c r="A1369" s="94"/>
      <c r="B1369" s="66"/>
      <c r="C1369" s="70"/>
      <c r="D1369" s="68"/>
      <c r="E1369" s="68"/>
      <c r="F1369" s="69"/>
      <c r="G1369" s="70"/>
      <c r="H1369" s="70"/>
      <c r="I1369" s="70"/>
      <c r="J1369" s="70"/>
      <c r="K1369" s="71"/>
      <c r="L1369" s="71"/>
      <c r="M1369" s="71"/>
      <c r="N1369" s="71"/>
      <c r="O1369" s="70"/>
      <c r="P1369" s="73"/>
      <c r="Q1369" s="71"/>
      <c r="R1369" s="71"/>
      <c r="S1369" s="71"/>
      <c r="T1369" s="71"/>
      <c r="U1369" s="71"/>
      <c r="V1369" s="70"/>
      <c r="W1369" s="70"/>
      <c r="X1369" s="70"/>
      <c r="Y1369" s="70"/>
      <c r="Z1369" s="83"/>
    </row>
    <row r="1370">
      <c r="A1370" s="94"/>
      <c r="B1370" s="66"/>
      <c r="C1370" s="70"/>
      <c r="D1370" s="68"/>
      <c r="E1370" s="68"/>
      <c r="F1370" s="69"/>
      <c r="G1370" s="70"/>
      <c r="H1370" s="70"/>
      <c r="I1370" s="70"/>
      <c r="J1370" s="70"/>
      <c r="K1370" s="71"/>
      <c r="L1370" s="71"/>
      <c r="M1370" s="71"/>
      <c r="N1370" s="71"/>
      <c r="O1370" s="70"/>
      <c r="P1370" s="73"/>
      <c r="Q1370" s="71"/>
      <c r="R1370" s="71"/>
      <c r="S1370" s="71"/>
      <c r="T1370" s="71"/>
      <c r="U1370" s="71"/>
      <c r="V1370" s="70"/>
      <c r="W1370" s="70"/>
      <c r="X1370" s="70"/>
      <c r="Y1370" s="70"/>
      <c r="Z1370" s="83"/>
    </row>
    <row r="1371">
      <c r="A1371" s="94"/>
      <c r="B1371" s="66"/>
      <c r="C1371" s="70"/>
      <c r="D1371" s="68"/>
      <c r="E1371" s="68"/>
      <c r="F1371" s="69"/>
      <c r="G1371" s="70"/>
      <c r="H1371" s="70"/>
      <c r="I1371" s="70"/>
      <c r="J1371" s="70"/>
      <c r="K1371" s="71"/>
      <c r="L1371" s="71"/>
      <c r="M1371" s="71"/>
      <c r="N1371" s="71"/>
      <c r="O1371" s="70"/>
      <c r="P1371" s="73"/>
      <c r="Q1371" s="71"/>
      <c r="R1371" s="71"/>
      <c r="S1371" s="71"/>
      <c r="T1371" s="71"/>
      <c r="U1371" s="71"/>
      <c r="V1371" s="70"/>
      <c r="W1371" s="70"/>
      <c r="X1371" s="70"/>
      <c r="Y1371" s="70"/>
      <c r="Z1371" s="83"/>
    </row>
    <row r="1372">
      <c r="A1372" s="94"/>
      <c r="B1372" s="66"/>
      <c r="C1372" s="70"/>
      <c r="D1372" s="68"/>
      <c r="E1372" s="68"/>
      <c r="F1372" s="69"/>
      <c r="G1372" s="70"/>
      <c r="H1372" s="70"/>
      <c r="I1372" s="70"/>
      <c r="J1372" s="70"/>
      <c r="K1372" s="71"/>
      <c r="L1372" s="71"/>
      <c r="M1372" s="71"/>
      <c r="N1372" s="71"/>
      <c r="O1372" s="70"/>
      <c r="P1372" s="73"/>
      <c r="Q1372" s="71"/>
      <c r="R1372" s="71"/>
      <c r="S1372" s="71"/>
      <c r="T1372" s="71"/>
      <c r="U1372" s="71"/>
      <c r="V1372" s="70"/>
      <c r="W1372" s="70"/>
      <c r="X1372" s="70"/>
      <c r="Y1372" s="70"/>
      <c r="Z1372" s="83"/>
    </row>
    <row r="1373">
      <c r="A1373" s="94"/>
      <c r="B1373" s="66"/>
      <c r="C1373" s="70"/>
      <c r="D1373" s="68"/>
      <c r="E1373" s="68"/>
      <c r="F1373" s="69"/>
      <c r="G1373" s="70"/>
      <c r="H1373" s="70"/>
      <c r="I1373" s="70"/>
      <c r="J1373" s="70"/>
      <c r="K1373" s="71"/>
      <c r="L1373" s="71"/>
      <c r="M1373" s="71"/>
      <c r="N1373" s="71"/>
      <c r="O1373" s="70"/>
      <c r="P1373" s="73"/>
      <c r="Q1373" s="71"/>
      <c r="R1373" s="71"/>
      <c r="S1373" s="71"/>
      <c r="T1373" s="71"/>
      <c r="U1373" s="71"/>
      <c r="V1373" s="70"/>
      <c r="W1373" s="70"/>
      <c r="X1373" s="70"/>
      <c r="Y1373" s="70"/>
      <c r="Z1373" s="83"/>
    </row>
    <row r="1374">
      <c r="A1374" s="94"/>
      <c r="B1374" s="66"/>
      <c r="C1374" s="70"/>
      <c r="D1374" s="68"/>
      <c r="E1374" s="68"/>
      <c r="F1374" s="69"/>
      <c r="G1374" s="70"/>
      <c r="H1374" s="70"/>
      <c r="I1374" s="70"/>
      <c r="J1374" s="70"/>
      <c r="K1374" s="71"/>
      <c r="L1374" s="71"/>
      <c r="M1374" s="71"/>
      <c r="N1374" s="71"/>
      <c r="O1374" s="70"/>
      <c r="P1374" s="73"/>
      <c r="Q1374" s="71"/>
      <c r="R1374" s="71"/>
      <c r="S1374" s="71"/>
      <c r="T1374" s="71"/>
      <c r="U1374" s="71"/>
      <c r="V1374" s="70"/>
      <c r="W1374" s="70"/>
      <c r="X1374" s="70"/>
      <c r="Y1374" s="70"/>
      <c r="Z1374" s="83"/>
    </row>
    <row r="1375">
      <c r="A1375" s="94"/>
      <c r="B1375" s="66"/>
      <c r="C1375" s="70"/>
      <c r="D1375" s="68"/>
      <c r="E1375" s="68"/>
      <c r="F1375" s="69"/>
      <c r="G1375" s="70"/>
      <c r="H1375" s="70"/>
      <c r="I1375" s="70"/>
      <c r="J1375" s="70"/>
      <c r="K1375" s="71"/>
      <c r="L1375" s="71"/>
      <c r="M1375" s="71"/>
      <c r="N1375" s="71"/>
      <c r="O1375" s="70"/>
      <c r="P1375" s="73"/>
      <c r="Q1375" s="71"/>
      <c r="R1375" s="71"/>
      <c r="S1375" s="71"/>
      <c r="T1375" s="71"/>
      <c r="U1375" s="71"/>
      <c r="V1375" s="70"/>
      <c r="W1375" s="70"/>
      <c r="X1375" s="70"/>
      <c r="Y1375" s="70"/>
      <c r="Z1375" s="83"/>
    </row>
    <row r="1376">
      <c r="A1376" s="94"/>
      <c r="B1376" s="66"/>
      <c r="C1376" s="70"/>
      <c r="D1376" s="68"/>
      <c r="E1376" s="68"/>
      <c r="F1376" s="69"/>
      <c r="G1376" s="70"/>
      <c r="H1376" s="70"/>
      <c r="I1376" s="70"/>
      <c r="J1376" s="70"/>
      <c r="K1376" s="71"/>
      <c r="L1376" s="71"/>
      <c r="M1376" s="71"/>
      <c r="N1376" s="71"/>
      <c r="O1376" s="70"/>
      <c r="P1376" s="73"/>
      <c r="Q1376" s="71"/>
      <c r="R1376" s="71"/>
      <c r="S1376" s="71"/>
      <c r="T1376" s="71"/>
      <c r="U1376" s="71"/>
      <c r="V1376" s="70"/>
      <c r="W1376" s="70"/>
      <c r="X1376" s="70"/>
      <c r="Y1376" s="70"/>
      <c r="Z1376" s="83"/>
    </row>
    <row r="1377">
      <c r="A1377" s="94"/>
      <c r="B1377" s="66"/>
      <c r="C1377" s="70"/>
      <c r="D1377" s="68"/>
      <c r="E1377" s="68"/>
      <c r="F1377" s="69"/>
      <c r="G1377" s="70"/>
      <c r="H1377" s="70"/>
      <c r="I1377" s="70"/>
      <c r="J1377" s="70"/>
      <c r="K1377" s="71"/>
      <c r="L1377" s="71"/>
      <c r="M1377" s="71"/>
      <c r="N1377" s="71"/>
      <c r="O1377" s="70"/>
      <c r="P1377" s="73"/>
      <c r="Q1377" s="71"/>
      <c r="R1377" s="71"/>
      <c r="S1377" s="71"/>
      <c r="T1377" s="71"/>
      <c r="U1377" s="71"/>
      <c r="V1377" s="70"/>
      <c r="W1377" s="70"/>
      <c r="X1377" s="70"/>
      <c r="Y1377" s="70"/>
      <c r="Z1377" s="83"/>
    </row>
    <row r="1378">
      <c r="A1378" s="94"/>
      <c r="B1378" s="66"/>
      <c r="C1378" s="70"/>
      <c r="D1378" s="68"/>
      <c r="E1378" s="68"/>
      <c r="F1378" s="69"/>
      <c r="G1378" s="70"/>
      <c r="H1378" s="70"/>
      <c r="I1378" s="70"/>
      <c r="J1378" s="70"/>
      <c r="K1378" s="71"/>
      <c r="L1378" s="71"/>
      <c r="M1378" s="71"/>
      <c r="N1378" s="71"/>
      <c r="O1378" s="70"/>
      <c r="P1378" s="73"/>
      <c r="Q1378" s="71"/>
      <c r="R1378" s="71"/>
      <c r="S1378" s="71"/>
      <c r="T1378" s="71"/>
      <c r="U1378" s="71"/>
      <c r="V1378" s="70"/>
      <c r="W1378" s="70"/>
      <c r="X1378" s="70"/>
      <c r="Y1378" s="70"/>
      <c r="Z1378" s="83"/>
    </row>
    <row r="1379">
      <c r="A1379" s="94"/>
      <c r="B1379" s="66"/>
      <c r="C1379" s="70"/>
      <c r="D1379" s="68"/>
      <c r="E1379" s="68"/>
      <c r="F1379" s="69"/>
      <c r="G1379" s="70"/>
      <c r="H1379" s="70"/>
      <c r="I1379" s="70"/>
      <c r="J1379" s="70"/>
      <c r="K1379" s="71"/>
      <c r="L1379" s="71"/>
      <c r="M1379" s="71"/>
      <c r="N1379" s="71"/>
      <c r="O1379" s="70"/>
      <c r="P1379" s="73"/>
      <c r="Q1379" s="71"/>
      <c r="R1379" s="71"/>
      <c r="S1379" s="71"/>
      <c r="T1379" s="71"/>
      <c r="U1379" s="71"/>
      <c r="V1379" s="70"/>
      <c r="W1379" s="70"/>
      <c r="X1379" s="70"/>
      <c r="Y1379" s="70"/>
      <c r="Z1379" s="83"/>
    </row>
    <row r="1380">
      <c r="A1380" s="94"/>
      <c r="B1380" s="66"/>
      <c r="C1380" s="70"/>
      <c r="D1380" s="68"/>
      <c r="E1380" s="68"/>
      <c r="F1380" s="69"/>
      <c r="G1380" s="70"/>
      <c r="H1380" s="70"/>
      <c r="I1380" s="70"/>
      <c r="J1380" s="70"/>
      <c r="K1380" s="71"/>
      <c r="L1380" s="71"/>
      <c r="M1380" s="71"/>
      <c r="N1380" s="71"/>
      <c r="O1380" s="70"/>
      <c r="P1380" s="73"/>
      <c r="Q1380" s="71"/>
      <c r="R1380" s="71"/>
      <c r="S1380" s="71"/>
      <c r="T1380" s="71"/>
      <c r="U1380" s="71"/>
      <c r="V1380" s="70"/>
      <c r="W1380" s="70"/>
      <c r="X1380" s="70"/>
      <c r="Y1380" s="70"/>
      <c r="Z1380" s="83"/>
    </row>
    <row r="1381">
      <c r="A1381" s="94"/>
      <c r="B1381" s="66"/>
      <c r="C1381" s="70"/>
      <c r="D1381" s="68"/>
      <c r="E1381" s="68"/>
      <c r="F1381" s="69"/>
      <c r="G1381" s="70"/>
      <c r="H1381" s="70"/>
      <c r="I1381" s="70"/>
      <c r="J1381" s="70"/>
      <c r="K1381" s="71"/>
      <c r="L1381" s="71"/>
      <c r="M1381" s="71"/>
      <c r="N1381" s="71"/>
      <c r="O1381" s="70"/>
      <c r="P1381" s="73"/>
      <c r="Q1381" s="71"/>
      <c r="R1381" s="71"/>
      <c r="S1381" s="71"/>
      <c r="T1381" s="71"/>
      <c r="U1381" s="71"/>
      <c r="V1381" s="70"/>
      <c r="W1381" s="70"/>
      <c r="X1381" s="70"/>
      <c r="Y1381" s="70"/>
      <c r="Z1381" s="83"/>
    </row>
    <row r="1382">
      <c r="A1382" s="94"/>
      <c r="B1382" s="66"/>
      <c r="C1382" s="70"/>
      <c r="D1382" s="68"/>
      <c r="E1382" s="68"/>
      <c r="F1382" s="69"/>
      <c r="G1382" s="70"/>
      <c r="H1382" s="70"/>
      <c r="I1382" s="70"/>
      <c r="J1382" s="70"/>
      <c r="K1382" s="71"/>
      <c r="L1382" s="71"/>
      <c r="M1382" s="71"/>
      <c r="N1382" s="71"/>
      <c r="O1382" s="70"/>
      <c r="P1382" s="73"/>
      <c r="Q1382" s="71"/>
      <c r="R1382" s="71"/>
      <c r="S1382" s="71"/>
      <c r="T1382" s="71"/>
      <c r="U1382" s="71"/>
      <c r="V1382" s="70"/>
      <c r="W1382" s="70"/>
      <c r="X1382" s="70"/>
      <c r="Y1382" s="70"/>
      <c r="Z1382" s="83"/>
    </row>
    <row r="1383">
      <c r="A1383" s="94"/>
      <c r="B1383" s="66"/>
      <c r="C1383" s="70"/>
      <c r="D1383" s="68"/>
      <c r="E1383" s="68"/>
      <c r="F1383" s="69"/>
      <c r="G1383" s="70"/>
      <c r="H1383" s="70"/>
      <c r="I1383" s="70"/>
      <c r="J1383" s="70"/>
      <c r="K1383" s="71"/>
      <c r="L1383" s="71"/>
      <c r="M1383" s="71"/>
      <c r="N1383" s="71"/>
      <c r="O1383" s="70"/>
      <c r="P1383" s="73"/>
      <c r="Q1383" s="71"/>
      <c r="R1383" s="71"/>
      <c r="S1383" s="71"/>
      <c r="T1383" s="71"/>
      <c r="U1383" s="71"/>
      <c r="V1383" s="70"/>
      <c r="W1383" s="70"/>
      <c r="X1383" s="70"/>
      <c r="Y1383" s="70"/>
      <c r="Z1383" s="83"/>
    </row>
    <row r="1384">
      <c r="A1384" s="94"/>
      <c r="B1384" s="66"/>
      <c r="C1384" s="70"/>
      <c r="D1384" s="68"/>
      <c r="E1384" s="68"/>
      <c r="F1384" s="69"/>
      <c r="G1384" s="70"/>
      <c r="H1384" s="70"/>
      <c r="I1384" s="70"/>
      <c r="J1384" s="70"/>
      <c r="K1384" s="71"/>
      <c r="L1384" s="71"/>
      <c r="M1384" s="71"/>
      <c r="N1384" s="71"/>
      <c r="O1384" s="70"/>
      <c r="P1384" s="73"/>
      <c r="Q1384" s="71"/>
      <c r="R1384" s="71"/>
      <c r="S1384" s="71"/>
      <c r="T1384" s="71"/>
      <c r="U1384" s="71"/>
      <c r="V1384" s="70"/>
      <c r="W1384" s="70"/>
      <c r="X1384" s="70"/>
      <c r="Y1384" s="70"/>
      <c r="Z1384" s="83"/>
    </row>
    <row r="1385">
      <c r="A1385" s="94"/>
      <c r="B1385" s="66"/>
      <c r="C1385" s="70"/>
      <c r="D1385" s="68"/>
      <c r="E1385" s="68"/>
      <c r="F1385" s="69"/>
      <c r="G1385" s="70"/>
      <c r="H1385" s="70"/>
      <c r="I1385" s="70"/>
      <c r="J1385" s="70"/>
      <c r="K1385" s="71"/>
      <c r="L1385" s="71"/>
      <c r="M1385" s="71"/>
      <c r="N1385" s="71"/>
      <c r="O1385" s="70"/>
      <c r="P1385" s="73"/>
      <c r="Q1385" s="71"/>
      <c r="R1385" s="71"/>
      <c r="S1385" s="71"/>
      <c r="T1385" s="71"/>
      <c r="U1385" s="71"/>
      <c r="V1385" s="70"/>
      <c r="W1385" s="70"/>
      <c r="X1385" s="70"/>
      <c r="Y1385" s="70"/>
      <c r="Z1385" s="83"/>
    </row>
    <row r="1386">
      <c r="A1386" s="94"/>
      <c r="B1386" s="66"/>
      <c r="C1386" s="70"/>
      <c r="D1386" s="68"/>
      <c r="E1386" s="68"/>
      <c r="F1386" s="69"/>
      <c r="G1386" s="70"/>
      <c r="H1386" s="70"/>
      <c r="I1386" s="70"/>
      <c r="J1386" s="70"/>
      <c r="K1386" s="71"/>
      <c r="L1386" s="71"/>
      <c r="M1386" s="71"/>
      <c r="N1386" s="71"/>
      <c r="O1386" s="70"/>
      <c r="P1386" s="73"/>
      <c r="Q1386" s="71"/>
      <c r="R1386" s="71"/>
      <c r="S1386" s="71"/>
      <c r="T1386" s="71"/>
      <c r="U1386" s="71"/>
      <c r="V1386" s="70"/>
      <c r="W1386" s="70"/>
      <c r="X1386" s="70"/>
      <c r="Y1386" s="70"/>
      <c r="Z1386" s="83"/>
    </row>
    <row r="1387">
      <c r="A1387" s="94"/>
      <c r="B1387" s="66"/>
      <c r="C1387" s="70"/>
      <c r="D1387" s="68"/>
      <c r="E1387" s="68"/>
      <c r="F1387" s="69"/>
      <c r="G1387" s="70"/>
      <c r="H1387" s="70"/>
      <c r="I1387" s="70"/>
      <c r="J1387" s="70"/>
      <c r="K1387" s="71"/>
      <c r="L1387" s="71"/>
      <c r="M1387" s="71"/>
      <c r="N1387" s="71"/>
      <c r="O1387" s="70"/>
      <c r="P1387" s="73"/>
      <c r="Q1387" s="71"/>
      <c r="R1387" s="71"/>
      <c r="S1387" s="71"/>
      <c r="T1387" s="71"/>
      <c r="U1387" s="71"/>
      <c r="V1387" s="70"/>
      <c r="W1387" s="70"/>
      <c r="X1387" s="70"/>
      <c r="Y1387" s="70"/>
      <c r="Z1387" s="83"/>
    </row>
    <row r="1388">
      <c r="A1388" s="94"/>
      <c r="B1388" s="66"/>
      <c r="C1388" s="70"/>
      <c r="D1388" s="68"/>
      <c r="E1388" s="68"/>
      <c r="F1388" s="69"/>
      <c r="G1388" s="70"/>
      <c r="H1388" s="70"/>
      <c r="I1388" s="70"/>
      <c r="J1388" s="70"/>
      <c r="K1388" s="71"/>
      <c r="L1388" s="71"/>
      <c r="M1388" s="71"/>
      <c r="N1388" s="71"/>
      <c r="O1388" s="70"/>
      <c r="P1388" s="73"/>
      <c r="Q1388" s="71"/>
      <c r="R1388" s="71"/>
      <c r="S1388" s="71"/>
      <c r="T1388" s="71"/>
      <c r="U1388" s="71"/>
      <c r="V1388" s="70"/>
      <c r="W1388" s="70"/>
      <c r="X1388" s="70"/>
      <c r="Y1388" s="70"/>
      <c r="Z1388" s="83"/>
    </row>
    <row r="1389">
      <c r="A1389" s="94"/>
      <c r="B1389" s="66"/>
      <c r="C1389" s="70"/>
      <c r="D1389" s="68"/>
      <c r="E1389" s="68"/>
      <c r="F1389" s="69"/>
      <c r="G1389" s="70"/>
      <c r="H1389" s="70"/>
      <c r="I1389" s="70"/>
      <c r="J1389" s="70"/>
      <c r="K1389" s="71"/>
      <c r="L1389" s="71"/>
      <c r="M1389" s="71"/>
      <c r="N1389" s="71"/>
      <c r="O1389" s="70"/>
      <c r="P1389" s="73"/>
      <c r="Q1389" s="71"/>
      <c r="R1389" s="71"/>
      <c r="S1389" s="71"/>
      <c r="T1389" s="71"/>
      <c r="U1389" s="71"/>
      <c r="V1389" s="70"/>
      <c r="W1389" s="70"/>
      <c r="X1389" s="70"/>
      <c r="Y1389" s="70"/>
      <c r="Z1389" s="83"/>
    </row>
    <row r="1390">
      <c r="A1390" s="94"/>
      <c r="B1390" s="66"/>
      <c r="C1390" s="70"/>
      <c r="D1390" s="68"/>
      <c r="E1390" s="68"/>
      <c r="F1390" s="69"/>
      <c r="G1390" s="70"/>
      <c r="H1390" s="70"/>
      <c r="I1390" s="70"/>
      <c r="J1390" s="70"/>
      <c r="K1390" s="71"/>
      <c r="L1390" s="71"/>
      <c r="M1390" s="71"/>
      <c r="N1390" s="71"/>
      <c r="O1390" s="70"/>
      <c r="P1390" s="73"/>
      <c r="Q1390" s="71"/>
      <c r="R1390" s="71"/>
      <c r="S1390" s="71"/>
      <c r="T1390" s="71"/>
      <c r="U1390" s="71"/>
      <c r="V1390" s="70"/>
      <c r="W1390" s="70"/>
      <c r="X1390" s="70"/>
      <c r="Y1390" s="70"/>
      <c r="Z1390" s="83"/>
    </row>
    <row r="1391">
      <c r="A1391" s="94"/>
      <c r="B1391" s="66"/>
      <c r="C1391" s="70"/>
      <c r="D1391" s="68"/>
      <c r="E1391" s="68"/>
      <c r="F1391" s="69"/>
      <c r="G1391" s="70"/>
      <c r="H1391" s="70"/>
      <c r="I1391" s="70"/>
      <c r="J1391" s="70"/>
      <c r="K1391" s="71"/>
      <c r="L1391" s="71"/>
      <c r="M1391" s="71"/>
      <c r="N1391" s="71"/>
      <c r="O1391" s="70"/>
      <c r="P1391" s="73"/>
      <c r="Q1391" s="71"/>
      <c r="R1391" s="71"/>
      <c r="S1391" s="71"/>
      <c r="T1391" s="71"/>
      <c r="U1391" s="71"/>
      <c r="V1391" s="70"/>
      <c r="W1391" s="70"/>
      <c r="X1391" s="70"/>
      <c r="Y1391" s="70"/>
      <c r="Z1391" s="83"/>
    </row>
    <row r="1392">
      <c r="A1392" s="94"/>
      <c r="B1392" s="66"/>
      <c r="C1392" s="70"/>
      <c r="D1392" s="68"/>
      <c r="E1392" s="68"/>
      <c r="F1392" s="69"/>
      <c r="G1392" s="70"/>
      <c r="H1392" s="70"/>
      <c r="I1392" s="70"/>
      <c r="J1392" s="70"/>
      <c r="K1392" s="71"/>
      <c r="L1392" s="71"/>
      <c r="M1392" s="71"/>
      <c r="N1392" s="71"/>
      <c r="O1392" s="70"/>
      <c r="P1392" s="73"/>
      <c r="Q1392" s="71"/>
      <c r="R1392" s="71"/>
      <c r="S1392" s="71"/>
      <c r="T1392" s="71"/>
      <c r="U1392" s="71"/>
      <c r="V1392" s="70"/>
      <c r="W1392" s="70"/>
      <c r="X1392" s="70"/>
      <c r="Y1392" s="70"/>
      <c r="Z1392" s="83"/>
    </row>
    <row r="1393">
      <c r="A1393" s="94"/>
      <c r="B1393" s="66"/>
      <c r="C1393" s="70"/>
      <c r="D1393" s="68"/>
      <c r="E1393" s="68"/>
      <c r="F1393" s="69"/>
      <c r="G1393" s="70"/>
      <c r="H1393" s="70"/>
      <c r="I1393" s="70"/>
      <c r="J1393" s="70"/>
      <c r="K1393" s="71"/>
      <c r="L1393" s="71"/>
      <c r="M1393" s="71"/>
      <c r="N1393" s="71"/>
      <c r="O1393" s="70"/>
      <c r="P1393" s="73"/>
      <c r="Q1393" s="71"/>
      <c r="R1393" s="71"/>
      <c r="S1393" s="71"/>
      <c r="T1393" s="71"/>
      <c r="U1393" s="71"/>
      <c r="V1393" s="70"/>
      <c r="W1393" s="70"/>
      <c r="X1393" s="70"/>
      <c r="Y1393" s="70"/>
      <c r="Z1393" s="83"/>
    </row>
    <row r="1394">
      <c r="A1394" s="94"/>
      <c r="B1394" s="66"/>
      <c r="C1394" s="70"/>
      <c r="D1394" s="68"/>
      <c r="E1394" s="68"/>
      <c r="F1394" s="69"/>
      <c r="G1394" s="70"/>
      <c r="H1394" s="70"/>
      <c r="I1394" s="70"/>
      <c r="J1394" s="70"/>
      <c r="K1394" s="71"/>
      <c r="L1394" s="71"/>
      <c r="M1394" s="71"/>
      <c r="N1394" s="71"/>
      <c r="O1394" s="70"/>
      <c r="P1394" s="73"/>
      <c r="Q1394" s="71"/>
      <c r="R1394" s="71"/>
      <c r="S1394" s="71"/>
      <c r="T1394" s="71"/>
      <c r="U1394" s="71"/>
      <c r="V1394" s="70"/>
      <c r="W1394" s="70"/>
      <c r="X1394" s="70"/>
      <c r="Y1394" s="70"/>
      <c r="Z1394" s="83"/>
    </row>
    <row r="1395">
      <c r="A1395" s="94"/>
      <c r="B1395" s="66"/>
      <c r="C1395" s="70"/>
      <c r="D1395" s="68"/>
      <c r="E1395" s="68"/>
      <c r="F1395" s="69"/>
      <c r="G1395" s="70"/>
      <c r="H1395" s="70"/>
      <c r="I1395" s="70"/>
      <c r="J1395" s="70"/>
      <c r="K1395" s="71"/>
      <c r="L1395" s="71"/>
      <c r="M1395" s="71"/>
      <c r="N1395" s="71"/>
      <c r="O1395" s="70"/>
      <c r="P1395" s="73"/>
      <c r="Q1395" s="71"/>
      <c r="R1395" s="71"/>
      <c r="S1395" s="71"/>
      <c r="T1395" s="71"/>
      <c r="U1395" s="71"/>
      <c r="V1395" s="70"/>
      <c r="W1395" s="70"/>
      <c r="X1395" s="70"/>
      <c r="Y1395" s="70"/>
      <c r="Z1395" s="83"/>
    </row>
    <row r="1396">
      <c r="A1396" s="94"/>
      <c r="B1396" s="66"/>
      <c r="C1396" s="70"/>
      <c r="D1396" s="68"/>
      <c r="E1396" s="68"/>
      <c r="F1396" s="69"/>
      <c r="G1396" s="70"/>
      <c r="H1396" s="70"/>
      <c r="I1396" s="70"/>
      <c r="J1396" s="70"/>
      <c r="K1396" s="71"/>
      <c r="L1396" s="71"/>
      <c r="M1396" s="71"/>
      <c r="N1396" s="71"/>
      <c r="O1396" s="70"/>
      <c r="P1396" s="73"/>
      <c r="Q1396" s="71"/>
      <c r="R1396" s="71"/>
      <c r="S1396" s="71"/>
      <c r="T1396" s="71"/>
      <c r="U1396" s="71"/>
      <c r="V1396" s="70"/>
      <c r="W1396" s="70"/>
      <c r="X1396" s="70"/>
      <c r="Y1396" s="70"/>
      <c r="Z1396" s="83"/>
    </row>
    <row r="1397">
      <c r="A1397" s="94"/>
      <c r="B1397" s="66"/>
      <c r="C1397" s="70"/>
      <c r="D1397" s="68"/>
      <c r="E1397" s="68"/>
      <c r="F1397" s="69"/>
      <c r="G1397" s="70"/>
      <c r="H1397" s="70"/>
      <c r="I1397" s="70"/>
      <c r="J1397" s="70"/>
      <c r="K1397" s="71"/>
      <c r="L1397" s="71"/>
      <c r="M1397" s="71"/>
      <c r="N1397" s="71"/>
      <c r="O1397" s="70"/>
      <c r="P1397" s="73"/>
      <c r="Q1397" s="71"/>
      <c r="R1397" s="71"/>
      <c r="S1397" s="71"/>
      <c r="T1397" s="71"/>
      <c r="U1397" s="71"/>
      <c r="V1397" s="70"/>
      <c r="W1397" s="70"/>
      <c r="X1397" s="70"/>
      <c r="Y1397" s="70"/>
      <c r="Z1397" s="83"/>
    </row>
    <row r="1398">
      <c r="A1398" s="94"/>
      <c r="B1398" s="66"/>
      <c r="C1398" s="70"/>
      <c r="D1398" s="68"/>
      <c r="E1398" s="68"/>
      <c r="F1398" s="69"/>
      <c r="G1398" s="70"/>
      <c r="H1398" s="70"/>
      <c r="I1398" s="70"/>
      <c r="J1398" s="70"/>
      <c r="K1398" s="71"/>
      <c r="L1398" s="71"/>
      <c r="M1398" s="71"/>
      <c r="N1398" s="71"/>
      <c r="O1398" s="70"/>
      <c r="P1398" s="73"/>
      <c r="Q1398" s="71"/>
      <c r="R1398" s="71"/>
      <c r="S1398" s="71"/>
      <c r="T1398" s="71"/>
      <c r="U1398" s="71"/>
      <c r="V1398" s="70"/>
      <c r="W1398" s="70"/>
      <c r="X1398" s="70"/>
      <c r="Y1398" s="70"/>
      <c r="Z1398" s="83"/>
    </row>
    <row r="1399">
      <c r="A1399" s="94"/>
      <c r="B1399" s="66"/>
      <c r="C1399" s="70"/>
      <c r="D1399" s="68"/>
      <c r="E1399" s="68"/>
      <c r="F1399" s="69"/>
      <c r="G1399" s="70"/>
      <c r="H1399" s="70"/>
      <c r="I1399" s="70"/>
      <c r="J1399" s="70"/>
      <c r="K1399" s="71"/>
      <c r="L1399" s="71"/>
      <c r="M1399" s="71"/>
      <c r="N1399" s="71"/>
      <c r="O1399" s="70"/>
      <c r="P1399" s="73"/>
      <c r="Q1399" s="71"/>
      <c r="R1399" s="71"/>
      <c r="S1399" s="71"/>
      <c r="T1399" s="71"/>
      <c r="U1399" s="71"/>
      <c r="V1399" s="70"/>
      <c r="W1399" s="70"/>
      <c r="X1399" s="70"/>
      <c r="Y1399" s="70"/>
      <c r="Z1399" s="83"/>
    </row>
    <row r="1400">
      <c r="A1400" s="94"/>
      <c r="B1400" s="66"/>
      <c r="C1400" s="70"/>
      <c r="D1400" s="68"/>
      <c r="E1400" s="68"/>
      <c r="F1400" s="69"/>
      <c r="G1400" s="70"/>
      <c r="H1400" s="70"/>
      <c r="I1400" s="70"/>
      <c r="J1400" s="70"/>
      <c r="K1400" s="71"/>
      <c r="L1400" s="71"/>
      <c r="M1400" s="71"/>
      <c r="N1400" s="71"/>
      <c r="O1400" s="70"/>
      <c r="P1400" s="73"/>
      <c r="Q1400" s="71"/>
      <c r="R1400" s="71"/>
      <c r="S1400" s="71"/>
      <c r="T1400" s="71"/>
      <c r="U1400" s="71"/>
      <c r="V1400" s="70"/>
      <c r="W1400" s="70"/>
      <c r="X1400" s="70"/>
      <c r="Y1400" s="70"/>
      <c r="Z1400" s="83"/>
    </row>
    <row r="1401">
      <c r="A1401" s="94"/>
      <c r="B1401" s="66"/>
      <c r="C1401" s="70"/>
      <c r="D1401" s="68"/>
      <c r="E1401" s="68"/>
      <c r="F1401" s="69"/>
      <c r="G1401" s="70"/>
      <c r="H1401" s="70"/>
      <c r="I1401" s="70"/>
      <c r="J1401" s="70"/>
      <c r="K1401" s="71"/>
      <c r="L1401" s="71"/>
      <c r="M1401" s="71"/>
      <c r="N1401" s="71"/>
      <c r="O1401" s="70"/>
      <c r="P1401" s="73"/>
      <c r="Q1401" s="71"/>
      <c r="R1401" s="71"/>
      <c r="S1401" s="71"/>
      <c r="T1401" s="71"/>
      <c r="U1401" s="71"/>
      <c r="V1401" s="70"/>
      <c r="W1401" s="70"/>
      <c r="X1401" s="70"/>
      <c r="Y1401" s="70"/>
      <c r="Z1401" s="83"/>
    </row>
    <row r="1402">
      <c r="A1402" s="94"/>
      <c r="B1402" s="66"/>
      <c r="C1402" s="70"/>
      <c r="D1402" s="68"/>
      <c r="E1402" s="68"/>
      <c r="F1402" s="69"/>
      <c r="G1402" s="70"/>
      <c r="H1402" s="70"/>
      <c r="I1402" s="70"/>
      <c r="J1402" s="70"/>
      <c r="K1402" s="71"/>
      <c r="L1402" s="71"/>
      <c r="M1402" s="71"/>
      <c r="N1402" s="71"/>
      <c r="O1402" s="70"/>
      <c r="P1402" s="73"/>
      <c r="Q1402" s="71"/>
      <c r="R1402" s="71"/>
      <c r="S1402" s="71"/>
      <c r="T1402" s="71"/>
      <c r="U1402" s="71"/>
      <c r="V1402" s="70"/>
      <c r="W1402" s="70"/>
      <c r="X1402" s="70"/>
      <c r="Y1402" s="70"/>
      <c r="Z1402" s="83"/>
    </row>
    <row r="1403">
      <c r="A1403" s="94"/>
      <c r="B1403" s="66"/>
      <c r="C1403" s="70"/>
      <c r="D1403" s="68"/>
      <c r="E1403" s="68"/>
      <c r="F1403" s="69"/>
      <c r="G1403" s="70"/>
      <c r="H1403" s="70"/>
      <c r="I1403" s="70"/>
      <c r="J1403" s="70"/>
      <c r="K1403" s="71"/>
      <c r="L1403" s="71"/>
      <c r="M1403" s="71"/>
      <c r="N1403" s="71"/>
      <c r="O1403" s="70"/>
      <c r="P1403" s="73"/>
      <c r="Q1403" s="71"/>
      <c r="R1403" s="71"/>
      <c r="S1403" s="71"/>
      <c r="T1403" s="71"/>
      <c r="U1403" s="71"/>
      <c r="V1403" s="70"/>
      <c r="W1403" s="70"/>
      <c r="X1403" s="70"/>
      <c r="Y1403" s="70"/>
      <c r="Z1403" s="83"/>
    </row>
    <row r="1404">
      <c r="A1404" s="94"/>
      <c r="B1404" s="66"/>
      <c r="C1404" s="70"/>
      <c r="D1404" s="68"/>
      <c r="E1404" s="68"/>
      <c r="F1404" s="69"/>
      <c r="G1404" s="70"/>
      <c r="H1404" s="70"/>
      <c r="I1404" s="70"/>
      <c r="J1404" s="70"/>
      <c r="K1404" s="71"/>
      <c r="L1404" s="71"/>
      <c r="M1404" s="71"/>
      <c r="N1404" s="71"/>
      <c r="O1404" s="70"/>
      <c r="P1404" s="73"/>
      <c r="Q1404" s="71"/>
      <c r="R1404" s="71"/>
      <c r="S1404" s="71"/>
      <c r="T1404" s="71"/>
      <c r="U1404" s="71"/>
      <c r="V1404" s="70"/>
      <c r="W1404" s="70"/>
      <c r="X1404" s="70"/>
      <c r="Y1404" s="70"/>
      <c r="Z1404" s="83"/>
    </row>
    <row r="1405">
      <c r="A1405" s="94"/>
      <c r="B1405" s="66"/>
      <c r="C1405" s="70"/>
      <c r="D1405" s="68"/>
      <c r="E1405" s="68"/>
      <c r="F1405" s="69"/>
      <c r="G1405" s="70"/>
      <c r="H1405" s="70"/>
      <c r="I1405" s="70"/>
      <c r="J1405" s="70"/>
      <c r="K1405" s="71"/>
      <c r="L1405" s="71"/>
      <c r="M1405" s="71"/>
      <c r="N1405" s="71"/>
      <c r="O1405" s="70"/>
      <c r="P1405" s="73"/>
      <c r="Q1405" s="71"/>
      <c r="R1405" s="71"/>
      <c r="S1405" s="71"/>
      <c r="T1405" s="71"/>
      <c r="U1405" s="71"/>
      <c r="V1405" s="70"/>
      <c r="W1405" s="70"/>
      <c r="X1405" s="70"/>
      <c r="Y1405" s="70"/>
      <c r="Z1405" s="83"/>
    </row>
    <row r="1406">
      <c r="A1406" s="94"/>
      <c r="B1406" s="66"/>
      <c r="C1406" s="70"/>
      <c r="D1406" s="68"/>
      <c r="E1406" s="68"/>
      <c r="F1406" s="69"/>
      <c r="G1406" s="70"/>
      <c r="H1406" s="70"/>
      <c r="I1406" s="70"/>
      <c r="J1406" s="70"/>
      <c r="K1406" s="71"/>
      <c r="L1406" s="71"/>
      <c r="M1406" s="71"/>
      <c r="N1406" s="71"/>
      <c r="O1406" s="70"/>
      <c r="P1406" s="73"/>
      <c r="Q1406" s="71"/>
      <c r="R1406" s="71"/>
      <c r="S1406" s="71"/>
      <c r="T1406" s="71"/>
      <c r="U1406" s="71"/>
      <c r="V1406" s="70"/>
      <c r="W1406" s="70"/>
      <c r="X1406" s="70"/>
      <c r="Y1406" s="70"/>
      <c r="Z1406" s="83"/>
    </row>
    <row r="1407">
      <c r="A1407" s="94"/>
      <c r="B1407" s="66"/>
      <c r="C1407" s="70"/>
      <c r="D1407" s="68"/>
      <c r="E1407" s="68"/>
      <c r="F1407" s="69"/>
      <c r="G1407" s="70"/>
      <c r="H1407" s="70"/>
      <c r="I1407" s="70"/>
      <c r="J1407" s="70"/>
      <c r="K1407" s="71"/>
      <c r="L1407" s="71"/>
      <c r="M1407" s="71"/>
      <c r="N1407" s="71"/>
      <c r="O1407" s="70"/>
      <c r="P1407" s="73"/>
      <c r="Q1407" s="71"/>
      <c r="R1407" s="71"/>
      <c r="S1407" s="71"/>
      <c r="T1407" s="71"/>
      <c r="U1407" s="71"/>
      <c r="V1407" s="70"/>
      <c r="W1407" s="70"/>
      <c r="X1407" s="70"/>
      <c r="Y1407" s="70"/>
      <c r="Z1407" s="83"/>
    </row>
    <row r="1408">
      <c r="A1408" s="94"/>
      <c r="B1408" s="66"/>
      <c r="C1408" s="70"/>
      <c r="D1408" s="68"/>
      <c r="E1408" s="68"/>
      <c r="F1408" s="69"/>
      <c r="G1408" s="70"/>
      <c r="H1408" s="70"/>
      <c r="I1408" s="70"/>
      <c r="J1408" s="70"/>
      <c r="K1408" s="71"/>
      <c r="L1408" s="71"/>
      <c r="M1408" s="71"/>
      <c r="N1408" s="71"/>
      <c r="O1408" s="70"/>
      <c r="P1408" s="73"/>
      <c r="Q1408" s="71"/>
      <c r="R1408" s="71"/>
      <c r="S1408" s="71"/>
      <c r="T1408" s="71"/>
      <c r="U1408" s="71"/>
      <c r="V1408" s="70"/>
      <c r="W1408" s="70"/>
      <c r="X1408" s="70"/>
      <c r="Y1408" s="70"/>
      <c r="Z1408" s="83"/>
    </row>
    <row r="1409">
      <c r="A1409" s="94"/>
      <c r="B1409" s="66"/>
      <c r="C1409" s="70"/>
      <c r="D1409" s="68"/>
      <c r="E1409" s="68"/>
      <c r="F1409" s="69"/>
      <c r="G1409" s="70"/>
      <c r="H1409" s="70"/>
      <c r="I1409" s="70"/>
      <c r="J1409" s="70"/>
      <c r="K1409" s="71"/>
      <c r="L1409" s="71"/>
      <c r="M1409" s="71"/>
      <c r="N1409" s="71"/>
      <c r="O1409" s="70"/>
      <c r="P1409" s="73"/>
      <c r="Q1409" s="71"/>
      <c r="R1409" s="71"/>
      <c r="S1409" s="71"/>
      <c r="T1409" s="71"/>
      <c r="U1409" s="71"/>
      <c r="V1409" s="70"/>
      <c r="W1409" s="70"/>
      <c r="X1409" s="70"/>
      <c r="Y1409" s="70"/>
      <c r="Z1409" s="83"/>
    </row>
    <row r="1410">
      <c r="A1410" s="94"/>
      <c r="B1410" s="66"/>
      <c r="C1410" s="70"/>
      <c r="D1410" s="68"/>
      <c r="E1410" s="68"/>
      <c r="F1410" s="69"/>
      <c r="G1410" s="70"/>
      <c r="H1410" s="70"/>
      <c r="I1410" s="70"/>
      <c r="J1410" s="70"/>
      <c r="K1410" s="71"/>
      <c r="L1410" s="71"/>
      <c r="M1410" s="71"/>
      <c r="N1410" s="71"/>
      <c r="O1410" s="70"/>
      <c r="P1410" s="73"/>
      <c r="Q1410" s="71"/>
      <c r="R1410" s="71"/>
      <c r="S1410" s="71"/>
      <c r="T1410" s="71"/>
      <c r="U1410" s="71"/>
      <c r="V1410" s="70"/>
      <c r="W1410" s="70"/>
      <c r="X1410" s="70"/>
      <c r="Y1410" s="70"/>
      <c r="Z1410" s="83"/>
    </row>
    <row r="1411">
      <c r="A1411" s="94"/>
      <c r="B1411" s="66"/>
      <c r="C1411" s="70"/>
      <c r="D1411" s="68"/>
      <c r="E1411" s="68"/>
      <c r="F1411" s="69"/>
      <c r="G1411" s="70"/>
      <c r="H1411" s="70"/>
      <c r="I1411" s="70"/>
      <c r="J1411" s="70"/>
      <c r="K1411" s="71"/>
      <c r="L1411" s="71"/>
      <c r="M1411" s="71"/>
      <c r="N1411" s="71"/>
      <c r="O1411" s="70"/>
      <c r="P1411" s="73"/>
      <c r="Q1411" s="71"/>
      <c r="R1411" s="71"/>
      <c r="S1411" s="71"/>
      <c r="T1411" s="71"/>
      <c r="U1411" s="71"/>
      <c r="V1411" s="70"/>
      <c r="W1411" s="70"/>
      <c r="X1411" s="70"/>
      <c r="Y1411" s="70"/>
      <c r="Z1411" s="83"/>
    </row>
    <row r="1412">
      <c r="A1412" s="94"/>
      <c r="B1412" s="66"/>
      <c r="C1412" s="70"/>
      <c r="D1412" s="68"/>
      <c r="E1412" s="68"/>
      <c r="F1412" s="69"/>
      <c r="G1412" s="70"/>
      <c r="H1412" s="70"/>
      <c r="I1412" s="70"/>
      <c r="J1412" s="70"/>
      <c r="K1412" s="71"/>
      <c r="L1412" s="71"/>
      <c r="M1412" s="71"/>
      <c r="N1412" s="71"/>
      <c r="O1412" s="70"/>
      <c r="P1412" s="73"/>
      <c r="Q1412" s="71"/>
      <c r="R1412" s="71"/>
      <c r="S1412" s="71"/>
      <c r="T1412" s="71"/>
      <c r="U1412" s="71"/>
      <c r="V1412" s="70"/>
      <c r="W1412" s="70"/>
      <c r="X1412" s="70"/>
      <c r="Y1412" s="70"/>
      <c r="Z1412" s="83"/>
    </row>
    <row r="1413">
      <c r="A1413" s="94"/>
      <c r="B1413" s="66"/>
      <c r="C1413" s="70"/>
      <c r="D1413" s="68"/>
      <c r="E1413" s="68"/>
      <c r="F1413" s="69"/>
      <c r="G1413" s="70"/>
      <c r="H1413" s="70"/>
      <c r="I1413" s="70"/>
      <c r="J1413" s="70"/>
      <c r="K1413" s="71"/>
      <c r="L1413" s="71"/>
      <c r="M1413" s="71"/>
      <c r="N1413" s="71"/>
      <c r="O1413" s="70"/>
      <c r="P1413" s="73"/>
      <c r="Q1413" s="71"/>
      <c r="R1413" s="71"/>
      <c r="S1413" s="71"/>
      <c r="T1413" s="71"/>
      <c r="U1413" s="71"/>
      <c r="V1413" s="70"/>
      <c r="W1413" s="70"/>
      <c r="X1413" s="70"/>
      <c r="Y1413" s="70"/>
      <c r="Z1413" s="83"/>
    </row>
    <row r="1414">
      <c r="A1414" s="94"/>
      <c r="B1414" s="66"/>
      <c r="C1414" s="70"/>
      <c r="D1414" s="68"/>
      <c r="E1414" s="68"/>
      <c r="F1414" s="69"/>
      <c r="G1414" s="70"/>
      <c r="H1414" s="70"/>
      <c r="I1414" s="70"/>
      <c r="J1414" s="70"/>
      <c r="K1414" s="71"/>
      <c r="L1414" s="71"/>
      <c r="M1414" s="71"/>
      <c r="N1414" s="71"/>
      <c r="O1414" s="70"/>
      <c r="P1414" s="73"/>
      <c r="Q1414" s="71"/>
      <c r="R1414" s="71"/>
      <c r="S1414" s="71"/>
      <c r="T1414" s="71"/>
      <c r="U1414" s="71"/>
      <c r="V1414" s="70"/>
      <c r="W1414" s="70"/>
      <c r="X1414" s="70"/>
      <c r="Y1414" s="70"/>
      <c r="Z1414" s="83"/>
    </row>
    <row r="1415">
      <c r="A1415" s="94"/>
      <c r="B1415" s="66"/>
      <c r="C1415" s="70"/>
      <c r="D1415" s="68"/>
      <c r="E1415" s="68"/>
      <c r="F1415" s="69"/>
      <c r="G1415" s="70"/>
      <c r="H1415" s="70"/>
      <c r="I1415" s="70"/>
      <c r="J1415" s="70"/>
      <c r="K1415" s="71"/>
      <c r="L1415" s="71"/>
      <c r="M1415" s="71"/>
      <c r="N1415" s="71"/>
      <c r="O1415" s="70"/>
      <c r="P1415" s="73"/>
      <c r="Q1415" s="71"/>
      <c r="R1415" s="71"/>
      <c r="S1415" s="71"/>
      <c r="T1415" s="71"/>
      <c r="U1415" s="71"/>
      <c r="V1415" s="70"/>
      <c r="W1415" s="70"/>
      <c r="X1415" s="70"/>
      <c r="Y1415" s="70"/>
      <c r="Z1415" s="83"/>
    </row>
    <row r="1416">
      <c r="A1416" s="94"/>
      <c r="B1416" s="66"/>
      <c r="C1416" s="70"/>
      <c r="D1416" s="68"/>
      <c r="E1416" s="68"/>
      <c r="F1416" s="69"/>
      <c r="G1416" s="70"/>
      <c r="H1416" s="70"/>
      <c r="I1416" s="70"/>
      <c r="J1416" s="70"/>
      <c r="K1416" s="71"/>
      <c r="L1416" s="71"/>
      <c r="M1416" s="71"/>
      <c r="N1416" s="71"/>
      <c r="O1416" s="70"/>
      <c r="P1416" s="73"/>
      <c r="Q1416" s="71"/>
      <c r="R1416" s="71"/>
      <c r="S1416" s="71"/>
      <c r="T1416" s="71"/>
      <c r="U1416" s="71"/>
      <c r="V1416" s="70"/>
      <c r="W1416" s="70"/>
      <c r="X1416" s="70"/>
      <c r="Y1416" s="70"/>
      <c r="Z1416" s="83"/>
    </row>
    <row r="1417">
      <c r="A1417" s="94"/>
      <c r="B1417" s="66"/>
      <c r="C1417" s="70"/>
      <c r="D1417" s="68"/>
      <c r="E1417" s="68"/>
      <c r="F1417" s="69"/>
      <c r="G1417" s="70"/>
      <c r="H1417" s="70"/>
      <c r="I1417" s="70"/>
      <c r="J1417" s="70"/>
      <c r="K1417" s="71"/>
      <c r="L1417" s="71"/>
      <c r="M1417" s="71"/>
      <c r="N1417" s="71"/>
      <c r="O1417" s="70"/>
      <c r="P1417" s="73"/>
      <c r="Q1417" s="71"/>
      <c r="R1417" s="71"/>
      <c r="S1417" s="71"/>
      <c r="T1417" s="71"/>
      <c r="U1417" s="71"/>
      <c r="V1417" s="70"/>
      <c r="W1417" s="70"/>
      <c r="X1417" s="70"/>
      <c r="Y1417" s="70"/>
      <c r="Z1417" s="83"/>
    </row>
    <row r="1418">
      <c r="A1418" s="94"/>
      <c r="B1418" s="66"/>
      <c r="C1418" s="70"/>
      <c r="D1418" s="68"/>
      <c r="E1418" s="68"/>
      <c r="F1418" s="69"/>
      <c r="G1418" s="70"/>
      <c r="H1418" s="70"/>
      <c r="I1418" s="70"/>
      <c r="J1418" s="70"/>
      <c r="K1418" s="71"/>
      <c r="L1418" s="71"/>
      <c r="M1418" s="71"/>
      <c r="N1418" s="71"/>
      <c r="O1418" s="70"/>
      <c r="P1418" s="73"/>
      <c r="Q1418" s="71"/>
      <c r="R1418" s="71"/>
      <c r="S1418" s="71"/>
      <c r="T1418" s="71"/>
      <c r="U1418" s="71"/>
      <c r="V1418" s="70"/>
      <c r="W1418" s="70"/>
      <c r="X1418" s="70"/>
      <c r="Y1418" s="70"/>
      <c r="Z1418" s="83"/>
    </row>
    <row r="1419">
      <c r="A1419" s="94"/>
      <c r="B1419" s="66"/>
      <c r="C1419" s="70"/>
      <c r="D1419" s="68"/>
      <c r="E1419" s="68"/>
      <c r="F1419" s="69"/>
      <c r="G1419" s="70"/>
      <c r="H1419" s="70"/>
      <c r="I1419" s="70"/>
      <c r="J1419" s="70"/>
      <c r="K1419" s="71"/>
      <c r="L1419" s="71"/>
      <c r="M1419" s="71"/>
      <c r="N1419" s="71"/>
      <c r="O1419" s="70"/>
      <c r="P1419" s="73"/>
      <c r="Q1419" s="71"/>
      <c r="R1419" s="71"/>
      <c r="S1419" s="71"/>
      <c r="T1419" s="71"/>
      <c r="U1419" s="71"/>
      <c r="V1419" s="70"/>
      <c r="W1419" s="70"/>
      <c r="X1419" s="70"/>
      <c r="Y1419" s="70"/>
      <c r="Z1419" s="83"/>
    </row>
    <row r="1420">
      <c r="A1420" s="94"/>
      <c r="B1420" s="66"/>
      <c r="C1420" s="70"/>
      <c r="D1420" s="68"/>
      <c r="E1420" s="68"/>
      <c r="F1420" s="69"/>
      <c r="G1420" s="70"/>
      <c r="H1420" s="70"/>
      <c r="I1420" s="70"/>
      <c r="J1420" s="70"/>
      <c r="K1420" s="71"/>
      <c r="L1420" s="71"/>
      <c r="M1420" s="71"/>
      <c r="N1420" s="71"/>
      <c r="O1420" s="70"/>
      <c r="P1420" s="73"/>
      <c r="Q1420" s="71"/>
      <c r="R1420" s="71"/>
      <c r="S1420" s="71"/>
      <c r="T1420" s="71"/>
      <c r="U1420" s="71"/>
      <c r="V1420" s="70"/>
      <c r="W1420" s="70"/>
      <c r="X1420" s="70"/>
      <c r="Y1420" s="70"/>
      <c r="Z1420" s="83"/>
    </row>
    <row r="1421">
      <c r="A1421" s="94"/>
      <c r="B1421" s="66"/>
      <c r="C1421" s="70"/>
      <c r="D1421" s="68"/>
      <c r="E1421" s="68"/>
      <c r="F1421" s="69"/>
      <c r="G1421" s="70"/>
      <c r="H1421" s="70"/>
      <c r="I1421" s="70"/>
      <c r="J1421" s="70"/>
      <c r="K1421" s="71"/>
      <c r="L1421" s="71"/>
      <c r="M1421" s="71"/>
      <c r="N1421" s="71"/>
      <c r="O1421" s="70"/>
      <c r="P1421" s="73"/>
      <c r="Q1421" s="71"/>
      <c r="R1421" s="71"/>
      <c r="S1421" s="71"/>
      <c r="T1421" s="71"/>
      <c r="U1421" s="71"/>
      <c r="V1421" s="70"/>
      <c r="W1421" s="70"/>
      <c r="X1421" s="70"/>
      <c r="Y1421" s="70"/>
      <c r="Z1421" s="83"/>
    </row>
    <row r="1422">
      <c r="A1422" s="94"/>
      <c r="B1422" s="66"/>
      <c r="C1422" s="70"/>
      <c r="D1422" s="68"/>
      <c r="E1422" s="68"/>
      <c r="F1422" s="69"/>
      <c r="G1422" s="70"/>
      <c r="H1422" s="70"/>
      <c r="I1422" s="70"/>
      <c r="J1422" s="70"/>
      <c r="K1422" s="71"/>
      <c r="L1422" s="71"/>
      <c r="M1422" s="71"/>
      <c r="N1422" s="71"/>
      <c r="O1422" s="70"/>
      <c r="P1422" s="73"/>
      <c r="Q1422" s="71"/>
      <c r="R1422" s="71"/>
      <c r="S1422" s="71"/>
      <c r="T1422" s="71"/>
      <c r="U1422" s="71"/>
      <c r="V1422" s="70"/>
      <c r="W1422" s="70"/>
      <c r="X1422" s="70"/>
      <c r="Y1422" s="70"/>
      <c r="Z1422" s="83"/>
    </row>
    <row r="1423">
      <c r="A1423" s="94"/>
      <c r="B1423" s="66"/>
      <c r="C1423" s="70"/>
      <c r="D1423" s="68"/>
      <c r="E1423" s="68"/>
      <c r="F1423" s="69"/>
      <c r="G1423" s="70"/>
      <c r="H1423" s="70"/>
      <c r="I1423" s="70"/>
      <c r="J1423" s="70"/>
      <c r="K1423" s="71"/>
      <c r="L1423" s="71"/>
      <c r="M1423" s="71"/>
      <c r="N1423" s="71"/>
      <c r="O1423" s="70"/>
      <c r="P1423" s="73"/>
      <c r="Q1423" s="71"/>
      <c r="R1423" s="71"/>
      <c r="S1423" s="71"/>
      <c r="T1423" s="71"/>
      <c r="U1423" s="71"/>
      <c r="V1423" s="70"/>
      <c r="W1423" s="70"/>
      <c r="X1423" s="70"/>
      <c r="Y1423" s="70"/>
      <c r="Z1423" s="83"/>
    </row>
    <row r="1424">
      <c r="A1424" s="94"/>
      <c r="B1424" s="66"/>
      <c r="C1424" s="70"/>
      <c r="D1424" s="68"/>
      <c r="E1424" s="68"/>
      <c r="F1424" s="69"/>
      <c r="G1424" s="70"/>
      <c r="H1424" s="70"/>
      <c r="I1424" s="70"/>
      <c r="J1424" s="70"/>
      <c r="K1424" s="71"/>
      <c r="L1424" s="71"/>
      <c r="M1424" s="71"/>
      <c r="N1424" s="71"/>
      <c r="O1424" s="70"/>
      <c r="P1424" s="73"/>
      <c r="Q1424" s="71"/>
      <c r="R1424" s="71"/>
      <c r="S1424" s="71"/>
      <c r="T1424" s="71"/>
      <c r="U1424" s="71"/>
      <c r="V1424" s="70"/>
      <c r="W1424" s="70"/>
      <c r="X1424" s="70"/>
      <c r="Y1424" s="70"/>
      <c r="Z1424" s="83"/>
    </row>
    <row r="1425">
      <c r="A1425" s="94"/>
      <c r="B1425" s="66"/>
      <c r="C1425" s="70"/>
      <c r="D1425" s="68"/>
      <c r="E1425" s="68"/>
      <c r="F1425" s="69"/>
      <c r="G1425" s="70"/>
      <c r="H1425" s="70"/>
      <c r="I1425" s="70"/>
      <c r="J1425" s="70"/>
      <c r="K1425" s="71"/>
      <c r="L1425" s="71"/>
      <c r="M1425" s="71"/>
      <c r="N1425" s="71"/>
      <c r="O1425" s="70"/>
      <c r="P1425" s="73"/>
      <c r="Q1425" s="71"/>
      <c r="R1425" s="71"/>
      <c r="S1425" s="71"/>
      <c r="T1425" s="71"/>
      <c r="U1425" s="71"/>
      <c r="V1425" s="70"/>
      <c r="W1425" s="70"/>
      <c r="X1425" s="70"/>
      <c r="Y1425" s="70"/>
      <c r="Z1425" s="83"/>
    </row>
    <row r="1426">
      <c r="A1426" s="94"/>
      <c r="B1426" s="66"/>
      <c r="C1426" s="70"/>
      <c r="D1426" s="68"/>
      <c r="E1426" s="68"/>
      <c r="F1426" s="69"/>
      <c r="G1426" s="70"/>
      <c r="H1426" s="70"/>
      <c r="I1426" s="70"/>
      <c r="J1426" s="70"/>
      <c r="K1426" s="71"/>
      <c r="L1426" s="71"/>
      <c r="M1426" s="71"/>
      <c r="N1426" s="71"/>
      <c r="O1426" s="70"/>
      <c r="P1426" s="73"/>
      <c r="Q1426" s="71"/>
      <c r="R1426" s="71"/>
      <c r="S1426" s="71"/>
      <c r="T1426" s="71"/>
      <c r="U1426" s="71"/>
      <c r="V1426" s="70"/>
      <c r="W1426" s="70"/>
      <c r="X1426" s="70"/>
      <c r="Y1426" s="70"/>
      <c r="Z1426" s="83"/>
    </row>
    <row r="1427">
      <c r="A1427" s="94"/>
      <c r="B1427" s="66"/>
      <c r="C1427" s="70"/>
      <c r="D1427" s="68"/>
      <c r="E1427" s="68"/>
      <c r="F1427" s="69"/>
      <c r="G1427" s="70"/>
      <c r="H1427" s="70"/>
      <c r="I1427" s="70"/>
      <c r="J1427" s="70"/>
      <c r="K1427" s="71"/>
      <c r="L1427" s="71"/>
      <c r="M1427" s="71"/>
      <c r="N1427" s="71"/>
      <c r="O1427" s="70"/>
      <c r="P1427" s="73"/>
      <c r="Q1427" s="71"/>
      <c r="R1427" s="71"/>
      <c r="S1427" s="71"/>
      <c r="T1427" s="71"/>
      <c r="U1427" s="71"/>
      <c r="V1427" s="70"/>
      <c r="W1427" s="70"/>
      <c r="X1427" s="70"/>
      <c r="Y1427" s="70"/>
      <c r="Z1427" s="83"/>
    </row>
    <row r="1428">
      <c r="A1428" s="94"/>
      <c r="B1428" s="66"/>
      <c r="C1428" s="70"/>
      <c r="D1428" s="68"/>
      <c r="E1428" s="68"/>
      <c r="F1428" s="69"/>
      <c r="G1428" s="70"/>
      <c r="H1428" s="70"/>
      <c r="I1428" s="70"/>
      <c r="J1428" s="70"/>
      <c r="K1428" s="71"/>
      <c r="L1428" s="71"/>
      <c r="M1428" s="71"/>
      <c r="N1428" s="71"/>
      <c r="O1428" s="70"/>
      <c r="P1428" s="73"/>
      <c r="Q1428" s="71"/>
      <c r="R1428" s="71"/>
      <c r="S1428" s="71"/>
      <c r="T1428" s="71"/>
      <c r="U1428" s="71"/>
      <c r="V1428" s="70"/>
      <c r="W1428" s="70"/>
      <c r="X1428" s="70"/>
      <c r="Y1428" s="70"/>
      <c r="Z1428" s="83"/>
    </row>
    <row r="1429">
      <c r="A1429" s="94"/>
      <c r="B1429" s="66"/>
      <c r="C1429" s="70"/>
      <c r="D1429" s="68"/>
      <c r="E1429" s="68"/>
      <c r="F1429" s="69"/>
      <c r="G1429" s="70"/>
      <c r="H1429" s="70"/>
      <c r="I1429" s="70"/>
      <c r="J1429" s="70"/>
      <c r="K1429" s="71"/>
      <c r="L1429" s="71"/>
      <c r="M1429" s="71"/>
      <c r="N1429" s="71"/>
      <c r="O1429" s="70"/>
      <c r="P1429" s="73"/>
      <c r="Q1429" s="71"/>
      <c r="R1429" s="71"/>
      <c r="S1429" s="71"/>
      <c r="T1429" s="71"/>
      <c r="U1429" s="71"/>
      <c r="V1429" s="70"/>
      <c r="W1429" s="70"/>
      <c r="X1429" s="70"/>
      <c r="Y1429" s="70"/>
      <c r="Z1429" s="83"/>
    </row>
    <row r="1430">
      <c r="A1430" s="94"/>
      <c r="B1430" s="66"/>
      <c r="C1430" s="70"/>
      <c r="D1430" s="68"/>
      <c r="E1430" s="68"/>
      <c r="F1430" s="69"/>
      <c r="G1430" s="70"/>
      <c r="H1430" s="70"/>
      <c r="I1430" s="70"/>
      <c r="J1430" s="70"/>
      <c r="K1430" s="71"/>
      <c r="L1430" s="71"/>
      <c r="M1430" s="71"/>
      <c r="N1430" s="71"/>
      <c r="O1430" s="70"/>
      <c r="P1430" s="73"/>
      <c r="Q1430" s="71"/>
      <c r="R1430" s="71"/>
      <c r="S1430" s="71"/>
      <c r="T1430" s="71"/>
      <c r="U1430" s="71"/>
      <c r="V1430" s="70"/>
      <c r="W1430" s="70"/>
      <c r="X1430" s="70"/>
      <c r="Y1430" s="70"/>
      <c r="Z1430" s="83"/>
    </row>
    <row r="1431">
      <c r="A1431" s="94"/>
      <c r="B1431" s="66"/>
      <c r="C1431" s="70"/>
      <c r="D1431" s="68"/>
      <c r="E1431" s="68"/>
      <c r="F1431" s="69"/>
      <c r="G1431" s="70"/>
      <c r="H1431" s="70"/>
      <c r="I1431" s="70"/>
      <c r="J1431" s="70"/>
      <c r="K1431" s="71"/>
      <c r="L1431" s="71"/>
      <c r="M1431" s="71"/>
      <c r="N1431" s="71"/>
      <c r="O1431" s="70"/>
      <c r="P1431" s="73"/>
      <c r="Q1431" s="71"/>
      <c r="R1431" s="71"/>
      <c r="S1431" s="71"/>
      <c r="T1431" s="71"/>
      <c r="U1431" s="71"/>
      <c r="V1431" s="70"/>
      <c r="W1431" s="70"/>
      <c r="X1431" s="70"/>
      <c r="Y1431" s="70"/>
      <c r="Z1431" s="83"/>
    </row>
    <row r="1432">
      <c r="A1432" s="94"/>
      <c r="B1432" s="66"/>
      <c r="C1432" s="70"/>
      <c r="D1432" s="68"/>
      <c r="E1432" s="68"/>
      <c r="F1432" s="69"/>
      <c r="G1432" s="70"/>
      <c r="H1432" s="70"/>
      <c r="I1432" s="70"/>
      <c r="J1432" s="70"/>
      <c r="K1432" s="71"/>
      <c r="L1432" s="71"/>
      <c r="M1432" s="71"/>
      <c r="N1432" s="71"/>
      <c r="O1432" s="70"/>
      <c r="P1432" s="73"/>
      <c r="Q1432" s="71"/>
      <c r="R1432" s="71"/>
      <c r="S1432" s="71"/>
      <c r="T1432" s="71"/>
      <c r="U1432" s="71"/>
      <c r="V1432" s="70"/>
      <c r="W1432" s="70"/>
      <c r="X1432" s="70"/>
      <c r="Y1432" s="70"/>
      <c r="Z1432" s="83"/>
    </row>
    <row r="1433">
      <c r="A1433" s="94"/>
      <c r="B1433" s="66"/>
      <c r="C1433" s="70"/>
      <c r="D1433" s="68"/>
      <c r="E1433" s="68"/>
      <c r="F1433" s="69"/>
      <c r="G1433" s="70"/>
      <c r="H1433" s="70"/>
      <c r="I1433" s="70"/>
      <c r="J1433" s="70"/>
      <c r="K1433" s="71"/>
      <c r="L1433" s="71"/>
      <c r="M1433" s="71"/>
      <c r="N1433" s="71"/>
      <c r="O1433" s="70"/>
      <c r="P1433" s="73"/>
      <c r="Q1433" s="71"/>
      <c r="R1433" s="71"/>
      <c r="S1433" s="71"/>
      <c r="T1433" s="71"/>
      <c r="U1433" s="71"/>
      <c r="V1433" s="70"/>
      <c r="W1433" s="70"/>
      <c r="X1433" s="70"/>
      <c r="Y1433" s="70"/>
      <c r="Z1433" s="83"/>
    </row>
    <row r="1434">
      <c r="A1434" s="94"/>
      <c r="B1434" s="66"/>
      <c r="C1434" s="70"/>
      <c r="D1434" s="68"/>
      <c r="E1434" s="68"/>
      <c r="F1434" s="69"/>
      <c r="G1434" s="70"/>
      <c r="H1434" s="70"/>
      <c r="I1434" s="70"/>
      <c r="J1434" s="70"/>
      <c r="K1434" s="71"/>
      <c r="L1434" s="71"/>
      <c r="M1434" s="71"/>
      <c r="N1434" s="71"/>
      <c r="O1434" s="70"/>
      <c r="P1434" s="73"/>
      <c r="Q1434" s="71"/>
      <c r="R1434" s="71"/>
      <c r="S1434" s="71"/>
      <c r="T1434" s="71"/>
      <c r="U1434" s="71"/>
      <c r="V1434" s="70"/>
      <c r="W1434" s="70"/>
      <c r="X1434" s="70"/>
      <c r="Y1434" s="70"/>
      <c r="Z1434" s="83"/>
    </row>
    <row r="1435">
      <c r="A1435" s="94"/>
      <c r="B1435" s="66"/>
      <c r="C1435" s="70"/>
      <c r="D1435" s="68"/>
      <c r="E1435" s="68"/>
      <c r="F1435" s="69"/>
      <c r="G1435" s="70"/>
      <c r="H1435" s="70"/>
      <c r="I1435" s="70"/>
      <c r="J1435" s="70"/>
      <c r="K1435" s="71"/>
      <c r="L1435" s="71"/>
      <c r="M1435" s="71"/>
      <c r="N1435" s="71"/>
      <c r="O1435" s="70"/>
      <c r="P1435" s="73"/>
      <c r="Q1435" s="71"/>
      <c r="R1435" s="71"/>
      <c r="S1435" s="71"/>
      <c r="T1435" s="71"/>
      <c r="U1435" s="71"/>
      <c r="V1435" s="70"/>
      <c r="W1435" s="70"/>
      <c r="X1435" s="70"/>
      <c r="Y1435" s="70"/>
      <c r="Z1435" s="83"/>
    </row>
    <row r="1436">
      <c r="A1436" s="94"/>
      <c r="B1436" s="66"/>
      <c r="C1436" s="70"/>
      <c r="D1436" s="68"/>
      <c r="E1436" s="68"/>
      <c r="F1436" s="69"/>
      <c r="G1436" s="70"/>
      <c r="H1436" s="70"/>
      <c r="I1436" s="70"/>
      <c r="J1436" s="70"/>
      <c r="K1436" s="71"/>
      <c r="L1436" s="71"/>
      <c r="M1436" s="71"/>
      <c r="N1436" s="71"/>
      <c r="O1436" s="70"/>
      <c r="P1436" s="73"/>
      <c r="Q1436" s="71"/>
      <c r="R1436" s="71"/>
      <c r="S1436" s="71"/>
      <c r="T1436" s="71"/>
      <c r="U1436" s="71"/>
      <c r="V1436" s="70"/>
      <c r="W1436" s="70"/>
      <c r="X1436" s="70"/>
      <c r="Y1436" s="70"/>
      <c r="Z1436" s="83"/>
    </row>
    <row r="1437">
      <c r="A1437" s="94"/>
      <c r="B1437" s="66"/>
      <c r="C1437" s="70"/>
      <c r="D1437" s="68"/>
      <c r="E1437" s="68"/>
      <c r="F1437" s="69"/>
      <c r="G1437" s="70"/>
      <c r="H1437" s="70"/>
      <c r="I1437" s="70"/>
      <c r="J1437" s="70"/>
      <c r="K1437" s="71"/>
      <c r="L1437" s="71"/>
      <c r="M1437" s="71"/>
      <c r="N1437" s="71"/>
      <c r="O1437" s="70"/>
      <c r="P1437" s="73"/>
      <c r="Q1437" s="71"/>
      <c r="R1437" s="71"/>
      <c r="S1437" s="71"/>
      <c r="T1437" s="71"/>
      <c r="U1437" s="71"/>
      <c r="V1437" s="70"/>
      <c r="W1437" s="70"/>
      <c r="X1437" s="70"/>
      <c r="Y1437" s="70"/>
      <c r="Z1437" s="83"/>
    </row>
    <row r="1438">
      <c r="A1438" s="94"/>
      <c r="B1438" s="66"/>
      <c r="C1438" s="70"/>
      <c r="D1438" s="68"/>
      <c r="E1438" s="68"/>
      <c r="F1438" s="69"/>
      <c r="G1438" s="70"/>
      <c r="H1438" s="70"/>
      <c r="I1438" s="70"/>
      <c r="J1438" s="70"/>
      <c r="K1438" s="71"/>
      <c r="L1438" s="71"/>
      <c r="M1438" s="71"/>
      <c r="N1438" s="71"/>
      <c r="O1438" s="70"/>
      <c r="P1438" s="73"/>
      <c r="Q1438" s="71"/>
      <c r="R1438" s="71"/>
      <c r="S1438" s="71"/>
      <c r="T1438" s="71"/>
      <c r="U1438" s="71"/>
      <c r="V1438" s="70"/>
      <c r="W1438" s="70"/>
      <c r="X1438" s="70"/>
      <c r="Y1438" s="70"/>
      <c r="Z1438" s="83"/>
    </row>
    <row r="1439">
      <c r="A1439" s="94"/>
      <c r="B1439" s="66"/>
      <c r="C1439" s="70"/>
      <c r="D1439" s="68"/>
      <c r="E1439" s="68"/>
      <c r="F1439" s="69"/>
      <c r="G1439" s="70"/>
      <c r="H1439" s="70"/>
      <c r="I1439" s="70"/>
      <c r="J1439" s="70"/>
      <c r="K1439" s="71"/>
      <c r="L1439" s="71"/>
      <c r="M1439" s="71"/>
      <c r="N1439" s="71"/>
      <c r="O1439" s="70"/>
      <c r="P1439" s="73"/>
      <c r="Q1439" s="71"/>
      <c r="R1439" s="71"/>
      <c r="S1439" s="71"/>
      <c r="T1439" s="71"/>
      <c r="U1439" s="71"/>
      <c r="V1439" s="70"/>
      <c r="W1439" s="70"/>
      <c r="X1439" s="70"/>
      <c r="Y1439" s="70"/>
      <c r="Z1439" s="83"/>
    </row>
    <row r="1440">
      <c r="A1440" s="94"/>
      <c r="B1440" s="66"/>
      <c r="C1440" s="70"/>
      <c r="D1440" s="68"/>
      <c r="E1440" s="68"/>
      <c r="F1440" s="69"/>
      <c r="G1440" s="70"/>
      <c r="H1440" s="70"/>
      <c r="I1440" s="70"/>
      <c r="J1440" s="70"/>
      <c r="K1440" s="71"/>
      <c r="L1440" s="71"/>
      <c r="M1440" s="71"/>
      <c r="N1440" s="71"/>
      <c r="O1440" s="70"/>
      <c r="P1440" s="73"/>
      <c r="Q1440" s="71"/>
      <c r="R1440" s="71"/>
      <c r="S1440" s="71"/>
      <c r="T1440" s="71"/>
      <c r="U1440" s="71"/>
      <c r="V1440" s="70"/>
      <c r="W1440" s="70"/>
      <c r="X1440" s="70"/>
      <c r="Y1440" s="70"/>
      <c r="Z1440" s="83"/>
    </row>
    <row r="1441">
      <c r="A1441" s="94"/>
      <c r="B1441" s="66"/>
      <c r="C1441" s="70"/>
      <c r="D1441" s="68"/>
      <c r="E1441" s="68"/>
      <c r="F1441" s="69"/>
      <c r="G1441" s="70"/>
      <c r="H1441" s="70"/>
      <c r="I1441" s="70"/>
      <c r="J1441" s="70"/>
      <c r="K1441" s="71"/>
      <c r="L1441" s="71"/>
      <c r="M1441" s="71"/>
      <c r="N1441" s="71"/>
      <c r="O1441" s="70"/>
      <c r="P1441" s="73"/>
      <c r="Q1441" s="71"/>
      <c r="R1441" s="71"/>
      <c r="S1441" s="71"/>
      <c r="T1441" s="71"/>
      <c r="U1441" s="71"/>
      <c r="V1441" s="70"/>
      <c r="W1441" s="70"/>
      <c r="X1441" s="70"/>
      <c r="Y1441" s="70"/>
      <c r="Z1441" s="83"/>
    </row>
    <row r="1442">
      <c r="A1442" s="94"/>
      <c r="B1442" s="66"/>
      <c r="C1442" s="70"/>
      <c r="D1442" s="68"/>
      <c r="E1442" s="68"/>
      <c r="F1442" s="69"/>
      <c r="G1442" s="70"/>
      <c r="H1442" s="70"/>
      <c r="I1442" s="70"/>
      <c r="J1442" s="70"/>
      <c r="K1442" s="71"/>
      <c r="L1442" s="71"/>
      <c r="M1442" s="71"/>
      <c r="N1442" s="71"/>
      <c r="O1442" s="70"/>
      <c r="P1442" s="73"/>
      <c r="Q1442" s="71"/>
      <c r="R1442" s="71"/>
      <c r="S1442" s="71"/>
      <c r="T1442" s="71"/>
      <c r="U1442" s="71"/>
      <c r="V1442" s="70"/>
      <c r="W1442" s="70"/>
      <c r="X1442" s="70"/>
      <c r="Y1442" s="70"/>
      <c r="Z1442" s="83"/>
    </row>
    <row r="1443">
      <c r="A1443" s="94"/>
      <c r="B1443" s="66"/>
      <c r="C1443" s="70"/>
      <c r="D1443" s="68"/>
      <c r="E1443" s="68"/>
      <c r="F1443" s="69"/>
      <c r="G1443" s="70"/>
      <c r="H1443" s="70"/>
      <c r="I1443" s="70"/>
      <c r="J1443" s="70"/>
      <c r="K1443" s="71"/>
      <c r="L1443" s="71"/>
      <c r="M1443" s="71"/>
      <c r="N1443" s="71"/>
      <c r="O1443" s="70"/>
      <c r="P1443" s="73"/>
      <c r="Q1443" s="71"/>
      <c r="R1443" s="71"/>
      <c r="S1443" s="71"/>
      <c r="T1443" s="71"/>
      <c r="U1443" s="71"/>
      <c r="V1443" s="70"/>
      <c r="W1443" s="70"/>
      <c r="X1443" s="70"/>
      <c r="Y1443" s="70"/>
      <c r="Z1443" s="83"/>
    </row>
    <row r="1444">
      <c r="A1444" s="94"/>
      <c r="B1444" s="66"/>
      <c r="C1444" s="70"/>
      <c r="D1444" s="68"/>
      <c r="E1444" s="68"/>
      <c r="F1444" s="69"/>
      <c r="G1444" s="70"/>
      <c r="H1444" s="70"/>
      <c r="I1444" s="70"/>
      <c r="J1444" s="70"/>
      <c r="K1444" s="71"/>
      <c r="L1444" s="71"/>
      <c r="M1444" s="71"/>
      <c r="N1444" s="71"/>
      <c r="O1444" s="70"/>
      <c r="P1444" s="73"/>
      <c r="Q1444" s="71"/>
      <c r="R1444" s="71"/>
      <c r="S1444" s="71"/>
      <c r="T1444" s="71"/>
      <c r="U1444" s="71"/>
      <c r="V1444" s="70"/>
      <c r="W1444" s="70"/>
      <c r="X1444" s="70"/>
      <c r="Y1444" s="70"/>
      <c r="Z1444" s="83"/>
    </row>
    <row r="1445">
      <c r="A1445" s="94"/>
      <c r="B1445" s="66"/>
      <c r="C1445" s="70"/>
      <c r="D1445" s="68"/>
      <c r="E1445" s="68"/>
      <c r="F1445" s="69"/>
      <c r="G1445" s="70"/>
      <c r="H1445" s="70"/>
      <c r="I1445" s="70"/>
      <c r="J1445" s="70"/>
      <c r="K1445" s="71"/>
      <c r="L1445" s="71"/>
      <c r="M1445" s="71"/>
      <c r="N1445" s="71"/>
      <c r="O1445" s="70"/>
      <c r="P1445" s="73"/>
      <c r="Q1445" s="71"/>
      <c r="R1445" s="71"/>
      <c r="S1445" s="71"/>
      <c r="T1445" s="71"/>
      <c r="U1445" s="71"/>
      <c r="V1445" s="70"/>
      <c r="W1445" s="70"/>
      <c r="X1445" s="70"/>
      <c r="Y1445" s="70"/>
      <c r="Z1445" s="83"/>
    </row>
    <row r="1446">
      <c r="A1446" s="94"/>
      <c r="B1446" s="66"/>
      <c r="C1446" s="70"/>
      <c r="D1446" s="68"/>
      <c r="E1446" s="68"/>
      <c r="F1446" s="69"/>
      <c r="G1446" s="70"/>
      <c r="H1446" s="70"/>
      <c r="I1446" s="70"/>
      <c r="J1446" s="70"/>
      <c r="K1446" s="71"/>
      <c r="L1446" s="71"/>
      <c r="M1446" s="71"/>
      <c r="N1446" s="71"/>
      <c r="O1446" s="70"/>
      <c r="P1446" s="73"/>
      <c r="Q1446" s="71"/>
      <c r="R1446" s="71"/>
      <c r="S1446" s="71"/>
      <c r="T1446" s="71"/>
      <c r="U1446" s="71"/>
      <c r="V1446" s="70"/>
      <c r="W1446" s="70"/>
      <c r="X1446" s="70"/>
      <c r="Y1446" s="70"/>
      <c r="Z1446" s="83"/>
    </row>
    <row r="1447">
      <c r="A1447" s="94"/>
      <c r="B1447" s="66"/>
      <c r="C1447" s="70"/>
      <c r="D1447" s="68"/>
      <c r="E1447" s="68"/>
      <c r="F1447" s="69"/>
      <c r="G1447" s="70"/>
      <c r="H1447" s="70"/>
      <c r="I1447" s="70"/>
      <c r="J1447" s="70"/>
      <c r="K1447" s="71"/>
      <c r="L1447" s="71"/>
      <c r="M1447" s="71"/>
      <c r="N1447" s="71"/>
      <c r="O1447" s="70"/>
      <c r="P1447" s="73"/>
      <c r="Q1447" s="71"/>
      <c r="R1447" s="71"/>
      <c r="S1447" s="71"/>
      <c r="T1447" s="71"/>
      <c r="U1447" s="71"/>
      <c r="V1447" s="70"/>
      <c r="W1447" s="70"/>
      <c r="X1447" s="70"/>
      <c r="Y1447" s="70"/>
      <c r="Z1447" s="83"/>
    </row>
    <row r="1448">
      <c r="A1448" s="94"/>
      <c r="B1448" s="66"/>
      <c r="C1448" s="70"/>
      <c r="D1448" s="68"/>
      <c r="E1448" s="68"/>
      <c r="F1448" s="69"/>
      <c r="G1448" s="70"/>
      <c r="H1448" s="70"/>
      <c r="I1448" s="70"/>
      <c r="J1448" s="70"/>
      <c r="K1448" s="71"/>
      <c r="L1448" s="71"/>
      <c r="M1448" s="71"/>
      <c r="N1448" s="71"/>
      <c r="O1448" s="70"/>
      <c r="P1448" s="73"/>
      <c r="Q1448" s="71"/>
      <c r="R1448" s="71"/>
      <c r="S1448" s="71"/>
      <c r="T1448" s="71"/>
      <c r="U1448" s="71"/>
      <c r="V1448" s="70"/>
      <c r="W1448" s="70"/>
      <c r="X1448" s="70"/>
      <c r="Y1448" s="70"/>
      <c r="Z1448" s="83"/>
    </row>
    <row r="1449">
      <c r="A1449" s="94"/>
      <c r="B1449" s="66"/>
      <c r="C1449" s="70"/>
      <c r="D1449" s="68"/>
      <c r="E1449" s="68"/>
      <c r="F1449" s="69"/>
      <c r="G1449" s="70"/>
      <c r="H1449" s="70"/>
      <c r="I1449" s="70"/>
      <c r="J1449" s="70"/>
      <c r="K1449" s="71"/>
      <c r="L1449" s="71"/>
      <c r="M1449" s="71"/>
      <c r="N1449" s="71"/>
      <c r="O1449" s="70"/>
      <c r="P1449" s="73"/>
      <c r="Q1449" s="71"/>
      <c r="R1449" s="71"/>
      <c r="S1449" s="71"/>
      <c r="T1449" s="71"/>
      <c r="U1449" s="71"/>
      <c r="V1449" s="70"/>
      <c r="W1449" s="70"/>
      <c r="X1449" s="70"/>
      <c r="Y1449" s="70"/>
      <c r="Z1449" s="83"/>
    </row>
    <row r="1450">
      <c r="A1450" s="94"/>
      <c r="B1450" s="66"/>
      <c r="C1450" s="70"/>
      <c r="D1450" s="68"/>
      <c r="E1450" s="68"/>
      <c r="F1450" s="69"/>
      <c r="G1450" s="70"/>
      <c r="H1450" s="70"/>
      <c r="I1450" s="70"/>
      <c r="J1450" s="70"/>
      <c r="K1450" s="71"/>
      <c r="L1450" s="71"/>
      <c r="M1450" s="71"/>
      <c r="N1450" s="71"/>
      <c r="O1450" s="70"/>
      <c r="P1450" s="73"/>
      <c r="Q1450" s="71"/>
      <c r="R1450" s="71"/>
      <c r="S1450" s="71"/>
      <c r="T1450" s="71"/>
      <c r="U1450" s="71"/>
      <c r="V1450" s="70"/>
      <c r="W1450" s="70"/>
      <c r="X1450" s="70"/>
      <c r="Y1450" s="70"/>
      <c r="Z1450" s="83"/>
    </row>
    <row r="1451">
      <c r="A1451" s="94"/>
      <c r="B1451" s="66"/>
      <c r="C1451" s="70"/>
      <c r="D1451" s="68"/>
      <c r="E1451" s="68"/>
      <c r="F1451" s="69"/>
      <c r="G1451" s="70"/>
      <c r="H1451" s="70"/>
      <c r="I1451" s="70"/>
      <c r="J1451" s="70"/>
      <c r="K1451" s="71"/>
      <c r="L1451" s="71"/>
      <c r="M1451" s="71"/>
      <c r="N1451" s="71"/>
      <c r="O1451" s="70"/>
      <c r="P1451" s="73"/>
      <c r="Q1451" s="71"/>
      <c r="R1451" s="71"/>
      <c r="S1451" s="71"/>
      <c r="T1451" s="71"/>
      <c r="U1451" s="71"/>
      <c r="V1451" s="70"/>
      <c r="W1451" s="70"/>
      <c r="X1451" s="70"/>
      <c r="Y1451" s="70"/>
      <c r="Z1451" s="83"/>
    </row>
    <row r="1452">
      <c r="A1452" s="94"/>
      <c r="B1452" s="66"/>
      <c r="C1452" s="70"/>
      <c r="D1452" s="68"/>
      <c r="E1452" s="68"/>
      <c r="F1452" s="69"/>
      <c r="G1452" s="70"/>
      <c r="H1452" s="70"/>
      <c r="I1452" s="70"/>
      <c r="J1452" s="70"/>
      <c r="K1452" s="71"/>
      <c r="L1452" s="71"/>
      <c r="M1452" s="71"/>
      <c r="N1452" s="71"/>
      <c r="O1452" s="70"/>
      <c r="P1452" s="73"/>
      <c r="Q1452" s="71"/>
      <c r="R1452" s="71"/>
      <c r="S1452" s="71"/>
      <c r="T1452" s="71"/>
      <c r="U1452" s="71"/>
      <c r="V1452" s="70"/>
      <c r="W1452" s="70"/>
      <c r="X1452" s="70"/>
      <c r="Y1452" s="70"/>
      <c r="Z1452" s="83"/>
    </row>
    <row r="1453">
      <c r="A1453" s="94"/>
      <c r="B1453" s="66"/>
      <c r="C1453" s="70"/>
      <c r="D1453" s="68"/>
      <c r="E1453" s="68"/>
      <c r="F1453" s="69"/>
      <c r="G1453" s="70"/>
      <c r="H1453" s="70"/>
      <c r="I1453" s="70"/>
      <c r="J1453" s="70"/>
      <c r="K1453" s="71"/>
      <c r="L1453" s="71"/>
      <c r="M1453" s="71"/>
      <c r="N1453" s="71"/>
      <c r="O1453" s="70"/>
      <c r="P1453" s="73"/>
      <c r="Q1453" s="71"/>
      <c r="R1453" s="71"/>
      <c r="S1453" s="71"/>
      <c r="T1453" s="71"/>
      <c r="U1453" s="71"/>
      <c r="V1453" s="70"/>
      <c r="W1453" s="70"/>
      <c r="X1453" s="70"/>
      <c r="Y1453" s="70"/>
      <c r="Z1453" s="83"/>
    </row>
    <row r="1454">
      <c r="A1454" s="94"/>
      <c r="B1454" s="66"/>
      <c r="C1454" s="70"/>
      <c r="D1454" s="68"/>
      <c r="E1454" s="68"/>
      <c r="F1454" s="69"/>
      <c r="G1454" s="70"/>
      <c r="H1454" s="70"/>
      <c r="I1454" s="70"/>
      <c r="J1454" s="70"/>
      <c r="K1454" s="71"/>
      <c r="L1454" s="71"/>
      <c r="M1454" s="71"/>
      <c r="N1454" s="71"/>
      <c r="O1454" s="70"/>
      <c r="P1454" s="73"/>
      <c r="Q1454" s="71"/>
      <c r="R1454" s="71"/>
      <c r="S1454" s="71"/>
      <c r="T1454" s="71"/>
      <c r="U1454" s="71"/>
      <c r="V1454" s="70"/>
      <c r="W1454" s="70"/>
      <c r="X1454" s="70"/>
      <c r="Y1454" s="70"/>
      <c r="Z1454" s="83"/>
    </row>
    <row r="1455">
      <c r="A1455" s="94"/>
      <c r="B1455" s="66"/>
      <c r="C1455" s="70"/>
      <c r="D1455" s="68"/>
      <c r="E1455" s="68"/>
      <c r="F1455" s="69"/>
      <c r="G1455" s="70"/>
      <c r="H1455" s="70"/>
      <c r="I1455" s="70"/>
      <c r="J1455" s="70"/>
      <c r="K1455" s="71"/>
      <c r="L1455" s="71"/>
      <c r="M1455" s="71"/>
      <c r="N1455" s="71"/>
      <c r="O1455" s="70"/>
      <c r="P1455" s="73"/>
      <c r="Q1455" s="71"/>
      <c r="R1455" s="71"/>
      <c r="S1455" s="71"/>
      <c r="T1455" s="71"/>
      <c r="U1455" s="71"/>
      <c r="V1455" s="70"/>
      <c r="W1455" s="70"/>
      <c r="X1455" s="70"/>
      <c r="Y1455" s="70"/>
      <c r="Z1455" s="83"/>
    </row>
    <row r="1456">
      <c r="A1456" s="94"/>
      <c r="B1456" s="66"/>
      <c r="C1456" s="70"/>
      <c r="D1456" s="68"/>
      <c r="E1456" s="68"/>
      <c r="F1456" s="69"/>
      <c r="G1456" s="70"/>
      <c r="H1456" s="70"/>
      <c r="I1456" s="70"/>
      <c r="J1456" s="70"/>
      <c r="K1456" s="71"/>
      <c r="L1456" s="71"/>
      <c r="M1456" s="71"/>
      <c r="N1456" s="71"/>
      <c r="O1456" s="70"/>
      <c r="P1456" s="73"/>
      <c r="Q1456" s="71"/>
      <c r="R1456" s="71"/>
      <c r="S1456" s="71"/>
      <c r="T1456" s="71"/>
      <c r="U1456" s="71"/>
      <c r="V1456" s="70"/>
      <c r="W1456" s="70"/>
      <c r="X1456" s="70"/>
      <c r="Y1456" s="70"/>
      <c r="Z1456" s="83"/>
    </row>
    <row r="1457">
      <c r="A1457" s="94"/>
      <c r="B1457" s="66"/>
      <c r="C1457" s="70"/>
      <c r="D1457" s="68"/>
      <c r="E1457" s="68"/>
      <c r="F1457" s="69"/>
      <c r="G1457" s="70"/>
      <c r="H1457" s="70"/>
      <c r="I1457" s="70"/>
      <c r="J1457" s="70"/>
      <c r="K1457" s="71"/>
      <c r="L1457" s="71"/>
      <c r="M1457" s="71"/>
      <c r="N1457" s="71"/>
      <c r="O1457" s="70"/>
      <c r="P1457" s="73"/>
      <c r="Q1457" s="71"/>
      <c r="R1457" s="71"/>
      <c r="S1457" s="71"/>
      <c r="T1457" s="71"/>
      <c r="U1457" s="71"/>
      <c r="V1457" s="70"/>
      <c r="W1457" s="70"/>
      <c r="X1457" s="70"/>
      <c r="Y1457" s="70"/>
      <c r="Z1457" s="83"/>
    </row>
    <row r="1458">
      <c r="A1458" s="94"/>
      <c r="B1458" s="66"/>
      <c r="C1458" s="70"/>
      <c r="D1458" s="68"/>
      <c r="E1458" s="68"/>
      <c r="F1458" s="69"/>
      <c r="G1458" s="70"/>
      <c r="H1458" s="70"/>
      <c r="I1458" s="70"/>
      <c r="J1458" s="70"/>
      <c r="K1458" s="71"/>
      <c r="L1458" s="71"/>
      <c r="M1458" s="71"/>
      <c r="N1458" s="71"/>
      <c r="O1458" s="70"/>
      <c r="P1458" s="73"/>
      <c r="Q1458" s="71"/>
      <c r="R1458" s="71"/>
      <c r="S1458" s="71"/>
      <c r="T1458" s="71"/>
      <c r="U1458" s="71"/>
      <c r="V1458" s="70"/>
      <c r="W1458" s="70"/>
      <c r="X1458" s="70"/>
      <c r="Y1458" s="70"/>
      <c r="Z1458" s="83"/>
    </row>
    <row r="1459">
      <c r="A1459" s="94"/>
      <c r="B1459" s="66"/>
      <c r="C1459" s="70"/>
      <c r="D1459" s="68"/>
      <c r="E1459" s="68"/>
      <c r="F1459" s="69"/>
      <c r="G1459" s="70"/>
      <c r="H1459" s="70"/>
      <c r="I1459" s="70"/>
      <c r="J1459" s="70"/>
      <c r="K1459" s="71"/>
      <c r="L1459" s="71"/>
      <c r="M1459" s="71"/>
      <c r="N1459" s="71"/>
      <c r="O1459" s="70"/>
      <c r="P1459" s="73"/>
      <c r="Q1459" s="71"/>
      <c r="R1459" s="71"/>
      <c r="S1459" s="71"/>
      <c r="T1459" s="71"/>
      <c r="U1459" s="71"/>
      <c r="V1459" s="70"/>
      <c r="W1459" s="70"/>
      <c r="X1459" s="70"/>
      <c r="Y1459" s="70"/>
      <c r="Z1459" s="83"/>
    </row>
    <row r="1460">
      <c r="A1460" s="94"/>
      <c r="B1460" s="66"/>
      <c r="C1460" s="70"/>
      <c r="D1460" s="68"/>
      <c r="E1460" s="68"/>
      <c r="F1460" s="69"/>
      <c r="G1460" s="70"/>
      <c r="H1460" s="70"/>
      <c r="I1460" s="70"/>
      <c r="J1460" s="70"/>
      <c r="K1460" s="71"/>
      <c r="L1460" s="71"/>
      <c r="M1460" s="71"/>
      <c r="N1460" s="71"/>
      <c r="O1460" s="70"/>
      <c r="P1460" s="73"/>
      <c r="Q1460" s="71"/>
      <c r="R1460" s="71"/>
      <c r="S1460" s="71"/>
      <c r="T1460" s="71"/>
      <c r="U1460" s="71"/>
      <c r="V1460" s="70"/>
      <c r="W1460" s="70"/>
      <c r="X1460" s="70"/>
      <c r="Y1460" s="70"/>
      <c r="Z1460" s="83"/>
    </row>
    <row r="1461">
      <c r="A1461" s="94"/>
      <c r="B1461" s="66"/>
      <c r="C1461" s="70"/>
      <c r="D1461" s="68"/>
      <c r="E1461" s="68"/>
      <c r="F1461" s="69"/>
      <c r="G1461" s="70"/>
      <c r="H1461" s="70"/>
      <c r="I1461" s="70"/>
      <c r="J1461" s="70"/>
      <c r="K1461" s="71"/>
      <c r="L1461" s="71"/>
      <c r="M1461" s="71"/>
      <c r="N1461" s="71"/>
      <c r="O1461" s="70"/>
      <c r="P1461" s="73"/>
      <c r="Q1461" s="71"/>
      <c r="R1461" s="71"/>
      <c r="S1461" s="71"/>
      <c r="T1461" s="71"/>
      <c r="U1461" s="71"/>
      <c r="V1461" s="70"/>
      <c r="W1461" s="70"/>
      <c r="X1461" s="70"/>
      <c r="Y1461" s="70"/>
      <c r="Z1461" s="83"/>
    </row>
    <row r="1462">
      <c r="A1462" s="94"/>
      <c r="B1462" s="66"/>
      <c r="C1462" s="70"/>
      <c r="D1462" s="68"/>
      <c r="E1462" s="68"/>
      <c r="F1462" s="69"/>
      <c r="G1462" s="70"/>
      <c r="H1462" s="70"/>
      <c r="I1462" s="70"/>
      <c r="J1462" s="70"/>
      <c r="K1462" s="71"/>
      <c r="L1462" s="71"/>
      <c r="M1462" s="71"/>
      <c r="N1462" s="71"/>
      <c r="O1462" s="70"/>
      <c r="P1462" s="73"/>
      <c r="Q1462" s="71"/>
      <c r="R1462" s="71"/>
      <c r="S1462" s="71"/>
      <c r="T1462" s="71"/>
      <c r="U1462" s="71"/>
      <c r="V1462" s="70"/>
      <c r="W1462" s="70"/>
      <c r="X1462" s="70"/>
      <c r="Y1462" s="70"/>
      <c r="Z1462" s="83"/>
    </row>
    <row r="1463">
      <c r="A1463" s="94"/>
      <c r="B1463" s="66"/>
      <c r="C1463" s="70"/>
      <c r="D1463" s="68"/>
      <c r="E1463" s="68"/>
      <c r="F1463" s="69"/>
      <c r="G1463" s="70"/>
      <c r="H1463" s="70"/>
      <c r="I1463" s="70"/>
      <c r="J1463" s="70"/>
      <c r="K1463" s="71"/>
      <c r="L1463" s="71"/>
      <c r="M1463" s="71"/>
      <c r="N1463" s="71"/>
      <c r="O1463" s="70"/>
      <c r="P1463" s="73"/>
      <c r="Q1463" s="71"/>
      <c r="R1463" s="71"/>
      <c r="S1463" s="71"/>
      <c r="T1463" s="71"/>
      <c r="U1463" s="71"/>
      <c r="V1463" s="70"/>
      <c r="W1463" s="70"/>
      <c r="X1463" s="70"/>
      <c r="Y1463" s="70"/>
      <c r="Z1463" s="83"/>
    </row>
    <row r="1464">
      <c r="A1464" s="94"/>
      <c r="B1464" s="66"/>
      <c r="C1464" s="70"/>
      <c r="D1464" s="68"/>
      <c r="E1464" s="68"/>
      <c r="F1464" s="69"/>
      <c r="G1464" s="70"/>
      <c r="H1464" s="70"/>
      <c r="I1464" s="70"/>
      <c r="J1464" s="70"/>
      <c r="K1464" s="71"/>
      <c r="L1464" s="71"/>
      <c r="M1464" s="71"/>
      <c r="N1464" s="71"/>
      <c r="O1464" s="70"/>
      <c r="P1464" s="73"/>
      <c r="Q1464" s="71"/>
      <c r="R1464" s="71"/>
      <c r="S1464" s="71"/>
      <c r="T1464" s="71"/>
      <c r="U1464" s="71"/>
      <c r="V1464" s="70"/>
      <c r="W1464" s="70"/>
      <c r="X1464" s="70"/>
      <c r="Y1464" s="70"/>
      <c r="Z1464" s="83"/>
    </row>
    <row r="1465">
      <c r="A1465" s="94"/>
      <c r="B1465" s="66"/>
      <c r="C1465" s="70"/>
      <c r="D1465" s="68"/>
      <c r="E1465" s="68"/>
      <c r="F1465" s="69"/>
      <c r="G1465" s="70"/>
      <c r="H1465" s="70"/>
      <c r="I1465" s="70"/>
      <c r="J1465" s="70"/>
      <c r="K1465" s="71"/>
      <c r="L1465" s="71"/>
      <c r="M1465" s="71"/>
      <c r="N1465" s="71"/>
      <c r="O1465" s="70"/>
      <c r="P1465" s="73"/>
      <c r="Q1465" s="71"/>
      <c r="R1465" s="71"/>
      <c r="S1465" s="71"/>
      <c r="T1465" s="71"/>
      <c r="U1465" s="71"/>
      <c r="V1465" s="70"/>
      <c r="W1465" s="70"/>
      <c r="X1465" s="70"/>
      <c r="Y1465" s="70"/>
      <c r="Z1465" s="83"/>
    </row>
    <row r="1466">
      <c r="A1466" s="94"/>
      <c r="B1466" s="66"/>
      <c r="C1466" s="70"/>
      <c r="D1466" s="68"/>
      <c r="E1466" s="68"/>
      <c r="F1466" s="69"/>
      <c r="G1466" s="70"/>
      <c r="H1466" s="70"/>
      <c r="I1466" s="70"/>
      <c r="J1466" s="70"/>
      <c r="K1466" s="71"/>
      <c r="L1466" s="71"/>
      <c r="M1466" s="71"/>
      <c r="N1466" s="71"/>
      <c r="O1466" s="70"/>
      <c r="P1466" s="73"/>
      <c r="Q1466" s="71"/>
      <c r="R1466" s="71"/>
      <c r="S1466" s="71"/>
      <c r="T1466" s="71"/>
      <c r="U1466" s="71"/>
      <c r="V1466" s="70"/>
      <c r="W1466" s="70"/>
      <c r="X1466" s="70"/>
      <c r="Y1466" s="70"/>
      <c r="Z1466" s="83"/>
    </row>
    <row r="1467">
      <c r="A1467" s="94"/>
      <c r="B1467" s="66"/>
      <c r="C1467" s="70"/>
      <c r="D1467" s="68"/>
      <c r="E1467" s="68"/>
      <c r="F1467" s="69"/>
      <c r="G1467" s="70"/>
      <c r="H1467" s="70"/>
      <c r="I1467" s="70"/>
      <c r="J1467" s="70"/>
      <c r="K1467" s="71"/>
      <c r="L1467" s="71"/>
      <c r="M1467" s="71"/>
      <c r="N1467" s="71"/>
      <c r="O1467" s="70"/>
      <c r="P1467" s="73"/>
      <c r="Q1467" s="71"/>
      <c r="R1467" s="71"/>
      <c r="S1467" s="71"/>
      <c r="T1467" s="71"/>
      <c r="U1467" s="71"/>
      <c r="V1467" s="70"/>
      <c r="W1467" s="70"/>
      <c r="X1467" s="70"/>
      <c r="Y1467" s="70"/>
      <c r="Z1467" s="83"/>
    </row>
    <row r="1468">
      <c r="A1468" s="94"/>
      <c r="B1468" s="66"/>
      <c r="C1468" s="70"/>
      <c r="D1468" s="68"/>
      <c r="E1468" s="68"/>
      <c r="F1468" s="69"/>
      <c r="G1468" s="70"/>
      <c r="H1468" s="70"/>
      <c r="I1468" s="70"/>
      <c r="J1468" s="70"/>
      <c r="K1468" s="71"/>
      <c r="L1468" s="71"/>
      <c r="M1468" s="71"/>
      <c r="N1468" s="71"/>
      <c r="O1468" s="70"/>
      <c r="P1468" s="73"/>
      <c r="Q1468" s="71"/>
      <c r="R1468" s="71"/>
      <c r="S1468" s="71"/>
      <c r="T1468" s="71"/>
      <c r="U1468" s="71"/>
      <c r="V1468" s="70"/>
      <c r="W1468" s="70"/>
      <c r="X1468" s="70"/>
      <c r="Y1468" s="70"/>
      <c r="Z1468" s="83"/>
    </row>
    <row r="1469">
      <c r="A1469" s="94"/>
      <c r="B1469" s="66"/>
      <c r="C1469" s="70"/>
      <c r="D1469" s="68"/>
      <c r="E1469" s="68"/>
      <c r="F1469" s="69"/>
      <c r="G1469" s="70"/>
      <c r="H1469" s="70"/>
      <c r="I1469" s="70"/>
      <c r="J1469" s="70"/>
      <c r="K1469" s="71"/>
      <c r="L1469" s="71"/>
      <c r="M1469" s="71"/>
      <c r="N1469" s="71"/>
      <c r="O1469" s="70"/>
      <c r="P1469" s="73"/>
      <c r="Q1469" s="71"/>
      <c r="R1469" s="71"/>
      <c r="S1469" s="71"/>
      <c r="T1469" s="71"/>
      <c r="U1469" s="71"/>
      <c r="V1469" s="70"/>
      <c r="W1469" s="70"/>
      <c r="X1469" s="70"/>
      <c r="Y1469" s="70"/>
      <c r="Z1469" s="83"/>
    </row>
    <row r="1470">
      <c r="A1470" s="94"/>
      <c r="B1470" s="66"/>
      <c r="C1470" s="70"/>
      <c r="D1470" s="68"/>
      <c r="E1470" s="68"/>
      <c r="F1470" s="69"/>
      <c r="G1470" s="70"/>
      <c r="H1470" s="70"/>
      <c r="I1470" s="70"/>
      <c r="J1470" s="70"/>
      <c r="K1470" s="71"/>
      <c r="L1470" s="71"/>
      <c r="M1470" s="71"/>
      <c r="N1470" s="71"/>
      <c r="O1470" s="70"/>
      <c r="P1470" s="73"/>
      <c r="Q1470" s="71"/>
      <c r="R1470" s="71"/>
      <c r="S1470" s="71"/>
      <c r="T1470" s="71"/>
      <c r="U1470" s="71"/>
      <c r="V1470" s="70"/>
      <c r="W1470" s="70"/>
      <c r="X1470" s="70"/>
      <c r="Y1470" s="70"/>
      <c r="Z1470" s="83"/>
    </row>
    <row r="1471">
      <c r="A1471" s="94"/>
      <c r="B1471" s="66"/>
      <c r="C1471" s="70"/>
      <c r="D1471" s="68"/>
      <c r="E1471" s="68"/>
      <c r="F1471" s="69"/>
      <c r="G1471" s="70"/>
      <c r="H1471" s="70"/>
      <c r="I1471" s="70"/>
      <c r="J1471" s="70"/>
      <c r="K1471" s="71"/>
      <c r="L1471" s="71"/>
      <c r="M1471" s="71"/>
      <c r="N1471" s="71"/>
      <c r="O1471" s="70"/>
      <c r="P1471" s="73"/>
      <c r="Q1471" s="71"/>
      <c r="R1471" s="71"/>
      <c r="S1471" s="71"/>
      <c r="T1471" s="71"/>
      <c r="U1471" s="71"/>
      <c r="V1471" s="70"/>
      <c r="W1471" s="70"/>
      <c r="X1471" s="70"/>
      <c r="Y1471" s="70"/>
      <c r="Z1471" s="83"/>
    </row>
    <row r="1472">
      <c r="A1472" s="94"/>
      <c r="B1472" s="66"/>
      <c r="C1472" s="70"/>
      <c r="D1472" s="68"/>
      <c r="E1472" s="68"/>
      <c r="F1472" s="69"/>
      <c r="G1472" s="70"/>
      <c r="H1472" s="70"/>
      <c r="I1472" s="70"/>
      <c r="J1472" s="70"/>
      <c r="K1472" s="71"/>
      <c r="L1472" s="71"/>
      <c r="M1472" s="71"/>
      <c r="N1472" s="71"/>
      <c r="O1472" s="70"/>
      <c r="P1472" s="73"/>
      <c r="Q1472" s="71"/>
      <c r="R1472" s="71"/>
      <c r="S1472" s="71"/>
      <c r="T1472" s="71"/>
      <c r="U1472" s="71"/>
      <c r="V1472" s="70"/>
      <c r="W1472" s="70"/>
      <c r="X1472" s="70"/>
      <c r="Y1472" s="70"/>
      <c r="Z1472" s="83"/>
    </row>
    <row r="1473">
      <c r="A1473" s="94"/>
      <c r="B1473" s="66"/>
      <c r="C1473" s="70"/>
      <c r="D1473" s="68"/>
      <c r="E1473" s="68"/>
      <c r="F1473" s="69"/>
      <c r="G1473" s="70"/>
      <c r="H1473" s="70"/>
      <c r="I1473" s="70"/>
      <c r="J1473" s="70"/>
      <c r="K1473" s="71"/>
      <c r="L1473" s="71"/>
      <c r="M1473" s="71"/>
      <c r="N1473" s="71"/>
      <c r="O1473" s="70"/>
      <c r="P1473" s="73"/>
      <c r="Q1473" s="71"/>
      <c r="R1473" s="71"/>
      <c r="S1473" s="71"/>
      <c r="T1473" s="71"/>
      <c r="U1473" s="71"/>
      <c r="V1473" s="70"/>
      <c r="W1473" s="70"/>
      <c r="X1473" s="70"/>
      <c r="Y1473" s="70"/>
      <c r="Z1473" s="83"/>
    </row>
    <row r="1474">
      <c r="A1474" s="94"/>
      <c r="B1474" s="66"/>
      <c r="C1474" s="70"/>
      <c r="D1474" s="68"/>
      <c r="E1474" s="68"/>
      <c r="F1474" s="69"/>
      <c r="G1474" s="70"/>
      <c r="H1474" s="70"/>
      <c r="I1474" s="70"/>
      <c r="J1474" s="70"/>
      <c r="K1474" s="71"/>
      <c r="L1474" s="71"/>
      <c r="M1474" s="71"/>
      <c r="N1474" s="71"/>
      <c r="O1474" s="70"/>
      <c r="P1474" s="73"/>
      <c r="Q1474" s="71"/>
      <c r="R1474" s="71"/>
      <c r="S1474" s="71"/>
      <c r="T1474" s="71"/>
      <c r="U1474" s="71"/>
      <c r="V1474" s="70"/>
      <c r="W1474" s="70"/>
      <c r="X1474" s="70"/>
      <c r="Y1474" s="70"/>
      <c r="Z1474" s="83"/>
    </row>
    <row r="1475">
      <c r="A1475" s="94"/>
      <c r="B1475" s="66"/>
      <c r="C1475" s="70"/>
      <c r="D1475" s="68"/>
      <c r="E1475" s="68"/>
      <c r="F1475" s="69"/>
      <c r="G1475" s="70"/>
      <c r="H1475" s="70"/>
      <c r="I1475" s="70"/>
      <c r="J1475" s="70"/>
      <c r="K1475" s="71"/>
      <c r="L1475" s="71"/>
      <c r="M1475" s="71"/>
      <c r="N1475" s="71"/>
      <c r="O1475" s="70"/>
      <c r="P1475" s="73"/>
      <c r="Q1475" s="71"/>
      <c r="R1475" s="71"/>
      <c r="S1475" s="71"/>
      <c r="T1475" s="71"/>
      <c r="U1475" s="71"/>
      <c r="V1475" s="70"/>
      <c r="W1475" s="70"/>
      <c r="X1475" s="70"/>
      <c r="Y1475" s="70"/>
      <c r="Z1475" s="83"/>
    </row>
    <row r="1476">
      <c r="A1476" s="94"/>
      <c r="B1476" s="66"/>
      <c r="C1476" s="70"/>
      <c r="D1476" s="68"/>
      <c r="E1476" s="68"/>
      <c r="F1476" s="69"/>
      <c r="G1476" s="70"/>
      <c r="H1476" s="70"/>
      <c r="I1476" s="70"/>
      <c r="J1476" s="70"/>
      <c r="K1476" s="71"/>
      <c r="L1476" s="71"/>
      <c r="M1476" s="71"/>
      <c r="N1476" s="71"/>
      <c r="O1476" s="70"/>
      <c r="P1476" s="73"/>
      <c r="Q1476" s="71"/>
      <c r="R1476" s="71"/>
      <c r="S1476" s="71"/>
      <c r="T1476" s="71"/>
      <c r="U1476" s="71"/>
      <c r="V1476" s="70"/>
      <c r="W1476" s="70"/>
      <c r="X1476" s="70"/>
      <c r="Y1476" s="70"/>
      <c r="Z1476" s="83"/>
    </row>
    <row r="1477">
      <c r="A1477" s="94"/>
      <c r="B1477" s="66"/>
      <c r="C1477" s="70"/>
      <c r="D1477" s="68"/>
      <c r="E1477" s="68"/>
      <c r="F1477" s="69"/>
      <c r="G1477" s="70"/>
      <c r="H1477" s="70"/>
      <c r="I1477" s="70"/>
      <c r="J1477" s="70"/>
      <c r="K1477" s="71"/>
      <c r="L1477" s="71"/>
      <c r="M1477" s="71"/>
      <c r="N1477" s="71"/>
      <c r="O1477" s="70"/>
      <c r="P1477" s="73"/>
      <c r="Q1477" s="71"/>
      <c r="R1477" s="71"/>
      <c r="S1477" s="71"/>
      <c r="T1477" s="71"/>
      <c r="U1477" s="71"/>
      <c r="V1477" s="70"/>
      <c r="W1477" s="70"/>
      <c r="X1477" s="70"/>
      <c r="Y1477" s="70"/>
      <c r="Z1477" s="83"/>
    </row>
    <row r="1478">
      <c r="A1478" s="94"/>
      <c r="B1478" s="66"/>
      <c r="C1478" s="70"/>
      <c r="D1478" s="68"/>
      <c r="E1478" s="68"/>
      <c r="F1478" s="69"/>
      <c r="G1478" s="70"/>
      <c r="H1478" s="70"/>
      <c r="I1478" s="70"/>
      <c r="J1478" s="70"/>
      <c r="K1478" s="71"/>
      <c r="L1478" s="71"/>
      <c r="M1478" s="71"/>
      <c r="N1478" s="71"/>
      <c r="O1478" s="70"/>
      <c r="P1478" s="73"/>
      <c r="Q1478" s="71"/>
      <c r="R1478" s="71"/>
      <c r="S1478" s="71"/>
      <c r="T1478" s="71"/>
      <c r="U1478" s="71"/>
      <c r="V1478" s="70"/>
      <c r="W1478" s="70"/>
      <c r="X1478" s="70"/>
      <c r="Y1478" s="70"/>
      <c r="Z1478" s="83"/>
    </row>
    <row r="1479">
      <c r="A1479" s="94"/>
      <c r="B1479" s="66"/>
      <c r="C1479" s="70"/>
      <c r="D1479" s="68"/>
      <c r="E1479" s="68"/>
      <c r="F1479" s="69"/>
      <c r="G1479" s="70"/>
      <c r="H1479" s="70"/>
      <c r="I1479" s="70"/>
      <c r="J1479" s="70"/>
      <c r="K1479" s="71"/>
      <c r="L1479" s="71"/>
      <c r="M1479" s="71"/>
      <c r="N1479" s="71"/>
      <c r="O1479" s="70"/>
      <c r="P1479" s="73"/>
      <c r="Q1479" s="71"/>
      <c r="R1479" s="71"/>
      <c r="S1479" s="71"/>
      <c r="T1479" s="71"/>
      <c r="U1479" s="71"/>
      <c r="V1479" s="70"/>
      <c r="W1479" s="70"/>
      <c r="X1479" s="70"/>
      <c r="Y1479" s="70"/>
      <c r="Z1479" s="83"/>
    </row>
    <row r="1480">
      <c r="A1480" s="94"/>
      <c r="B1480" s="66"/>
      <c r="C1480" s="70"/>
      <c r="D1480" s="68"/>
      <c r="E1480" s="68"/>
      <c r="F1480" s="69"/>
      <c r="G1480" s="70"/>
      <c r="H1480" s="70"/>
      <c r="I1480" s="70"/>
      <c r="J1480" s="70"/>
      <c r="K1480" s="71"/>
      <c r="L1480" s="71"/>
      <c r="M1480" s="71"/>
      <c r="N1480" s="71"/>
      <c r="O1480" s="70"/>
      <c r="P1480" s="73"/>
      <c r="Q1480" s="71"/>
      <c r="R1480" s="71"/>
      <c r="S1480" s="71"/>
      <c r="T1480" s="71"/>
      <c r="U1480" s="71"/>
      <c r="V1480" s="70"/>
      <c r="W1480" s="70"/>
      <c r="X1480" s="70"/>
      <c r="Y1480" s="70"/>
      <c r="Z1480" s="83"/>
    </row>
    <row r="1481">
      <c r="A1481" s="94"/>
      <c r="B1481" s="66"/>
      <c r="C1481" s="70"/>
      <c r="D1481" s="68"/>
      <c r="E1481" s="68"/>
      <c r="F1481" s="69"/>
      <c r="G1481" s="70"/>
      <c r="H1481" s="70"/>
      <c r="I1481" s="70"/>
      <c r="J1481" s="70"/>
      <c r="K1481" s="71"/>
      <c r="L1481" s="71"/>
      <c r="M1481" s="71"/>
      <c r="N1481" s="71"/>
      <c r="O1481" s="70"/>
      <c r="P1481" s="73"/>
      <c r="Q1481" s="71"/>
      <c r="R1481" s="71"/>
      <c r="S1481" s="71"/>
      <c r="T1481" s="71"/>
      <c r="U1481" s="71"/>
      <c r="V1481" s="70"/>
      <c r="W1481" s="70"/>
      <c r="X1481" s="70"/>
      <c r="Y1481" s="70"/>
      <c r="Z1481" s="83"/>
    </row>
    <row r="1482">
      <c r="A1482" s="94"/>
      <c r="B1482" s="66"/>
      <c r="C1482" s="70"/>
      <c r="D1482" s="68"/>
      <c r="E1482" s="68"/>
      <c r="F1482" s="69"/>
      <c r="G1482" s="70"/>
      <c r="H1482" s="70"/>
      <c r="I1482" s="70"/>
      <c r="J1482" s="70"/>
      <c r="K1482" s="71"/>
      <c r="L1482" s="71"/>
      <c r="M1482" s="71"/>
      <c r="N1482" s="71"/>
      <c r="O1482" s="70"/>
      <c r="P1482" s="73"/>
      <c r="Q1482" s="71"/>
      <c r="R1482" s="71"/>
      <c r="S1482" s="71"/>
      <c r="T1482" s="71"/>
      <c r="U1482" s="71"/>
      <c r="V1482" s="70"/>
      <c r="W1482" s="70"/>
      <c r="X1482" s="70"/>
      <c r="Y1482" s="70"/>
      <c r="Z1482" s="83"/>
    </row>
    <row r="1483">
      <c r="A1483" s="94"/>
      <c r="B1483" s="66"/>
      <c r="C1483" s="70"/>
      <c r="D1483" s="68"/>
      <c r="E1483" s="68"/>
      <c r="F1483" s="69"/>
      <c r="G1483" s="70"/>
      <c r="H1483" s="70"/>
      <c r="I1483" s="70"/>
      <c r="J1483" s="70"/>
      <c r="K1483" s="71"/>
      <c r="L1483" s="71"/>
      <c r="M1483" s="71"/>
      <c r="N1483" s="71"/>
      <c r="O1483" s="70"/>
      <c r="P1483" s="73"/>
      <c r="Q1483" s="71"/>
      <c r="R1483" s="71"/>
      <c r="S1483" s="71"/>
      <c r="T1483" s="71"/>
      <c r="U1483" s="71"/>
      <c r="V1483" s="70"/>
      <c r="W1483" s="70"/>
      <c r="X1483" s="70"/>
      <c r="Y1483" s="70"/>
      <c r="Z1483" s="83"/>
    </row>
    <row r="1484">
      <c r="A1484" s="94"/>
      <c r="B1484" s="66"/>
      <c r="C1484" s="70"/>
      <c r="D1484" s="68"/>
      <c r="E1484" s="68"/>
      <c r="F1484" s="69"/>
      <c r="G1484" s="70"/>
      <c r="H1484" s="70"/>
      <c r="I1484" s="70"/>
      <c r="J1484" s="70"/>
      <c r="K1484" s="71"/>
      <c r="L1484" s="71"/>
      <c r="M1484" s="71"/>
      <c r="N1484" s="71"/>
      <c r="O1484" s="70"/>
      <c r="P1484" s="73"/>
      <c r="Q1484" s="71"/>
      <c r="R1484" s="71"/>
      <c r="S1484" s="71"/>
      <c r="T1484" s="71"/>
      <c r="U1484" s="71"/>
      <c r="V1484" s="70"/>
      <c r="W1484" s="70"/>
      <c r="X1484" s="70"/>
      <c r="Y1484" s="70"/>
      <c r="Z1484" s="83"/>
    </row>
    <row r="1485">
      <c r="A1485" s="94"/>
      <c r="B1485" s="66"/>
      <c r="C1485" s="70"/>
      <c r="D1485" s="68"/>
      <c r="E1485" s="68"/>
      <c r="F1485" s="69"/>
      <c r="G1485" s="70"/>
      <c r="H1485" s="70"/>
      <c r="I1485" s="70"/>
      <c r="J1485" s="70"/>
      <c r="K1485" s="71"/>
      <c r="L1485" s="71"/>
      <c r="M1485" s="71"/>
      <c r="N1485" s="71"/>
      <c r="O1485" s="70"/>
      <c r="P1485" s="73"/>
      <c r="Q1485" s="71"/>
      <c r="R1485" s="71"/>
      <c r="S1485" s="71"/>
      <c r="T1485" s="71"/>
      <c r="U1485" s="71"/>
      <c r="V1485" s="70"/>
      <c r="W1485" s="70"/>
      <c r="X1485" s="70"/>
      <c r="Y1485" s="70"/>
      <c r="Z1485" s="83"/>
    </row>
    <row r="1486">
      <c r="A1486" s="94"/>
      <c r="B1486" s="66"/>
      <c r="C1486" s="70"/>
      <c r="D1486" s="68"/>
      <c r="E1486" s="68"/>
      <c r="F1486" s="69"/>
      <c r="G1486" s="70"/>
      <c r="H1486" s="70"/>
      <c r="I1486" s="70"/>
      <c r="J1486" s="70"/>
      <c r="K1486" s="71"/>
      <c r="L1486" s="71"/>
      <c r="M1486" s="71"/>
      <c r="N1486" s="71"/>
      <c r="O1486" s="70"/>
      <c r="P1486" s="73"/>
      <c r="Q1486" s="71"/>
      <c r="R1486" s="71"/>
      <c r="S1486" s="71"/>
      <c r="T1486" s="71"/>
      <c r="U1486" s="71"/>
      <c r="V1486" s="70"/>
      <c r="W1486" s="70"/>
      <c r="X1486" s="70"/>
      <c r="Y1486" s="70"/>
      <c r="Z1486" s="83"/>
    </row>
    <row r="1487">
      <c r="A1487" s="94"/>
      <c r="B1487" s="66"/>
      <c r="C1487" s="70"/>
      <c r="D1487" s="68"/>
      <c r="E1487" s="68"/>
      <c r="F1487" s="69"/>
      <c r="G1487" s="70"/>
      <c r="H1487" s="70"/>
      <c r="I1487" s="70"/>
      <c r="J1487" s="70"/>
      <c r="K1487" s="71"/>
      <c r="L1487" s="71"/>
      <c r="M1487" s="71"/>
      <c r="N1487" s="71"/>
      <c r="O1487" s="70"/>
      <c r="P1487" s="73"/>
      <c r="Q1487" s="71"/>
      <c r="R1487" s="71"/>
      <c r="S1487" s="71"/>
      <c r="T1487" s="71"/>
      <c r="U1487" s="71"/>
      <c r="V1487" s="70"/>
      <c r="W1487" s="70"/>
      <c r="X1487" s="70"/>
      <c r="Y1487" s="70"/>
      <c r="Z1487" s="83"/>
    </row>
    <row r="1488">
      <c r="A1488" s="94"/>
      <c r="B1488" s="66"/>
      <c r="C1488" s="70"/>
      <c r="D1488" s="68"/>
      <c r="E1488" s="68"/>
      <c r="F1488" s="69"/>
      <c r="G1488" s="70"/>
      <c r="H1488" s="70"/>
      <c r="I1488" s="70"/>
      <c r="J1488" s="70"/>
      <c r="K1488" s="71"/>
      <c r="L1488" s="71"/>
      <c r="M1488" s="71"/>
      <c r="N1488" s="71"/>
      <c r="O1488" s="70"/>
      <c r="P1488" s="73"/>
      <c r="Q1488" s="71"/>
      <c r="R1488" s="71"/>
      <c r="S1488" s="71"/>
      <c r="T1488" s="71"/>
      <c r="U1488" s="71"/>
      <c r="V1488" s="70"/>
      <c r="W1488" s="70"/>
      <c r="X1488" s="70"/>
      <c r="Y1488" s="70"/>
      <c r="Z1488" s="83"/>
    </row>
    <row r="1489">
      <c r="A1489" s="94"/>
      <c r="B1489" s="66"/>
      <c r="C1489" s="70"/>
      <c r="D1489" s="68"/>
      <c r="E1489" s="68"/>
      <c r="F1489" s="69"/>
      <c r="G1489" s="70"/>
      <c r="H1489" s="70"/>
      <c r="I1489" s="70"/>
      <c r="J1489" s="70"/>
      <c r="K1489" s="71"/>
      <c r="L1489" s="71"/>
      <c r="M1489" s="71"/>
      <c r="N1489" s="71"/>
      <c r="O1489" s="70"/>
      <c r="P1489" s="73"/>
      <c r="Q1489" s="71"/>
      <c r="R1489" s="71"/>
      <c r="S1489" s="71"/>
      <c r="T1489" s="71"/>
      <c r="U1489" s="71"/>
      <c r="V1489" s="70"/>
      <c r="W1489" s="70"/>
      <c r="X1489" s="70"/>
      <c r="Y1489" s="70"/>
      <c r="Z1489" s="83"/>
    </row>
    <row r="1490">
      <c r="A1490" s="94"/>
      <c r="B1490" s="66"/>
      <c r="C1490" s="70"/>
      <c r="D1490" s="68"/>
      <c r="E1490" s="68"/>
      <c r="F1490" s="69"/>
      <c r="G1490" s="70"/>
      <c r="H1490" s="70"/>
      <c r="I1490" s="70"/>
      <c r="J1490" s="70"/>
      <c r="K1490" s="71"/>
      <c r="L1490" s="71"/>
      <c r="M1490" s="71"/>
      <c r="N1490" s="71"/>
      <c r="O1490" s="70"/>
      <c r="P1490" s="73"/>
      <c r="Q1490" s="71"/>
      <c r="R1490" s="71"/>
      <c r="S1490" s="71"/>
      <c r="T1490" s="71"/>
      <c r="U1490" s="71"/>
      <c r="V1490" s="70"/>
      <c r="W1490" s="70"/>
      <c r="X1490" s="70"/>
      <c r="Y1490" s="70"/>
      <c r="Z1490" s="83"/>
    </row>
    <row r="1491">
      <c r="A1491" s="94"/>
      <c r="B1491" s="66"/>
      <c r="C1491" s="70"/>
      <c r="D1491" s="68"/>
      <c r="E1491" s="68"/>
      <c r="F1491" s="69"/>
      <c r="G1491" s="70"/>
      <c r="H1491" s="70"/>
      <c r="I1491" s="70"/>
      <c r="J1491" s="70"/>
      <c r="K1491" s="71"/>
      <c r="L1491" s="71"/>
      <c r="M1491" s="71"/>
      <c r="N1491" s="71"/>
      <c r="O1491" s="70"/>
      <c r="P1491" s="73"/>
      <c r="Q1491" s="71"/>
      <c r="R1491" s="71"/>
      <c r="S1491" s="71"/>
      <c r="T1491" s="71"/>
      <c r="U1491" s="71"/>
      <c r="V1491" s="70"/>
      <c r="W1491" s="70"/>
      <c r="X1491" s="70"/>
      <c r="Y1491" s="70"/>
      <c r="Z1491" s="83"/>
    </row>
    <row r="1492">
      <c r="A1492" s="94"/>
      <c r="B1492" s="66"/>
      <c r="C1492" s="70"/>
      <c r="D1492" s="68"/>
      <c r="E1492" s="68"/>
      <c r="F1492" s="69"/>
      <c r="G1492" s="70"/>
      <c r="H1492" s="70"/>
      <c r="I1492" s="70"/>
      <c r="J1492" s="70"/>
      <c r="K1492" s="71"/>
      <c r="L1492" s="71"/>
      <c r="M1492" s="71"/>
      <c r="N1492" s="71"/>
      <c r="O1492" s="70"/>
      <c r="P1492" s="73"/>
      <c r="Q1492" s="71"/>
      <c r="R1492" s="71"/>
      <c r="S1492" s="71"/>
      <c r="T1492" s="71"/>
      <c r="U1492" s="71"/>
      <c r="V1492" s="70"/>
      <c r="W1492" s="70"/>
      <c r="X1492" s="70"/>
      <c r="Y1492" s="70"/>
      <c r="Z1492" s="83"/>
    </row>
    <row r="1493">
      <c r="A1493" s="94"/>
      <c r="B1493" s="66"/>
      <c r="C1493" s="70"/>
      <c r="D1493" s="68"/>
      <c r="E1493" s="68"/>
      <c r="F1493" s="69"/>
      <c r="G1493" s="70"/>
      <c r="H1493" s="70"/>
      <c r="I1493" s="70"/>
      <c r="J1493" s="70"/>
      <c r="K1493" s="71"/>
      <c r="L1493" s="71"/>
      <c r="M1493" s="71"/>
      <c r="N1493" s="71"/>
      <c r="O1493" s="70"/>
      <c r="P1493" s="73"/>
      <c r="Q1493" s="71"/>
      <c r="R1493" s="71"/>
      <c r="S1493" s="71"/>
      <c r="T1493" s="71"/>
      <c r="U1493" s="71"/>
      <c r="V1493" s="70"/>
      <c r="W1493" s="70"/>
      <c r="X1493" s="70"/>
      <c r="Y1493" s="70"/>
      <c r="Z1493" s="83"/>
    </row>
    <row r="1494">
      <c r="A1494" s="94"/>
      <c r="B1494" s="66"/>
      <c r="C1494" s="70"/>
      <c r="D1494" s="68"/>
      <c r="E1494" s="68"/>
      <c r="F1494" s="69"/>
      <c r="G1494" s="70"/>
      <c r="H1494" s="70"/>
      <c r="I1494" s="70"/>
      <c r="J1494" s="70"/>
      <c r="K1494" s="71"/>
      <c r="L1494" s="71"/>
      <c r="M1494" s="71"/>
      <c r="N1494" s="71"/>
      <c r="O1494" s="70"/>
      <c r="P1494" s="73"/>
      <c r="Q1494" s="71"/>
      <c r="R1494" s="71"/>
      <c r="S1494" s="71"/>
      <c r="T1494" s="71"/>
      <c r="U1494" s="71"/>
      <c r="V1494" s="70"/>
      <c r="W1494" s="70"/>
      <c r="X1494" s="70"/>
      <c r="Y1494" s="70"/>
      <c r="Z1494" s="83"/>
    </row>
    <row r="1495">
      <c r="A1495" s="94"/>
      <c r="B1495" s="66"/>
      <c r="C1495" s="70"/>
      <c r="D1495" s="68"/>
      <c r="E1495" s="68"/>
      <c r="F1495" s="69"/>
      <c r="G1495" s="70"/>
      <c r="H1495" s="70"/>
      <c r="I1495" s="70"/>
      <c r="J1495" s="70"/>
      <c r="K1495" s="71"/>
      <c r="L1495" s="71"/>
      <c r="M1495" s="71"/>
      <c r="N1495" s="71"/>
      <c r="O1495" s="70"/>
      <c r="P1495" s="73"/>
      <c r="Q1495" s="71"/>
      <c r="R1495" s="71"/>
      <c r="S1495" s="71"/>
      <c r="T1495" s="71"/>
      <c r="U1495" s="71"/>
      <c r="V1495" s="70"/>
      <c r="W1495" s="70"/>
      <c r="X1495" s="70"/>
      <c r="Y1495" s="70"/>
      <c r="Z1495" s="83"/>
    </row>
    <row r="1496">
      <c r="A1496" s="94"/>
      <c r="B1496" s="66"/>
      <c r="C1496" s="70"/>
      <c r="D1496" s="68"/>
      <c r="E1496" s="68"/>
      <c r="F1496" s="69"/>
      <c r="G1496" s="70"/>
      <c r="H1496" s="70"/>
      <c r="I1496" s="70"/>
      <c r="J1496" s="70"/>
      <c r="K1496" s="71"/>
      <c r="L1496" s="71"/>
      <c r="M1496" s="71"/>
      <c r="N1496" s="71"/>
      <c r="O1496" s="70"/>
      <c r="P1496" s="73"/>
      <c r="Q1496" s="71"/>
      <c r="R1496" s="71"/>
      <c r="S1496" s="71"/>
      <c r="T1496" s="71"/>
      <c r="U1496" s="71"/>
      <c r="V1496" s="70"/>
      <c r="W1496" s="70"/>
      <c r="X1496" s="70"/>
      <c r="Y1496" s="70"/>
      <c r="Z1496" s="83"/>
    </row>
    <row r="1497">
      <c r="A1497" s="94"/>
      <c r="B1497" s="66"/>
      <c r="C1497" s="70"/>
      <c r="D1497" s="68"/>
      <c r="E1497" s="68"/>
      <c r="F1497" s="69"/>
      <c r="G1497" s="70"/>
      <c r="H1497" s="70"/>
      <c r="I1497" s="70"/>
      <c r="J1497" s="70"/>
      <c r="K1497" s="71"/>
      <c r="L1497" s="71"/>
      <c r="M1497" s="71"/>
      <c r="N1497" s="71"/>
      <c r="O1497" s="70"/>
      <c r="P1497" s="73"/>
      <c r="Q1497" s="71"/>
      <c r="R1497" s="71"/>
      <c r="S1497" s="71"/>
      <c r="T1497" s="71"/>
      <c r="U1497" s="71"/>
      <c r="V1497" s="70"/>
      <c r="W1497" s="70"/>
      <c r="X1497" s="70"/>
      <c r="Y1497" s="70"/>
      <c r="Z1497" s="83"/>
    </row>
    <row r="1498">
      <c r="A1498" s="94"/>
      <c r="B1498" s="66"/>
      <c r="C1498" s="70"/>
      <c r="D1498" s="68"/>
      <c r="E1498" s="68"/>
      <c r="F1498" s="69"/>
      <c r="G1498" s="70"/>
      <c r="H1498" s="70"/>
      <c r="I1498" s="70"/>
      <c r="J1498" s="70"/>
      <c r="K1498" s="71"/>
      <c r="L1498" s="71"/>
      <c r="M1498" s="71"/>
      <c r="N1498" s="71"/>
      <c r="O1498" s="70"/>
      <c r="P1498" s="73"/>
      <c r="Q1498" s="71"/>
      <c r="R1498" s="71"/>
      <c r="S1498" s="71"/>
      <c r="T1498" s="71"/>
      <c r="U1498" s="71"/>
      <c r="V1498" s="70"/>
      <c r="W1498" s="70"/>
      <c r="X1498" s="70"/>
      <c r="Y1498" s="70"/>
      <c r="Z1498" s="83"/>
    </row>
    <row r="1499">
      <c r="A1499" s="94"/>
      <c r="B1499" s="66"/>
      <c r="C1499" s="70"/>
      <c r="D1499" s="68"/>
      <c r="E1499" s="68"/>
      <c r="F1499" s="69"/>
      <c r="G1499" s="70"/>
      <c r="H1499" s="70"/>
      <c r="I1499" s="70"/>
      <c r="J1499" s="70"/>
      <c r="K1499" s="71"/>
      <c r="L1499" s="71"/>
      <c r="M1499" s="71"/>
      <c r="N1499" s="71"/>
      <c r="O1499" s="70"/>
      <c r="P1499" s="73"/>
      <c r="Q1499" s="71"/>
      <c r="R1499" s="71"/>
      <c r="S1499" s="71"/>
      <c r="T1499" s="71"/>
      <c r="U1499" s="71"/>
      <c r="V1499" s="70"/>
      <c r="W1499" s="70"/>
      <c r="X1499" s="70"/>
      <c r="Y1499" s="70"/>
      <c r="Z1499" s="83"/>
    </row>
    <row r="1500">
      <c r="A1500" s="94"/>
      <c r="B1500" s="66"/>
      <c r="C1500" s="70"/>
      <c r="D1500" s="68"/>
      <c r="E1500" s="68"/>
      <c r="F1500" s="69"/>
      <c r="G1500" s="70"/>
      <c r="H1500" s="70"/>
      <c r="I1500" s="70"/>
      <c r="J1500" s="70"/>
      <c r="K1500" s="71"/>
      <c r="L1500" s="71"/>
      <c r="M1500" s="71"/>
      <c r="N1500" s="71"/>
      <c r="O1500" s="70"/>
      <c r="P1500" s="73"/>
      <c r="Q1500" s="71"/>
      <c r="R1500" s="71"/>
      <c r="S1500" s="71"/>
      <c r="T1500" s="71"/>
      <c r="U1500" s="71"/>
      <c r="V1500" s="70"/>
      <c r="W1500" s="70"/>
      <c r="X1500" s="70"/>
      <c r="Y1500" s="70"/>
      <c r="Z1500" s="83"/>
    </row>
    <row r="1501">
      <c r="A1501" s="94"/>
      <c r="B1501" s="66"/>
      <c r="C1501" s="70"/>
      <c r="D1501" s="68"/>
      <c r="E1501" s="68"/>
      <c r="F1501" s="69"/>
      <c r="G1501" s="70"/>
      <c r="H1501" s="70"/>
      <c r="I1501" s="70"/>
      <c r="J1501" s="70"/>
      <c r="K1501" s="71"/>
      <c r="L1501" s="71"/>
      <c r="M1501" s="71"/>
      <c r="N1501" s="71"/>
      <c r="O1501" s="70"/>
      <c r="P1501" s="73"/>
      <c r="Q1501" s="71"/>
      <c r="R1501" s="71"/>
      <c r="S1501" s="71"/>
      <c r="T1501" s="71"/>
      <c r="U1501" s="71"/>
      <c r="V1501" s="70"/>
      <c r="W1501" s="70"/>
      <c r="X1501" s="70"/>
      <c r="Y1501" s="70"/>
      <c r="Z1501" s="102"/>
    </row>
    <row r="1502">
      <c r="A1502" s="94"/>
      <c r="B1502" s="66"/>
      <c r="C1502" s="70"/>
      <c r="D1502" s="68"/>
      <c r="E1502" s="68"/>
      <c r="F1502" s="69"/>
      <c r="G1502" s="70"/>
      <c r="H1502" s="70"/>
      <c r="I1502" s="70"/>
      <c r="J1502" s="70"/>
      <c r="K1502" s="71"/>
      <c r="L1502" s="71"/>
      <c r="M1502" s="71"/>
      <c r="N1502" s="71"/>
      <c r="O1502" s="70"/>
      <c r="P1502" s="73"/>
      <c r="Q1502" s="71"/>
      <c r="R1502" s="71"/>
      <c r="S1502" s="71"/>
      <c r="T1502" s="71"/>
      <c r="U1502" s="71"/>
      <c r="V1502" s="70"/>
      <c r="W1502" s="70"/>
      <c r="X1502" s="70"/>
      <c r="Y1502" s="70"/>
      <c r="Z1502" s="102"/>
    </row>
    <row r="1503">
      <c r="A1503" s="94"/>
      <c r="B1503" s="66"/>
      <c r="C1503" s="70"/>
      <c r="D1503" s="68"/>
      <c r="E1503" s="68"/>
      <c r="F1503" s="69"/>
      <c r="G1503" s="70"/>
      <c r="H1503" s="70"/>
      <c r="I1503" s="70"/>
      <c r="J1503" s="70"/>
      <c r="K1503" s="71"/>
      <c r="L1503" s="71"/>
      <c r="M1503" s="71"/>
      <c r="N1503" s="71"/>
      <c r="O1503" s="70"/>
      <c r="P1503" s="73"/>
      <c r="Q1503" s="71"/>
      <c r="R1503" s="71"/>
      <c r="S1503" s="71"/>
      <c r="T1503" s="71"/>
      <c r="U1503" s="71"/>
      <c r="V1503" s="70"/>
      <c r="W1503" s="70"/>
      <c r="X1503" s="70"/>
      <c r="Y1503" s="70"/>
      <c r="Z1503" s="102"/>
    </row>
    <row r="1504">
      <c r="A1504" s="94"/>
      <c r="B1504" s="66"/>
      <c r="C1504" s="70"/>
      <c r="D1504" s="68"/>
      <c r="E1504" s="68"/>
      <c r="F1504" s="69"/>
      <c r="G1504" s="70"/>
      <c r="H1504" s="70"/>
      <c r="I1504" s="70"/>
      <c r="J1504" s="70"/>
      <c r="K1504" s="71"/>
      <c r="L1504" s="71"/>
      <c r="M1504" s="71"/>
      <c r="N1504" s="71"/>
      <c r="O1504" s="70"/>
      <c r="P1504" s="73"/>
      <c r="Q1504" s="71"/>
      <c r="R1504" s="71"/>
      <c r="S1504" s="71"/>
      <c r="T1504" s="71"/>
      <c r="U1504" s="71"/>
      <c r="V1504" s="70"/>
      <c r="W1504" s="70"/>
      <c r="X1504" s="70"/>
      <c r="Y1504" s="70"/>
      <c r="Z1504" s="102"/>
    </row>
    <row r="1505">
      <c r="A1505" s="94"/>
      <c r="B1505" s="66"/>
      <c r="C1505" s="70"/>
      <c r="D1505" s="68"/>
      <c r="E1505" s="68"/>
      <c r="F1505" s="69"/>
      <c r="G1505" s="70"/>
      <c r="H1505" s="70"/>
      <c r="I1505" s="70"/>
      <c r="J1505" s="70"/>
      <c r="K1505" s="71"/>
      <c r="L1505" s="71"/>
      <c r="M1505" s="71"/>
      <c r="N1505" s="71"/>
      <c r="O1505" s="70"/>
      <c r="P1505" s="73"/>
      <c r="Q1505" s="71"/>
      <c r="R1505" s="71"/>
      <c r="S1505" s="71"/>
      <c r="T1505" s="71"/>
      <c r="U1505" s="71"/>
      <c r="V1505" s="70"/>
      <c r="W1505" s="70"/>
      <c r="X1505" s="70"/>
      <c r="Y1505" s="70"/>
      <c r="Z1505" s="102"/>
    </row>
    <row r="1506">
      <c r="A1506" s="94"/>
      <c r="B1506" s="66"/>
      <c r="C1506" s="70"/>
      <c r="D1506" s="68"/>
      <c r="E1506" s="68"/>
      <c r="F1506" s="69"/>
      <c r="G1506" s="70"/>
      <c r="H1506" s="70"/>
      <c r="I1506" s="70"/>
      <c r="J1506" s="70"/>
      <c r="K1506" s="71"/>
      <c r="L1506" s="71"/>
      <c r="M1506" s="71"/>
      <c r="N1506" s="71"/>
      <c r="O1506" s="70"/>
      <c r="P1506" s="73"/>
      <c r="Q1506" s="71"/>
      <c r="R1506" s="71"/>
      <c r="S1506" s="71"/>
      <c r="T1506" s="71"/>
      <c r="U1506" s="71"/>
      <c r="V1506" s="70"/>
      <c r="W1506" s="70"/>
      <c r="X1506" s="70"/>
      <c r="Y1506" s="70"/>
      <c r="Z1506" s="102"/>
    </row>
    <row r="1507">
      <c r="A1507" s="94"/>
      <c r="B1507" s="66"/>
      <c r="C1507" s="70"/>
      <c r="D1507" s="68"/>
      <c r="E1507" s="68"/>
      <c r="F1507" s="69"/>
      <c r="G1507" s="70"/>
      <c r="H1507" s="70"/>
      <c r="I1507" s="70"/>
      <c r="J1507" s="70"/>
      <c r="K1507" s="71"/>
      <c r="L1507" s="71"/>
      <c r="M1507" s="71"/>
      <c r="N1507" s="71"/>
      <c r="O1507" s="70"/>
      <c r="P1507" s="73"/>
      <c r="Q1507" s="71"/>
      <c r="R1507" s="71"/>
      <c r="S1507" s="71"/>
      <c r="T1507" s="71"/>
      <c r="U1507" s="71"/>
      <c r="V1507" s="70"/>
      <c r="W1507" s="70"/>
      <c r="X1507" s="70"/>
      <c r="Y1507" s="70"/>
      <c r="Z1507" s="102"/>
    </row>
    <row r="1508">
      <c r="A1508" s="94"/>
      <c r="B1508" s="66"/>
      <c r="C1508" s="70"/>
      <c r="D1508" s="68"/>
      <c r="E1508" s="68"/>
      <c r="F1508" s="69"/>
      <c r="G1508" s="70"/>
      <c r="H1508" s="70"/>
      <c r="I1508" s="70"/>
      <c r="J1508" s="70"/>
      <c r="K1508" s="71"/>
      <c r="L1508" s="71"/>
      <c r="M1508" s="71"/>
      <c r="N1508" s="71"/>
      <c r="O1508" s="70"/>
      <c r="P1508" s="73"/>
      <c r="Q1508" s="71"/>
      <c r="R1508" s="71"/>
      <c r="S1508" s="71"/>
      <c r="T1508" s="71"/>
      <c r="U1508" s="71"/>
      <c r="V1508" s="70"/>
      <c r="W1508" s="70"/>
      <c r="X1508" s="70"/>
      <c r="Y1508" s="70"/>
      <c r="Z1508" s="102"/>
    </row>
    <row r="1509">
      <c r="A1509" s="94"/>
      <c r="B1509" s="66"/>
      <c r="C1509" s="70"/>
      <c r="D1509" s="68"/>
      <c r="E1509" s="68"/>
      <c r="F1509" s="69"/>
      <c r="G1509" s="70"/>
      <c r="H1509" s="70"/>
      <c r="I1509" s="70"/>
      <c r="J1509" s="70"/>
      <c r="K1509" s="71"/>
      <c r="L1509" s="71"/>
      <c r="M1509" s="71"/>
      <c r="N1509" s="71"/>
      <c r="O1509" s="70"/>
      <c r="P1509" s="73"/>
      <c r="Q1509" s="71"/>
      <c r="R1509" s="71"/>
      <c r="S1509" s="71"/>
      <c r="T1509" s="71"/>
      <c r="U1509" s="71"/>
      <c r="V1509" s="70"/>
      <c r="W1509" s="70"/>
      <c r="X1509" s="70"/>
      <c r="Y1509" s="70"/>
      <c r="Z1509" s="102"/>
    </row>
    <row r="1510">
      <c r="A1510" s="94"/>
      <c r="B1510" s="66"/>
      <c r="C1510" s="70"/>
      <c r="D1510" s="68"/>
      <c r="E1510" s="68"/>
      <c r="F1510" s="69"/>
      <c r="G1510" s="70"/>
      <c r="H1510" s="70"/>
      <c r="I1510" s="70"/>
      <c r="J1510" s="70"/>
      <c r="K1510" s="71"/>
      <c r="L1510" s="71"/>
      <c r="M1510" s="71"/>
      <c r="N1510" s="71"/>
      <c r="O1510" s="70"/>
      <c r="P1510" s="73"/>
      <c r="Q1510" s="71"/>
      <c r="R1510" s="71"/>
      <c r="S1510" s="71"/>
      <c r="T1510" s="71"/>
      <c r="U1510" s="71"/>
      <c r="V1510" s="70"/>
      <c r="W1510" s="70"/>
      <c r="X1510" s="70"/>
      <c r="Y1510" s="70"/>
      <c r="Z1510" s="102"/>
    </row>
    <row r="1511">
      <c r="A1511" s="94"/>
      <c r="B1511" s="66"/>
      <c r="C1511" s="70"/>
      <c r="D1511" s="68"/>
      <c r="E1511" s="68"/>
      <c r="F1511" s="69"/>
      <c r="G1511" s="70"/>
      <c r="H1511" s="70"/>
      <c r="I1511" s="70"/>
      <c r="J1511" s="70"/>
      <c r="K1511" s="71"/>
      <c r="L1511" s="71"/>
      <c r="M1511" s="71"/>
      <c r="N1511" s="71"/>
      <c r="O1511" s="70"/>
      <c r="P1511" s="73"/>
      <c r="Q1511" s="71"/>
      <c r="R1511" s="71"/>
      <c r="S1511" s="71"/>
      <c r="T1511" s="71"/>
      <c r="U1511" s="71"/>
      <c r="V1511" s="70"/>
      <c r="W1511" s="70"/>
      <c r="X1511" s="70"/>
      <c r="Y1511" s="70"/>
      <c r="Z1511" s="102"/>
    </row>
    <row r="1512">
      <c r="A1512" s="94"/>
      <c r="B1512" s="66"/>
      <c r="C1512" s="70"/>
      <c r="D1512" s="68"/>
      <c r="E1512" s="68"/>
      <c r="F1512" s="69"/>
      <c r="G1512" s="70"/>
      <c r="H1512" s="70"/>
      <c r="I1512" s="70"/>
      <c r="J1512" s="70"/>
      <c r="K1512" s="71"/>
      <c r="L1512" s="71"/>
      <c r="M1512" s="71"/>
      <c r="N1512" s="71"/>
      <c r="O1512" s="70"/>
      <c r="P1512" s="73"/>
      <c r="Q1512" s="71"/>
      <c r="R1512" s="71"/>
      <c r="S1512" s="71"/>
      <c r="T1512" s="71"/>
      <c r="U1512" s="71"/>
      <c r="V1512" s="70"/>
      <c r="W1512" s="70"/>
      <c r="X1512" s="70"/>
      <c r="Y1512" s="70"/>
      <c r="Z1512" s="102"/>
    </row>
    <row r="1513">
      <c r="A1513" s="94"/>
      <c r="B1513" s="66"/>
      <c r="C1513" s="70"/>
      <c r="D1513" s="68"/>
      <c r="E1513" s="68"/>
      <c r="F1513" s="69"/>
      <c r="G1513" s="70"/>
      <c r="H1513" s="70"/>
      <c r="I1513" s="70"/>
      <c r="J1513" s="70"/>
      <c r="K1513" s="71"/>
      <c r="L1513" s="71"/>
      <c r="M1513" s="71"/>
      <c r="N1513" s="71"/>
      <c r="O1513" s="70"/>
      <c r="P1513" s="73"/>
      <c r="Q1513" s="71"/>
      <c r="R1513" s="71"/>
      <c r="S1513" s="71"/>
      <c r="T1513" s="71"/>
      <c r="U1513" s="71"/>
      <c r="V1513" s="70"/>
      <c r="W1513" s="70"/>
      <c r="X1513" s="70"/>
      <c r="Y1513" s="70"/>
      <c r="Z1513" s="102"/>
    </row>
    <row r="1514">
      <c r="A1514" s="94"/>
      <c r="B1514" s="66"/>
      <c r="C1514" s="70"/>
      <c r="D1514" s="68"/>
      <c r="E1514" s="68"/>
      <c r="F1514" s="69"/>
      <c r="G1514" s="70"/>
      <c r="H1514" s="70"/>
      <c r="I1514" s="70"/>
      <c r="J1514" s="70"/>
      <c r="K1514" s="71"/>
      <c r="L1514" s="71"/>
      <c r="M1514" s="71"/>
      <c r="N1514" s="71"/>
      <c r="O1514" s="70"/>
      <c r="P1514" s="73"/>
      <c r="Q1514" s="71"/>
      <c r="R1514" s="71"/>
      <c r="S1514" s="71"/>
      <c r="T1514" s="71"/>
      <c r="U1514" s="71"/>
      <c r="V1514" s="70"/>
      <c r="W1514" s="70"/>
      <c r="X1514" s="70"/>
      <c r="Y1514" s="70"/>
      <c r="Z1514" s="102"/>
    </row>
    <row r="1515">
      <c r="A1515" s="94"/>
      <c r="B1515" s="66"/>
      <c r="C1515" s="70"/>
      <c r="D1515" s="68"/>
      <c r="E1515" s="68"/>
      <c r="F1515" s="69"/>
      <c r="G1515" s="70"/>
      <c r="H1515" s="70"/>
      <c r="I1515" s="70"/>
      <c r="J1515" s="70"/>
      <c r="K1515" s="71"/>
      <c r="L1515" s="71"/>
      <c r="M1515" s="71"/>
      <c r="N1515" s="71"/>
      <c r="O1515" s="70"/>
      <c r="P1515" s="73"/>
      <c r="Q1515" s="71"/>
      <c r="R1515" s="71"/>
      <c r="S1515" s="71"/>
      <c r="T1515" s="71"/>
      <c r="U1515" s="71"/>
      <c r="V1515" s="70"/>
      <c r="W1515" s="70"/>
      <c r="X1515" s="70"/>
      <c r="Y1515" s="70"/>
      <c r="Z1515" s="102"/>
    </row>
    <row r="1516">
      <c r="A1516" s="94"/>
      <c r="B1516" s="66"/>
      <c r="C1516" s="70"/>
      <c r="D1516" s="68"/>
      <c r="E1516" s="68"/>
      <c r="F1516" s="69"/>
      <c r="G1516" s="70"/>
      <c r="H1516" s="70"/>
      <c r="I1516" s="70"/>
      <c r="J1516" s="70"/>
      <c r="K1516" s="71"/>
      <c r="L1516" s="71"/>
      <c r="M1516" s="71"/>
      <c r="N1516" s="71"/>
      <c r="O1516" s="70"/>
      <c r="P1516" s="73"/>
      <c r="Q1516" s="71"/>
      <c r="R1516" s="71"/>
      <c r="S1516" s="71"/>
      <c r="T1516" s="71"/>
      <c r="U1516" s="71"/>
      <c r="V1516" s="70"/>
      <c r="W1516" s="70"/>
      <c r="X1516" s="70"/>
      <c r="Y1516" s="70"/>
      <c r="Z1516" s="102"/>
    </row>
    <row r="1517">
      <c r="A1517" s="94"/>
      <c r="B1517" s="66"/>
      <c r="C1517" s="70"/>
      <c r="D1517" s="68"/>
      <c r="E1517" s="68"/>
      <c r="F1517" s="69"/>
      <c r="G1517" s="70"/>
      <c r="H1517" s="70"/>
      <c r="I1517" s="70"/>
      <c r="J1517" s="70"/>
      <c r="K1517" s="71"/>
      <c r="L1517" s="71"/>
      <c r="M1517" s="71"/>
      <c r="N1517" s="71"/>
      <c r="O1517" s="70"/>
      <c r="P1517" s="73"/>
      <c r="Q1517" s="71"/>
      <c r="R1517" s="71"/>
      <c r="S1517" s="71"/>
      <c r="T1517" s="71"/>
      <c r="U1517" s="71"/>
      <c r="V1517" s="70"/>
      <c r="W1517" s="70"/>
      <c r="X1517" s="70"/>
      <c r="Y1517" s="70"/>
      <c r="Z1517" s="102"/>
    </row>
    <row r="1518">
      <c r="A1518" s="94"/>
      <c r="B1518" s="66"/>
      <c r="C1518" s="70"/>
      <c r="D1518" s="68"/>
      <c r="E1518" s="68"/>
      <c r="F1518" s="69"/>
      <c r="G1518" s="70"/>
      <c r="H1518" s="70"/>
      <c r="I1518" s="70"/>
      <c r="J1518" s="70"/>
      <c r="K1518" s="71"/>
      <c r="L1518" s="71"/>
      <c r="M1518" s="71"/>
      <c r="N1518" s="71"/>
      <c r="O1518" s="70"/>
      <c r="P1518" s="73"/>
      <c r="Q1518" s="71"/>
      <c r="R1518" s="71"/>
      <c r="S1518" s="71"/>
      <c r="T1518" s="71"/>
      <c r="U1518" s="71"/>
      <c r="V1518" s="70"/>
      <c r="W1518" s="70"/>
      <c r="X1518" s="70"/>
      <c r="Y1518" s="70"/>
      <c r="Z1518" s="102"/>
    </row>
    <row r="1519">
      <c r="A1519" s="94"/>
      <c r="B1519" s="66"/>
      <c r="C1519" s="70"/>
      <c r="D1519" s="68"/>
      <c r="E1519" s="68"/>
      <c r="F1519" s="69"/>
      <c r="G1519" s="70"/>
      <c r="H1519" s="70"/>
      <c r="I1519" s="70"/>
      <c r="J1519" s="70"/>
      <c r="K1519" s="71"/>
      <c r="L1519" s="71"/>
      <c r="M1519" s="71"/>
      <c r="N1519" s="71"/>
      <c r="O1519" s="70"/>
      <c r="P1519" s="73"/>
      <c r="Q1519" s="71"/>
      <c r="R1519" s="71"/>
      <c r="S1519" s="71"/>
      <c r="T1519" s="71"/>
      <c r="U1519" s="71"/>
      <c r="V1519" s="70"/>
      <c r="W1519" s="70"/>
      <c r="X1519" s="70"/>
      <c r="Y1519" s="70"/>
      <c r="Z1519" s="102"/>
    </row>
    <row r="1520">
      <c r="A1520" s="94"/>
      <c r="B1520" s="66"/>
      <c r="C1520" s="70"/>
      <c r="D1520" s="68"/>
      <c r="E1520" s="68"/>
      <c r="F1520" s="69"/>
      <c r="G1520" s="70"/>
      <c r="H1520" s="70"/>
      <c r="I1520" s="70"/>
      <c r="J1520" s="70"/>
      <c r="K1520" s="71"/>
      <c r="L1520" s="71"/>
      <c r="M1520" s="71"/>
      <c r="N1520" s="71"/>
      <c r="O1520" s="70"/>
      <c r="P1520" s="73"/>
      <c r="Q1520" s="71"/>
      <c r="R1520" s="71"/>
      <c r="S1520" s="71"/>
      <c r="T1520" s="71"/>
      <c r="U1520" s="71"/>
      <c r="V1520" s="70"/>
      <c r="W1520" s="70"/>
      <c r="X1520" s="70"/>
      <c r="Y1520" s="70"/>
      <c r="Z1520" s="102"/>
    </row>
    <row r="1521">
      <c r="A1521" s="94"/>
      <c r="B1521" s="66"/>
      <c r="C1521" s="70"/>
      <c r="D1521" s="68"/>
      <c r="E1521" s="68"/>
      <c r="F1521" s="69"/>
      <c r="G1521" s="70"/>
      <c r="H1521" s="70"/>
      <c r="I1521" s="70"/>
      <c r="J1521" s="70"/>
      <c r="K1521" s="71"/>
      <c r="L1521" s="71"/>
      <c r="M1521" s="71"/>
      <c r="N1521" s="71"/>
      <c r="O1521" s="70"/>
      <c r="P1521" s="73"/>
      <c r="Q1521" s="71"/>
      <c r="R1521" s="71"/>
      <c r="S1521" s="71"/>
      <c r="T1521" s="71"/>
      <c r="U1521" s="71"/>
      <c r="V1521" s="70"/>
      <c r="W1521" s="70"/>
      <c r="X1521" s="70"/>
      <c r="Y1521" s="70"/>
      <c r="Z1521" s="102"/>
    </row>
    <row r="1522">
      <c r="A1522" s="94"/>
      <c r="B1522" s="66"/>
      <c r="C1522" s="70"/>
      <c r="D1522" s="68"/>
      <c r="E1522" s="68"/>
      <c r="F1522" s="69"/>
      <c r="G1522" s="70"/>
      <c r="H1522" s="70"/>
      <c r="I1522" s="70"/>
      <c r="J1522" s="70"/>
      <c r="K1522" s="71"/>
      <c r="L1522" s="71"/>
      <c r="M1522" s="71"/>
      <c r="N1522" s="71"/>
      <c r="O1522" s="70"/>
      <c r="P1522" s="73"/>
      <c r="Q1522" s="71"/>
      <c r="R1522" s="71"/>
      <c r="S1522" s="71"/>
      <c r="T1522" s="71"/>
      <c r="U1522" s="71"/>
      <c r="V1522" s="70"/>
      <c r="W1522" s="70"/>
      <c r="X1522" s="70"/>
      <c r="Y1522" s="70"/>
      <c r="Z1522" s="102"/>
    </row>
    <row r="1523">
      <c r="A1523" s="94"/>
      <c r="B1523" s="66"/>
      <c r="C1523" s="70"/>
      <c r="D1523" s="68"/>
      <c r="E1523" s="68"/>
      <c r="F1523" s="69"/>
      <c r="G1523" s="70"/>
      <c r="H1523" s="70"/>
      <c r="I1523" s="70"/>
      <c r="J1523" s="70"/>
      <c r="K1523" s="71"/>
      <c r="L1523" s="71"/>
      <c r="M1523" s="71"/>
      <c r="N1523" s="71"/>
      <c r="O1523" s="70"/>
      <c r="P1523" s="73"/>
      <c r="Q1523" s="71"/>
      <c r="R1523" s="71"/>
      <c r="S1523" s="71"/>
      <c r="T1523" s="71"/>
      <c r="U1523" s="71"/>
      <c r="V1523" s="70"/>
      <c r="W1523" s="70"/>
      <c r="X1523" s="70"/>
      <c r="Y1523" s="70"/>
      <c r="Z1523" s="102"/>
    </row>
    <row r="1524">
      <c r="A1524" s="94"/>
      <c r="B1524" s="66"/>
      <c r="C1524" s="70"/>
      <c r="D1524" s="68"/>
      <c r="E1524" s="68"/>
      <c r="F1524" s="69"/>
      <c r="G1524" s="70"/>
      <c r="H1524" s="70"/>
      <c r="I1524" s="70"/>
      <c r="J1524" s="70"/>
      <c r="K1524" s="71"/>
      <c r="L1524" s="71"/>
      <c r="M1524" s="71"/>
      <c r="N1524" s="71"/>
      <c r="O1524" s="70"/>
      <c r="P1524" s="73"/>
      <c r="Q1524" s="71"/>
      <c r="R1524" s="71"/>
      <c r="S1524" s="71"/>
      <c r="T1524" s="71"/>
      <c r="U1524" s="71"/>
      <c r="V1524" s="70"/>
      <c r="W1524" s="70"/>
      <c r="X1524" s="70"/>
      <c r="Y1524" s="70"/>
      <c r="Z1524" s="102"/>
    </row>
    <row r="1525">
      <c r="A1525" s="94"/>
      <c r="B1525" s="66"/>
      <c r="C1525" s="70"/>
      <c r="D1525" s="68"/>
      <c r="E1525" s="68"/>
      <c r="F1525" s="69"/>
      <c r="G1525" s="70"/>
      <c r="H1525" s="70"/>
      <c r="I1525" s="70"/>
      <c r="J1525" s="70"/>
      <c r="K1525" s="71"/>
      <c r="L1525" s="71"/>
      <c r="M1525" s="71"/>
      <c r="N1525" s="71"/>
      <c r="O1525" s="70"/>
      <c r="P1525" s="73"/>
      <c r="Q1525" s="71"/>
      <c r="R1525" s="71"/>
      <c r="S1525" s="71"/>
      <c r="T1525" s="71"/>
      <c r="U1525" s="71"/>
      <c r="V1525" s="70"/>
      <c r="W1525" s="70"/>
      <c r="X1525" s="70"/>
      <c r="Y1525" s="70"/>
      <c r="Z1525" s="102"/>
    </row>
    <row r="1526">
      <c r="A1526" s="94"/>
      <c r="B1526" s="66"/>
      <c r="C1526" s="70"/>
      <c r="D1526" s="68"/>
      <c r="E1526" s="68"/>
      <c r="F1526" s="69"/>
      <c r="G1526" s="70"/>
      <c r="H1526" s="70"/>
      <c r="I1526" s="70"/>
      <c r="J1526" s="70"/>
      <c r="K1526" s="71"/>
      <c r="L1526" s="71"/>
      <c r="M1526" s="71"/>
      <c r="N1526" s="71"/>
      <c r="O1526" s="70"/>
      <c r="P1526" s="73"/>
      <c r="Q1526" s="71"/>
      <c r="R1526" s="71"/>
      <c r="S1526" s="71"/>
      <c r="T1526" s="71"/>
      <c r="U1526" s="71"/>
      <c r="V1526" s="70"/>
      <c r="W1526" s="70"/>
      <c r="X1526" s="70"/>
      <c r="Y1526" s="70"/>
      <c r="Z1526" s="102"/>
    </row>
    <row r="1527">
      <c r="A1527" s="94"/>
      <c r="B1527" s="66"/>
      <c r="C1527" s="70"/>
      <c r="D1527" s="68"/>
      <c r="E1527" s="68"/>
      <c r="F1527" s="69"/>
      <c r="G1527" s="70"/>
      <c r="H1527" s="70"/>
      <c r="I1527" s="70"/>
      <c r="J1527" s="70"/>
      <c r="K1527" s="71"/>
      <c r="L1527" s="71"/>
      <c r="M1527" s="71"/>
      <c r="N1527" s="71"/>
      <c r="O1527" s="70"/>
      <c r="P1527" s="73"/>
      <c r="Q1527" s="71"/>
      <c r="R1527" s="71"/>
      <c r="S1527" s="71"/>
      <c r="T1527" s="71"/>
      <c r="U1527" s="71"/>
      <c r="V1527" s="70"/>
      <c r="W1527" s="70"/>
      <c r="X1527" s="70"/>
      <c r="Y1527" s="70"/>
      <c r="Z1527" s="102"/>
    </row>
    <row r="1528">
      <c r="A1528" s="94"/>
      <c r="B1528" s="66"/>
      <c r="C1528" s="70"/>
      <c r="D1528" s="68"/>
      <c r="E1528" s="68"/>
      <c r="F1528" s="69"/>
      <c r="G1528" s="70"/>
      <c r="H1528" s="70"/>
      <c r="I1528" s="70"/>
      <c r="J1528" s="70"/>
      <c r="K1528" s="71"/>
      <c r="L1528" s="71"/>
      <c r="M1528" s="71"/>
      <c r="N1528" s="71"/>
      <c r="O1528" s="70"/>
      <c r="P1528" s="73"/>
      <c r="Q1528" s="71"/>
      <c r="R1528" s="71"/>
      <c r="S1528" s="71"/>
      <c r="T1528" s="71"/>
      <c r="U1528" s="71"/>
      <c r="V1528" s="70"/>
      <c r="W1528" s="70"/>
      <c r="X1528" s="70"/>
      <c r="Y1528" s="70"/>
      <c r="Z1528" s="102"/>
    </row>
    <row r="1529">
      <c r="A1529" s="94"/>
      <c r="B1529" s="66"/>
      <c r="C1529" s="70"/>
      <c r="D1529" s="68"/>
      <c r="E1529" s="68"/>
      <c r="F1529" s="69"/>
      <c r="G1529" s="70"/>
      <c r="H1529" s="70"/>
      <c r="I1529" s="70"/>
      <c r="J1529" s="70"/>
      <c r="K1529" s="71"/>
      <c r="L1529" s="71"/>
      <c r="M1529" s="71"/>
      <c r="N1529" s="71"/>
      <c r="O1529" s="70"/>
      <c r="P1529" s="73"/>
      <c r="Q1529" s="71"/>
      <c r="R1529" s="71"/>
      <c r="S1529" s="71"/>
      <c r="T1529" s="71"/>
      <c r="U1529" s="71"/>
      <c r="V1529" s="70"/>
      <c r="W1529" s="70"/>
      <c r="X1529" s="70"/>
      <c r="Y1529" s="70"/>
      <c r="Z1529" s="102"/>
    </row>
    <row r="1530">
      <c r="A1530" s="94"/>
      <c r="B1530" s="66"/>
      <c r="C1530" s="70"/>
      <c r="D1530" s="68"/>
      <c r="E1530" s="68"/>
      <c r="F1530" s="69"/>
      <c r="G1530" s="70"/>
      <c r="H1530" s="70"/>
      <c r="I1530" s="70"/>
      <c r="J1530" s="70"/>
      <c r="K1530" s="71"/>
      <c r="L1530" s="71"/>
      <c r="M1530" s="71"/>
      <c r="N1530" s="71"/>
      <c r="O1530" s="70"/>
      <c r="P1530" s="73"/>
      <c r="Q1530" s="71"/>
      <c r="R1530" s="71"/>
      <c r="S1530" s="71"/>
      <c r="T1530" s="71"/>
      <c r="U1530" s="71"/>
      <c r="V1530" s="70"/>
      <c r="W1530" s="70"/>
      <c r="X1530" s="70"/>
      <c r="Y1530" s="70"/>
      <c r="Z1530" s="102"/>
    </row>
    <row r="1531">
      <c r="A1531" s="94"/>
      <c r="B1531" s="66"/>
      <c r="C1531" s="70"/>
      <c r="D1531" s="68"/>
      <c r="E1531" s="68"/>
      <c r="F1531" s="69"/>
      <c r="G1531" s="70"/>
      <c r="H1531" s="70"/>
      <c r="I1531" s="70"/>
      <c r="J1531" s="70"/>
      <c r="K1531" s="71"/>
      <c r="L1531" s="71"/>
      <c r="M1531" s="71"/>
      <c r="N1531" s="71"/>
      <c r="O1531" s="70"/>
      <c r="P1531" s="73"/>
      <c r="Q1531" s="71"/>
      <c r="R1531" s="71"/>
      <c r="S1531" s="71"/>
      <c r="T1531" s="71"/>
      <c r="U1531" s="71"/>
      <c r="V1531" s="70"/>
      <c r="W1531" s="70"/>
      <c r="X1531" s="70"/>
      <c r="Y1531" s="70"/>
      <c r="Z1531" s="102"/>
    </row>
    <row r="1532">
      <c r="A1532" s="94"/>
      <c r="B1532" s="66"/>
      <c r="C1532" s="70"/>
      <c r="D1532" s="68"/>
      <c r="E1532" s="68"/>
      <c r="F1532" s="69"/>
      <c r="G1532" s="70"/>
      <c r="H1532" s="70"/>
      <c r="I1532" s="70"/>
      <c r="J1532" s="70"/>
      <c r="K1532" s="71"/>
      <c r="L1532" s="71"/>
      <c r="M1532" s="71"/>
      <c r="N1532" s="71"/>
      <c r="O1532" s="70"/>
      <c r="P1532" s="73"/>
      <c r="Q1532" s="71"/>
      <c r="R1532" s="71"/>
      <c r="S1532" s="71"/>
      <c r="T1532" s="71"/>
      <c r="U1532" s="71"/>
      <c r="V1532" s="70"/>
      <c r="W1532" s="70"/>
      <c r="X1532" s="70"/>
      <c r="Y1532" s="70"/>
      <c r="Z1532" s="102"/>
    </row>
    <row r="1533">
      <c r="A1533" s="94"/>
      <c r="B1533" s="66"/>
      <c r="C1533" s="70"/>
      <c r="D1533" s="68"/>
      <c r="E1533" s="68"/>
      <c r="F1533" s="69"/>
      <c r="G1533" s="70"/>
      <c r="H1533" s="70"/>
      <c r="I1533" s="70"/>
      <c r="J1533" s="70"/>
      <c r="K1533" s="71"/>
      <c r="L1533" s="71"/>
      <c r="M1533" s="71"/>
      <c r="N1533" s="71"/>
      <c r="O1533" s="70"/>
      <c r="P1533" s="73"/>
      <c r="Q1533" s="71"/>
      <c r="R1533" s="71"/>
      <c r="S1533" s="71"/>
      <c r="T1533" s="71"/>
      <c r="U1533" s="71"/>
      <c r="V1533" s="70"/>
      <c r="W1533" s="70"/>
      <c r="X1533" s="70"/>
      <c r="Y1533" s="70"/>
      <c r="Z1533" s="102"/>
    </row>
    <row r="1534">
      <c r="A1534" s="94"/>
      <c r="B1534" s="66"/>
      <c r="C1534" s="70"/>
      <c r="D1534" s="68"/>
      <c r="E1534" s="68"/>
      <c r="F1534" s="69"/>
      <c r="G1534" s="70"/>
      <c r="H1534" s="70"/>
      <c r="I1534" s="70"/>
      <c r="J1534" s="70"/>
      <c r="K1534" s="71"/>
      <c r="L1534" s="71"/>
      <c r="M1534" s="71"/>
      <c r="N1534" s="71"/>
      <c r="O1534" s="70"/>
      <c r="P1534" s="73"/>
      <c r="Q1534" s="71"/>
      <c r="R1534" s="71"/>
      <c r="S1534" s="71"/>
      <c r="T1534" s="71"/>
      <c r="U1534" s="71"/>
      <c r="V1534" s="70"/>
      <c r="W1534" s="70"/>
      <c r="X1534" s="70"/>
      <c r="Y1534" s="70"/>
      <c r="Z1534" s="102"/>
    </row>
    <row r="1535">
      <c r="A1535" s="94"/>
      <c r="B1535" s="66"/>
      <c r="C1535" s="70"/>
      <c r="D1535" s="68"/>
      <c r="E1535" s="68"/>
      <c r="F1535" s="69"/>
      <c r="G1535" s="70"/>
      <c r="H1535" s="70"/>
      <c r="I1535" s="70"/>
      <c r="J1535" s="70"/>
      <c r="K1535" s="71"/>
      <c r="L1535" s="71"/>
      <c r="M1535" s="71"/>
      <c r="N1535" s="71"/>
      <c r="O1535" s="70"/>
      <c r="P1535" s="73"/>
      <c r="Q1535" s="71"/>
      <c r="R1535" s="71"/>
      <c r="S1535" s="71"/>
      <c r="T1535" s="71"/>
      <c r="U1535" s="71"/>
      <c r="V1535" s="70"/>
      <c r="W1535" s="70"/>
      <c r="X1535" s="70"/>
      <c r="Y1535" s="70"/>
      <c r="Z1535" s="102"/>
    </row>
    <row r="1536">
      <c r="A1536" s="94"/>
      <c r="B1536" s="66"/>
      <c r="C1536" s="70"/>
      <c r="D1536" s="68"/>
      <c r="E1536" s="68"/>
      <c r="F1536" s="69"/>
      <c r="G1536" s="70"/>
      <c r="H1536" s="70"/>
      <c r="I1536" s="70"/>
      <c r="J1536" s="70"/>
      <c r="K1536" s="71"/>
      <c r="L1536" s="71"/>
      <c r="M1536" s="71"/>
      <c r="N1536" s="71"/>
      <c r="O1536" s="70"/>
      <c r="P1536" s="73"/>
      <c r="Q1536" s="71"/>
      <c r="R1536" s="71"/>
      <c r="S1536" s="71"/>
      <c r="T1536" s="71"/>
      <c r="U1536" s="71"/>
      <c r="V1536" s="70"/>
      <c r="W1536" s="70"/>
      <c r="X1536" s="70"/>
      <c r="Y1536" s="70"/>
      <c r="Z1536" s="102"/>
    </row>
    <row r="1537">
      <c r="A1537" s="94"/>
      <c r="B1537" s="66"/>
      <c r="C1537" s="70"/>
      <c r="D1537" s="68"/>
      <c r="E1537" s="68"/>
      <c r="F1537" s="69"/>
      <c r="G1537" s="70"/>
      <c r="H1537" s="70"/>
      <c r="I1537" s="70"/>
      <c r="J1537" s="70"/>
      <c r="K1537" s="71"/>
      <c r="L1537" s="71"/>
      <c r="M1537" s="71"/>
      <c r="N1537" s="71"/>
      <c r="O1537" s="70"/>
      <c r="P1537" s="73"/>
      <c r="Q1537" s="71"/>
      <c r="R1537" s="71"/>
      <c r="S1537" s="71"/>
      <c r="T1537" s="71"/>
      <c r="U1537" s="71"/>
      <c r="V1537" s="70"/>
      <c r="W1537" s="70"/>
      <c r="X1537" s="70"/>
      <c r="Y1537" s="70"/>
      <c r="Z1537" s="102"/>
    </row>
    <row r="1538">
      <c r="A1538" s="94"/>
      <c r="B1538" s="66"/>
      <c r="C1538" s="70"/>
      <c r="D1538" s="68"/>
      <c r="E1538" s="68"/>
      <c r="F1538" s="69"/>
      <c r="G1538" s="70"/>
      <c r="H1538" s="70"/>
      <c r="I1538" s="70"/>
      <c r="J1538" s="70"/>
      <c r="K1538" s="71"/>
      <c r="L1538" s="71"/>
      <c r="M1538" s="71"/>
      <c r="N1538" s="71"/>
      <c r="O1538" s="70"/>
      <c r="P1538" s="73"/>
      <c r="Q1538" s="71"/>
      <c r="R1538" s="71"/>
      <c r="S1538" s="71"/>
      <c r="T1538" s="71"/>
      <c r="U1538" s="71"/>
      <c r="V1538" s="70"/>
      <c r="W1538" s="70"/>
      <c r="X1538" s="70"/>
      <c r="Y1538" s="70"/>
      <c r="Z1538" s="102"/>
    </row>
    <row r="1539">
      <c r="A1539" s="94"/>
      <c r="B1539" s="66"/>
      <c r="C1539" s="70"/>
      <c r="D1539" s="68"/>
      <c r="E1539" s="68"/>
      <c r="F1539" s="69"/>
      <c r="G1539" s="70"/>
      <c r="H1539" s="70"/>
      <c r="I1539" s="70"/>
      <c r="J1539" s="70"/>
      <c r="K1539" s="71"/>
      <c r="L1539" s="71"/>
      <c r="M1539" s="71"/>
      <c r="N1539" s="71"/>
      <c r="O1539" s="70"/>
      <c r="P1539" s="73"/>
      <c r="Q1539" s="71"/>
      <c r="R1539" s="71"/>
      <c r="S1539" s="71"/>
      <c r="T1539" s="71"/>
      <c r="U1539" s="71"/>
      <c r="V1539" s="70"/>
      <c r="W1539" s="70"/>
      <c r="X1539" s="70"/>
      <c r="Y1539" s="70"/>
      <c r="Z1539" s="102"/>
    </row>
    <row r="1540">
      <c r="A1540" s="94"/>
      <c r="B1540" s="66"/>
      <c r="C1540" s="70"/>
      <c r="D1540" s="68"/>
      <c r="E1540" s="68"/>
      <c r="F1540" s="69"/>
      <c r="G1540" s="70"/>
      <c r="H1540" s="70"/>
      <c r="I1540" s="70"/>
      <c r="J1540" s="70"/>
      <c r="K1540" s="71"/>
      <c r="L1540" s="71"/>
      <c r="M1540" s="71"/>
      <c r="N1540" s="71"/>
      <c r="O1540" s="70"/>
      <c r="P1540" s="73"/>
      <c r="Q1540" s="71"/>
      <c r="R1540" s="71"/>
      <c r="S1540" s="71"/>
      <c r="T1540" s="71"/>
      <c r="U1540" s="71"/>
      <c r="V1540" s="70"/>
      <c r="W1540" s="70"/>
      <c r="X1540" s="70"/>
      <c r="Y1540" s="70"/>
      <c r="Z1540" s="102"/>
    </row>
    <row r="1541">
      <c r="A1541" s="94"/>
      <c r="B1541" s="66"/>
      <c r="C1541" s="70"/>
      <c r="D1541" s="68"/>
      <c r="E1541" s="68"/>
      <c r="F1541" s="69"/>
      <c r="G1541" s="70"/>
      <c r="H1541" s="70"/>
      <c r="I1541" s="70"/>
      <c r="J1541" s="70"/>
      <c r="K1541" s="71"/>
      <c r="L1541" s="71"/>
      <c r="M1541" s="71"/>
      <c r="N1541" s="71"/>
      <c r="O1541" s="70"/>
      <c r="P1541" s="73"/>
      <c r="Q1541" s="71"/>
      <c r="R1541" s="71"/>
      <c r="S1541" s="71"/>
      <c r="T1541" s="71"/>
      <c r="U1541" s="71"/>
      <c r="V1541" s="70"/>
      <c r="W1541" s="70"/>
      <c r="X1541" s="70"/>
      <c r="Y1541" s="70"/>
      <c r="Z1541" s="102"/>
    </row>
    <row r="1542">
      <c r="A1542" s="94"/>
      <c r="B1542" s="66"/>
      <c r="C1542" s="70"/>
      <c r="D1542" s="68"/>
      <c r="E1542" s="68"/>
      <c r="F1542" s="69"/>
      <c r="G1542" s="70"/>
      <c r="H1542" s="70"/>
      <c r="I1542" s="70"/>
      <c r="J1542" s="70"/>
      <c r="K1542" s="71"/>
      <c r="L1542" s="71"/>
      <c r="M1542" s="71"/>
      <c r="N1542" s="71"/>
      <c r="O1542" s="70"/>
      <c r="P1542" s="73"/>
      <c r="Q1542" s="71"/>
      <c r="R1542" s="71"/>
      <c r="S1542" s="71"/>
      <c r="T1542" s="71"/>
      <c r="U1542" s="71"/>
      <c r="V1542" s="70"/>
      <c r="W1542" s="70"/>
      <c r="X1542" s="70"/>
      <c r="Y1542" s="70"/>
      <c r="Z1542" s="102"/>
    </row>
    <row r="1543">
      <c r="A1543" s="94"/>
      <c r="B1543" s="66"/>
      <c r="C1543" s="70"/>
      <c r="D1543" s="68"/>
      <c r="E1543" s="68"/>
      <c r="F1543" s="69"/>
      <c r="G1543" s="70"/>
      <c r="H1543" s="70"/>
      <c r="I1543" s="70"/>
      <c r="J1543" s="70"/>
      <c r="K1543" s="71"/>
      <c r="L1543" s="71"/>
      <c r="M1543" s="71"/>
      <c r="N1543" s="71"/>
      <c r="O1543" s="70"/>
      <c r="P1543" s="73"/>
      <c r="Q1543" s="71"/>
      <c r="R1543" s="71"/>
      <c r="S1543" s="71"/>
      <c r="T1543" s="71"/>
      <c r="U1543" s="71"/>
      <c r="V1543" s="70"/>
      <c r="W1543" s="70"/>
      <c r="X1543" s="70"/>
      <c r="Y1543" s="70"/>
      <c r="Z1543" s="102"/>
    </row>
    <row r="1544">
      <c r="A1544" s="94"/>
      <c r="B1544" s="66"/>
      <c r="C1544" s="70"/>
      <c r="D1544" s="68"/>
      <c r="E1544" s="68"/>
      <c r="F1544" s="69"/>
      <c r="G1544" s="70"/>
      <c r="H1544" s="70"/>
      <c r="I1544" s="70"/>
      <c r="J1544" s="70"/>
      <c r="K1544" s="71"/>
      <c r="L1544" s="71"/>
      <c r="M1544" s="71"/>
      <c r="N1544" s="71"/>
      <c r="O1544" s="70"/>
      <c r="P1544" s="73"/>
      <c r="Q1544" s="71"/>
      <c r="R1544" s="71"/>
      <c r="S1544" s="71"/>
      <c r="T1544" s="71"/>
      <c r="U1544" s="71"/>
      <c r="V1544" s="70"/>
      <c r="W1544" s="70"/>
      <c r="X1544" s="70"/>
      <c r="Y1544" s="70"/>
      <c r="Z1544" s="102"/>
    </row>
    <row r="1545">
      <c r="A1545" s="94"/>
      <c r="B1545" s="66"/>
      <c r="C1545" s="70"/>
      <c r="D1545" s="68"/>
      <c r="E1545" s="68"/>
      <c r="F1545" s="69"/>
      <c r="G1545" s="70"/>
      <c r="H1545" s="70"/>
      <c r="I1545" s="70"/>
      <c r="J1545" s="70"/>
      <c r="K1545" s="71"/>
      <c r="L1545" s="71"/>
      <c r="M1545" s="71"/>
      <c r="N1545" s="71"/>
      <c r="O1545" s="70"/>
      <c r="P1545" s="73"/>
      <c r="Q1545" s="71"/>
      <c r="R1545" s="71"/>
      <c r="S1545" s="71"/>
      <c r="T1545" s="71"/>
      <c r="U1545" s="71"/>
      <c r="V1545" s="70"/>
      <c r="W1545" s="70"/>
      <c r="X1545" s="70"/>
      <c r="Y1545" s="70"/>
      <c r="Z1545" s="102"/>
    </row>
    <row r="1546">
      <c r="A1546" s="94"/>
      <c r="B1546" s="66"/>
      <c r="C1546" s="70"/>
      <c r="D1546" s="68"/>
      <c r="E1546" s="68"/>
      <c r="F1546" s="69"/>
      <c r="G1546" s="70"/>
      <c r="H1546" s="70"/>
      <c r="I1546" s="70"/>
      <c r="J1546" s="70"/>
      <c r="K1546" s="71"/>
      <c r="L1546" s="71"/>
      <c r="M1546" s="71"/>
      <c r="N1546" s="71"/>
      <c r="O1546" s="70"/>
      <c r="P1546" s="73"/>
      <c r="Q1546" s="71"/>
      <c r="R1546" s="71"/>
      <c r="S1546" s="71"/>
      <c r="T1546" s="71"/>
      <c r="U1546" s="71"/>
      <c r="V1546" s="70"/>
      <c r="W1546" s="70"/>
      <c r="X1546" s="70"/>
      <c r="Y1546" s="70"/>
      <c r="Z1546" s="102"/>
    </row>
    <row r="1547">
      <c r="A1547" s="94"/>
      <c r="B1547" s="66"/>
      <c r="C1547" s="70"/>
      <c r="D1547" s="68"/>
      <c r="E1547" s="68"/>
      <c r="F1547" s="69"/>
      <c r="G1547" s="70"/>
      <c r="H1547" s="70"/>
      <c r="I1547" s="70"/>
      <c r="J1547" s="70"/>
      <c r="K1547" s="71"/>
      <c r="L1547" s="71"/>
      <c r="M1547" s="71"/>
      <c r="N1547" s="71"/>
      <c r="O1547" s="70"/>
      <c r="P1547" s="73"/>
      <c r="Q1547" s="71"/>
      <c r="R1547" s="71"/>
      <c r="S1547" s="71"/>
      <c r="T1547" s="71"/>
      <c r="U1547" s="71"/>
      <c r="V1547" s="70"/>
      <c r="W1547" s="70"/>
      <c r="X1547" s="70"/>
      <c r="Y1547" s="70"/>
      <c r="Z1547" s="102"/>
    </row>
    <row r="1548">
      <c r="A1548" s="94"/>
      <c r="B1548" s="66"/>
      <c r="C1548" s="70"/>
      <c r="D1548" s="68"/>
      <c r="E1548" s="68"/>
      <c r="F1548" s="69"/>
      <c r="G1548" s="70"/>
      <c r="H1548" s="70"/>
      <c r="I1548" s="70"/>
      <c r="J1548" s="70"/>
      <c r="K1548" s="71"/>
      <c r="L1548" s="71"/>
      <c r="M1548" s="71"/>
      <c r="N1548" s="71"/>
      <c r="O1548" s="70"/>
      <c r="P1548" s="73"/>
      <c r="Q1548" s="71"/>
      <c r="R1548" s="71"/>
      <c r="S1548" s="71"/>
      <c r="T1548" s="71"/>
      <c r="U1548" s="71"/>
      <c r="V1548" s="70"/>
      <c r="W1548" s="70"/>
      <c r="X1548" s="70"/>
      <c r="Y1548" s="70"/>
      <c r="Z1548" s="102"/>
    </row>
    <row r="1549">
      <c r="A1549" s="94"/>
      <c r="B1549" s="66"/>
      <c r="C1549" s="70"/>
      <c r="D1549" s="68"/>
      <c r="E1549" s="68"/>
      <c r="F1549" s="69"/>
      <c r="G1549" s="70"/>
      <c r="H1549" s="70"/>
      <c r="I1549" s="70"/>
      <c r="J1549" s="70"/>
      <c r="K1549" s="71"/>
      <c r="L1549" s="71"/>
      <c r="M1549" s="71"/>
      <c r="N1549" s="71"/>
      <c r="O1549" s="70"/>
      <c r="P1549" s="73"/>
      <c r="Q1549" s="71"/>
      <c r="R1549" s="71"/>
      <c r="S1549" s="71"/>
      <c r="T1549" s="71"/>
      <c r="U1549" s="71"/>
      <c r="V1549" s="70"/>
      <c r="W1549" s="70"/>
      <c r="X1549" s="70"/>
      <c r="Y1549" s="70"/>
      <c r="Z1549" s="102"/>
    </row>
    <row r="1550">
      <c r="A1550" s="94"/>
      <c r="B1550" s="66"/>
      <c r="C1550" s="70"/>
      <c r="D1550" s="68"/>
      <c r="E1550" s="68"/>
      <c r="F1550" s="69"/>
      <c r="G1550" s="70"/>
      <c r="H1550" s="70"/>
      <c r="I1550" s="70"/>
      <c r="J1550" s="70"/>
      <c r="K1550" s="71"/>
      <c r="L1550" s="71"/>
      <c r="M1550" s="71"/>
      <c r="N1550" s="71"/>
      <c r="O1550" s="70"/>
      <c r="P1550" s="73"/>
      <c r="Q1550" s="71"/>
      <c r="R1550" s="71"/>
      <c r="S1550" s="71"/>
      <c r="T1550" s="71"/>
      <c r="U1550" s="71"/>
      <c r="V1550" s="70"/>
      <c r="W1550" s="70"/>
      <c r="X1550" s="70"/>
      <c r="Y1550" s="70"/>
      <c r="Z1550" s="102"/>
    </row>
    <row r="1551">
      <c r="A1551" s="94"/>
      <c r="B1551" s="66"/>
      <c r="C1551" s="70"/>
      <c r="D1551" s="68"/>
      <c r="E1551" s="68"/>
      <c r="F1551" s="69"/>
      <c r="G1551" s="70"/>
      <c r="H1551" s="70"/>
      <c r="I1551" s="70"/>
      <c r="J1551" s="70"/>
      <c r="K1551" s="71"/>
      <c r="L1551" s="71"/>
      <c r="M1551" s="71"/>
      <c r="N1551" s="71"/>
      <c r="O1551" s="70"/>
      <c r="P1551" s="73"/>
      <c r="Q1551" s="71"/>
      <c r="R1551" s="71"/>
      <c r="S1551" s="71"/>
      <c r="T1551" s="71"/>
      <c r="U1551" s="71"/>
      <c r="V1551" s="70"/>
      <c r="W1551" s="70"/>
      <c r="X1551" s="70"/>
      <c r="Y1551" s="70"/>
      <c r="Z1551" s="102"/>
    </row>
    <row r="1552">
      <c r="A1552" s="94"/>
      <c r="B1552" s="66"/>
      <c r="C1552" s="70"/>
      <c r="D1552" s="68"/>
      <c r="E1552" s="68"/>
      <c r="F1552" s="69"/>
      <c r="G1552" s="70"/>
      <c r="H1552" s="70"/>
      <c r="I1552" s="70"/>
      <c r="J1552" s="70"/>
      <c r="K1552" s="71"/>
      <c r="L1552" s="71"/>
      <c r="M1552" s="71"/>
      <c r="N1552" s="71"/>
      <c r="O1552" s="70"/>
      <c r="P1552" s="73"/>
      <c r="Q1552" s="71"/>
      <c r="R1552" s="71"/>
      <c r="S1552" s="71"/>
      <c r="T1552" s="71"/>
      <c r="U1552" s="71"/>
      <c r="V1552" s="70"/>
      <c r="W1552" s="70"/>
      <c r="X1552" s="70"/>
      <c r="Y1552" s="70"/>
      <c r="Z1552" s="102"/>
    </row>
    <row r="1553">
      <c r="A1553" s="94"/>
      <c r="B1553" s="66"/>
      <c r="C1553" s="70"/>
      <c r="D1553" s="68"/>
      <c r="E1553" s="68"/>
      <c r="F1553" s="69"/>
      <c r="G1553" s="70"/>
      <c r="H1553" s="70"/>
      <c r="I1553" s="70"/>
      <c r="J1553" s="70"/>
      <c r="K1553" s="71"/>
      <c r="L1553" s="71"/>
      <c r="M1553" s="71"/>
      <c r="N1553" s="71"/>
      <c r="O1553" s="70"/>
      <c r="P1553" s="73"/>
      <c r="Q1553" s="71"/>
      <c r="R1553" s="71"/>
      <c r="S1553" s="71"/>
      <c r="T1553" s="71"/>
      <c r="U1553" s="71"/>
      <c r="V1553" s="70"/>
      <c r="W1553" s="70"/>
      <c r="X1553" s="70"/>
      <c r="Y1553" s="70"/>
      <c r="Z1553" s="102"/>
    </row>
    <row r="1554">
      <c r="A1554" s="94"/>
      <c r="B1554" s="66"/>
      <c r="C1554" s="70"/>
      <c r="D1554" s="68"/>
      <c r="E1554" s="68"/>
      <c r="F1554" s="69"/>
      <c r="G1554" s="70"/>
      <c r="H1554" s="70"/>
      <c r="I1554" s="70"/>
      <c r="J1554" s="70"/>
      <c r="K1554" s="71"/>
      <c r="L1554" s="71"/>
      <c r="M1554" s="71"/>
      <c r="N1554" s="71"/>
      <c r="O1554" s="70"/>
      <c r="P1554" s="73"/>
      <c r="Q1554" s="71"/>
      <c r="R1554" s="71"/>
      <c r="S1554" s="71"/>
      <c r="T1554" s="71"/>
      <c r="U1554" s="71"/>
      <c r="V1554" s="70"/>
      <c r="W1554" s="70"/>
      <c r="X1554" s="70"/>
      <c r="Y1554" s="70"/>
      <c r="Z1554" s="102"/>
    </row>
    <row r="1555">
      <c r="A1555" s="94"/>
      <c r="B1555" s="66"/>
      <c r="C1555" s="70"/>
      <c r="D1555" s="68"/>
      <c r="E1555" s="68"/>
      <c r="F1555" s="69"/>
      <c r="G1555" s="70"/>
      <c r="H1555" s="70"/>
      <c r="I1555" s="70"/>
      <c r="J1555" s="70"/>
      <c r="K1555" s="71"/>
      <c r="L1555" s="71"/>
      <c r="M1555" s="71"/>
      <c r="N1555" s="71"/>
      <c r="O1555" s="70"/>
      <c r="P1555" s="73"/>
      <c r="Q1555" s="71"/>
      <c r="R1555" s="71"/>
      <c r="S1555" s="71"/>
      <c r="T1555" s="71"/>
      <c r="U1555" s="71"/>
      <c r="V1555" s="70"/>
      <c r="W1555" s="70"/>
      <c r="X1555" s="70"/>
      <c r="Y1555" s="70"/>
      <c r="Z1555" s="102"/>
    </row>
    <row r="1556">
      <c r="A1556" s="94"/>
      <c r="B1556" s="66"/>
      <c r="C1556" s="70"/>
      <c r="D1556" s="68"/>
      <c r="E1556" s="68"/>
      <c r="F1556" s="69"/>
      <c r="G1556" s="70"/>
      <c r="H1556" s="70"/>
      <c r="I1556" s="70"/>
      <c r="J1556" s="70"/>
      <c r="K1556" s="71"/>
      <c r="L1556" s="71"/>
      <c r="M1556" s="71"/>
      <c r="N1556" s="71"/>
      <c r="O1556" s="70"/>
      <c r="P1556" s="73"/>
      <c r="Q1556" s="71"/>
      <c r="R1556" s="71"/>
      <c r="S1556" s="71"/>
      <c r="T1556" s="71"/>
      <c r="U1556" s="71"/>
      <c r="V1556" s="70"/>
      <c r="W1556" s="70"/>
      <c r="X1556" s="70"/>
      <c r="Y1556" s="70"/>
      <c r="Z1556" s="102"/>
    </row>
    <row r="1557">
      <c r="A1557" s="94"/>
      <c r="B1557" s="66"/>
      <c r="C1557" s="70"/>
      <c r="D1557" s="68"/>
      <c r="E1557" s="68"/>
      <c r="F1557" s="69"/>
      <c r="G1557" s="70"/>
      <c r="H1557" s="70"/>
      <c r="I1557" s="70"/>
      <c r="J1557" s="70"/>
      <c r="K1557" s="71"/>
      <c r="L1557" s="71"/>
      <c r="M1557" s="71"/>
      <c r="N1557" s="71"/>
      <c r="O1557" s="70"/>
      <c r="P1557" s="73"/>
      <c r="Q1557" s="71"/>
      <c r="R1557" s="71"/>
      <c r="S1557" s="71"/>
      <c r="T1557" s="71"/>
      <c r="U1557" s="71"/>
      <c r="V1557" s="70"/>
      <c r="W1557" s="70"/>
      <c r="X1557" s="70"/>
      <c r="Y1557" s="70"/>
      <c r="Z1557" s="102"/>
    </row>
    <row r="1558">
      <c r="A1558" s="94"/>
      <c r="B1558" s="66"/>
      <c r="C1558" s="70"/>
      <c r="D1558" s="68"/>
      <c r="E1558" s="68"/>
      <c r="F1558" s="69"/>
      <c r="G1558" s="70"/>
      <c r="H1558" s="70"/>
      <c r="I1558" s="70"/>
      <c r="J1558" s="70"/>
      <c r="K1558" s="71"/>
      <c r="L1558" s="71"/>
      <c r="M1558" s="71"/>
      <c r="N1558" s="71"/>
      <c r="O1558" s="70"/>
      <c r="P1558" s="73"/>
      <c r="Q1558" s="71"/>
      <c r="R1558" s="71"/>
      <c r="S1558" s="71"/>
      <c r="T1558" s="71"/>
      <c r="U1558" s="71"/>
      <c r="V1558" s="70"/>
      <c r="W1558" s="70"/>
      <c r="X1558" s="70"/>
      <c r="Y1558" s="70"/>
      <c r="Z1558" s="102"/>
    </row>
    <row r="1559">
      <c r="A1559" s="94"/>
      <c r="B1559" s="66"/>
      <c r="C1559" s="70"/>
      <c r="D1559" s="68"/>
      <c r="E1559" s="68"/>
      <c r="F1559" s="69"/>
      <c r="G1559" s="70"/>
      <c r="H1559" s="70"/>
      <c r="I1559" s="70"/>
      <c r="J1559" s="70"/>
      <c r="K1559" s="71"/>
      <c r="L1559" s="71"/>
      <c r="M1559" s="71"/>
      <c r="N1559" s="71"/>
      <c r="O1559" s="70"/>
      <c r="P1559" s="73"/>
      <c r="Q1559" s="71"/>
      <c r="R1559" s="71"/>
      <c r="S1559" s="71"/>
      <c r="T1559" s="71"/>
      <c r="U1559" s="71"/>
      <c r="V1559" s="70"/>
      <c r="W1559" s="70"/>
      <c r="X1559" s="70"/>
      <c r="Y1559" s="70"/>
      <c r="Z1559" s="102"/>
    </row>
    <row r="1560">
      <c r="A1560" s="94"/>
      <c r="B1560" s="66"/>
      <c r="C1560" s="70"/>
      <c r="D1560" s="68"/>
      <c r="E1560" s="68"/>
      <c r="F1560" s="69"/>
      <c r="G1560" s="70"/>
      <c r="H1560" s="70"/>
      <c r="I1560" s="70"/>
      <c r="J1560" s="70"/>
      <c r="K1560" s="71"/>
      <c r="L1560" s="71"/>
      <c r="M1560" s="71"/>
      <c r="N1560" s="71"/>
      <c r="O1560" s="70"/>
      <c r="P1560" s="73"/>
      <c r="Q1560" s="71"/>
      <c r="R1560" s="71"/>
      <c r="S1560" s="71"/>
      <c r="T1560" s="71"/>
      <c r="U1560" s="71"/>
      <c r="V1560" s="70"/>
      <c r="W1560" s="70"/>
      <c r="X1560" s="70"/>
      <c r="Y1560" s="70"/>
      <c r="Z1560" s="102"/>
    </row>
    <row r="1561">
      <c r="A1561" s="94"/>
      <c r="B1561" s="66"/>
      <c r="C1561" s="70"/>
      <c r="D1561" s="68"/>
      <c r="E1561" s="68"/>
      <c r="F1561" s="69"/>
      <c r="G1561" s="70"/>
      <c r="H1561" s="70"/>
      <c r="I1561" s="70"/>
      <c r="J1561" s="70"/>
      <c r="K1561" s="71"/>
      <c r="L1561" s="71"/>
      <c r="M1561" s="71"/>
      <c r="N1561" s="71"/>
      <c r="O1561" s="70"/>
      <c r="P1561" s="73"/>
      <c r="Q1561" s="71"/>
      <c r="R1561" s="71"/>
      <c r="S1561" s="71"/>
      <c r="T1561" s="71"/>
      <c r="U1561" s="71"/>
      <c r="V1561" s="70"/>
      <c r="W1561" s="70"/>
      <c r="X1561" s="70"/>
      <c r="Y1561" s="70"/>
      <c r="Z1561" s="102"/>
    </row>
    <row r="1562">
      <c r="A1562" s="94"/>
      <c r="B1562" s="66"/>
      <c r="C1562" s="70"/>
      <c r="D1562" s="68"/>
      <c r="E1562" s="68"/>
      <c r="F1562" s="69"/>
      <c r="G1562" s="70"/>
      <c r="H1562" s="70"/>
      <c r="I1562" s="70"/>
      <c r="J1562" s="70"/>
      <c r="K1562" s="71"/>
      <c r="L1562" s="71"/>
      <c r="M1562" s="71"/>
      <c r="N1562" s="71"/>
      <c r="O1562" s="70"/>
      <c r="P1562" s="73"/>
      <c r="Q1562" s="71"/>
      <c r="R1562" s="71"/>
      <c r="S1562" s="71"/>
      <c r="T1562" s="71"/>
      <c r="U1562" s="71"/>
      <c r="V1562" s="70"/>
      <c r="W1562" s="70"/>
      <c r="X1562" s="70"/>
      <c r="Y1562" s="70"/>
      <c r="Z1562" s="102"/>
    </row>
    <row r="1563">
      <c r="A1563" s="94"/>
      <c r="B1563" s="66"/>
      <c r="C1563" s="70"/>
      <c r="D1563" s="68"/>
      <c r="E1563" s="68"/>
      <c r="F1563" s="69"/>
      <c r="G1563" s="70"/>
      <c r="H1563" s="70"/>
      <c r="I1563" s="70"/>
      <c r="J1563" s="70"/>
      <c r="K1563" s="71"/>
      <c r="L1563" s="71"/>
      <c r="M1563" s="71"/>
      <c r="N1563" s="71"/>
      <c r="O1563" s="70"/>
      <c r="P1563" s="73"/>
      <c r="Q1563" s="71"/>
      <c r="R1563" s="71"/>
      <c r="S1563" s="71"/>
      <c r="T1563" s="71"/>
      <c r="U1563" s="71"/>
      <c r="V1563" s="70"/>
      <c r="W1563" s="70"/>
      <c r="X1563" s="70"/>
      <c r="Y1563" s="70"/>
      <c r="Z1563" s="102"/>
    </row>
    <row r="1564">
      <c r="A1564" s="94"/>
      <c r="B1564" s="66"/>
      <c r="C1564" s="70"/>
      <c r="D1564" s="68"/>
      <c r="E1564" s="68"/>
      <c r="F1564" s="69"/>
      <c r="G1564" s="70"/>
      <c r="H1564" s="70"/>
      <c r="I1564" s="70"/>
      <c r="J1564" s="70"/>
      <c r="K1564" s="71"/>
      <c r="L1564" s="71"/>
      <c r="M1564" s="71"/>
      <c r="N1564" s="71"/>
      <c r="O1564" s="70"/>
      <c r="P1564" s="73"/>
      <c r="Q1564" s="71"/>
      <c r="R1564" s="71"/>
      <c r="S1564" s="71"/>
      <c r="T1564" s="71"/>
      <c r="U1564" s="71"/>
      <c r="V1564" s="70"/>
      <c r="W1564" s="70"/>
      <c r="X1564" s="70"/>
      <c r="Y1564" s="70"/>
      <c r="Z1564" s="102"/>
    </row>
    <row r="1565">
      <c r="A1565" s="94"/>
      <c r="B1565" s="66"/>
      <c r="C1565" s="70"/>
      <c r="D1565" s="68"/>
      <c r="E1565" s="68"/>
      <c r="F1565" s="69"/>
      <c r="G1565" s="70"/>
      <c r="H1565" s="70"/>
      <c r="I1565" s="70"/>
      <c r="J1565" s="70"/>
      <c r="K1565" s="71"/>
      <c r="L1565" s="71"/>
      <c r="M1565" s="71"/>
      <c r="N1565" s="71"/>
      <c r="O1565" s="70"/>
      <c r="P1565" s="73"/>
      <c r="Q1565" s="71"/>
      <c r="R1565" s="71"/>
      <c r="S1565" s="71"/>
      <c r="T1565" s="71"/>
      <c r="U1565" s="71"/>
      <c r="V1565" s="70"/>
      <c r="W1565" s="70"/>
      <c r="X1565" s="70"/>
      <c r="Y1565" s="70"/>
      <c r="Z1565" s="102"/>
    </row>
    <row r="1566">
      <c r="A1566" s="94"/>
      <c r="B1566" s="66"/>
      <c r="C1566" s="70"/>
      <c r="D1566" s="68"/>
      <c r="E1566" s="68"/>
      <c r="F1566" s="69"/>
      <c r="G1566" s="70"/>
      <c r="H1566" s="70"/>
      <c r="I1566" s="70"/>
      <c r="J1566" s="70"/>
      <c r="K1566" s="71"/>
      <c r="L1566" s="71"/>
      <c r="M1566" s="71"/>
      <c r="N1566" s="71"/>
      <c r="O1566" s="70"/>
      <c r="P1566" s="73"/>
      <c r="Q1566" s="71"/>
      <c r="R1566" s="71"/>
      <c r="S1566" s="71"/>
      <c r="T1566" s="71"/>
      <c r="U1566" s="71"/>
      <c r="V1566" s="70"/>
      <c r="W1566" s="70"/>
      <c r="X1566" s="70"/>
      <c r="Y1566" s="70"/>
      <c r="Z1566" s="102"/>
    </row>
    <row r="1567">
      <c r="A1567" s="94"/>
      <c r="B1567" s="66"/>
      <c r="C1567" s="70"/>
      <c r="D1567" s="68"/>
      <c r="E1567" s="68"/>
      <c r="F1567" s="69"/>
      <c r="G1567" s="70"/>
      <c r="H1567" s="70"/>
      <c r="I1567" s="70"/>
      <c r="J1567" s="70"/>
      <c r="K1567" s="71"/>
      <c r="L1567" s="71"/>
      <c r="M1567" s="71"/>
      <c r="N1567" s="71"/>
      <c r="O1567" s="70"/>
      <c r="P1567" s="73"/>
      <c r="Q1567" s="71"/>
      <c r="R1567" s="71"/>
      <c r="S1567" s="71"/>
      <c r="T1567" s="71"/>
      <c r="U1567" s="71"/>
      <c r="V1567" s="70"/>
      <c r="W1567" s="70"/>
      <c r="X1567" s="70"/>
      <c r="Y1567" s="70"/>
      <c r="Z1567" s="102"/>
    </row>
    <row r="1568">
      <c r="A1568" s="94"/>
      <c r="B1568" s="66"/>
      <c r="C1568" s="70"/>
      <c r="D1568" s="68"/>
      <c r="E1568" s="68"/>
      <c r="F1568" s="69"/>
      <c r="G1568" s="70"/>
      <c r="H1568" s="70"/>
      <c r="I1568" s="70"/>
      <c r="J1568" s="70"/>
      <c r="K1568" s="71"/>
      <c r="L1568" s="71"/>
      <c r="M1568" s="71"/>
      <c r="N1568" s="71"/>
      <c r="O1568" s="70"/>
      <c r="P1568" s="73"/>
      <c r="Q1568" s="71"/>
      <c r="R1568" s="71"/>
      <c r="S1568" s="71"/>
      <c r="T1568" s="71"/>
      <c r="U1568" s="71"/>
      <c r="V1568" s="70"/>
      <c r="W1568" s="70"/>
      <c r="X1568" s="70"/>
      <c r="Y1568" s="70"/>
      <c r="Z1568" s="102"/>
    </row>
    <row r="1569">
      <c r="A1569" s="94"/>
      <c r="B1569" s="66"/>
      <c r="C1569" s="70"/>
      <c r="D1569" s="68"/>
      <c r="E1569" s="68"/>
      <c r="F1569" s="69"/>
      <c r="G1569" s="70"/>
      <c r="H1569" s="70"/>
      <c r="I1569" s="70"/>
      <c r="J1569" s="70"/>
      <c r="K1569" s="71"/>
      <c r="L1569" s="71"/>
      <c r="M1569" s="71"/>
      <c r="N1569" s="71"/>
      <c r="O1569" s="70"/>
      <c r="P1569" s="73"/>
      <c r="Q1569" s="71"/>
      <c r="R1569" s="71"/>
      <c r="S1569" s="71"/>
      <c r="T1569" s="71"/>
      <c r="U1569" s="71"/>
      <c r="V1569" s="70"/>
      <c r="W1569" s="70"/>
      <c r="X1569" s="70"/>
      <c r="Y1569" s="70"/>
      <c r="Z1569" s="102"/>
    </row>
    <row r="1570">
      <c r="A1570" s="94"/>
      <c r="B1570" s="66"/>
      <c r="C1570" s="70"/>
      <c r="D1570" s="68"/>
      <c r="E1570" s="68"/>
      <c r="F1570" s="69"/>
      <c r="G1570" s="70"/>
      <c r="H1570" s="70"/>
      <c r="I1570" s="70"/>
      <c r="J1570" s="70"/>
      <c r="K1570" s="71"/>
      <c r="L1570" s="71"/>
      <c r="M1570" s="71"/>
      <c r="N1570" s="71"/>
      <c r="O1570" s="70"/>
      <c r="P1570" s="73"/>
      <c r="Q1570" s="71"/>
      <c r="R1570" s="71"/>
      <c r="S1570" s="71"/>
      <c r="T1570" s="71"/>
      <c r="U1570" s="71"/>
      <c r="V1570" s="70"/>
      <c r="W1570" s="70"/>
      <c r="X1570" s="70"/>
      <c r="Y1570" s="70"/>
      <c r="Z1570" s="102"/>
    </row>
    <row r="1571">
      <c r="A1571" s="94"/>
      <c r="B1571" s="66"/>
      <c r="C1571" s="70"/>
      <c r="D1571" s="68"/>
      <c r="E1571" s="68"/>
      <c r="F1571" s="69"/>
      <c r="G1571" s="70"/>
      <c r="H1571" s="70"/>
      <c r="I1571" s="70"/>
      <c r="J1571" s="70"/>
      <c r="K1571" s="71"/>
      <c r="L1571" s="71"/>
      <c r="M1571" s="71"/>
      <c r="N1571" s="71"/>
      <c r="O1571" s="70"/>
      <c r="P1571" s="73"/>
      <c r="Q1571" s="71"/>
      <c r="R1571" s="71"/>
      <c r="S1571" s="71"/>
      <c r="T1571" s="71"/>
      <c r="U1571" s="71"/>
      <c r="V1571" s="70"/>
      <c r="W1571" s="70"/>
      <c r="X1571" s="70"/>
      <c r="Y1571" s="70"/>
      <c r="Z1571" s="102"/>
    </row>
    <row r="1572">
      <c r="A1572" s="94"/>
      <c r="B1572" s="66"/>
      <c r="C1572" s="70"/>
      <c r="D1572" s="68"/>
      <c r="E1572" s="68"/>
      <c r="F1572" s="69"/>
      <c r="G1572" s="70"/>
      <c r="H1572" s="70"/>
      <c r="I1572" s="70"/>
      <c r="J1572" s="70"/>
      <c r="K1572" s="71"/>
      <c r="L1572" s="71"/>
      <c r="M1572" s="71"/>
      <c r="N1572" s="71"/>
      <c r="O1572" s="70"/>
      <c r="P1572" s="73"/>
      <c r="Q1572" s="71"/>
      <c r="R1572" s="71"/>
      <c r="S1572" s="71"/>
      <c r="T1572" s="71"/>
      <c r="U1572" s="71"/>
      <c r="V1572" s="70"/>
      <c r="W1572" s="70"/>
      <c r="X1572" s="70"/>
      <c r="Y1572" s="70"/>
      <c r="Z1572" s="102"/>
    </row>
    <row r="1573">
      <c r="A1573" s="94"/>
      <c r="B1573" s="66"/>
      <c r="C1573" s="70"/>
      <c r="D1573" s="68"/>
      <c r="E1573" s="68"/>
      <c r="F1573" s="69"/>
      <c r="G1573" s="70"/>
      <c r="H1573" s="70"/>
      <c r="I1573" s="70"/>
      <c r="J1573" s="70"/>
      <c r="K1573" s="71"/>
      <c r="L1573" s="71"/>
      <c r="M1573" s="71"/>
      <c r="N1573" s="71"/>
      <c r="O1573" s="70"/>
      <c r="P1573" s="73"/>
      <c r="Q1573" s="71"/>
      <c r="R1573" s="71"/>
      <c r="S1573" s="71"/>
      <c r="T1573" s="71"/>
      <c r="U1573" s="71"/>
      <c r="V1573" s="70"/>
      <c r="W1573" s="70"/>
      <c r="X1573" s="70"/>
      <c r="Y1573" s="70"/>
      <c r="Z1573" s="102"/>
    </row>
    <row r="1574">
      <c r="A1574" s="94"/>
      <c r="B1574" s="66"/>
      <c r="C1574" s="70"/>
      <c r="D1574" s="68"/>
      <c r="E1574" s="68"/>
      <c r="F1574" s="69"/>
      <c r="G1574" s="70"/>
      <c r="H1574" s="70"/>
      <c r="I1574" s="70"/>
      <c r="J1574" s="70"/>
      <c r="K1574" s="71"/>
      <c r="L1574" s="71"/>
      <c r="M1574" s="71"/>
      <c r="N1574" s="71"/>
      <c r="O1574" s="70"/>
      <c r="P1574" s="73"/>
      <c r="Q1574" s="71"/>
      <c r="R1574" s="71"/>
      <c r="S1574" s="71"/>
      <c r="T1574" s="71"/>
      <c r="U1574" s="71"/>
      <c r="V1574" s="70"/>
      <c r="W1574" s="70"/>
      <c r="X1574" s="70"/>
      <c r="Y1574" s="70"/>
      <c r="Z1574" s="102"/>
    </row>
    <row r="1575">
      <c r="A1575" s="94"/>
      <c r="B1575" s="66"/>
      <c r="C1575" s="70"/>
      <c r="D1575" s="68"/>
      <c r="E1575" s="68"/>
      <c r="F1575" s="69"/>
      <c r="G1575" s="70"/>
      <c r="H1575" s="70"/>
      <c r="I1575" s="70"/>
      <c r="J1575" s="70"/>
      <c r="K1575" s="71"/>
      <c r="L1575" s="71"/>
      <c r="M1575" s="71"/>
      <c r="N1575" s="71"/>
      <c r="O1575" s="70"/>
      <c r="P1575" s="73"/>
      <c r="Q1575" s="71"/>
      <c r="R1575" s="71"/>
      <c r="S1575" s="71"/>
      <c r="T1575" s="71"/>
      <c r="U1575" s="71"/>
      <c r="V1575" s="70"/>
      <c r="W1575" s="70"/>
      <c r="X1575" s="70"/>
      <c r="Y1575" s="70"/>
      <c r="Z1575" s="102"/>
    </row>
    <row r="1576">
      <c r="A1576" s="94"/>
      <c r="B1576" s="66"/>
      <c r="C1576" s="70"/>
      <c r="D1576" s="68"/>
      <c r="E1576" s="68"/>
      <c r="F1576" s="69"/>
      <c r="G1576" s="70"/>
      <c r="H1576" s="70"/>
      <c r="I1576" s="70"/>
      <c r="J1576" s="70"/>
      <c r="K1576" s="71"/>
      <c r="L1576" s="71"/>
      <c r="M1576" s="71"/>
      <c r="N1576" s="71"/>
      <c r="O1576" s="70"/>
      <c r="P1576" s="73"/>
      <c r="Q1576" s="71"/>
      <c r="R1576" s="71"/>
      <c r="S1576" s="71"/>
      <c r="T1576" s="71"/>
      <c r="U1576" s="71"/>
      <c r="V1576" s="70"/>
      <c r="W1576" s="70"/>
      <c r="X1576" s="70"/>
      <c r="Y1576" s="70"/>
      <c r="Z1576" s="102"/>
    </row>
    <row r="1577">
      <c r="A1577" s="94"/>
      <c r="B1577" s="66"/>
      <c r="C1577" s="70"/>
      <c r="D1577" s="68"/>
      <c r="E1577" s="68"/>
      <c r="F1577" s="69"/>
      <c r="G1577" s="70"/>
      <c r="H1577" s="70"/>
      <c r="I1577" s="70"/>
      <c r="J1577" s="70"/>
      <c r="K1577" s="71"/>
      <c r="L1577" s="71"/>
      <c r="M1577" s="71"/>
      <c r="N1577" s="71"/>
      <c r="O1577" s="70"/>
      <c r="P1577" s="73"/>
      <c r="Q1577" s="71"/>
      <c r="R1577" s="71"/>
      <c r="S1577" s="71"/>
      <c r="T1577" s="71"/>
      <c r="U1577" s="71"/>
      <c r="V1577" s="70"/>
      <c r="W1577" s="70"/>
      <c r="X1577" s="70"/>
      <c r="Y1577" s="70"/>
      <c r="Z1577" s="102"/>
    </row>
    <row r="1578">
      <c r="A1578" s="94"/>
      <c r="B1578" s="66"/>
      <c r="C1578" s="70"/>
      <c r="D1578" s="68"/>
      <c r="E1578" s="68"/>
      <c r="F1578" s="69"/>
      <c r="G1578" s="70"/>
      <c r="H1578" s="70"/>
      <c r="I1578" s="70"/>
      <c r="J1578" s="70"/>
      <c r="K1578" s="71"/>
      <c r="L1578" s="71"/>
      <c r="M1578" s="71"/>
      <c r="N1578" s="71"/>
      <c r="O1578" s="70"/>
      <c r="P1578" s="73"/>
      <c r="Q1578" s="71"/>
      <c r="R1578" s="71"/>
      <c r="S1578" s="71"/>
      <c r="T1578" s="71"/>
      <c r="U1578" s="71"/>
      <c r="V1578" s="70"/>
      <c r="W1578" s="70"/>
      <c r="X1578" s="70"/>
      <c r="Y1578" s="70"/>
      <c r="Z1578" s="102"/>
    </row>
    <row r="1579">
      <c r="A1579" s="94"/>
      <c r="B1579" s="66"/>
      <c r="C1579" s="70"/>
      <c r="D1579" s="68"/>
      <c r="E1579" s="68"/>
      <c r="F1579" s="69"/>
      <c r="G1579" s="70"/>
      <c r="H1579" s="70"/>
      <c r="I1579" s="70"/>
      <c r="J1579" s="70"/>
      <c r="K1579" s="71"/>
      <c r="L1579" s="71"/>
      <c r="M1579" s="71"/>
      <c r="N1579" s="71"/>
      <c r="O1579" s="70"/>
      <c r="P1579" s="73"/>
      <c r="Q1579" s="71"/>
      <c r="R1579" s="71"/>
      <c r="S1579" s="71"/>
      <c r="T1579" s="71"/>
      <c r="U1579" s="71"/>
      <c r="V1579" s="70"/>
      <c r="W1579" s="70"/>
      <c r="X1579" s="70"/>
      <c r="Y1579" s="70"/>
      <c r="Z1579" s="102"/>
    </row>
    <row r="1580">
      <c r="A1580" s="94"/>
      <c r="B1580" s="66"/>
      <c r="C1580" s="70"/>
      <c r="D1580" s="68"/>
      <c r="E1580" s="68"/>
      <c r="F1580" s="69"/>
      <c r="G1580" s="70"/>
      <c r="H1580" s="70"/>
      <c r="I1580" s="70"/>
      <c r="J1580" s="70"/>
      <c r="K1580" s="71"/>
      <c r="L1580" s="71"/>
      <c r="M1580" s="71"/>
      <c r="N1580" s="71"/>
      <c r="O1580" s="70"/>
      <c r="P1580" s="73"/>
      <c r="Q1580" s="71"/>
      <c r="R1580" s="71"/>
      <c r="S1580" s="71"/>
      <c r="T1580" s="71"/>
      <c r="U1580" s="71"/>
      <c r="V1580" s="70"/>
      <c r="W1580" s="70"/>
      <c r="X1580" s="70"/>
      <c r="Y1580" s="70"/>
      <c r="Z1580" s="102"/>
    </row>
    <row r="1581">
      <c r="A1581" s="94"/>
      <c r="B1581" s="66"/>
      <c r="C1581" s="70"/>
      <c r="D1581" s="68"/>
      <c r="E1581" s="68"/>
      <c r="F1581" s="69"/>
      <c r="G1581" s="70"/>
      <c r="H1581" s="70"/>
      <c r="I1581" s="70"/>
      <c r="J1581" s="70"/>
      <c r="K1581" s="71"/>
      <c r="L1581" s="71"/>
      <c r="M1581" s="71"/>
      <c r="N1581" s="71"/>
      <c r="O1581" s="70"/>
      <c r="P1581" s="73"/>
      <c r="Q1581" s="71"/>
      <c r="R1581" s="71"/>
      <c r="S1581" s="71"/>
      <c r="T1581" s="71"/>
      <c r="U1581" s="71"/>
      <c r="V1581" s="70"/>
      <c r="W1581" s="70"/>
      <c r="X1581" s="70"/>
      <c r="Y1581" s="70"/>
      <c r="Z1581" s="102"/>
    </row>
    <row r="1582">
      <c r="A1582" s="94"/>
      <c r="B1582" s="66"/>
      <c r="C1582" s="70"/>
      <c r="D1582" s="68"/>
      <c r="E1582" s="68"/>
      <c r="F1582" s="69"/>
      <c r="G1582" s="70"/>
      <c r="H1582" s="70"/>
      <c r="I1582" s="70"/>
      <c r="J1582" s="70"/>
      <c r="K1582" s="71"/>
      <c r="L1582" s="71"/>
      <c r="M1582" s="71"/>
      <c r="N1582" s="71"/>
      <c r="O1582" s="70"/>
      <c r="P1582" s="73"/>
      <c r="Q1582" s="71"/>
      <c r="R1582" s="71"/>
      <c r="S1582" s="71"/>
      <c r="T1582" s="71"/>
      <c r="U1582" s="71"/>
      <c r="V1582" s="70"/>
      <c r="W1582" s="70"/>
      <c r="X1582" s="70"/>
      <c r="Y1582" s="70"/>
      <c r="Z1582" s="102"/>
    </row>
    <row r="1583">
      <c r="A1583" s="94"/>
      <c r="B1583" s="66"/>
      <c r="C1583" s="70"/>
      <c r="D1583" s="68"/>
      <c r="E1583" s="68"/>
      <c r="F1583" s="69"/>
      <c r="G1583" s="70"/>
      <c r="H1583" s="70"/>
      <c r="I1583" s="70"/>
      <c r="J1583" s="70"/>
      <c r="K1583" s="71"/>
      <c r="L1583" s="71"/>
      <c r="M1583" s="71"/>
      <c r="N1583" s="71"/>
      <c r="O1583" s="70"/>
      <c r="P1583" s="73"/>
      <c r="Q1583" s="71"/>
      <c r="R1583" s="71"/>
      <c r="S1583" s="71"/>
      <c r="T1583" s="71"/>
      <c r="U1583" s="71"/>
      <c r="V1583" s="70"/>
      <c r="W1583" s="70"/>
      <c r="X1583" s="70"/>
      <c r="Y1583" s="70"/>
      <c r="Z1583" s="102"/>
    </row>
    <row r="1584">
      <c r="A1584" s="94"/>
      <c r="B1584" s="66"/>
      <c r="C1584" s="70"/>
      <c r="D1584" s="68"/>
      <c r="E1584" s="68"/>
      <c r="F1584" s="69"/>
      <c r="G1584" s="70"/>
      <c r="H1584" s="70"/>
      <c r="I1584" s="70"/>
      <c r="J1584" s="70"/>
      <c r="K1584" s="71"/>
      <c r="L1584" s="71"/>
      <c r="M1584" s="71"/>
      <c r="N1584" s="71"/>
      <c r="O1584" s="70"/>
      <c r="P1584" s="73"/>
      <c r="Q1584" s="71"/>
      <c r="R1584" s="71"/>
      <c r="S1584" s="71"/>
      <c r="T1584" s="71"/>
      <c r="U1584" s="71"/>
      <c r="V1584" s="70"/>
      <c r="W1584" s="70"/>
      <c r="X1584" s="70"/>
      <c r="Y1584" s="70"/>
      <c r="Z1584" s="102"/>
    </row>
    <row r="1585">
      <c r="A1585" s="94"/>
      <c r="B1585" s="66"/>
      <c r="C1585" s="70"/>
      <c r="D1585" s="68"/>
      <c r="E1585" s="68"/>
      <c r="F1585" s="69"/>
      <c r="G1585" s="70"/>
      <c r="H1585" s="70"/>
      <c r="I1585" s="70"/>
      <c r="J1585" s="70"/>
      <c r="K1585" s="71"/>
      <c r="L1585" s="71"/>
      <c r="M1585" s="71"/>
      <c r="N1585" s="71"/>
      <c r="O1585" s="70"/>
      <c r="P1585" s="73"/>
      <c r="Q1585" s="71"/>
      <c r="R1585" s="71"/>
      <c r="S1585" s="71"/>
      <c r="T1585" s="71"/>
      <c r="U1585" s="71"/>
      <c r="V1585" s="70"/>
      <c r="W1585" s="70"/>
      <c r="X1585" s="70"/>
      <c r="Y1585" s="70"/>
      <c r="Z1585" s="102"/>
    </row>
    <row r="1586">
      <c r="A1586" s="94"/>
      <c r="B1586" s="66"/>
      <c r="C1586" s="70"/>
      <c r="D1586" s="68"/>
      <c r="E1586" s="68"/>
      <c r="F1586" s="69"/>
      <c r="G1586" s="70"/>
      <c r="H1586" s="70"/>
      <c r="I1586" s="70"/>
      <c r="J1586" s="70"/>
      <c r="K1586" s="71"/>
      <c r="L1586" s="71"/>
      <c r="M1586" s="71"/>
      <c r="N1586" s="71"/>
      <c r="O1586" s="70"/>
      <c r="P1586" s="73"/>
      <c r="Q1586" s="71"/>
      <c r="R1586" s="71"/>
      <c r="S1586" s="71"/>
      <c r="T1586" s="71"/>
      <c r="U1586" s="71"/>
      <c r="V1586" s="70"/>
      <c r="W1586" s="70"/>
      <c r="X1586" s="70"/>
      <c r="Y1586" s="70"/>
      <c r="Z1586" s="102"/>
    </row>
    <row r="1587">
      <c r="A1587" s="94"/>
      <c r="B1587" s="66"/>
      <c r="C1587" s="70"/>
      <c r="D1587" s="68"/>
      <c r="E1587" s="68"/>
      <c r="F1587" s="69"/>
      <c r="G1587" s="70"/>
      <c r="H1587" s="70"/>
      <c r="I1587" s="70"/>
      <c r="J1587" s="70"/>
      <c r="K1587" s="71"/>
      <c r="L1587" s="71"/>
      <c r="M1587" s="71"/>
      <c r="N1587" s="71"/>
      <c r="O1587" s="70"/>
      <c r="P1587" s="73"/>
      <c r="Q1587" s="71"/>
      <c r="R1587" s="71"/>
      <c r="S1587" s="71"/>
      <c r="T1587" s="71"/>
      <c r="U1587" s="71"/>
      <c r="V1587" s="70"/>
      <c r="W1587" s="70"/>
      <c r="X1587" s="70"/>
      <c r="Y1587" s="70"/>
      <c r="Z1587" s="102"/>
    </row>
    <row r="1588">
      <c r="A1588" s="94"/>
      <c r="B1588" s="66"/>
      <c r="C1588" s="70"/>
      <c r="D1588" s="68"/>
      <c r="E1588" s="68"/>
      <c r="F1588" s="69"/>
      <c r="G1588" s="70"/>
      <c r="H1588" s="70"/>
      <c r="I1588" s="70"/>
      <c r="J1588" s="70"/>
      <c r="K1588" s="71"/>
      <c r="L1588" s="71"/>
      <c r="M1588" s="71"/>
      <c r="N1588" s="71"/>
      <c r="O1588" s="70"/>
      <c r="P1588" s="73"/>
      <c r="Q1588" s="71"/>
      <c r="R1588" s="71"/>
      <c r="S1588" s="71"/>
      <c r="T1588" s="71"/>
      <c r="U1588" s="71"/>
      <c r="V1588" s="70"/>
      <c r="W1588" s="70"/>
      <c r="X1588" s="70"/>
      <c r="Y1588" s="70"/>
      <c r="Z1588" s="102"/>
    </row>
    <row r="1589">
      <c r="A1589" s="94"/>
      <c r="B1589" s="66"/>
      <c r="C1589" s="70"/>
      <c r="D1589" s="68"/>
      <c r="E1589" s="68"/>
      <c r="F1589" s="69"/>
      <c r="G1589" s="70"/>
      <c r="H1589" s="70"/>
      <c r="I1589" s="70"/>
      <c r="J1589" s="70"/>
      <c r="K1589" s="71"/>
      <c r="L1589" s="71"/>
      <c r="M1589" s="71"/>
      <c r="N1589" s="71"/>
      <c r="O1589" s="70"/>
      <c r="P1589" s="73"/>
      <c r="Q1589" s="71"/>
      <c r="R1589" s="71"/>
      <c r="S1589" s="71"/>
      <c r="T1589" s="71"/>
      <c r="U1589" s="71"/>
      <c r="V1589" s="70"/>
      <c r="W1589" s="70"/>
      <c r="X1589" s="70"/>
      <c r="Y1589" s="70"/>
      <c r="Z1589" s="102"/>
    </row>
    <row r="1590">
      <c r="A1590" s="94"/>
      <c r="B1590" s="66"/>
      <c r="C1590" s="70"/>
      <c r="D1590" s="68"/>
      <c r="E1590" s="68"/>
      <c r="F1590" s="69"/>
      <c r="G1590" s="70"/>
      <c r="H1590" s="70"/>
      <c r="I1590" s="70"/>
      <c r="J1590" s="70"/>
      <c r="K1590" s="71"/>
      <c r="L1590" s="71"/>
      <c r="M1590" s="71"/>
      <c r="N1590" s="71"/>
      <c r="O1590" s="70"/>
      <c r="P1590" s="73"/>
      <c r="Q1590" s="71"/>
      <c r="R1590" s="71"/>
      <c r="S1590" s="71"/>
      <c r="T1590" s="71"/>
      <c r="U1590" s="71"/>
      <c r="V1590" s="70"/>
      <c r="W1590" s="70"/>
      <c r="X1590" s="70"/>
      <c r="Y1590" s="70"/>
      <c r="Z1590" s="102"/>
    </row>
    <row r="1591">
      <c r="A1591" s="94"/>
      <c r="B1591" s="66"/>
      <c r="C1591" s="70"/>
      <c r="D1591" s="68"/>
      <c r="E1591" s="68"/>
      <c r="F1591" s="69"/>
      <c r="G1591" s="70"/>
      <c r="H1591" s="70"/>
      <c r="I1591" s="70"/>
      <c r="J1591" s="70"/>
      <c r="K1591" s="71"/>
      <c r="L1591" s="71"/>
      <c r="M1591" s="71"/>
      <c r="N1591" s="71"/>
      <c r="O1591" s="70"/>
      <c r="P1591" s="73"/>
      <c r="Q1591" s="71"/>
      <c r="R1591" s="71"/>
      <c r="S1591" s="71"/>
      <c r="T1591" s="71"/>
      <c r="U1591" s="71"/>
      <c r="V1591" s="70"/>
      <c r="W1591" s="70"/>
      <c r="X1591" s="70"/>
      <c r="Y1591" s="70"/>
      <c r="Z1591" s="102"/>
    </row>
    <row r="1592">
      <c r="A1592" s="94"/>
      <c r="B1592" s="66"/>
      <c r="C1592" s="70"/>
      <c r="D1592" s="68"/>
      <c r="E1592" s="68"/>
      <c r="F1592" s="69"/>
      <c r="G1592" s="70"/>
      <c r="H1592" s="70"/>
      <c r="I1592" s="70"/>
      <c r="J1592" s="70"/>
      <c r="K1592" s="71"/>
      <c r="L1592" s="71"/>
      <c r="M1592" s="71"/>
      <c r="N1592" s="71"/>
      <c r="O1592" s="70"/>
      <c r="P1592" s="73"/>
      <c r="Q1592" s="71"/>
      <c r="R1592" s="71"/>
      <c r="S1592" s="71"/>
      <c r="T1592" s="71"/>
      <c r="U1592" s="71"/>
      <c r="V1592" s="70"/>
      <c r="W1592" s="70"/>
      <c r="X1592" s="70"/>
      <c r="Y1592" s="70"/>
      <c r="Z1592" s="102"/>
    </row>
    <row r="1593">
      <c r="A1593" s="94"/>
      <c r="B1593" s="66"/>
      <c r="C1593" s="70"/>
      <c r="D1593" s="68"/>
      <c r="E1593" s="68"/>
      <c r="F1593" s="69"/>
      <c r="G1593" s="70"/>
      <c r="H1593" s="70"/>
      <c r="I1593" s="70"/>
      <c r="J1593" s="70"/>
      <c r="K1593" s="71"/>
      <c r="L1593" s="71"/>
      <c r="M1593" s="71"/>
      <c r="N1593" s="71"/>
      <c r="O1593" s="70"/>
      <c r="P1593" s="73"/>
      <c r="Q1593" s="71"/>
      <c r="R1593" s="71"/>
      <c r="S1593" s="71"/>
      <c r="T1593" s="71"/>
      <c r="U1593" s="71"/>
      <c r="V1593" s="70"/>
      <c r="W1593" s="70"/>
      <c r="X1593" s="70"/>
      <c r="Y1593" s="70"/>
      <c r="Z1593" s="102"/>
    </row>
    <row r="1594">
      <c r="A1594" s="94"/>
      <c r="B1594" s="66"/>
      <c r="C1594" s="70"/>
      <c r="D1594" s="68"/>
      <c r="E1594" s="68"/>
      <c r="F1594" s="69"/>
      <c r="G1594" s="70"/>
      <c r="H1594" s="70"/>
      <c r="I1594" s="70"/>
      <c r="J1594" s="70"/>
      <c r="K1594" s="71"/>
      <c r="L1594" s="71"/>
      <c r="M1594" s="71"/>
      <c r="N1594" s="71"/>
      <c r="O1594" s="70"/>
      <c r="P1594" s="73"/>
      <c r="Q1594" s="71"/>
      <c r="R1594" s="71"/>
      <c r="S1594" s="71"/>
      <c r="T1594" s="71"/>
      <c r="U1594" s="71"/>
      <c r="V1594" s="70"/>
      <c r="W1594" s="70"/>
      <c r="X1594" s="70"/>
      <c r="Y1594" s="70"/>
      <c r="Z1594" s="102"/>
    </row>
    <row r="1595">
      <c r="A1595" s="94"/>
      <c r="B1595" s="66"/>
      <c r="C1595" s="70"/>
      <c r="D1595" s="68"/>
      <c r="E1595" s="68"/>
      <c r="F1595" s="69"/>
      <c r="G1595" s="70"/>
      <c r="H1595" s="70"/>
      <c r="I1595" s="70"/>
      <c r="J1595" s="70"/>
      <c r="K1595" s="71"/>
      <c r="L1595" s="71"/>
      <c r="M1595" s="71"/>
      <c r="N1595" s="71"/>
      <c r="O1595" s="70"/>
      <c r="P1595" s="73"/>
      <c r="Q1595" s="71"/>
      <c r="R1595" s="71"/>
      <c r="S1595" s="71"/>
      <c r="T1595" s="71"/>
      <c r="U1595" s="71"/>
      <c r="V1595" s="70"/>
      <c r="W1595" s="70"/>
      <c r="X1595" s="70"/>
      <c r="Y1595" s="70"/>
      <c r="Z1595" s="102"/>
    </row>
    <row r="1596">
      <c r="A1596" s="94"/>
      <c r="B1596" s="66"/>
      <c r="C1596" s="70"/>
      <c r="D1596" s="68"/>
      <c r="E1596" s="68"/>
      <c r="F1596" s="69"/>
      <c r="G1596" s="70"/>
      <c r="H1596" s="70"/>
      <c r="I1596" s="70"/>
      <c r="J1596" s="70"/>
      <c r="K1596" s="71"/>
      <c r="L1596" s="71"/>
      <c r="M1596" s="71"/>
      <c r="N1596" s="71"/>
      <c r="O1596" s="70"/>
      <c r="P1596" s="73"/>
      <c r="Q1596" s="71"/>
      <c r="R1596" s="71"/>
      <c r="S1596" s="71"/>
      <c r="T1596" s="71"/>
      <c r="U1596" s="71"/>
      <c r="V1596" s="70"/>
      <c r="W1596" s="70"/>
      <c r="X1596" s="70"/>
      <c r="Y1596" s="70"/>
      <c r="Z1596" s="102"/>
    </row>
    <row r="1597">
      <c r="A1597" s="94"/>
      <c r="B1597" s="66"/>
      <c r="C1597" s="70"/>
      <c r="D1597" s="68"/>
      <c r="E1597" s="68"/>
      <c r="F1597" s="69"/>
      <c r="G1597" s="70"/>
      <c r="H1597" s="70"/>
      <c r="I1597" s="70"/>
      <c r="J1597" s="70"/>
      <c r="K1597" s="71"/>
      <c r="L1597" s="71"/>
      <c r="M1597" s="71"/>
      <c r="N1597" s="71"/>
      <c r="O1597" s="70"/>
      <c r="P1597" s="73"/>
      <c r="Q1597" s="71"/>
      <c r="R1597" s="71"/>
      <c r="S1597" s="71"/>
      <c r="T1597" s="71"/>
      <c r="U1597" s="71"/>
      <c r="V1597" s="70"/>
      <c r="W1597" s="70"/>
      <c r="X1597" s="70"/>
      <c r="Y1597" s="70"/>
      <c r="Z1597" s="102"/>
    </row>
    <row r="1598">
      <c r="A1598" s="94"/>
      <c r="B1598" s="66"/>
      <c r="C1598" s="70"/>
      <c r="D1598" s="68"/>
      <c r="E1598" s="68"/>
      <c r="F1598" s="69"/>
      <c r="G1598" s="70"/>
      <c r="H1598" s="70"/>
      <c r="I1598" s="70"/>
      <c r="J1598" s="70"/>
      <c r="K1598" s="71"/>
      <c r="L1598" s="71"/>
      <c r="M1598" s="71"/>
      <c r="N1598" s="71"/>
      <c r="O1598" s="70"/>
      <c r="P1598" s="73"/>
      <c r="Q1598" s="71"/>
      <c r="R1598" s="71"/>
      <c r="S1598" s="71"/>
      <c r="T1598" s="71"/>
      <c r="U1598" s="71"/>
      <c r="V1598" s="70"/>
      <c r="W1598" s="70"/>
      <c r="X1598" s="70"/>
      <c r="Y1598" s="70"/>
      <c r="Z1598" s="102"/>
    </row>
    <row r="1599">
      <c r="A1599" s="94"/>
      <c r="B1599" s="66"/>
      <c r="C1599" s="70"/>
      <c r="D1599" s="68"/>
      <c r="E1599" s="68"/>
      <c r="F1599" s="69"/>
      <c r="G1599" s="70"/>
      <c r="H1599" s="70"/>
      <c r="I1599" s="70"/>
      <c r="J1599" s="70"/>
      <c r="K1599" s="71"/>
      <c r="L1599" s="71"/>
      <c r="M1599" s="71"/>
      <c r="N1599" s="71"/>
      <c r="O1599" s="70"/>
      <c r="P1599" s="73"/>
      <c r="Q1599" s="71"/>
      <c r="R1599" s="71"/>
      <c r="S1599" s="71"/>
      <c r="T1599" s="71"/>
      <c r="U1599" s="71"/>
      <c r="V1599" s="70"/>
      <c r="W1599" s="70"/>
      <c r="X1599" s="70"/>
      <c r="Y1599" s="70"/>
      <c r="Z1599" s="102"/>
    </row>
    <row r="1600">
      <c r="A1600" s="94"/>
      <c r="B1600" s="66"/>
      <c r="C1600" s="70"/>
      <c r="D1600" s="68"/>
      <c r="E1600" s="68"/>
      <c r="F1600" s="69"/>
      <c r="G1600" s="70"/>
      <c r="H1600" s="70"/>
      <c r="I1600" s="70"/>
      <c r="J1600" s="70"/>
      <c r="K1600" s="71"/>
      <c r="L1600" s="71"/>
      <c r="M1600" s="71"/>
      <c r="N1600" s="71"/>
      <c r="O1600" s="70"/>
      <c r="P1600" s="73"/>
      <c r="Q1600" s="71"/>
      <c r="R1600" s="71"/>
      <c r="S1600" s="71"/>
      <c r="T1600" s="71"/>
      <c r="U1600" s="71"/>
      <c r="V1600" s="70"/>
      <c r="W1600" s="70"/>
      <c r="X1600" s="70"/>
      <c r="Y1600" s="70"/>
      <c r="Z1600" s="102"/>
    </row>
    <row r="1601">
      <c r="A1601" s="94"/>
      <c r="B1601" s="66"/>
      <c r="C1601" s="70"/>
      <c r="D1601" s="68"/>
      <c r="E1601" s="68"/>
      <c r="F1601" s="69"/>
      <c r="G1601" s="70"/>
      <c r="H1601" s="70"/>
      <c r="I1601" s="70"/>
      <c r="J1601" s="70"/>
      <c r="K1601" s="71"/>
      <c r="L1601" s="71"/>
      <c r="M1601" s="71"/>
      <c r="N1601" s="71"/>
      <c r="O1601" s="70"/>
      <c r="P1601" s="73"/>
      <c r="Q1601" s="71"/>
      <c r="R1601" s="71"/>
      <c r="S1601" s="71"/>
      <c r="T1601" s="71"/>
      <c r="U1601" s="71"/>
      <c r="V1601" s="70"/>
      <c r="W1601" s="70"/>
      <c r="X1601" s="70"/>
      <c r="Y1601" s="70"/>
      <c r="Z1601" s="102"/>
    </row>
    <row r="1602">
      <c r="A1602" s="94"/>
      <c r="B1602" s="66"/>
      <c r="C1602" s="70"/>
      <c r="D1602" s="68"/>
      <c r="E1602" s="68"/>
      <c r="F1602" s="69"/>
      <c r="G1602" s="70"/>
      <c r="H1602" s="70"/>
      <c r="I1602" s="70"/>
      <c r="J1602" s="70"/>
      <c r="K1602" s="71"/>
      <c r="L1602" s="71"/>
      <c r="M1602" s="71"/>
      <c r="N1602" s="71"/>
      <c r="O1602" s="70"/>
      <c r="P1602" s="73"/>
      <c r="Q1602" s="71"/>
      <c r="R1602" s="71"/>
      <c r="S1602" s="71"/>
      <c r="T1602" s="71"/>
      <c r="U1602" s="71"/>
      <c r="V1602" s="70"/>
      <c r="W1602" s="70"/>
      <c r="X1602" s="70"/>
      <c r="Y1602" s="70"/>
      <c r="Z1602" s="102"/>
    </row>
    <row r="1603">
      <c r="A1603" s="94"/>
      <c r="B1603" s="66"/>
      <c r="C1603" s="70"/>
      <c r="D1603" s="68"/>
      <c r="E1603" s="68"/>
      <c r="F1603" s="69"/>
      <c r="G1603" s="70"/>
      <c r="H1603" s="70"/>
      <c r="I1603" s="70"/>
      <c r="J1603" s="70"/>
      <c r="K1603" s="71"/>
      <c r="L1603" s="71"/>
      <c r="M1603" s="71"/>
      <c r="N1603" s="71"/>
      <c r="O1603" s="70"/>
      <c r="P1603" s="73"/>
      <c r="Q1603" s="71"/>
      <c r="R1603" s="71"/>
      <c r="S1603" s="71"/>
      <c r="T1603" s="71"/>
      <c r="U1603" s="71"/>
      <c r="V1603" s="70"/>
      <c r="W1603" s="70"/>
      <c r="X1603" s="70"/>
      <c r="Y1603" s="70"/>
      <c r="Z1603" s="102"/>
    </row>
    <row r="1604">
      <c r="A1604" s="94"/>
      <c r="B1604" s="66"/>
      <c r="C1604" s="70"/>
      <c r="D1604" s="68"/>
      <c r="E1604" s="68"/>
      <c r="F1604" s="69"/>
      <c r="G1604" s="70"/>
      <c r="H1604" s="70"/>
      <c r="I1604" s="70"/>
      <c r="J1604" s="70"/>
      <c r="K1604" s="71"/>
      <c r="L1604" s="71"/>
      <c r="M1604" s="71"/>
      <c r="N1604" s="71"/>
      <c r="O1604" s="70"/>
      <c r="P1604" s="73"/>
      <c r="Q1604" s="71"/>
      <c r="R1604" s="71"/>
      <c r="S1604" s="71"/>
      <c r="T1604" s="71"/>
      <c r="U1604" s="71"/>
      <c r="V1604" s="70"/>
      <c r="W1604" s="70"/>
      <c r="X1604" s="70"/>
      <c r="Y1604" s="70"/>
      <c r="Z1604" s="102"/>
    </row>
    <row r="1605">
      <c r="A1605" s="94"/>
      <c r="B1605" s="66"/>
      <c r="C1605" s="70"/>
      <c r="D1605" s="68"/>
      <c r="E1605" s="68"/>
      <c r="F1605" s="69"/>
      <c r="G1605" s="70"/>
      <c r="H1605" s="70"/>
      <c r="I1605" s="70"/>
      <c r="J1605" s="70"/>
      <c r="K1605" s="71"/>
      <c r="L1605" s="71"/>
      <c r="M1605" s="71"/>
      <c r="N1605" s="71"/>
      <c r="O1605" s="70"/>
      <c r="P1605" s="73"/>
      <c r="Q1605" s="71"/>
      <c r="R1605" s="71"/>
      <c r="S1605" s="71"/>
      <c r="T1605" s="71"/>
      <c r="U1605" s="71"/>
      <c r="V1605" s="70"/>
      <c r="W1605" s="70"/>
      <c r="X1605" s="70"/>
      <c r="Y1605" s="70"/>
      <c r="Z1605" s="102"/>
    </row>
    <row r="1606">
      <c r="A1606" s="94"/>
      <c r="B1606" s="66"/>
      <c r="C1606" s="70"/>
      <c r="D1606" s="68"/>
      <c r="E1606" s="68"/>
      <c r="F1606" s="69"/>
      <c r="G1606" s="70"/>
      <c r="H1606" s="70"/>
      <c r="I1606" s="70"/>
      <c r="J1606" s="70"/>
      <c r="K1606" s="71"/>
      <c r="L1606" s="71"/>
      <c r="M1606" s="71"/>
      <c r="N1606" s="71"/>
      <c r="O1606" s="70"/>
      <c r="P1606" s="73"/>
      <c r="Q1606" s="71"/>
      <c r="R1606" s="71"/>
      <c r="S1606" s="71"/>
      <c r="T1606" s="71"/>
      <c r="U1606" s="71"/>
      <c r="V1606" s="70"/>
      <c r="W1606" s="70"/>
      <c r="X1606" s="70"/>
      <c r="Y1606" s="70"/>
      <c r="Z1606" s="102"/>
    </row>
    <row r="1607">
      <c r="A1607" s="94"/>
      <c r="B1607" s="66"/>
      <c r="C1607" s="70"/>
      <c r="D1607" s="68"/>
      <c r="E1607" s="68"/>
      <c r="F1607" s="69"/>
      <c r="G1607" s="70"/>
      <c r="H1607" s="70"/>
      <c r="I1607" s="70"/>
      <c r="J1607" s="70"/>
      <c r="K1607" s="71"/>
      <c r="L1607" s="71"/>
      <c r="M1607" s="71"/>
      <c r="N1607" s="71"/>
      <c r="O1607" s="70"/>
      <c r="P1607" s="73"/>
      <c r="Q1607" s="71"/>
      <c r="R1607" s="71"/>
      <c r="S1607" s="71"/>
      <c r="T1607" s="71"/>
      <c r="U1607" s="71"/>
      <c r="V1607" s="70"/>
      <c r="W1607" s="70"/>
      <c r="X1607" s="70"/>
      <c r="Y1607" s="70"/>
      <c r="Z1607" s="102"/>
    </row>
    <row r="1608">
      <c r="A1608" s="94"/>
      <c r="B1608" s="66"/>
      <c r="C1608" s="70"/>
      <c r="D1608" s="68"/>
      <c r="E1608" s="68"/>
      <c r="F1608" s="69"/>
      <c r="G1608" s="70"/>
      <c r="H1608" s="70"/>
      <c r="I1608" s="70"/>
      <c r="J1608" s="70"/>
      <c r="K1608" s="71"/>
      <c r="L1608" s="71"/>
      <c r="M1608" s="71"/>
      <c r="N1608" s="71"/>
      <c r="O1608" s="70"/>
      <c r="P1608" s="73"/>
      <c r="Q1608" s="71"/>
      <c r="R1608" s="71"/>
      <c r="S1608" s="71"/>
      <c r="T1608" s="71"/>
      <c r="U1608" s="71"/>
      <c r="V1608" s="70"/>
      <c r="W1608" s="70"/>
      <c r="X1608" s="70"/>
      <c r="Y1608" s="70"/>
      <c r="Z1608" s="102"/>
    </row>
    <row r="1609">
      <c r="A1609" s="94"/>
      <c r="B1609" s="66"/>
      <c r="C1609" s="70"/>
      <c r="D1609" s="68"/>
      <c r="E1609" s="68"/>
      <c r="F1609" s="69"/>
      <c r="G1609" s="70"/>
      <c r="H1609" s="70"/>
      <c r="I1609" s="70"/>
      <c r="J1609" s="70"/>
      <c r="K1609" s="71"/>
      <c r="L1609" s="71"/>
      <c r="M1609" s="71"/>
      <c r="N1609" s="71"/>
      <c r="O1609" s="70"/>
      <c r="P1609" s="73"/>
      <c r="Q1609" s="71"/>
      <c r="R1609" s="71"/>
      <c r="S1609" s="71"/>
      <c r="T1609" s="71"/>
      <c r="U1609" s="71"/>
      <c r="V1609" s="70"/>
      <c r="W1609" s="70"/>
      <c r="X1609" s="70"/>
      <c r="Y1609" s="70"/>
      <c r="Z1609" s="102"/>
    </row>
    <row r="1610">
      <c r="A1610" s="94"/>
      <c r="B1610" s="66"/>
      <c r="C1610" s="70"/>
      <c r="D1610" s="68"/>
      <c r="E1610" s="68"/>
      <c r="F1610" s="69"/>
      <c r="G1610" s="70"/>
      <c r="H1610" s="70"/>
      <c r="I1610" s="70"/>
      <c r="J1610" s="70"/>
      <c r="K1610" s="71"/>
      <c r="L1610" s="71"/>
      <c r="M1610" s="71"/>
      <c r="N1610" s="71"/>
      <c r="O1610" s="70"/>
      <c r="P1610" s="73"/>
      <c r="Q1610" s="71"/>
      <c r="R1610" s="71"/>
      <c r="S1610" s="71"/>
      <c r="T1610" s="71"/>
      <c r="U1610" s="71"/>
      <c r="V1610" s="70"/>
      <c r="W1610" s="70"/>
      <c r="X1610" s="70"/>
      <c r="Y1610" s="70"/>
      <c r="Z1610" s="102"/>
    </row>
    <row r="1611">
      <c r="A1611" s="94"/>
      <c r="B1611" s="66"/>
      <c r="C1611" s="70"/>
      <c r="D1611" s="68"/>
      <c r="E1611" s="68"/>
      <c r="F1611" s="69"/>
      <c r="G1611" s="70"/>
      <c r="H1611" s="70"/>
      <c r="I1611" s="70"/>
      <c r="J1611" s="70"/>
      <c r="K1611" s="71"/>
      <c r="L1611" s="71"/>
      <c r="M1611" s="71"/>
      <c r="N1611" s="71"/>
      <c r="O1611" s="70"/>
      <c r="P1611" s="73"/>
      <c r="Q1611" s="71"/>
      <c r="R1611" s="71"/>
      <c r="S1611" s="71"/>
      <c r="T1611" s="71"/>
      <c r="U1611" s="71"/>
      <c r="V1611" s="70"/>
      <c r="W1611" s="70"/>
      <c r="X1611" s="70"/>
      <c r="Y1611" s="70"/>
      <c r="Z1611" s="102"/>
    </row>
    <row r="1612">
      <c r="A1612" s="94"/>
      <c r="B1612" s="66"/>
      <c r="C1612" s="70"/>
      <c r="D1612" s="68"/>
      <c r="E1612" s="68"/>
      <c r="F1612" s="69"/>
      <c r="G1612" s="70"/>
      <c r="H1612" s="70"/>
      <c r="I1612" s="70"/>
      <c r="J1612" s="70"/>
      <c r="K1612" s="71"/>
      <c r="L1612" s="71"/>
      <c r="M1612" s="71"/>
      <c r="N1612" s="71"/>
      <c r="O1612" s="70"/>
      <c r="P1612" s="73"/>
      <c r="Q1612" s="71"/>
      <c r="R1612" s="71"/>
      <c r="S1612" s="71"/>
      <c r="T1612" s="71"/>
      <c r="U1612" s="71"/>
      <c r="V1612" s="70"/>
      <c r="W1612" s="70"/>
      <c r="X1612" s="70"/>
      <c r="Y1612" s="70"/>
      <c r="Z1612" s="102"/>
    </row>
    <row r="1613">
      <c r="A1613" s="94"/>
      <c r="B1613" s="66"/>
      <c r="C1613" s="70"/>
      <c r="D1613" s="68"/>
      <c r="E1613" s="68"/>
      <c r="F1613" s="69"/>
      <c r="G1613" s="70"/>
      <c r="H1613" s="70"/>
      <c r="I1613" s="70"/>
      <c r="J1613" s="70"/>
      <c r="K1613" s="71"/>
      <c r="L1613" s="71"/>
      <c r="M1613" s="71"/>
      <c r="N1613" s="71"/>
      <c r="O1613" s="70"/>
      <c r="P1613" s="73"/>
      <c r="Q1613" s="71"/>
      <c r="R1613" s="71"/>
      <c r="S1613" s="71"/>
      <c r="T1613" s="71"/>
      <c r="U1613" s="71"/>
      <c r="V1613" s="70"/>
      <c r="W1613" s="70"/>
      <c r="X1613" s="70"/>
      <c r="Y1613" s="70"/>
      <c r="Z1613" s="102"/>
    </row>
    <row r="1614">
      <c r="A1614" s="94"/>
      <c r="B1614" s="66"/>
      <c r="C1614" s="70"/>
      <c r="D1614" s="68"/>
      <c r="E1614" s="68"/>
      <c r="F1614" s="69"/>
      <c r="G1614" s="70"/>
      <c r="H1614" s="70"/>
      <c r="I1614" s="70"/>
      <c r="J1614" s="70"/>
      <c r="K1614" s="71"/>
      <c r="L1614" s="71"/>
      <c r="M1614" s="71"/>
      <c r="N1614" s="71"/>
      <c r="O1614" s="70"/>
      <c r="P1614" s="73"/>
      <c r="Q1614" s="71"/>
      <c r="R1614" s="71"/>
      <c r="S1614" s="71"/>
      <c r="T1614" s="71"/>
      <c r="U1614" s="71"/>
      <c r="V1614" s="70"/>
      <c r="W1614" s="70"/>
      <c r="X1614" s="70"/>
      <c r="Y1614" s="70"/>
      <c r="Z1614" s="102"/>
    </row>
    <row r="1615">
      <c r="A1615" s="94"/>
      <c r="B1615" s="66"/>
      <c r="C1615" s="70"/>
      <c r="D1615" s="68"/>
      <c r="E1615" s="68"/>
      <c r="F1615" s="69"/>
      <c r="G1615" s="70"/>
      <c r="H1615" s="70"/>
      <c r="I1615" s="70"/>
      <c r="J1615" s="70"/>
      <c r="K1615" s="71"/>
      <c r="L1615" s="71"/>
      <c r="M1615" s="71"/>
      <c r="N1615" s="71"/>
      <c r="O1615" s="70"/>
      <c r="P1615" s="73"/>
      <c r="Q1615" s="71"/>
      <c r="R1615" s="71"/>
      <c r="S1615" s="71"/>
      <c r="T1615" s="71"/>
      <c r="U1615" s="71"/>
      <c r="V1615" s="70"/>
      <c r="W1615" s="70"/>
      <c r="X1615" s="70"/>
      <c r="Y1615" s="70"/>
      <c r="Z1615" s="102"/>
    </row>
    <row r="1616">
      <c r="A1616" s="94"/>
      <c r="B1616" s="66"/>
      <c r="C1616" s="70"/>
      <c r="D1616" s="68"/>
      <c r="E1616" s="68"/>
      <c r="F1616" s="69"/>
      <c r="G1616" s="70"/>
      <c r="H1616" s="70"/>
      <c r="I1616" s="70"/>
      <c r="J1616" s="70"/>
      <c r="K1616" s="71"/>
      <c r="L1616" s="71"/>
      <c r="M1616" s="71"/>
      <c r="N1616" s="71"/>
      <c r="O1616" s="70"/>
      <c r="P1616" s="73"/>
      <c r="Q1616" s="71"/>
      <c r="R1616" s="71"/>
      <c r="S1616" s="71"/>
      <c r="T1616" s="71"/>
      <c r="U1616" s="71"/>
      <c r="V1616" s="70"/>
      <c r="W1616" s="70"/>
      <c r="X1616" s="70"/>
      <c r="Y1616" s="70"/>
      <c r="Z1616" s="102"/>
    </row>
    <row r="1617">
      <c r="A1617" s="94"/>
      <c r="B1617" s="66"/>
      <c r="C1617" s="70"/>
      <c r="D1617" s="68"/>
      <c r="E1617" s="68"/>
      <c r="F1617" s="69"/>
      <c r="G1617" s="70"/>
      <c r="H1617" s="70"/>
      <c r="I1617" s="70"/>
      <c r="J1617" s="70"/>
      <c r="K1617" s="71"/>
      <c r="L1617" s="71"/>
      <c r="M1617" s="71"/>
      <c r="N1617" s="71"/>
      <c r="O1617" s="70"/>
      <c r="P1617" s="73"/>
      <c r="Q1617" s="71"/>
      <c r="R1617" s="71"/>
      <c r="S1617" s="71"/>
      <c r="T1617" s="71"/>
      <c r="U1617" s="71"/>
      <c r="V1617" s="70"/>
      <c r="W1617" s="70"/>
      <c r="X1617" s="70"/>
      <c r="Y1617" s="70"/>
      <c r="Z1617" s="102"/>
    </row>
    <row r="1618">
      <c r="A1618" s="94"/>
      <c r="B1618" s="66"/>
      <c r="C1618" s="70"/>
      <c r="D1618" s="68"/>
      <c r="E1618" s="68"/>
      <c r="F1618" s="69"/>
      <c r="G1618" s="70"/>
      <c r="H1618" s="70"/>
      <c r="I1618" s="70"/>
      <c r="J1618" s="70"/>
      <c r="K1618" s="71"/>
      <c r="L1618" s="71"/>
      <c r="M1618" s="71"/>
      <c r="N1618" s="71"/>
      <c r="O1618" s="70"/>
      <c r="P1618" s="73"/>
      <c r="Q1618" s="71"/>
      <c r="R1618" s="71"/>
      <c r="S1618" s="71"/>
      <c r="T1618" s="71"/>
      <c r="U1618" s="71"/>
      <c r="V1618" s="70"/>
      <c r="W1618" s="70"/>
      <c r="X1618" s="70"/>
      <c r="Y1618" s="70"/>
      <c r="Z1618" s="102"/>
    </row>
    <row r="1619">
      <c r="A1619" s="94"/>
      <c r="B1619" s="66"/>
      <c r="C1619" s="70"/>
      <c r="D1619" s="68"/>
      <c r="E1619" s="68"/>
      <c r="F1619" s="69"/>
      <c r="G1619" s="70"/>
      <c r="H1619" s="70"/>
      <c r="I1619" s="70"/>
      <c r="J1619" s="70"/>
      <c r="K1619" s="71"/>
      <c r="L1619" s="71"/>
      <c r="M1619" s="71"/>
      <c r="N1619" s="71"/>
      <c r="O1619" s="70"/>
      <c r="P1619" s="73"/>
      <c r="Q1619" s="71"/>
      <c r="R1619" s="71"/>
      <c r="S1619" s="71"/>
      <c r="T1619" s="71"/>
      <c r="U1619" s="71"/>
      <c r="V1619" s="70"/>
      <c r="W1619" s="70"/>
      <c r="X1619" s="70"/>
      <c r="Y1619" s="70"/>
      <c r="Z1619" s="102"/>
    </row>
    <row r="1620">
      <c r="A1620" s="94"/>
      <c r="B1620" s="66"/>
      <c r="C1620" s="70"/>
      <c r="D1620" s="68"/>
      <c r="E1620" s="68"/>
      <c r="F1620" s="69"/>
      <c r="G1620" s="70"/>
      <c r="H1620" s="70"/>
      <c r="I1620" s="70"/>
      <c r="J1620" s="70"/>
      <c r="K1620" s="71"/>
      <c r="L1620" s="71"/>
      <c r="M1620" s="71"/>
      <c r="N1620" s="71"/>
      <c r="O1620" s="70"/>
      <c r="P1620" s="73"/>
      <c r="Q1620" s="71"/>
      <c r="R1620" s="71"/>
      <c r="S1620" s="71"/>
      <c r="T1620" s="71"/>
      <c r="U1620" s="71"/>
      <c r="V1620" s="70"/>
      <c r="W1620" s="70"/>
      <c r="X1620" s="70"/>
      <c r="Y1620" s="70"/>
      <c r="Z1620" s="102"/>
    </row>
    <row r="1621">
      <c r="A1621" s="94"/>
      <c r="B1621" s="66"/>
      <c r="C1621" s="70"/>
      <c r="D1621" s="68"/>
      <c r="E1621" s="68"/>
      <c r="F1621" s="69"/>
      <c r="G1621" s="70"/>
      <c r="H1621" s="70"/>
      <c r="I1621" s="70"/>
      <c r="J1621" s="70"/>
      <c r="K1621" s="71"/>
      <c r="L1621" s="71"/>
      <c r="M1621" s="71"/>
      <c r="N1621" s="71"/>
      <c r="O1621" s="70"/>
      <c r="P1621" s="73"/>
      <c r="Q1621" s="71"/>
      <c r="R1621" s="71"/>
      <c r="S1621" s="71"/>
      <c r="T1621" s="71"/>
      <c r="U1621" s="71"/>
      <c r="V1621" s="70"/>
      <c r="W1621" s="70"/>
      <c r="X1621" s="70"/>
      <c r="Y1621" s="70"/>
      <c r="Z1621" s="102"/>
    </row>
    <row r="1622">
      <c r="A1622" s="94"/>
      <c r="B1622" s="66"/>
      <c r="C1622" s="70"/>
      <c r="D1622" s="68"/>
      <c r="E1622" s="68"/>
      <c r="F1622" s="69"/>
      <c r="G1622" s="70"/>
      <c r="H1622" s="70"/>
      <c r="I1622" s="70"/>
      <c r="J1622" s="70"/>
      <c r="K1622" s="71"/>
      <c r="L1622" s="71"/>
      <c r="M1622" s="71"/>
      <c r="N1622" s="71"/>
      <c r="O1622" s="70"/>
      <c r="P1622" s="73"/>
      <c r="Q1622" s="71"/>
      <c r="R1622" s="71"/>
      <c r="S1622" s="71"/>
      <c r="T1622" s="71"/>
      <c r="U1622" s="71"/>
      <c r="V1622" s="70"/>
      <c r="W1622" s="70"/>
      <c r="X1622" s="70"/>
      <c r="Y1622" s="70"/>
      <c r="Z1622" s="102"/>
    </row>
    <row r="1623">
      <c r="A1623" s="94"/>
      <c r="B1623" s="66"/>
      <c r="C1623" s="70"/>
      <c r="D1623" s="68"/>
      <c r="E1623" s="68"/>
      <c r="F1623" s="69"/>
      <c r="G1623" s="70"/>
      <c r="H1623" s="70"/>
      <c r="I1623" s="70"/>
      <c r="J1623" s="70"/>
      <c r="K1623" s="71"/>
      <c r="L1623" s="71"/>
      <c r="M1623" s="71"/>
      <c r="N1623" s="71"/>
      <c r="O1623" s="70"/>
      <c r="P1623" s="73"/>
      <c r="Q1623" s="71"/>
      <c r="R1623" s="71"/>
      <c r="S1623" s="71"/>
      <c r="T1623" s="71"/>
      <c r="U1623" s="71"/>
      <c r="V1623" s="70"/>
      <c r="W1623" s="70"/>
      <c r="X1623" s="70"/>
      <c r="Y1623" s="70"/>
      <c r="Z1623" s="102"/>
    </row>
    <row r="1624">
      <c r="A1624" s="94"/>
      <c r="B1624" s="66"/>
      <c r="C1624" s="70"/>
      <c r="D1624" s="68"/>
      <c r="E1624" s="68"/>
      <c r="F1624" s="69"/>
      <c r="G1624" s="70"/>
      <c r="H1624" s="70"/>
      <c r="I1624" s="70"/>
      <c r="J1624" s="70"/>
      <c r="K1624" s="71"/>
      <c r="L1624" s="71"/>
      <c r="M1624" s="71"/>
      <c r="N1624" s="71"/>
      <c r="O1624" s="70"/>
      <c r="P1624" s="73"/>
      <c r="Q1624" s="71"/>
      <c r="R1624" s="71"/>
      <c r="S1624" s="71"/>
      <c r="T1624" s="71"/>
      <c r="U1624" s="71"/>
      <c r="V1624" s="70"/>
      <c r="W1624" s="70"/>
      <c r="X1624" s="70"/>
      <c r="Y1624" s="70"/>
      <c r="Z1624" s="102"/>
    </row>
    <row r="1625">
      <c r="A1625" s="94"/>
      <c r="B1625" s="66"/>
      <c r="C1625" s="70"/>
      <c r="D1625" s="68"/>
      <c r="E1625" s="68"/>
      <c r="F1625" s="69"/>
      <c r="G1625" s="70"/>
      <c r="H1625" s="70"/>
      <c r="I1625" s="70"/>
      <c r="J1625" s="70"/>
      <c r="K1625" s="71"/>
      <c r="L1625" s="71"/>
      <c r="M1625" s="71"/>
      <c r="N1625" s="71"/>
      <c r="O1625" s="70"/>
      <c r="P1625" s="73"/>
      <c r="Q1625" s="71"/>
      <c r="R1625" s="71"/>
      <c r="S1625" s="71"/>
      <c r="T1625" s="71"/>
      <c r="U1625" s="71"/>
      <c r="V1625" s="70"/>
      <c r="W1625" s="70"/>
      <c r="X1625" s="70"/>
      <c r="Y1625" s="70"/>
      <c r="Z1625" s="102"/>
    </row>
    <row r="1626">
      <c r="A1626" s="94"/>
      <c r="B1626" s="66"/>
      <c r="C1626" s="70"/>
      <c r="D1626" s="68"/>
      <c r="E1626" s="68"/>
      <c r="F1626" s="69"/>
      <c r="G1626" s="70"/>
      <c r="H1626" s="70"/>
      <c r="I1626" s="70"/>
      <c r="J1626" s="70"/>
      <c r="K1626" s="71"/>
      <c r="L1626" s="71"/>
      <c r="M1626" s="71"/>
      <c r="N1626" s="71"/>
      <c r="O1626" s="70"/>
      <c r="P1626" s="73"/>
      <c r="Q1626" s="71"/>
      <c r="R1626" s="71"/>
      <c r="S1626" s="71"/>
      <c r="T1626" s="71"/>
      <c r="U1626" s="71"/>
      <c r="V1626" s="70"/>
      <c r="W1626" s="70"/>
      <c r="X1626" s="70"/>
      <c r="Y1626" s="70"/>
      <c r="Z1626" s="102"/>
    </row>
    <row r="1627">
      <c r="A1627" s="94"/>
      <c r="B1627" s="66"/>
      <c r="C1627" s="70"/>
      <c r="D1627" s="68"/>
      <c r="E1627" s="68"/>
      <c r="F1627" s="69"/>
      <c r="G1627" s="70"/>
      <c r="H1627" s="70"/>
      <c r="I1627" s="70"/>
      <c r="J1627" s="70"/>
      <c r="K1627" s="71"/>
      <c r="L1627" s="71"/>
      <c r="M1627" s="71"/>
      <c r="N1627" s="71"/>
      <c r="O1627" s="70"/>
      <c r="P1627" s="73"/>
      <c r="Q1627" s="71"/>
      <c r="R1627" s="71"/>
      <c r="S1627" s="71"/>
      <c r="T1627" s="71"/>
      <c r="U1627" s="71"/>
      <c r="V1627" s="70"/>
      <c r="W1627" s="70"/>
      <c r="X1627" s="70"/>
      <c r="Y1627" s="70"/>
      <c r="Z1627" s="102"/>
    </row>
    <row r="1628">
      <c r="A1628" s="94"/>
      <c r="B1628" s="66"/>
      <c r="C1628" s="70"/>
      <c r="D1628" s="68"/>
      <c r="E1628" s="68"/>
      <c r="F1628" s="69"/>
      <c r="G1628" s="70"/>
      <c r="H1628" s="70"/>
      <c r="I1628" s="70"/>
      <c r="J1628" s="70"/>
      <c r="K1628" s="71"/>
      <c r="L1628" s="71"/>
      <c r="M1628" s="71"/>
      <c r="N1628" s="71"/>
      <c r="O1628" s="70"/>
      <c r="P1628" s="73"/>
      <c r="Q1628" s="71"/>
      <c r="R1628" s="71"/>
      <c r="S1628" s="71"/>
      <c r="T1628" s="71"/>
      <c r="U1628" s="71"/>
      <c r="V1628" s="70"/>
      <c r="W1628" s="70"/>
      <c r="X1628" s="70"/>
      <c r="Y1628" s="70"/>
      <c r="Z1628" s="102"/>
    </row>
    <row r="1629">
      <c r="A1629" s="94"/>
      <c r="B1629" s="66"/>
      <c r="C1629" s="70"/>
      <c r="D1629" s="68"/>
      <c r="E1629" s="68"/>
      <c r="F1629" s="69"/>
      <c r="G1629" s="70"/>
      <c r="H1629" s="70"/>
      <c r="I1629" s="70"/>
      <c r="J1629" s="70"/>
      <c r="K1629" s="71"/>
      <c r="L1629" s="71"/>
      <c r="M1629" s="71"/>
      <c r="N1629" s="71"/>
      <c r="O1629" s="70"/>
      <c r="P1629" s="73"/>
      <c r="Q1629" s="71"/>
      <c r="R1629" s="71"/>
      <c r="S1629" s="71"/>
      <c r="T1629" s="71"/>
      <c r="U1629" s="71"/>
      <c r="V1629" s="70"/>
      <c r="W1629" s="70"/>
      <c r="X1629" s="70"/>
      <c r="Y1629" s="70"/>
      <c r="Z1629" s="102"/>
    </row>
    <row r="1630">
      <c r="A1630" s="94"/>
      <c r="B1630" s="66"/>
      <c r="C1630" s="70"/>
      <c r="D1630" s="68"/>
      <c r="E1630" s="68"/>
      <c r="F1630" s="69"/>
      <c r="G1630" s="70"/>
      <c r="H1630" s="70"/>
      <c r="I1630" s="70"/>
      <c r="J1630" s="70"/>
      <c r="K1630" s="71"/>
      <c r="L1630" s="71"/>
      <c r="M1630" s="71"/>
      <c r="N1630" s="71"/>
      <c r="O1630" s="70"/>
      <c r="P1630" s="73"/>
      <c r="Q1630" s="71"/>
      <c r="R1630" s="71"/>
      <c r="S1630" s="71"/>
      <c r="T1630" s="71"/>
      <c r="U1630" s="71"/>
      <c r="V1630" s="70"/>
      <c r="W1630" s="70"/>
      <c r="X1630" s="70"/>
      <c r="Y1630" s="70"/>
      <c r="Z1630" s="102"/>
    </row>
    <row r="1631">
      <c r="A1631" s="94"/>
      <c r="B1631" s="66"/>
      <c r="C1631" s="70"/>
      <c r="D1631" s="68"/>
      <c r="E1631" s="68"/>
      <c r="F1631" s="69"/>
      <c r="G1631" s="70"/>
      <c r="H1631" s="70"/>
      <c r="I1631" s="70"/>
      <c r="J1631" s="70"/>
      <c r="K1631" s="71"/>
      <c r="L1631" s="71"/>
      <c r="M1631" s="71"/>
      <c r="N1631" s="71"/>
      <c r="O1631" s="70"/>
      <c r="P1631" s="73"/>
      <c r="Q1631" s="71"/>
      <c r="R1631" s="71"/>
      <c r="S1631" s="71"/>
      <c r="T1631" s="71"/>
      <c r="U1631" s="71"/>
      <c r="V1631" s="70"/>
      <c r="W1631" s="70"/>
      <c r="X1631" s="70"/>
      <c r="Y1631" s="70"/>
      <c r="Z1631" s="102"/>
    </row>
    <row r="1632">
      <c r="A1632" s="94"/>
      <c r="B1632" s="66"/>
      <c r="C1632" s="70"/>
      <c r="D1632" s="68"/>
      <c r="E1632" s="68"/>
      <c r="F1632" s="69"/>
      <c r="G1632" s="70"/>
      <c r="H1632" s="70"/>
      <c r="I1632" s="70"/>
      <c r="J1632" s="70"/>
      <c r="K1632" s="71"/>
      <c r="L1632" s="71"/>
      <c r="M1632" s="71"/>
      <c r="N1632" s="71"/>
      <c r="O1632" s="70"/>
      <c r="P1632" s="73"/>
      <c r="Q1632" s="71"/>
      <c r="R1632" s="71"/>
      <c r="S1632" s="71"/>
      <c r="T1632" s="71"/>
      <c r="U1632" s="71"/>
      <c r="V1632" s="70"/>
      <c r="W1632" s="70"/>
      <c r="X1632" s="70"/>
      <c r="Y1632" s="70"/>
      <c r="Z1632" s="102"/>
    </row>
    <row r="1633">
      <c r="A1633" s="94"/>
      <c r="B1633" s="66"/>
      <c r="C1633" s="70"/>
      <c r="D1633" s="68"/>
      <c r="E1633" s="68"/>
      <c r="F1633" s="69"/>
      <c r="G1633" s="70"/>
      <c r="H1633" s="70"/>
      <c r="I1633" s="70"/>
      <c r="J1633" s="70"/>
      <c r="K1633" s="71"/>
      <c r="L1633" s="71"/>
      <c r="M1633" s="71"/>
      <c r="N1633" s="71"/>
      <c r="O1633" s="70"/>
      <c r="P1633" s="73"/>
      <c r="Q1633" s="71"/>
      <c r="R1633" s="71"/>
      <c r="S1633" s="71"/>
      <c r="T1633" s="71"/>
      <c r="U1633" s="71"/>
      <c r="V1633" s="70"/>
      <c r="W1633" s="70"/>
      <c r="X1633" s="70"/>
      <c r="Y1633" s="70"/>
      <c r="Z1633" s="102"/>
    </row>
    <row r="1634">
      <c r="A1634" s="94"/>
      <c r="B1634" s="66"/>
      <c r="C1634" s="70"/>
      <c r="D1634" s="68"/>
      <c r="E1634" s="68"/>
      <c r="F1634" s="69"/>
      <c r="G1634" s="70"/>
      <c r="H1634" s="70"/>
      <c r="I1634" s="70"/>
      <c r="J1634" s="70"/>
      <c r="K1634" s="71"/>
      <c r="L1634" s="71"/>
      <c r="M1634" s="71"/>
      <c r="N1634" s="71"/>
      <c r="O1634" s="70"/>
      <c r="P1634" s="73"/>
      <c r="Q1634" s="71"/>
      <c r="R1634" s="71"/>
      <c r="S1634" s="71"/>
      <c r="T1634" s="71"/>
      <c r="U1634" s="71"/>
      <c r="V1634" s="70"/>
      <c r="W1634" s="70"/>
      <c r="X1634" s="70"/>
      <c r="Y1634" s="70"/>
      <c r="Z1634" s="102"/>
    </row>
    <row r="1635">
      <c r="A1635" s="94"/>
      <c r="B1635" s="66"/>
      <c r="C1635" s="70"/>
      <c r="D1635" s="68"/>
      <c r="E1635" s="68"/>
      <c r="F1635" s="69"/>
      <c r="G1635" s="70"/>
      <c r="H1635" s="70"/>
      <c r="I1635" s="70"/>
      <c r="J1635" s="70"/>
      <c r="K1635" s="71"/>
      <c r="L1635" s="71"/>
      <c r="M1635" s="71"/>
      <c r="N1635" s="71"/>
      <c r="O1635" s="70"/>
      <c r="P1635" s="73"/>
      <c r="Q1635" s="71"/>
      <c r="R1635" s="71"/>
      <c r="S1635" s="71"/>
      <c r="T1635" s="71"/>
      <c r="U1635" s="71"/>
      <c r="V1635" s="70"/>
      <c r="W1635" s="70"/>
      <c r="X1635" s="70"/>
      <c r="Y1635" s="70"/>
      <c r="Z1635" s="102"/>
    </row>
    <row r="1636">
      <c r="A1636" s="94"/>
      <c r="B1636" s="66"/>
      <c r="C1636" s="70"/>
      <c r="D1636" s="68"/>
      <c r="E1636" s="68"/>
      <c r="F1636" s="69"/>
      <c r="G1636" s="70"/>
      <c r="H1636" s="70"/>
      <c r="I1636" s="70"/>
      <c r="J1636" s="70"/>
      <c r="K1636" s="71"/>
      <c r="L1636" s="71"/>
      <c r="M1636" s="71"/>
      <c r="N1636" s="71"/>
      <c r="O1636" s="70"/>
      <c r="P1636" s="73"/>
      <c r="Q1636" s="71"/>
      <c r="R1636" s="71"/>
      <c r="S1636" s="71"/>
      <c r="T1636" s="71"/>
      <c r="U1636" s="71"/>
      <c r="V1636" s="70"/>
      <c r="W1636" s="70"/>
      <c r="X1636" s="70"/>
      <c r="Y1636" s="70"/>
      <c r="Z1636" s="102"/>
    </row>
    <row r="1637">
      <c r="A1637" s="94"/>
      <c r="B1637" s="66"/>
      <c r="C1637" s="70"/>
      <c r="D1637" s="68"/>
      <c r="E1637" s="68"/>
      <c r="F1637" s="69"/>
      <c r="G1637" s="70"/>
      <c r="H1637" s="70"/>
      <c r="I1637" s="70"/>
      <c r="J1637" s="70"/>
      <c r="K1637" s="71"/>
      <c r="L1637" s="71"/>
      <c r="M1637" s="71"/>
      <c r="N1637" s="71"/>
      <c r="O1637" s="70"/>
      <c r="P1637" s="73"/>
      <c r="Q1637" s="71"/>
      <c r="R1637" s="71"/>
      <c r="S1637" s="71"/>
      <c r="T1637" s="71"/>
      <c r="U1637" s="71"/>
      <c r="V1637" s="70"/>
      <c r="W1637" s="70"/>
      <c r="X1637" s="70"/>
      <c r="Y1637" s="70"/>
      <c r="Z1637" s="102"/>
    </row>
    <row r="1638">
      <c r="A1638" s="94"/>
      <c r="B1638" s="66"/>
      <c r="C1638" s="70"/>
      <c r="D1638" s="68"/>
      <c r="E1638" s="68"/>
      <c r="F1638" s="69"/>
      <c r="G1638" s="70"/>
      <c r="H1638" s="70"/>
      <c r="I1638" s="70"/>
      <c r="J1638" s="70"/>
      <c r="K1638" s="71"/>
      <c r="L1638" s="71"/>
      <c r="M1638" s="71"/>
      <c r="N1638" s="71"/>
      <c r="O1638" s="70"/>
      <c r="P1638" s="73"/>
      <c r="Q1638" s="71"/>
      <c r="R1638" s="71"/>
      <c r="S1638" s="71"/>
      <c r="T1638" s="71"/>
      <c r="U1638" s="71"/>
      <c r="V1638" s="70"/>
      <c r="W1638" s="70"/>
      <c r="X1638" s="70"/>
      <c r="Y1638" s="70"/>
      <c r="Z1638" s="102"/>
    </row>
    <row r="1639">
      <c r="A1639" s="94"/>
      <c r="B1639" s="66"/>
      <c r="C1639" s="70"/>
      <c r="D1639" s="68"/>
      <c r="E1639" s="68"/>
      <c r="F1639" s="69"/>
      <c r="G1639" s="70"/>
      <c r="H1639" s="70"/>
      <c r="I1639" s="70"/>
      <c r="J1639" s="70"/>
      <c r="K1639" s="71"/>
      <c r="L1639" s="71"/>
      <c r="M1639" s="71"/>
      <c r="N1639" s="71"/>
      <c r="O1639" s="70"/>
      <c r="P1639" s="73"/>
      <c r="Q1639" s="71"/>
      <c r="R1639" s="71"/>
      <c r="S1639" s="71"/>
      <c r="T1639" s="71"/>
      <c r="U1639" s="71"/>
      <c r="V1639" s="70"/>
      <c r="W1639" s="70"/>
      <c r="X1639" s="70"/>
      <c r="Y1639" s="70"/>
      <c r="Z1639" s="102"/>
    </row>
    <row r="1640">
      <c r="A1640" s="94"/>
      <c r="B1640" s="66"/>
      <c r="C1640" s="70"/>
      <c r="D1640" s="68"/>
      <c r="E1640" s="68"/>
      <c r="F1640" s="69"/>
      <c r="G1640" s="70"/>
      <c r="H1640" s="70"/>
      <c r="I1640" s="70"/>
      <c r="J1640" s="70"/>
      <c r="K1640" s="71"/>
      <c r="L1640" s="71"/>
      <c r="M1640" s="71"/>
      <c r="N1640" s="71"/>
      <c r="O1640" s="70"/>
      <c r="P1640" s="73"/>
      <c r="Q1640" s="71"/>
      <c r="R1640" s="71"/>
      <c r="S1640" s="71"/>
      <c r="T1640" s="71"/>
      <c r="U1640" s="71"/>
      <c r="V1640" s="70"/>
      <c r="W1640" s="70"/>
      <c r="X1640" s="70"/>
      <c r="Y1640" s="70"/>
      <c r="Z1640" s="102"/>
    </row>
    <row r="1641">
      <c r="A1641" s="94"/>
      <c r="B1641" s="66"/>
      <c r="C1641" s="70"/>
      <c r="D1641" s="68"/>
      <c r="E1641" s="68"/>
      <c r="F1641" s="69"/>
      <c r="G1641" s="70"/>
      <c r="H1641" s="70"/>
      <c r="I1641" s="70"/>
      <c r="J1641" s="70"/>
      <c r="K1641" s="71"/>
      <c r="L1641" s="71"/>
      <c r="M1641" s="71"/>
      <c r="N1641" s="71"/>
      <c r="O1641" s="70"/>
      <c r="P1641" s="73"/>
      <c r="Q1641" s="71"/>
      <c r="R1641" s="71"/>
      <c r="S1641" s="71"/>
      <c r="T1641" s="71"/>
      <c r="U1641" s="71"/>
      <c r="V1641" s="70"/>
      <c r="W1641" s="70"/>
      <c r="X1641" s="70"/>
      <c r="Y1641" s="70"/>
      <c r="Z1641" s="102"/>
    </row>
    <row r="1642">
      <c r="A1642" s="94"/>
      <c r="B1642" s="66"/>
      <c r="C1642" s="70"/>
      <c r="D1642" s="68"/>
      <c r="E1642" s="68"/>
      <c r="F1642" s="69"/>
      <c r="G1642" s="70"/>
      <c r="H1642" s="70"/>
      <c r="I1642" s="70"/>
      <c r="J1642" s="70"/>
      <c r="K1642" s="71"/>
      <c r="L1642" s="71"/>
      <c r="M1642" s="71"/>
      <c r="N1642" s="71"/>
      <c r="O1642" s="70"/>
      <c r="P1642" s="73"/>
      <c r="Q1642" s="71"/>
      <c r="R1642" s="71"/>
      <c r="S1642" s="71"/>
      <c r="T1642" s="71"/>
      <c r="U1642" s="71"/>
      <c r="V1642" s="70"/>
      <c r="W1642" s="70"/>
      <c r="X1642" s="70"/>
      <c r="Y1642" s="70"/>
      <c r="Z1642" s="102"/>
    </row>
    <row r="1643">
      <c r="A1643" s="94"/>
      <c r="B1643" s="66"/>
      <c r="C1643" s="70"/>
      <c r="D1643" s="68"/>
      <c r="E1643" s="68"/>
      <c r="F1643" s="69"/>
      <c r="G1643" s="70"/>
      <c r="H1643" s="70"/>
      <c r="I1643" s="70"/>
      <c r="J1643" s="70"/>
      <c r="K1643" s="71"/>
      <c r="L1643" s="71"/>
      <c r="M1643" s="71"/>
      <c r="N1643" s="71"/>
      <c r="O1643" s="70"/>
      <c r="P1643" s="73"/>
      <c r="Q1643" s="71"/>
      <c r="R1643" s="71"/>
      <c r="S1643" s="71"/>
      <c r="T1643" s="71"/>
      <c r="U1643" s="71"/>
      <c r="V1643" s="70"/>
      <c r="W1643" s="70"/>
      <c r="X1643" s="70"/>
      <c r="Y1643" s="70"/>
      <c r="Z1643" s="102"/>
    </row>
    <row r="1644">
      <c r="A1644" s="94"/>
      <c r="B1644" s="66"/>
      <c r="C1644" s="70"/>
      <c r="D1644" s="68"/>
      <c r="E1644" s="68"/>
      <c r="F1644" s="69"/>
      <c r="G1644" s="70"/>
      <c r="H1644" s="70"/>
      <c r="I1644" s="70"/>
      <c r="J1644" s="70"/>
      <c r="K1644" s="71"/>
      <c r="L1644" s="71"/>
      <c r="M1644" s="71"/>
      <c r="N1644" s="71"/>
      <c r="O1644" s="70"/>
      <c r="P1644" s="73"/>
      <c r="Q1644" s="71"/>
      <c r="R1644" s="71"/>
      <c r="S1644" s="71"/>
      <c r="T1644" s="71"/>
      <c r="U1644" s="71"/>
      <c r="V1644" s="70"/>
      <c r="W1644" s="70"/>
      <c r="X1644" s="70"/>
      <c r="Y1644" s="70"/>
      <c r="Z1644" s="102"/>
    </row>
    <row r="1645">
      <c r="A1645" s="94"/>
      <c r="B1645" s="66"/>
      <c r="C1645" s="70"/>
      <c r="D1645" s="68"/>
      <c r="E1645" s="68"/>
      <c r="F1645" s="69"/>
      <c r="G1645" s="70"/>
      <c r="H1645" s="70"/>
      <c r="I1645" s="70"/>
      <c r="J1645" s="70"/>
      <c r="K1645" s="71"/>
      <c r="L1645" s="71"/>
      <c r="M1645" s="71"/>
      <c r="N1645" s="71"/>
      <c r="O1645" s="70"/>
      <c r="P1645" s="73"/>
      <c r="Q1645" s="71"/>
      <c r="R1645" s="71"/>
      <c r="S1645" s="71"/>
      <c r="T1645" s="71"/>
      <c r="U1645" s="71"/>
      <c r="V1645" s="70"/>
      <c r="W1645" s="70"/>
      <c r="X1645" s="70"/>
      <c r="Y1645" s="70"/>
      <c r="Z1645" s="102"/>
    </row>
    <row r="1646">
      <c r="A1646" s="94"/>
      <c r="B1646" s="66"/>
      <c r="C1646" s="70"/>
      <c r="D1646" s="68"/>
      <c r="E1646" s="68"/>
      <c r="F1646" s="69"/>
      <c r="G1646" s="70"/>
      <c r="H1646" s="70"/>
      <c r="I1646" s="70"/>
      <c r="J1646" s="70"/>
      <c r="K1646" s="71"/>
      <c r="L1646" s="71"/>
      <c r="M1646" s="71"/>
      <c r="N1646" s="71"/>
      <c r="O1646" s="70"/>
      <c r="P1646" s="73"/>
      <c r="Q1646" s="71"/>
      <c r="R1646" s="71"/>
      <c r="S1646" s="71"/>
      <c r="T1646" s="71"/>
      <c r="U1646" s="71"/>
      <c r="V1646" s="70"/>
      <c r="W1646" s="70"/>
      <c r="X1646" s="70"/>
      <c r="Y1646" s="70"/>
      <c r="Z1646" s="102"/>
    </row>
    <row r="1647">
      <c r="A1647" s="94"/>
      <c r="B1647" s="66"/>
      <c r="C1647" s="70"/>
      <c r="D1647" s="68"/>
      <c r="E1647" s="68"/>
      <c r="F1647" s="69"/>
      <c r="G1647" s="70"/>
      <c r="H1647" s="70"/>
      <c r="I1647" s="70"/>
      <c r="J1647" s="70"/>
      <c r="K1647" s="71"/>
      <c r="L1647" s="71"/>
      <c r="M1647" s="71"/>
      <c r="N1647" s="71"/>
      <c r="O1647" s="70"/>
      <c r="P1647" s="73"/>
      <c r="Q1647" s="71"/>
      <c r="R1647" s="71"/>
      <c r="S1647" s="71"/>
      <c r="T1647" s="71"/>
      <c r="U1647" s="71"/>
      <c r="V1647" s="70"/>
      <c r="W1647" s="70"/>
      <c r="X1647" s="70"/>
      <c r="Y1647" s="70"/>
      <c r="Z1647" s="102"/>
    </row>
    <row r="1648">
      <c r="A1648" s="94"/>
      <c r="B1648" s="66"/>
      <c r="C1648" s="70"/>
      <c r="D1648" s="68"/>
      <c r="E1648" s="68"/>
      <c r="F1648" s="69"/>
      <c r="G1648" s="70"/>
      <c r="H1648" s="70"/>
      <c r="I1648" s="70"/>
      <c r="J1648" s="70"/>
      <c r="K1648" s="71"/>
      <c r="L1648" s="71"/>
      <c r="M1648" s="71"/>
      <c r="N1648" s="71"/>
      <c r="O1648" s="70"/>
      <c r="P1648" s="73"/>
      <c r="Q1648" s="71"/>
      <c r="R1648" s="71"/>
      <c r="S1648" s="71"/>
      <c r="T1648" s="71"/>
      <c r="U1648" s="71"/>
      <c r="V1648" s="70"/>
      <c r="W1648" s="70"/>
      <c r="X1648" s="70"/>
      <c r="Y1648" s="70"/>
      <c r="Z1648" s="102"/>
    </row>
    <row r="1649">
      <c r="A1649" s="94"/>
      <c r="B1649" s="66"/>
      <c r="C1649" s="70"/>
      <c r="D1649" s="68"/>
      <c r="E1649" s="68"/>
      <c r="F1649" s="69"/>
      <c r="G1649" s="70"/>
      <c r="H1649" s="70"/>
      <c r="I1649" s="70"/>
      <c r="J1649" s="70"/>
      <c r="K1649" s="71"/>
      <c r="L1649" s="71"/>
      <c r="M1649" s="71"/>
      <c r="N1649" s="71"/>
      <c r="O1649" s="70"/>
      <c r="P1649" s="73"/>
      <c r="Q1649" s="71"/>
      <c r="R1649" s="71"/>
      <c r="S1649" s="71"/>
      <c r="T1649" s="71"/>
      <c r="U1649" s="71"/>
      <c r="V1649" s="70"/>
      <c r="W1649" s="70"/>
      <c r="X1649" s="70"/>
      <c r="Y1649" s="70"/>
      <c r="Z1649" s="102"/>
    </row>
    <row r="1650">
      <c r="A1650" s="94"/>
      <c r="B1650" s="66"/>
      <c r="C1650" s="70"/>
      <c r="D1650" s="68"/>
      <c r="E1650" s="68"/>
      <c r="F1650" s="69"/>
      <c r="G1650" s="70"/>
      <c r="H1650" s="70"/>
      <c r="I1650" s="70"/>
      <c r="J1650" s="70"/>
      <c r="K1650" s="71"/>
      <c r="L1650" s="71"/>
      <c r="M1650" s="71"/>
      <c r="N1650" s="71"/>
      <c r="O1650" s="70"/>
      <c r="P1650" s="73"/>
      <c r="Q1650" s="71"/>
      <c r="R1650" s="71"/>
      <c r="S1650" s="71"/>
      <c r="T1650" s="71"/>
      <c r="U1650" s="71"/>
      <c r="V1650" s="70"/>
      <c r="W1650" s="70"/>
      <c r="X1650" s="70"/>
      <c r="Y1650" s="70"/>
      <c r="Z1650" s="102"/>
    </row>
    <row r="1651">
      <c r="A1651" s="94"/>
      <c r="B1651" s="66"/>
      <c r="C1651" s="70"/>
      <c r="D1651" s="68"/>
      <c r="E1651" s="68"/>
      <c r="F1651" s="69"/>
      <c r="G1651" s="70"/>
      <c r="H1651" s="70"/>
      <c r="I1651" s="70"/>
      <c r="J1651" s="70"/>
      <c r="K1651" s="71"/>
      <c r="L1651" s="71"/>
      <c r="M1651" s="71"/>
      <c r="N1651" s="71"/>
      <c r="O1651" s="70"/>
      <c r="P1651" s="73"/>
      <c r="Q1651" s="71"/>
      <c r="R1651" s="71"/>
      <c r="S1651" s="71"/>
      <c r="T1651" s="71"/>
      <c r="U1651" s="71"/>
      <c r="V1651" s="70"/>
      <c r="W1651" s="70"/>
      <c r="X1651" s="70"/>
      <c r="Y1651" s="70"/>
      <c r="Z1651" s="102"/>
    </row>
    <row r="1652">
      <c r="A1652" s="94"/>
      <c r="B1652" s="66"/>
      <c r="C1652" s="70"/>
      <c r="D1652" s="68"/>
      <c r="E1652" s="68"/>
      <c r="F1652" s="69"/>
      <c r="G1652" s="70"/>
      <c r="H1652" s="70"/>
      <c r="I1652" s="70"/>
      <c r="J1652" s="70"/>
      <c r="K1652" s="71"/>
      <c r="L1652" s="71"/>
      <c r="M1652" s="71"/>
      <c r="N1652" s="71"/>
      <c r="O1652" s="70"/>
      <c r="P1652" s="73"/>
      <c r="Q1652" s="71"/>
      <c r="R1652" s="71"/>
      <c r="S1652" s="71"/>
      <c r="T1652" s="71"/>
      <c r="U1652" s="71"/>
      <c r="V1652" s="70"/>
      <c r="W1652" s="70"/>
      <c r="X1652" s="70"/>
      <c r="Y1652" s="70"/>
      <c r="Z1652" s="102"/>
    </row>
    <row r="1653">
      <c r="A1653" s="94"/>
      <c r="B1653" s="66"/>
      <c r="C1653" s="70"/>
      <c r="D1653" s="68"/>
      <c r="E1653" s="68"/>
      <c r="F1653" s="69"/>
      <c r="G1653" s="70"/>
      <c r="H1653" s="70"/>
      <c r="I1653" s="70"/>
      <c r="J1653" s="70"/>
      <c r="K1653" s="71"/>
      <c r="L1653" s="71"/>
      <c r="M1653" s="71"/>
      <c r="N1653" s="71"/>
      <c r="O1653" s="70"/>
      <c r="P1653" s="73"/>
      <c r="Q1653" s="71"/>
      <c r="R1653" s="71"/>
      <c r="S1653" s="71"/>
      <c r="T1653" s="71"/>
      <c r="U1653" s="71"/>
      <c r="V1653" s="70"/>
      <c r="W1653" s="70"/>
      <c r="X1653" s="70"/>
      <c r="Y1653" s="70"/>
      <c r="Z1653" s="102"/>
    </row>
    <row r="1654">
      <c r="A1654" s="94"/>
      <c r="B1654" s="66"/>
      <c r="C1654" s="70"/>
      <c r="D1654" s="68"/>
      <c r="E1654" s="68"/>
      <c r="F1654" s="69"/>
      <c r="G1654" s="70"/>
      <c r="H1654" s="70"/>
      <c r="I1654" s="70"/>
      <c r="J1654" s="70"/>
      <c r="K1654" s="71"/>
      <c r="L1654" s="71"/>
      <c r="M1654" s="71"/>
      <c r="N1654" s="71"/>
      <c r="O1654" s="70"/>
      <c r="P1654" s="73"/>
      <c r="Q1654" s="71"/>
      <c r="R1654" s="71"/>
      <c r="S1654" s="71"/>
      <c r="T1654" s="71"/>
      <c r="U1654" s="71"/>
      <c r="V1654" s="70"/>
      <c r="W1654" s="70"/>
      <c r="X1654" s="70"/>
      <c r="Y1654" s="70"/>
      <c r="Z1654" s="102"/>
    </row>
    <row r="1655">
      <c r="A1655" s="94"/>
      <c r="B1655" s="66"/>
      <c r="C1655" s="70"/>
      <c r="D1655" s="68"/>
      <c r="E1655" s="68"/>
      <c r="F1655" s="69"/>
      <c r="G1655" s="70"/>
      <c r="H1655" s="70"/>
      <c r="I1655" s="70"/>
      <c r="J1655" s="70"/>
      <c r="K1655" s="71"/>
      <c r="L1655" s="71"/>
      <c r="M1655" s="71"/>
      <c r="N1655" s="71"/>
      <c r="O1655" s="70"/>
      <c r="P1655" s="73"/>
      <c r="Q1655" s="71"/>
      <c r="R1655" s="71"/>
      <c r="S1655" s="71"/>
      <c r="T1655" s="71"/>
      <c r="U1655" s="71"/>
      <c r="V1655" s="70"/>
      <c r="W1655" s="70"/>
      <c r="X1655" s="70"/>
      <c r="Y1655" s="70"/>
      <c r="Z1655" s="102"/>
    </row>
    <row r="1656">
      <c r="A1656" s="94"/>
      <c r="B1656" s="66"/>
      <c r="C1656" s="70"/>
      <c r="D1656" s="68"/>
      <c r="E1656" s="68"/>
      <c r="F1656" s="69"/>
      <c r="G1656" s="70"/>
      <c r="H1656" s="70"/>
      <c r="I1656" s="70"/>
      <c r="J1656" s="70"/>
      <c r="K1656" s="71"/>
      <c r="L1656" s="71"/>
      <c r="M1656" s="71"/>
      <c r="N1656" s="71"/>
      <c r="O1656" s="70"/>
      <c r="P1656" s="73"/>
      <c r="Q1656" s="71"/>
      <c r="R1656" s="71"/>
      <c r="S1656" s="71"/>
      <c r="T1656" s="71"/>
      <c r="U1656" s="71"/>
      <c r="V1656" s="70"/>
      <c r="W1656" s="70"/>
      <c r="X1656" s="70"/>
      <c r="Y1656" s="70"/>
      <c r="Z1656" s="102"/>
    </row>
    <row r="1657">
      <c r="A1657" s="94"/>
      <c r="B1657" s="66"/>
      <c r="C1657" s="70"/>
      <c r="D1657" s="68"/>
      <c r="E1657" s="68"/>
      <c r="F1657" s="69"/>
      <c r="G1657" s="70"/>
      <c r="H1657" s="70"/>
      <c r="I1657" s="70"/>
      <c r="J1657" s="70"/>
      <c r="K1657" s="71"/>
      <c r="L1657" s="71"/>
      <c r="M1657" s="71"/>
      <c r="N1657" s="71"/>
      <c r="O1657" s="70"/>
      <c r="P1657" s="73"/>
      <c r="Q1657" s="71"/>
      <c r="R1657" s="71"/>
      <c r="S1657" s="71"/>
      <c r="T1657" s="71"/>
      <c r="U1657" s="71"/>
      <c r="V1657" s="70"/>
      <c r="W1657" s="70"/>
      <c r="X1657" s="70"/>
      <c r="Y1657" s="70"/>
      <c r="Z1657" s="102"/>
    </row>
    <row r="1658">
      <c r="A1658" s="94"/>
      <c r="B1658" s="66"/>
      <c r="C1658" s="70"/>
      <c r="D1658" s="68"/>
      <c r="E1658" s="68"/>
      <c r="F1658" s="69"/>
      <c r="G1658" s="70"/>
      <c r="H1658" s="70"/>
      <c r="I1658" s="70"/>
      <c r="J1658" s="70"/>
      <c r="K1658" s="71"/>
      <c r="L1658" s="71"/>
      <c r="M1658" s="71"/>
      <c r="N1658" s="71"/>
      <c r="O1658" s="70"/>
      <c r="P1658" s="73"/>
      <c r="Q1658" s="71"/>
      <c r="R1658" s="71"/>
      <c r="S1658" s="71"/>
      <c r="T1658" s="71"/>
      <c r="U1658" s="71"/>
      <c r="V1658" s="70"/>
      <c r="W1658" s="70"/>
      <c r="X1658" s="70"/>
      <c r="Y1658" s="70"/>
      <c r="Z1658" s="102"/>
    </row>
    <row r="1659">
      <c r="A1659" s="94"/>
      <c r="B1659" s="66"/>
      <c r="C1659" s="70"/>
      <c r="D1659" s="68"/>
      <c r="E1659" s="68"/>
      <c r="F1659" s="69"/>
      <c r="G1659" s="70"/>
      <c r="H1659" s="70"/>
      <c r="I1659" s="70"/>
      <c r="J1659" s="70"/>
      <c r="K1659" s="71"/>
      <c r="L1659" s="71"/>
      <c r="M1659" s="71"/>
      <c r="N1659" s="71"/>
      <c r="O1659" s="70"/>
      <c r="P1659" s="73"/>
      <c r="Q1659" s="71"/>
      <c r="R1659" s="71"/>
      <c r="S1659" s="71"/>
      <c r="T1659" s="71"/>
      <c r="U1659" s="71"/>
      <c r="V1659" s="70"/>
      <c r="W1659" s="70"/>
      <c r="X1659" s="70"/>
      <c r="Y1659" s="70"/>
      <c r="Z1659" s="102"/>
    </row>
    <row r="1660">
      <c r="A1660" s="94"/>
      <c r="B1660" s="66"/>
      <c r="C1660" s="70"/>
      <c r="D1660" s="68"/>
      <c r="E1660" s="68"/>
      <c r="F1660" s="69"/>
      <c r="G1660" s="70"/>
      <c r="H1660" s="70"/>
      <c r="I1660" s="70"/>
      <c r="J1660" s="70"/>
      <c r="K1660" s="71"/>
      <c r="L1660" s="71"/>
      <c r="M1660" s="71"/>
      <c r="N1660" s="71"/>
      <c r="O1660" s="70"/>
      <c r="P1660" s="73"/>
      <c r="Q1660" s="71"/>
      <c r="R1660" s="71"/>
      <c r="S1660" s="71"/>
      <c r="T1660" s="71"/>
      <c r="U1660" s="71"/>
      <c r="V1660" s="70"/>
      <c r="W1660" s="70"/>
      <c r="X1660" s="70"/>
      <c r="Y1660" s="70"/>
      <c r="Z1660" s="102"/>
    </row>
    <row r="1661">
      <c r="A1661" s="94"/>
      <c r="B1661" s="66"/>
      <c r="C1661" s="70"/>
      <c r="D1661" s="68"/>
      <c r="E1661" s="68"/>
      <c r="F1661" s="69"/>
      <c r="G1661" s="70"/>
      <c r="H1661" s="70"/>
      <c r="I1661" s="70"/>
      <c r="J1661" s="70"/>
      <c r="K1661" s="71"/>
      <c r="L1661" s="71"/>
      <c r="M1661" s="71"/>
      <c r="N1661" s="71"/>
      <c r="O1661" s="70"/>
      <c r="P1661" s="73"/>
      <c r="Q1661" s="71"/>
      <c r="R1661" s="71"/>
      <c r="S1661" s="71"/>
      <c r="T1661" s="71"/>
      <c r="U1661" s="71"/>
      <c r="V1661" s="70"/>
      <c r="W1661" s="70"/>
      <c r="X1661" s="70"/>
      <c r="Y1661" s="70"/>
      <c r="Z1661" s="102"/>
    </row>
    <row r="1662">
      <c r="A1662" s="94"/>
      <c r="B1662" s="66"/>
      <c r="C1662" s="70"/>
      <c r="D1662" s="68"/>
      <c r="E1662" s="68"/>
      <c r="F1662" s="69"/>
      <c r="G1662" s="70"/>
      <c r="H1662" s="70"/>
      <c r="I1662" s="70"/>
      <c r="J1662" s="70"/>
      <c r="K1662" s="71"/>
      <c r="L1662" s="71"/>
      <c r="M1662" s="71"/>
      <c r="N1662" s="71"/>
      <c r="O1662" s="70"/>
      <c r="P1662" s="73"/>
      <c r="Q1662" s="71"/>
      <c r="R1662" s="71"/>
      <c r="S1662" s="71"/>
      <c r="T1662" s="71"/>
      <c r="U1662" s="71"/>
      <c r="V1662" s="70"/>
      <c r="W1662" s="70"/>
      <c r="X1662" s="70"/>
      <c r="Y1662" s="70"/>
      <c r="Z1662" s="102"/>
    </row>
    <row r="1663">
      <c r="A1663" s="94"/>
      <c r="B1663" s="66"/>
      <c r="C1663" s="70"/>
      <c r="D1663" s="68"/>
      <c r="E1663" s="68"/>
      <c r="F1663" s="69"/>
      <c r="G1663" s="70"/>
      <c r="H1663" s="70"/>
      <c r="I1663" s="70"/>
      <c r="J1663" s="70"/>
      <c r="K1663" s="71"/>
      <c r="L1663" s="71"/>
      <c r="M1663" s="71"/>
      <c r="N1663" s="71"/>
      <c r="O1663" s="70"/>
      <c r="P1663" s="73"/>
      <c r="Q1663" s="71"/>
      <c r="R1663" s="71"/>
      <c r="S1663" s="71"/>
      <c r="T1663" s="71"/>
      <c r="U1663" s="71"/>
      <c r="V1663" s="70"/>
      <c r="W1663" s="70"/>
      <c r="X1663" s="70"/>
      <c r="Y1663" s="70"/>
      <c r="Z1663" s="102"/>
    </row>
    <row r="1664">
      <c r="A1664" s="94"/>
      <c r="B1664" s="66"/>
      <c r="C1664" s="70"/>
      <c r="D1664" s="68"/>
      <c r="E1664" s="68"/>
      <c r="F1664" s="69"/>
      <c r="G1664" s="70"/>
      <c r="H1664" s="70"/>
      <c r="I1664" s="70"/>
      <c r="J1664" s="70"/>
      <c r="K1664" s="71"/>
      <c r="L1664" s="71"/>
      <c r="M1664" s="71"/>
      <c r="N1664" s="71"/>
      <c r="O1664" s="70"/>
      <c r="P1664" s="73"/>
      <c r="Q1664" s="71"/>
      <c r="R1664" s="71"/>
      <c r="S1664" s="71"/>
      <c r="T1664" s="71"/>
      <c r="U1664" s="71"/>
      <c r="V1664" s="70"/>
      <c r="W1664" s="70"/>
      <c r="X1664" s="70"/>
      <c r="Y1664" s="70"/>
      <c r="Z1664" s="102"/>
    </row>
    <row r="1665">
      <c r="A1665" s="94"/>
      <c r="B1665" s="66"/>
      <c r="C1665" s="70"/>
      <c r="D1665" s="68"/>
      <c r="E1665" s="68"/>
      <c r="F1665" s="69"/>
      <c r="G1665" s="70"/>
      <c r="H1665" s="70"/>
      <c r="I1665" s="70"/>
      <c r="J1665" s="70"/>
      <c r="K1665" s="71"/>
      <c r="L1665" s="71"/>
      <c r="M1665" s="71"/>
      <c r="N1665" s="71"/>
      <c r="O1665" s="70"/>
      <c r="P1665" s="73"/>
      <c r="Q1665" s="71"/>
      <c r="R1665" s="71"/>
      <c r="S1665" s="71"/>
      <c r="T1665" s="71"/>
      <c r="U1665" s="71"/>
      <c r="V1665" s="70"/>
      <c r="W1665" s="70"/>
      <c r="X1665" s="70"/>
      <c r="Y1665" s="70"/>
      <c r="Z1665" s="102"/>
    </row>
    <row r="1666">
      <c r="A1666" s="94"/>
      <c r="B1666" s="66"/>
      <c r="C1666" s="70"/>
      <c r="D1666" s="68"/>
      <c r="E1666" s="68"/>
      <c r="F1666" s="69"/>
      <c r="G1666" s="70"/>
      <c r="H1666" s="70"/>
      <c r="I1666" s="70"/>
      <c r="J1666" s="70"/>
      <c r="K1666" s="71"/>
      <c r="L1666" s="71"/>
      <c r="M1666" s="71"/>
      <c r="N1666" s="71"/>
      <c r="O1666" s="70"/>
      <c r="P1666" s="73"/>
      <c r="Q1666" s="71"/>
      <c r="R1666" s="71"/>
      <c r="S1666" s="71"/>
      <c r="T1666" s="71"/>
      <c r="U1666" s="71"/>
      <c r="V1666" s="70"/>
      <c r="W1666" s="70"/>
      <c r="X1666" s="70"/>
      <c r="Y1666" s="70"/>
      <c r="Z1666" s="102"/>
    </row>
    <row r="1667">
      <c r="A1667" s="94"/>
      <c r="B1667" s="66"/>
      <c r="C1667" s="70"/>
      <c r="D1667" s="68"/>
      <c r="E1667" s="68"/>
      <c r="F1667" s="69"/>
      <c r="G1667" s="70"/>
      <c r="H1667" s="70"/>
      <c r="I1667" s="70"/>
      <c r="J1667" s="70"/>
      <c r="K1667" s="71"/>
      <c r="L1667" s="71"/>
      <c r="M1667" s="71"/>
      <c r="N1667" s="71"/>
      <c r="O1667" s="70"/>
      <c r="P1667" s="73"/>
      <c r="Q1667" s="71"/>
      <c r="R1667" s="71"/>
      <c r="S1667" s="71"/>
      <c r="T1667" s="71"/>
      <c r="U1667" s="71"/>
      <c r="V1667" s="70"/>
      <c r="W1667" s="70"/>
      <c r="X1667" s="70"/>
      <c r="Y1667" s="70"/>
      <c r="Z1667" s="102"/>
    </row>
    <row r="1668">
      <c r="A1668" s="94"/>
      <c r="B1668" s="66"/>
      <c r="C1668" s="70"/>
      <c r="D1668" s="68"/>
      <c r="E1668" s="68"/>
      <c r="F1668" s="69"/>
      <c r="G1668" s="70"/>
      <c r="H1668" s="70"/>
      <c r="I1668" s="70"/>
      <c r="J1668" s="70"/>
      <c r="K1668" s="71"/>
      <c r="L1668" s="71"/>
      <c r="M1668" s="71"/>
      <c r="N1668" s="71"/>
      <c r="O1668" s="70"/>
      <c r="P1668" s="73"/>
      <c r="Q1668" s="71"/>
      <c r="R1668" s="71"/>
      <c r="S1668" s="71"/>
      <c r="T1668" s="71"/>
      <c r="U1668" s="71"/>
      <c r="V1668" s="70"/>
      <c r="W1668" s="70"/>
      <c r="X1668" s="70"/>
      <c r="Y1668" s="70"/>
      <c r="Z1668" s="102"/>
    </row>
    <row r="1669">
      <c r="A1669" s="94"/>
      <c r="B1669" s="66"/>
      <c r="C1669" s="70"/>
      <c r="D1669" s="68"/>
      <c r="E1669" s="68"/>
      <c r="F1669" s="69"/>
      <c r="G1669" s="70"/>
      <c r="H1669" s="70"/>
      <c r="I1669" s="70"/>
      <c r="J1669" s="70"/>
      <c r="K1669" s="71"/>
      <c r="L1669" s="71"/>
      <c r="M1669" s="71"/>
      <c r="N1669" s="71"/>
      <c r="O1669" s="70"/>
      <c r="P1669" s="73"/>
      <c r="Q1669" s="71"/>
      <c r="R1669" s="71"/>
      <c r="S1669" s="71"/>
      <c r="T1669" s="71"/>
      <c r="U1669" s="71"/>
      <c r="V1669" s="70"/>
      <c r="W1669" s="70"/>
      <c r="X1669" s="70"/>
      <c r="Y1669" s="70"/>
      <c r="Z1669" s="102"/>
    </row>
    <row r="1670">
      <c r="A1670" s="94"/>
      <c r="B1670" s="66"/>
      <c r="C1670" s="70"/>
      <c r="D1670" s="68"/>
      <c r="E1670" s="68"/>
      <c r="F1670" s="69"/>
      <c r="G1670" s="70"/>
      <c r="H1670" s="70"/>
      <c r="I1670" s="70"/>
      <c r="J1670" s="70"/>
      <c r="K1670" s="71"/>
      <c r="L1670" s="71"/>
      <c r="M1670" s="71"/>
      <c r="N1670" s="71"/>
      <c r="O1670" s="70"/>
      <c r="P1670" s="73"/>
      <c r="Q1670" s="71"/>
      <c r="R1670" s="71"/>
      <c r="S1670" s="71"/>
      <c r="T1670" s="71"/>
      <c r="U1670" s="71"/>
      <c r="V1670" s="70"/>
      <c r="W1670" s="70"/>
      <c r="X1670" s="70"/>
      <c r="Y1670" s="70"/>
      <c r="Z1670" s="102"/>
    </row>
    <row r="1671">
      <c r="A1671" s="94"/>
      <c r="B1671" s="66"/>
      <c r="C1671" s="70"/>
      <c r="D1671" s="68"/>
      <c r="E1671" s="68"/>
      <c r="F1671" s="69"/>
      <c r="G1671" s="70"/>
      <c r="H1671" s="70"/>
      <c r="I1671" s="70"/>
      <c r="J1671" s="70"/>
      <c r="K1671" s="71"/>
      <c r="L1671" s="71"/>
      <c r="M1671" s="71"/>
      <c r="N1671" s="71"/>
      <c r="O1671" s="70"/>
      <c r="P1671" s="73"/>
      <c r="Q1671" s="71"/>
      <c r="R1671" s="71"/>
      <c r="S1671" s="71"/>
      <c r="T1671" s="71"/>
      <c r="U1671" s="71"/>
      <c r="V1671" s="70"/>
      <c r="W1671" s="70"/>
      <c r="X1671" s="70"/>
      <c r="Y1671" s="70"/>
      <c r="Z1671" s="102"/>
    </row>
    <row r="1672">
      <c r="A1672" s="94"/>
      <c r="B1672" s="66"/>
      <c r="C1672" s="70"/>
      <c r="D1672" s="68"/>
      <c r="E1672" s="68"/>
      <c r="F1672" s="69"/>
      <c r="G1672" s="70"/>
      <c r="H1672" s="70"/>
      <c r="I1672" s="70"/>
      <c r="J1672" s="70"/>
      <c r="K1672" s="71"/>
      <c r="L1672" s="71"/>
      <c r="M1672" s="71"/>
      <c r="N1672" s="71"/>
      <c r="O1672" s="70"/>
      <c r="P1672" s="73"/>
      <c r="Q1672" s="71"/>
      <c r="R1672" s="71"/>
      <c r="S1672" s="71"/>
      <c r="T1672" s="71"/>
      <c r="U1672" s="71"/>
      <c r="V1672" s="70"/>
      <c r="W1672" s="70"/>
      <c r="X1672" s="70"/>
      <c r="Y1672" s="70"/>
      <c r="Z1672" s="102"/>
    </row>
    <row r="1673">
      <c r="A1673" s="94"/>
      <c r="B1673" s="66"/>
      <c r="C1673" s="70"/>
      <c r="D1673" s="68"/>
      <c r="E1673" s="68"/>
      <c r="F1673" s="69"/>
      <c r="G1673" s="70"/>
      <c r="H1673" s="70"/>
      <c r="I1673" s="70"/>
      <c r="J1673" s="70"/>
      <c r="K1673" s="71"/>
      <c r="L1673" s="71"/>
      <c r="M1673" s="71"/>
      <c r="N1673" s="71"/>
      <c r="O1673" s="70"/>
      <c r="P1673" s="73"/>
      <c r="Q1673" s="71"/>
      <c r="R1673" s="71"/>
      <c r="S1673" s="71"/>
      <c r="T1673" s="71"/>
      <c r="U1673" s="71"/>
      <c r="V1673" s="70"/>
      <c r="W1673" s="70"/>
      <c r="X1673" s="70"/>
      <c r="Y1673" s="70"/>
      <c r="Z1673" s="102"/>
    </row>
    <row r="1674">
      <c r="A1674" s="94"/>
      <c r="B1674" s="66"/>
      <c r="C1674" s="70"/>
      <c r="D1674" s="68"/>
      <c r="E1674" s="68"/>
      <c r="F1674" s="69"/>
      <c r="G1674" s="70"/>
      <c r="H1674" s="70"/>
      <c r="I1674" s="70"/>
      <c r="J1674" s="70"/>
      <c r="K1674" s="71"/>
      <c r="L1674" s="71"/>
      <c r="M1674" s="71"/>
      <c r="N1674" s="71"/>
      <c r="O1674" s="70"/>
      <c r="P1674" s="73"/>
      <c r="Q1674" s="71"/>
      <c r="R1674" s="71"/>
      <c r="S1674" s="71"/>
      <c r="T1674" s="71"/>
      <c r="U1674" s="71"/>
      <c r="V1674" s="70"/>
      <c r="W1674" s="70"/>
      <c r="X1674" s="70"/>
      <c r="Y1674" s="70"/>
      <c r="Z1674" s="102"/>
    </row>
    <row r="1675">
      <c r="A1675" s="94"/>
      <c r="B1675" s="66"/>
      <c r="C1675" s="70"/>
      <c r="D1675" s="68"/>
      <c r="E1675" s="68"/>
      <c r="F1675" s="69"/>
      <c r="G1675" s="70"/>
      <c r="H1675" s="70"/>
      <c r="I1675" s="70"/>
      <c r="J1675" s="70"/>
      <c r="K1675" s="71"/>
      <c r="L1675" s="71"/>
      <c r="M1675" s="71"/>
      <c r="N1675" s="71"/>
      <c r="O1675" s="70"/>
      <c r="P1675" s="73"/>
      <c r="Q1675" s="71"/>
      <c r="R1675" s="71"/>
      <c r="S1675" s="71"/>
      <c r="T1675" s="71"/>
      <c r="U1675" s="71"/>
      <c r="V1675" s="70"/>
      <c r="W1675" s="70"/>
      <c r="X1675" s="70"/>
      <c r="Y1675" s="70"/>
      <c r="Z1675" s="102"/>
    </row>
    <row r="1676">
      <c r="A1676" s="94"/>
      <c r="B1676" s="66"/>
      <c r="C1676" s="70"/>
      <c r="D1676" s="68"/>
      <c r="E1676" s="68"/>
      <c r="F1676" s="69"/>
      <c r="G1676" s="70"/>
      <c r="H1676" s="70"/>
      <c r="I1676" s="70"/>
      <c r="J1676" s="70"/>
      <c r="K1676" s="71"/>
      <c r="L1676" s="71"/>
      <c r="M1676" s="71"/>
      <c r="N1676" s="71"/>
      <c r="O1676" s="70"/>
      <c r="P1676" s="73"/>
      <c r="Q1676" s="71"/>
      <c r="R1676" s="71"/>
      <c r="S1676" s="71"/>
      <c r="T1676" s="71"/>
      <c r="U1676" s="71"/>
      <c r="V1676" s="70"/>
      <c r="W1676" s="70"/>
      <c r="X1676" s="70"/>
      <c r="Y1676" s="70"/>
      <c r="Z1676" s="102"/>
    </row>
    <row r="1677">
      <c r="A1677" s="94"/>
      <c r="B1677" s="66"/>
      <c r="C1677" s="70"/>
      <c r="D1677" s="68"/>
      <c r="E1677" s="68"/>
      <c r="F1677" s="69"/>
      <c r="G1677" s="70"/>
      <c r="H1677" s="70"/>
      <c r="I1677" s="70"/>
      <c r="J1677" s="70"/>
      <c r="K1677" s="71"/>
      <c r="L1677" s="71"/>
      <c r="M1677" s="71"/>
      <c r="N1677" s="71"/>
      <c r="O1677" s="70"/>
      <c r="P1677" s="73"/>
      <c r="Q1677" s="71"/>
      <c r="R1677" s="71"/>
      <c r="S1677" s="71"/>
      <c r="T1677" s="71"/>
      <c r="U1677" s="71"/>
      <c r="V1677" s="70"/>
      <c r="W1677" s="70"/>
      <c r="X1677" s="70"/>
      <c r="Y1677" s="70"/>
      <c r="Z1677" s="102"/>
    </row>
    <row r="1678">
      <c r="A1678" s="94"/>
      <c r="B1678" s="66"/>
      <c r="C1678" s="70"/>
      <c r="D1678" s="68"/>
      <c r="E1678" s="68"/>
      <c r="F1678" s="69"/>
      <c r="G1678" s="70"/>
      <c r="H1678" s="70"/>
      <c r="I1678" s="70"/>
      <c r="J1678" s="70"/>
      <c r="K1678" s="71"/>
      <c r="L1678" s="71"/>
      <c r="M1678" s="71"/>
      <c r="N1678" s="71"/>
      <c r="O1678" s="70"/>
      <c r="P1678" s="73"/>
      <c r="Q1678" s="71"/>
      <c r="R1678" s="71"/>
      <c r="S1678" s="71"/>
      <c r="T1678" s="71"/>
      <c r="U1678" s="71"/>
      <c r="V1678" s="70"/>
      <c r="W1678" s="70"/>
      <c r="X1678" s="70"/>
      <c r="Y1678" s="70"/>
      <c r="Z1678" s="102"/>
    </row>
    <row r="1679">
      <c r="A1679" s="94"/>
      <c r="B1679" s="66"/>
      <c r="C1679" s="70"/>
      <c r="D1679" s="68"/>
      <c r="E1679" s="68"/>
      <c r="F1679" s="69"/>
      <c r="G1679" s="70"/>
      <c r="H1679" s="70"/>
      <c r="I1679" s="70"/>
      <c r="J1679" s="70"/>
      <c r="K1679" s="71"/>
      <c r="L1679" s="71"/>
      <c r="M1679" s="71"/>
      <c r="N1679" s="71"/>
      <c r="O1679" s="70"/>
      <c r="P1679" s="73"/>
      <c r="Q1679" s="71"/>
      <c r="R1679" s="71"/>
      <c r="S1679" s="71"/>
      <c r="T1679" s="71"/>
      <c r="U1679" s="71"/>
      <c r="V1679" s="70"/>
      <c r="W1679" s="70"/>
      <c r="X1679" s="70"/>
      <c r="Y1679" s="70"/>
      <c r="Z1679" s="102"/>
    </row>
    <row r="1680">
      <c r="A1680" s="94"/>
      <c r="B1680" s="66"/>
      <c r="C1680" s="70"/>
      <c r="D1680" s="68"/>
      <c r="E1680" s="68"/>
      <c r="F1680" s="69"/>
      <c r="G1680" s="70"/>
      <c r="H1680" s="70"/>
      <c r="I1680" s="70"/>
      <c r="J1680" s="70"/>
      <c r="K1680" s="71"/>
      <c r="L1680" s="71"/>
      <c r="M1680" s="71"/>
      <c r="N1680" s="71"/>
      <c r="O1680" s="70"/>
      <c r="P1680" s="73"/>
      <c r="Q1680" s="71"/>
      <c r="R1680" s="71"/>
      <c r="S1680" s="71"/>
      <c r="T1680" s="71"/>
      <c r="U1680" s="71"/>
      <c r="V1680" s="70"/>
      <c r="W1680" s="70"/>
      <c r="X1680" s="70"/>
      <c r="Y1680" s="70"/>
      <c r="Z1680" s="102"/>
    </row>
    <row r="1681">
      <c r="A1681" s="94"/>
      <c r="B1681" s="66"/>
      <c r="C1681" s="70"/>
      <c r="D1681" s="68"/>
      <c r="E1681" s="68"/>
      <c r="F1681" s="69"/>
      <c r="G1681" s="70"/>
      <c r="H1681" s="70"/>
      <c r="I1681" s="70"/>
      <c r="J1681" s="70"/>
      <c r="K1681" s="71"/>
      <c r="L1681" s="71"/>
      <c r="M1681" s="71"/>
      <c r="N1681" s="71"/>
      <c r="O1681" s="70"/>
      <c r="P1681" s="73"/>
      <c r="Q1681" s="71"/>
      <c r="R1681" s="71"/>
      <c r="S1681" s="71"/>
      <c r="T1681" s="71"/>
      <c r="U1681" s="71"/>
      <c r="V1681" s="70"/>
      <c r="W1681" s="70"/>
      <c r="X1681" s="70"/>
      <c r="Y1681" s="70"/>
      <c r="Z1681" s="102"/>
    </row>
    <row r="1682">
      <c r="A1682" s="94"/>
      <c r="B1682" s="66"/>
      <c r="C1682" s="70"/>
      <c r="D1682" s="68"/>
      <c r="E1682" s="68"/>
      <c r="F1682" s="69"/>
      <c r="G1682" s="70"/>
      <c r="H1682" s="70"/>
      <c r="I1682" s="70"/>
      <c r="J1682" s="70"/>
      <c r="K1682" s="71"/>
      <c r="L1682" s="71"/>
      <c r="M1682" s="71"/>
      <c r="N1682" s="71"/>
      <c r="O1682" s="70"/>
      <c r="P1682" s="73"/>
      <c r="Q1682" s="71"/>
      <c r="R1682" s="71"/>
      <c r="S1682" s="71"/>
      <c r="T1682" s="71"/>
      <c r="U1682" s="71"/>
      <c r="V1682" s="70"/>
      <c r="W1682" s="70"/>
      <c r="X1682" s="70"/>
      <c r="Y1682" s="70"/>
      <c r="Z1682" s="102"/>
    </row>
    <row r="1683">
      <c r="A1683" s="94"/>
      <c r="B1683" s="66"/>
      <c r="C1683" s="70"/>
      <c r="D1683" s="68"/>
      <c r="E1683" s="68"/>
      <c r="F1683" s="69"/>
      <c r="G1683" s="70"/>
      <c r="H1683" s="70"/>
      <c r="I1683" s="70"/>
      <c r="J1683" s="70"/>
      <c r="K1683" s="71"/>
      <c r="L1683" s="71"/>
      <c r="M1683" s="71"/>
      <c r="N1683" s="71"/>
      <c r="O1683" s="70"/>
      <c r="P1683" s="73"/>
      <c r="Q1683" s="71"/>
      <c r="R1683" s="71"/>
      <c r="S1683" s="71"/>
      <c r="T1683" s="71"/>
      <c r="U1683" s="71"/>
      <c r="V1683" s="70"/>
      <c r="W1683" s="70"/>
      <c r="X1683" s="70"/>
      <c r="Y1683" s="70"/>
      <c r="Z1683" s="102"/>
    </row>
    <row r="1684">
      <c r="A1684" s="94"/>
      <c r="B1684" s="66"/>
      <c r="C1684" s="70"/>
      <c r="D1684" s="68"/>
      <c r="E1684" s="68"/>
      <c r="F1684" s="69"/>
      <c r="G1684" s="70"/>
      <c r="H1684" s="70"/>
      <c r="I1684" s="70"/>
      <c r="J1684" s="70"/>
      <c r="K1684" s="71"/>
      <c r="L1684" s="71"/>
      <c r="M1684" s="71"/>
      <c r="N1684" s="71"/>
      <c r="O1684" s="70"/>
      <c r="P1684" s="73"/>
      <c r="Q1684" s="71"/>
      <c r="R1684" s="71"/>
      <c r="S1684" s="71"/>
      <c r="T1684" s="71"/>
      <c r="U1684" s="71"/>
      <c r="V1684" s="70"/>
      <c r="W1684" s="70"/>
      <c r="X1684" s="70"/>
      <c r="Y1684" s="70"/>
      <c r="Z1684" s="102"/>
    </row>
    <row r="1685">
      <c r="A1685" s="94"/>
      <c r="B1685" s="66"/>
      <c r="C1685" s="70"/>
      <c r="D1685" s="68"/>
      <c r="E1685" s="68"/>
      <c r="F1685" s="69"/>
      <c r="G1685" s="70"/>
      <c r="H1685" s="70"/>
      <c r="I1685" s="70"/>
      <c r="J1685" s="70"/>
      <c r="K1685" s="71"/>
      <c r="L1685" s="71"/>
      <c r="M1685" s="71"/>
      <c r="N1685" s="71"/>
      <c r="O1685" s="70"/>
      <c r="P1685" s="73"/>
      <c r="Q1685" s="71"/>
      <c r="R1685" s="71"/>
      <c r="S1685" s="71"/>
      <c r="T1685" s="71"/>
      <c r="U1685" s="71"/>
      <c r="V1685" s="70"/>
      <c r="W1685" s="70"/>
      <c r="X1685" s="70"/>
      <c r="Y1685" s="70"/>
      <c r="Z1685" s="102"/>
    </row>
    <row r="1686">
      <c r="A1686" s="94"/>
      <c r="B1686" s="66"/>
      <c r="C1686" s="70"/>
      <c r="D1686" s="68"/>
      <c r="E1686" s="68"/>
      <c r="F1686" s="69"/>
      <c r="G1686" s="70"/>
      <c r="H1686" s="70"/>
      <c r="I1686" s="70"/>
      <c r="J1686" s="70"/>
      <c r="K1686" s="71"/>
      <c r="L1686" s="71"/>
      <c r="M1686" s="71"/>
      <c r="N1686" s="71"/>
      <c r="O1686" s="70"/>
      <c r="P1686" s="73"/>
      <c r="Q1686" s="71"/>
      <c r="R1686" s="71"/>
      <c r="S1686" s="71"/>
      <c r="T1686" s="71"/>
      <c r="U1686" s="71"/>
      <c r="V1686" s="70"/>
      <c r="W1686" s="70"/>
      <c r="X1686" s="70"/>
      <c r="Y1686" s="70"/>
      <c r="Z1686" s="102"/>
    </row>
    <row r="1687">
      <c r="A1687" s="94"/>
      <c r="B1687" s="66"/>
      <c r="C1687" s="70"/>
      <c r="D1687" s="68"/>
      <c r="E1687" s="68"/>
      <c r="F1687" s="69"/>
      <c r="G1687" s="70"/>
      <c r="H1687" s="70"/>
      <c r="I1687" s="70"/>
      <c r="J1687" s="70"/>
      <c r="K1687" s="71"/>
      <c r="L1687" s="71"/>
      <c r="M1687" s="71"/>
      <c r="N1687" s="71"/>
      <c r="O1687" s="70"/>
      <c r="P1687" s="73"/>
      <c r="Q1687" s="71"/>
      <c r="R1687" s="71"/>
      <c r="S1687" s="71"/>
      <c r="T1687" s="71"/>
      <c r="U1687" s="71"/>
      <c r="V1687" s="70"/>
      <c r="W1687" s="70"/>
      <c r="X1687" s="70"/>
      <c r="Y1687" s="70"/>
      <c r="Z1687" s="102"/>
    </row>
    <row r="1688">
      <c r="A1688" s="94"/>
      <c r="B1688" s="66"/>
      <c r="C1688" s="70"/>
      <c r="D1688" s="68"/>
      <c r="E1688" s="68"/>
      <c r="F1688" s="69"/>
      <c r="G1688" s="70"/>
      <c r="H1688" s="70"/>
      <c r="I1688" s="70"/>
      <c r="J1688" s="70"/>
      <c r="K1688" s="71"/>
      <c r="L1688" s="71"/>
      <c r="M1688" s="71"/>
      <c r="N1688" s="71"/>
      <c r="O1688" s="70"/>
      <c r="P1688" s="73"/>
      <c r="Q1688" s="71"/>
      <c r="R1688" s="71"/>
      <c r="S1688" s="71"/>
      <c r="T1688" s="71"/>
      <c r="U1688" s="71"/>
      <c r="V1688" s="70"/>
      <c r="W1688" s="70"/>
      <c r="X1688" s="70"/>
      <c r="Y1688" s="70"/>
      <c r="Z1688" s="102"/>
    </row>
    <row r="1689">
      <c r="A1689" s="94"/>
      <c r="B1689" s="66"/>
      <c r="C1689" s="70"/>
      <c r="D1689" s="68"/>
      <c r="E1689" s="68"/>
      <c r="F1689" s="69"/>
      <c r="G1689" s="70"/>
      <c r="H1689" s="70"/>
      <c r="I1689" s="70"/>
      <c r="J1689" s="70"/>
      <c r="K1689" s="71"/>
      <c r="L1689" s="71"/>
      <c r="M1689" s="71"/>
      <c r="N1689" s="71"/>
      <c r="O1689" s="70"/>
      <c r="P1689" s="73"/>
      <c r="Q1689" s="71"/>
      <c r="R1689" s="71"/>
      <c r="S1689" s="71"/>
      <c r="T1689" s="71"/>
      <c r="U1689" s="71"/>
      <c r="V1689" s="70"/>
      <c r="W1689" s="70"/>
      <c r="X1689" s="70"/>
      <c r="Y1689" s="70"/>
      <c r="Z1689" s="102"/>
    </row>
    <row r="1690">
      <c r="A1690" s="94"/>
      <c r="B1690" s="66"/>
      <c r="C1690" s="70"/>
      <c r="D1690" s="68"/>
      <c r="E1690" s="68"/>
      <c r="F1690" s="69"/>
      <c r="G1690" s="70"/>
      <c r="H1690" s="70"/>
      <c r="I1690" s="70"/>
      <c r="J1690" s="70"/>
      <c r="K1690" s="71"/>
      <c r="L1690" s="71"/>
      <c r="M1690" s="71"/>
      <c r="N1690" s="71"/>
      <c r="O1690" s="70"/>
      <c r="P1690" s="73"/>
      <c r="Q1690" s="71"/>
      <c r="R1690" s="71"/>
      <c r="S1690" s="71"/>
      <c r="T1690" s="71"/>
      <c r="U1690" s="71"/>
      <c r="V1690" s="70"/>
      <c r="W1690" s="70"/>
      <c r="X1690" s="70"/>
      <c r="Y1690" s="70"/>
      <c r="Z1690" s="102"/>
    </row>
    <row r="1691">
      <c r="A1691" s="94"/>
      <c r="B1691" s="66"/>
      <c r="C1691" s="70"/>
      <c r="D1691" s="68"/>
      <c r="E1691" s="68"/>
      <c r="F1691" s="69"/>
      <c r="G1691" s="70"/>
      <c r="H1691" s="70"/>
      <c r="I1691" s="70"/>
      <c r="J1691" s="70"/>
      <c r="K1691" s="71"/>
      <c r="L1691" s="71"/>
      <c r="M1691" s="71"/>
      <c r="N1691" s="71"/>
      <c r="O1691" s="70"/>
      <c r="P1691" s="73"/>
      <c r="Q1691" s="71"/>
      <c r="R1691" s="71"/>
      <c r="S1691" s="71"/>
      <c r="T1691" s="71"/>
      <c r="U1691" s="71"/>
      <c r="V1691" s="70"/>
      <c r="W1691" s="70"/>
      <c r="X1691" s="70"/>
      <c r="Y1691" s="70"/>
      <c r="Z1691" s="102"/>
    </row>
    <row r="1692">
      <c r="A1692" s="94"/>
      <c r="B1692" s="66"/>
      <c r="C1692" s="70"/>
      <c r="D1692" s="68"/>
      <c r="E1692" s="68"/>
      <c r="F1692" s="69"/>
      <c r="G1692" s="70"/>
      <c r="H1692" s="70"/>
      <c r="I1692" s="70"/>
      <c r="J1692" s="70"/>
      <c r="K1692" s="71"/>
      <c r="L1692" s="71"/>
      <c r="M1692" s="71"/>
      <c r="N1692" s="71"/>
      <c r="O1692" s="70"/>
      <c r="P1692" s="73"/>
      <c r="Q1692" s="71"/>
      <c r="R1692" s="71"/>
      <c r="S1692" s="71"/>
      <c r="T1692" s="71"/>
      <c r="U1692" s="71"/>
      <c r="V1692" s="70"/>
      <c r="W1692" s="70"/>
      <c r="X1692" s="70"/>
      <c r="Y1692" s="70"/>
      <c r="Z1692" s="102"/>
    </row>
    <row r="1693">
      <c r="A1693" s="94"/>
      <c r="B1693" s="66"/>
      <c r="C1693" s="70"/>
      <c r="D1693" s="68"/>
      <c r="E1693" s="68"/>
      <c r="F1693" s="69"/>
      <c r="G1693" s="70"/>
      <c r="H1693" s="70"/>
      <c r="I1693" s="70"/>
      <c r="J1693" s="70"/>
      <c r="K1693" s="71"/>
      <c r="L1693" s="71"/>
      <c r="M1693" s="71"/>
      <c r="N1693" s="71"/>
      <c r="O1693" s="70"/>
      <c r="P1693" s="73"/>
      <c r="Q1693" s="71"/>
      <c r="R1693" s="71"/>
      <c r="S1693" s="71"/>
      <c r="T1693" s="71"/>
      <c r="U1693" s="71"/>
      <c r="V1693" s="70"/>
      <c r="W1693" s="70"/>
      <c r="X1693" s="70"/>
      <c r="Y1693" s="70"/>
      <c r="Z1693" s="102"/>
    </row>
    <row r="1694">
      <c r="A1694" s="94"/>
      <c r="B1694" s="66"/>
      <c r="C1694" s="70"/>
      <c r="D1694" s="68"/>
      <c r="E1694" s="68"/>
      <c r="F1694" s="69"/>
      <c r="G1694" s="70"/>
      <c r="H1694" s="70"/>
      <c r="I1694" s="70"/>
      <c r="J1694" s="70"/>
      <c r="K1694" s="71"/>
      <c r="L1694" s="71"/>
      <c r="M1694" s="71"/>
      <c r="N1694" s="71"/>
      <c r="O1694" s="70"/>
      <c r="P1694" s="73"/>
      <c r="Q1694" s="71"/>
      <c r="R1694" s="71"/>
      <c r="S1694" s="71"/>
      <c r="T1694" s="71"/>
      <c r="U1694" s="71"/>
      <c r="V1694" s="70"/>
      <c r="W1694" s="70"/>
      <c r="X1694" s="70"/>
      <c r="Y1694" s="70"/>
      <c r="Z1694" s="102"/>
    </row>
    <row r="1695">
      <c r="A1695" s="94"/>
      <c r="B1695" s="66"/>
      <c r="C1695" s="70"/>
      <c r="D1695" s="68"/>
      <c r="E1695" s="68"/>
      <c r="F1695" s="69"/>
      <c r="G1695" s="70"/>
      <c r="H1695" s="70"/>
      <c r="I1695" s="70"/>
      <c r="J1695" s="70"/>
      <c r="K1695" s="71"/>
      <c r="L1695" s="71"/>
      <c r="M1695" s="71"/>
      <c r="N1695" s="71"/>
      <c r="O1695" s="70"/>
      <c r="P1695" s="73"/>
      <c r="Q1695" s="71"/>
      <c r="R1695" s="71"/>
      <c r="S1695" s="71"/>
      <c r="T1695" s="71"/>
      <c r="U1695" s="71"/>
      <c r="V1695" s="70"/>
      <c r="W1695" s="70"/>
      <c r="X1695" s="70"/>
      <c r="Y1695" s="70"/>
      <c r="Z1695" s="102"/>
    </row>
    <row r="1696">
      <c r="A1696" s="94"/>
      <c r="B1696" s="66"/>
      <c r="C1696" s="70"/>
      <c r="D1696" s="68"/>
      <c r="E1696" s="68"/>
      <c r="F1696" s="69"/>
      <c r="G1696" s="70"/>
      <c r="H1696" s="70"/>
      <c r="I1696" s="70"/>
      <c r="J1696" s="70"/>
      <c r="K1696" s="71"/>
      <c r="L1696" s="71"/>
      <c r="M1696" s="71"/>
      <c r="N1696" s="71"/>
      <c r="O1696" s="70"/>
      <c r="P1696" s="73"/>
      <c r="Q1696" s="71"/>
      <c r="R1696" s="71"/>
      <c r="S1696" s="71"/>
      <c r="T1696" s="71"/>
      <c r="U1696" s="71"/>
      <c r="V1696" s="70"/>
      <c r="W1696" s="70"/>
      <c r="X1696" s="70"/>
      <c r="Y1696" s="70"/>
      <c r="Z1696" s="102"/>
    </row>
    <row r="1697">
      <c r="A1697" s="94"/>
      <c r="B1697" s="66"/>
      <c r="C1697" s="70"/>
      <c r="D1697" s="68"/>
      <c r="E1697" s="68"/>
      <c r="F1697" s="69"/>
      <c r="G1697" s="70"/>
      <c r="H1697" s="70"/>
      <c r="I1697" s="70"/>
      <c r="J1697" s="70"/>
      <c r="K1697" s="71"/>
      <c r="L1697" s="71"/>
      <c r="M1697" s="71"/>
      <c r="N1697" s="71"/>
      <c r="O1697" s="70"/>
      <c r="P1697" s="73"/>
      <c r="Q1697" s="71"/>
      <c r="R1697" s="71"/>
      <c r="S1697" s="71"/>
      <c r="T1697" s="71"/>
      <c r="U1697" s="71"/>
      <c r="V1697" s="70"/>
      <c r="W1697" s="70"/>
      <c r="X1697" s="70"/>
      <c r="Y1697" s="70"/>
      <c r="Z1697" s="102"/>
    </row>
    <row r="1698">
      <c r="A1698" s="94"/>
      <c r="B1698" s="66"/>
      <c r="C1698" s="70"/>
      <c r="D1698" s="68"/>
      <c r="E1698" s="68"/>
      <c r="F1698" s="69"/>
      <c r="G1698" s="70"/>
      <c r="H1698" s="70"/>
      <c r="I1698" s="70"/>
      <c r="J1698" s="70"/>
      <c r="K1698" s="71"/>
      <c r="L1698" s="71"/>
      <c r="M1698" s="71"/>
      <c r="N1698" s="71"/>
      <c r="O1698" s="70"/>
      <c r="P1698" s="73"/>
      <c r="Q1698" s="71"/>
      <c r="R1698" s="71"/>
      <c r="S1698" s="71"/>
      <c r="T1698" s="71"/>
      <c r="U1698" s="71"/>
      <c r="V1698" s="70"/>
      <c r="W1698" s="70"/>
      <c r="X1698" s="70"/>
      <c r="Y1698" s="70"/>
      <c r="Z1698" s="102"/>
    </row>
    <row r="1699">
      <c r="A1699" s="94"/>
      <c r="B1699" s="66"/>
      <c r="C1699" s="70"/>
      <c r="D1699" s="68"/>
      <c r="E1699" s="68"/>
      <c r="F1699" s="69"/>
      <c r="G1699" s="70"/>
      <c r="H1699" s="70"/>
      <c r="I1699" s="70"/>
      <c r="J1699" s="70"/>
      <c r="K1699" s="71"/>
      <c r="L1699" s="71"/>
      <c r="M1699" s="71"/>
      <c r="N1699" s="71"/>
      <c r="O1699" s="70"/>
      <c r="P1699" s="73"/>
      <c r="Q1699" s="71"/>
      <c r="R1699" s="71"/>
      <c r="S1699" s="71"/>
      <c r="T1699" s="71"/>
      <c r="U1699" s="71"/>
      <c r="V1699" s="70"/>
      <c r="W1699" s="70"/>
      <c r="X1699" s="70"/>
      <c r="Y1699" s="70"/>
      <c r="Z1699" s="102"/>
    </row>
    <row r="1700">
      <c r="A1700" s="94"/>
      <c r="B1700" s="66"/>
      <c r="C1700" s="70"/>
      <c r="D1700" s="68"/>
      <c r="E1700" s="68"/>
      <c r="F1700" s="69"/>
      <c r="G1700" s="70"/>
      <c r="H1700" s="70"/>
      <c r="I1700" s="70"/>
      <c r="J1700" s="70"/>
      <c r="K1700" s="71"/>
      <c r="L1700" s="71"/>
      <c r="M1700" s="71"/>
      <c r="N1700" s="71"/>
      <c r="O1700" s="70"/>
      <c r="P1700" s="73"/>
      <c r="Q1700" s="71"/>
      <c r="R1700" s="71"/>
      <c r="S1700" s="71"/>
      <c r="T1700" s="71"/>
      <c r="U1700" s="71"/>
      <c r="V1700" s="70"/>
      <c r="W1700" s="70"/>
      <c r="X1700" s="70"/>
      <c r="Y1700" s="70"/>
      <c r="Z1700" s="102"/>
    </row>
    <row r="1701">
      <c r="A1701" s="94"/>
      <c r="B1701" s="66"/>
      <c r="C1701" s="70"/>
      <c r="D1701" s="68"/>
      <c r="E1701" s="68"/>
      <c r="F1701" s="69"/>
      <c r="G1701" s="70"/>
      <c r="H1701" s="70"/>
      <c r="I1701" s="70"/>
      <c r="J1701" s="70"/>
      <c r="K1701" s="71"/>
      <c r="L1701" s="71"/>
      <c r="M1701" s="71"/>
      <c r="N1701" s="71"/>
      <c r="O1701" s="70"/>
      <c r="P1701" s="73"/>
      <c r="Q1701" s="71"/>
      <c r="R1701" s="71"/>
      <c r="S1701" s="71"/>
      <c r="T1701" s="71"/>
      <c r="U1701" s="71"/>
      <c r="V1701" s="70"/>
      <c r="W1701" s="70"/>
      <c r="X1701" s="70"/>
      <c r="Y1701" s="70"/>
      <c r="Z1701" s="102"/>
    </row>
    <row r="1702">
      <c r="A1702" s="94"/>
      <c r="B1702" s="66"/>
      <c r="C1702" s="70"/>
      <c r="D1702" s="68"/>
      <c r="E1702" s="68"/>
      <c r="F1702" s="69"/>
      <c r="G1702" s="70"/>
      <c r="H1702" s="70"/>
      <c r="I1702" s="70"/>
      <c r="J1702" s="70"/>
      <c r="K1702" s="71"/>
      <c r="L1702" s="71"/>
      <c r="M1702" s="71"/>
      <c r="N1702" s="71"/>
      <c r="O1702" s="70"/>
      <c r="P1702" s="73"/>
      <c r="Q1702" s="71"/>
      <c r="R1702" s="71"/>
      <c r="S1702" s="71"/>
      <c r="T1702" s="71"/>
      <c r="U1702" s="71"/>
      <c r="V1702" s="70"/>
      <c r="W1702" s="70"/>
      <c r="X1702" s="70"/>
      <c r="Y1702" s="70"/>
      <c r="Z1702" s="102"/>
    </row>
    <row r="1703">
      <c r="A1703" s="94"/>
      <c r="B1703" s="66"/>
      <c r="C1703" s="70"/>
      <c r="D1703" s="68"/>
      <c r="E1703" s="68"/>
      <c r="F1703" s="69"/>
      <c r="G1703" s="70"/>
      <c r="H1703" s="70"/>
      <c r="I1703" s="70"/>
      <c r="J1703" s="70"/>
      <c r="K1703" s="71"/>
      <c r="L1703" s="71"/>
      <c r="M1703" s="71"/>
      <c r="N1703" s="71"/>
      <c r="O1703" s="70"/>
      <c r="P1703" s="73"/>
      <c r="Q1703" s="71"/>
      <c r="R1703" s="71"/>
      <c r="S1703" s="71"/>
      <c r="T1703" s="71"/>
      <c r="U1703" s="71"/>
      <c r="V1703" s="70"/>
      <c r="W1703" s="70"/>
      <c r="X1703" s="70"/>
      <c r="Y1703" s="70"/>
      <c r="Z1703" s="102"/>
    </row>
    <row r="1704">
      <c r="A1704" s="94"/>
      <c r="B1704" s="66"/>
      <c r="C1704" s="70"/>
      <c r="D1704" s="68"/>
      <c r="E1704" s="68"/>
      <c r="F1704" s="69"/>
      <c r="G1704" s="70"/>
      <c r="H1704" s="70"/>
      <c r="I1704" s="70"/>
      <c r="J1704" s="70"/>
      <c r="K1704" s="71"/>
      <c r="L1704" s="71"/>
      <c r="M1704" s="71"/>
      <c r="N1704" s="71"/>
      <c r="O1704" s="70"/>
      <c r="P1704" s="73"/>
      <c r="Q1704" s="71"/>
      <c r="R1704" s="71"/>
      <c r="S1704" s="71"/>
      <c r="T1704" s="71"/>
      <c r="U1704" s="71"/>
      <c r="V1704" s="70"/>
      <c r="W1704" s="70"/>
      <c r="X1704" s="70"/>
      <c r="Y1704" s="70"/>
      <c r="Z1704" s="102"/>
    </row>
    <row r="1705">
      <c r="A1705" s="94"/>
      <c r="B1705" s="66"/>
      <c r="C1705" s="70"/>
      <c r="D1705" s="68"/>
      <c r="E1705" s="68"/>
      <c r="F1705" s="69"/>
      <c r="G1705" s="70"/>
      <c r="H1705" s="70"/>
      <c r="I1705" s="70"/>
      <c r="J1705" s="70"/>
      <c r="K1705" s="71"/>
      <c r="L1705" s="71"/>
      <c r="M1705" s="71"/>
      <c r="N1705" s="71"/>
      <c r="O1705" s="70"/>
      <c r="P1705" s="73"/>
      <c r="Q1705" s="71"/>
      <c r="R1705" s="71"/>
      <c r="S1705" s="71"/>
      <c r="T1705" s="71"/>
      <c r="U1705" s="71"/>
      <c r="V1705" s="70"/>
      <c r="W1705" s="70"/>
      <c r="X1705" s="70"/>
      <c r="Y1705" s="70"/>
      <c r="Z1705" s="102"/>
    </row>
    <row r="1706">
      <c r="A1706" s="94"/>
      <c r="B1706" s="66"/>
      <c r="C1706" s="70"/>
      <c r="D1706" s="68"/>
      <c r="E1706" s="68"/>
      <c r="F1706" s="69"/>
      <c r="G1706" s="70"/>
      <c r="H1706" s="70"/>
      <c r="I1706" s="70"/>
      <c r="J1706" s="70"/>
      <c r="K1706" s="71"/>
      <c r="L1706" s="71"/>
      <c r="M1706" s="71"/>
      <c r="N1706" s="71"/>
      <c r="O1706" s="70"/>
      <c r="P1706" s="73"/>
      <c r="Q1706" s="71"/>
      <c r="R1706" s="71"/>
      <c r="S1706" s="71"/>
      <c r="T1706" s="71"/>
      <c r="U1706" s="71"/>
      <c r="V1706" s="70"/>
      <c r="W1706" s="70"/>
      <c r="X1706" s="70"/>
      <c r="Y1706" s="70"/>
      <c r="Z1706" s="102"/>
    </row>
    <row r="1707">
      <c r="A1707" s="94"/>
      <c r="B1707" s="66"/>
      <c r="C1707" s="70"/>
      <c r="D1707" s="68"/>
      <c r="E1707" s="68"/>
      <c r="F1707" s="69"/>
      <c r="G1707" s="70"/>
      <c r="H1707" s="70"/>
      <c r="I1707" s="70"/>
      <c r="J1707" s="70"/>
      <c r="K1707" s="71"/>
      <c r="L1707" s="71"/>
      <c r="M1707" s="71"/>
      <c r="N1707" s="71"/>
      <c r="O1707" s="70"/>
      <c r="P1707" s="73"/>
      <c r="Q1707" s="71"/>
      <c r="R1707" s="71"/>
      <c r="S1707" s="71"/>
      <c r="T1707" s="71"/>
      <c r="U1707" s="71"/>
      <c r="V1707" s="70"/>
      <c r="W1707" s="70"/>
      <c r="X1707" s="70"/>
      <c r="Y1707" s="70"/>
      <c r="Z1707" s="102"/>
    </row>
    <row r="1708">
      <c r="A1708" s="94"/>
      <c r="B1708" s="66"/>
      <c r="C1708" s="70"/>
      <c r="D1708" s="68"/>
      <c r="E1708" s="68"/>
      <c r="F1708" s="69"/>
      <c r="G1708" s="70"/>
      <c r="H1708" s="70"/>
      <c r="I1708" s="70"/>
      <c r="J1708" s="70"/>
      <c r="K1708" s="71"/>
      <c r="L1708" s="71"/>
      <c r="M1708" s="71"/>
      <c r="N1708" s="71"/>
      <c r="O1708" s="70"/>
      <c r="P1708" s="73"/>
      <c r="Q1708" s="71"/>
      <c r="R1708" s="71"/>
      <c r="S1708" s="71"/>
      <c r="T1708" s="71"/>
      <c r="U1708" s="71"/>
      <c r="V1708" s="70"/>
      <c r="W1708" s="70"/>
      <c r="X1708" s="70"/>
      <c r="Y1708" s="70"/>
      <c r="Z1708" s="102"/>
    </row>
    <row r="1709">
      <c r="A1709" s="94"/>
      <c r="B1709" s="66"/>
      <c r="C1709" s="70"/>
      <c r="D1709" s="68"/>
      <c r="E1709" s="68"/>
      <c r="F1709" s="69"/>
      <c r="G1709" s="70"/>
      <c r="H1709" s="70"/>
      <c r="I1709" s="70"/>
      <c r="J1709" s="70"/>
      <c r="K1709" s="71"/>
      <c r="L1709" s="71"/>
      <c r="M1709" s="71"/>
      <c r="N1709" s="71"/>
      <c r="O1709" s="70"/>
      <c r="P1709" s="73"/>
      <c r="Q1709" s="71"/>
      <c r="R1709" s="71"/>
      <c r="S1709" s="71"/>
      <c r="T1709" s="71"/>
      <c r="U1709" s="71"/>
      <c r="V1709" s="70"/>
      <c r="W1709" s="70"/>
      <c r="X1709" s="70"/>
      <c r="Y1709" s="70"/>
      <c r="Z1709" s="102"/>
    </row>
    <row r="1710">
      <c r="A1710" s="94"/>
      <c r="B1710" s="66"/>
      <c r="C1710" s="70"/>
      <c r="D1710" s="68"/>
      <c r="E1710" s="68"/>
      <c r="F1710" s="69"/>
      <c r="G1710" s="70"/>
      <c r="H1710" s="70"/>
      <c r="I1710" s="70"/>
      <c r="J1710" s="70"/>
      <c r="K1710" s="71"/>
      <c r="L1710" s="71"/>
      <c r="M1710" s="71"/>
      <c r="N1710" s="71"/>
      <c r="O1710" s="70"/>
      <c r="P1710" s="73"/>
      <c r="Q1710" s="71"/>
      <c r="R1710" s="71"/>
      <c r="S1710" s="71"/>
      <c r="T1710" s="71"/>
      <c r="U1710" s="71"/>
      <c r="V1710" s="70"/>
      <c r="W1710" s="70"/>
      <c r="X1710" s="70"/>
      <c r="Y1710" s="70"/>
      <c r="Z1710" s="102"/>
    </row>
    <row r="1711">
      <c r="A1711" s="94"/>
      <c r="B1711" s="66"/>
      <c r="C1711" s="70"/>
      <c r="D1711" s="68"/>
      <c r="E1711" s="68"/>
      <c r="F1711" s="69"/>
      <c r="G1711" s="70"/>
      <c r="H1711" s="70"/>
      <c r="I1711" s="70"/>
      <c r="J1711" s="70"/>
      <c r="K1711" s="71"/>
      <c r="L1711" s="71"/>
      <c r="M1711" s="71"/>
      <c r="N1711" s="71"/>
      <c r="O1711" s="70"/>
      <c r="P1711" s="73"/>
      <c r="Q1711" s="71"/>
      <c r="R1711" s="71"/>
      <c r="S1711" s="71"/>
      <c r="T1711" s="71"/>
      <c r="U1711" s="71"/>
      <c r="V1711" s="70"/>
      <c r="W1711" s="70"/>
      <c r="X1711" s="70"/>
      <c r="Y1711" s="70"/>
      <c r="Z1711" s="102"/>
    </row>
    <row r="1712">
      <c r="A1712" s="94"/>
      <c r="B1712" s="66"/>
      <c r="C1712" s="70"/>
      <c r="D1712" s="68"/>
      <c r="E1712" s="68"/>
      <c r="F1712" s="69"/>
      <c r="G1712" s="70"/>
      <c r="H1712" s="70"/>
      <c r="I1712" s="70"/>
      <c r="J1712" s="70"/>
      <c r="K1712" s="71"/>
      <c r="L1712" s="71"/>
      <c r="M1712" s="71"/>
      <c r="N1712" s="71"/>
      <c r="O1712" s="70"/>
      <c r="P1712" s="73"/>
      <c r="Q1712" s="71"/>
      <c r="R1712" s="71"/>
      <c r="S1712" s="71"/>
      <c r="T1712" s="71"/>
      <c r="U1712" s="71"/>
      <c r="V1712" s="70"/>
      <c r="W1712" s="70"/>
      <c r="X1712" s="70"/>
      <c r="Y1712" s="70"/>
      <c r="Z1712" s="102"/>
    </row>
    <row r="1713">
      <c r="A1713" s="94"/>
      <c r="B1713" s="66"/>
      <c r="C1713" s="70"/>
      <c r="D1713" s="68"/>
      <c r="E1713" s="68"/>
      <c r="F1713" s="69"/>
      <c r="G1713" s="70"/>
      <c r="H1713" s="70"/>
      <c r="I1713" s="70"/>
      <c r="J1713" s="70"/>
      <c r="K1713" s="71"/>
      <c r="L1713" s="71"/>
      <c r="M1713" s="71"/>
      <c r="N1713" s="71"/>
      <c r="O1713" s="70"/>
      <c r="P1713" s="73"/>
      <c r="Q1713" s="71"/>
      <c r="R1713" s="71"/>
      <c r="S1713" s="71"/>
      <c r="T1713" s="71"/>
      <c r="U1713" s="71"/>
      <c r="V1713" s="70"/>
      <c r="W1713" s="70"/>
      <c r="X1713" s="70"/>
      <c r="Y1713" s="70"/>
      <c r="Z1713" s="102"/>
    </row>
    <row r="1714">
      <c r="A1714" s="94"/>
      <c r="B1714" s="66"/>
      <c r="C1714" s="70"/>
      <c r="D1714" s="68"/>
      <c r="E1714" s="68"/>
      <c r="F1714" s="69"/>
      <c r="G1714" s="70"/>
      <c r="H1714" s="70"/>
      <c r="I1714" s="70"/>
      <c r="J1714" s="70"/>
      <c r="K1714" s="71"/>
      <c r="L1714" s="71"/>
      <c r="M1714" s="71"/>
      <c r="N1714" s="71"/>
      <c r="O1714" s="70"/>
      <c r="P1714" s="73"/>
      <c r="Q1714" s="71"/>
      <c r="R1714" s="71"/>
      <c r="S1714" s="71"/>
      <c r="T1714" s="71"/>
      <c r="U1714" s="71"/>
      <c r="V1714" s="70"/>
      <c r="W1714" s="70"/>
      <c r="X1714" s="70"/>
      <c r="Y1714" s="70"/>
      <c r="Z1714" s="102"/>
    </row>
    <row r="1715">
      <c r="A1715" s="94"/>
      <c r="B1715" s="66"/>
      <c r="C1715" s="70"/>
      <c r="D1715" s="68"/>
      <c r="E1715" s="68"/>
      <c r="F1715" s="69"/>
      <c r="G1715" s="70"/>
      <c r="H1715" s="70"/>
      <c r="I1715" s="70"/>
      <c r="J1715" s="70"/>
      <c r="K1715" s="71"/>
      <c r="L1715" s="71"/>
      <c r="M1715" s="71"/>
      <c r="N1715" s="71"/>
      <c r="O1715" s="70"/>
      <c r="P1715" s="73"/>
      <c r="Q1715" s="71"/>
      <c r="R1715" s="71"/>
      <c r="S1715" s="71"/>
      <c r="T1715" s="71"/>
      <c r="U1715" s="71"/>
      <c r="V1715" s="70"/>
      <c r="W1715" s="70"/>
      <c r="X1715" s="70"/>
      <c r="Y1715" s="70"/>
      <c r="Z1715" s="102"/>
    </row>
    <row r="1716">
      <c r="A1716" s="94"/>
      <c r="B1716" s="66"/>
      <c r="C1716" s="70"/>
      <c r="D1716" s="68"/>
      <c r="E1716" s="68"/>
      <c r="F1716" s="69"/>
      <c r="G1716" s="70"/>
      <c r="H1716" s="70"/>
      <c r="I1716" s="70"/>
      <c r="J1716" s="70"/>
      <c r="K1716" s="71"/>
      <c r="L1716" s="71"/>
      <c r="M1716" s="71"/>
      <c r="N1716" s="71"/>
      <c r="O1716" s="70"/>
      <c r="P1716" s="73"/>
      <c r="Q1716" s="71"/>
      <c r="R1716" s="71"/>
      <c r="S1716" s="71"/>
      <c r="T1716" s="71"/>
      <c r="U1716" s="71"/>
      <c r="V1716" s="70"/>
      <c r="W1716" s="70"/>
      <c r="X1716" s="70"/>
      <c r="Y1716" s="70"/>
      <c r="Z1716" s="102"/>
    </row>
    <row r="1717">
      <c r="A1717" s="94"/>
      <c r="B1717" s="66"/>
      <c r="C1717" s="70"/>
      <c r="D1717" s="68"/>
      <c r="E1717" s="68"/>
      <c r="F1717" s="69"/>
      <c r="G1717" s="70"/>
      <c r="H1717" s="70"/>
      <c r="I1717" s="70"/>
      <c r="J1717" s="70"/>
      <c r="K1717" s="71"/>
      <c r="L1717" s="71"/>
      <c r="M1717" s="71"/>
      <c r="N1717" s="71"/>
      <c r="O1717" s="70"/>
      <c r="P1717" s="73"/>
      <c r="Q1717" s="71"/>
      <c r="R1717" s="71"/>
      <c r="S1717" s="71"/>
      <c r="T1717" s="71"/>
      <c r="U1717" s="71"/>
      <c r="V1717" s="70"/>
      <c r="W1717" s="70"/>
      <c r="X1717" s="70"/>
      <c r="Y1717" s="70"/>
      <c r="Z1717" s="102"/>
    </row>
    <row r="1718">
      <c r="A1718" s="94"/>
      <c r="B1718" s="66"/>
      <c r="C1718" s="70"/>
      <c r="D1718" s="68"/>
      <c r="E1718" s="68"/>
      <c r="F1718" s="69"/>
      <c r="G1718" s="70"/>
      <c r="H1718" s="70"/>
      <c r="I1718" s="70"/>
      <c r="J1718" s="70"/>
      <c r="K1718" s="71"/>
      <c r="L1718" s="71"/>
      <c r="M1718" s="71"/>
      <c r="N1718" s="71"/>
      <c r="O1718" s="70"/>
      <c r="P1718" s="73"/>
      <c r="Q1718" s="71"/>
      <c r="R1718" s="71"/>
      <c r="S1718" s="71"/>
      <c r="T1718" s="71"/>
      <c r="U1718" s="71"/>
      <c r="V1718" s="70"/>
      <c r="W1718" s="70"/>
      <c r="X1718" s="70"/>
      <c r="Y1718" s="70"/>
      <c r="Z1718" s="102"/>
    </row>
    <row r="1719">
      <c r="A1719" s="94"/>
      <c r="B1719" s="66"/>
      <c r="C1719" s="70"/>
      <c r="D1719" s="68"/>
      <c r="E1719" s="68"/>
      <c r="F1719" s="69"/>
      <c r="G1719" s="70"/>
      <c r="H1719" s="70"/>
      <c r="I1719" s="70"/>
      <c r="J1719" s="70"/>
      <c r="K1719" s="71"/>
      <c r="L1719" s="71"/>
      <c r="M1719" s="71"/>
      <c r="N1719" s="71"/>
      <c r="O1719" s="70"/>
      <c r="P1719" s="73"/>
      <c r="Q1719" s="71"/>
      <c r="R1719" s="71"/>
      <c r="S1719" s="71"/>
      <c r="T1719" s="71"/>
      <c r="U1719" s="71"/>
      <c r="V1719" s="70"/>
      <c r="W1719" s="70"/>
      <c r="X1719" s="70"/>
      <c r="Y1719" s="70"/>
      <c r="Z1719" s="102"/>
    </row>
    <row r="1720">
      <c r="A1720" s="94"/>
      <c r="B1720" s="66"/>
      <c r="C1720" s="70"/>
      <c r="D1720" s="68"/>
      <c r="E1720" s="68"/>
      <c r="F1720" s="69"/>
      <c r="G1720" s="70"/>
      <c r="H1720" s="70"/>
      <c r="I1720" s="70"/>
      <c r="J1720" s="70"/>
      <c r="K1720" s="71"/>
      <c r="L1720" s="71"/>
      <c r="M1720" s="71"/>
      <c r="N1720" s="71"/>
      <c r="O1720" s="70"/>
      <c r="P1720" s="73"/>
      <c r="Q1720" s="71"/>
      <c r="R1720" s="71"/>
      <c r="S1720" s="71"/>
      <c r="T1720" s="71"/>
      <c r="U1720" s="71"/>
      <c r="V1720" s="70"/>
      <c r="W1720" s="70"/>
      <c r="X1720" s="70"/>
      <c r="Y1720" s="70"/>
      <c r="Z1720" s="102"/>
    </row>
    <row r="1721">
      <c r="A1721" s="94"/>
      <c r="B1721" s="66"/>
      <c r="C1721" s="70"/>
      <c r="D1721" s="68"/>
      <c r="E1721" s="68"/>
      <c r="F1721" s="69"/>
      <c r="G1721" s="70"/>
      <c r="H1721" s="70"/>
      <c r="I1721" s="70"/>
      <c r="J1721" s="70"/>
      <c r="K1721" s="71"/>
      <c r="L1721" s="71"/>
      <c r="M1721" s="71"/>
      <c r="N1721" s="71"/>
      <c r="O1721" s="70"/>
      <c r="P1721" s="73"/>
      <c r="Q1721" s="71"/>
      <c r="R1721" s="71"/>
      <c r="S1721" s="71"/>
      <c r="T1721" s="71"/>
      <c r="U1721" s="71"/>
      <c r="V1721" s="70"/>
      <c r="W1721" s="70"/>
      <c r="X1721" s="70"/>
      <c r="Y1721" s="70"/>
      <c r="Z1721" s="102"/>
    </row>
    <row r="1722">
      <c r="A1722" s="94"/>
      <c r="B1722" s="66"/>
      <c r="C1722" s="70"/>
      <c r="D1722" s="68"/>
      <c r="E1722" s="68"/>
      <c r="F1722" s="69"/>
      <c r="G1722" s="70"/>
      <c r="H1722" s="70"/>
      <c r="I1722" s="70"/>
      <c r="J1722" s="70"/>
      <c r="K1722" s="71"/>
      <c r="L1722" s="71"/>
      <c r="M1722" s="71"/>
      <c r="N1722" s="71"/>
      <c r="O1722" s="70"/>
      <c r="P1722" s="73"/>
      <c r="Q1722" s="71"/>
      <c r="R1722" s="71"/>
      <c r="S1722" s="71"/>
      <c r="T1722" s="71"/>
      <c r="U1722" s="71"/>
      <c r="V1722" s="70"/>
      <c r="W1722" s="70"/>
      <c r="X1722" s="70"/>
      <c r="Y1722" s="70"/>
      <c r="Z1722" s="102"/>
    </row>
    <row r="1723">
      <c r="A1723" s="94"/>
      <c r="B1723" s="66"/>
      <c r="C1723" s="70"/>
      <c r="D1723" s="68"/>
      <c r="E1723" s="68"/>
      <c r="F1723" s="69"/>
      <c r="G1723" s="70"/>
      <c r="H1723" s="70"/>
      <c r="I1723" s="70"/>
      <c r="J1723" s="70"/>
      <c r="K1723" s="71"/>
      <c r="L1723" s="71"/>
      <c r="M1723" s="71"/>
      <c r="N1723" s="71"/>
      <c r="O1723" s="70"/>
      <c r="P1723" s="73"/>
      <c r="Q1723" s="71"/>
      <c r="R1723" s="71"/>
      <c r="S1723" s="71"/>
      <c r="T1723" s="71"/>
      <c r="U1723" s="71"/>
      <c r="V1723" s="70"/>
      <c r="W1723" s="70"/>
      <c r="X1723" s="70"/>
      <c r="Y1723" s="70"/>
      <c r="Z1723" s="102"/>
    </row>
    <row r="1724">
      <c r="A1724" s="94"/>
      <c r="B1724" s="66"/>
      <c r="C1724" s="70"/>
      <c r="D1724" s="68"/>
      <c r="E1724" s="68"/>
      <c r="F1724" s="69"/>
      <c r="G1724" s="70"/>
      <c r="H1724" s="70"/>
      <c r="I1724" s="70"/>
      <c r="J1724" s="70"/>
      <c r="K1724" s="71"/>
      <c r="L1724" s="71"/>
      <c r="M1724" s="71"/>
      <c r="N1724" s="71"/>
      <c r="O1724" s="70"/>
      <c r="P1724" s="73"/>
      <c r="Q1724" s="71"/>
      <c r="R1724" s="71"/>
      <c r="S1724" s="71"/>
      <c r="T1724" s="71"/>
      <c r="U1724" s="71"/>
      <c r="V1724" s="70"/>
      <c r="W1724" s="70"/>
      <c r="X1724" s="70"/>
      <c r="Y1724" s="70"/>
      <c r="Z1724" s="102"/>
    </row>
    <row r="1725">
      <c r="A1725" s="94"/>
      <c r="B1725" s="66"/>
      <c r="C1725" s="70"/>
      <c r="D1725" s="68"/>
      <c r="E1725" s="68"/>
      <c r="F1725" s="69"/>
      <c r="G1725" s="70"/>
      <c r="H1725" s="70"/>
      <c r="I1725" s="70"/>
      <c r="J1725" s="70"/>
      <c r="K1725" s="71"/>
      <c r="L1725" s="71"/>
      <c r="M1725" s="71"/>
      <c r="N1725" s="71"/>
      <c r="O1725" s="70"/>
      <c r="P1725" s="73"/>
      <c r="Q1725" s="71"/>
      <c r="R1725" s="71"/>
      <c r="S1725" s="71"/>
      <c r="T1725" s="71"/>
      <c r="U1725" s="71"/>
      <c r="V1725" s="70"/>
      <c r="W1725" s="70"/>
      <c r="X1725" s="70"/>
      <c r="Y1725" s="70"/>
      <c r="Z1725" s="102"/>
    </row>
    <row r="1726">
      <c r="A1726" s="94"/>
      <c r="B1726" s="66"/>
      <c r="C1726" s="70"/>
      <c r="D1726" s="68"/>
      <c r="E1726" s="68"/>
      <c r="F1726" s="69"/>
      <c r="G1726" s="70"/>
      <c r="H1726" s="70"/>
      <c r="I1726" s="70"/>
      <c r="J1726" s="70"/>
      <c r="K1726" s="71"/>
      <c r="L1726" s="71"/>
      <c r="M1726" s="71"/>
      <c r="N1726" s="71"/>
      <c r="O1726" s="70"/>
      <c r="P1726" s="73"/>
      <c r="Q1726" s="71"/>
      <c r="R1726" s="71"/>
      <c r="S1726" s="71"/>
      <c r="T1726" s="71"/>
      <c r="U1726" s="71"/>
      <c r="V1726" s="70"/>
      <c r="W1726" s="70"/>
      <c r="X1726" s="70"/>
      <c r="Y1726" s="70"/>
      <c r="Z1726" s="102"/>
    </row>
    <row r="1727">
      <c r="A1727" s="94"/>
      <c r="B1727" s="66"/>
      <c r="C1727" s="70"/>
      <c r="D1727" s="68"/>
      <c r="E1727" s="68"/>
      <c r="F1727" s="69"/>
      <c r="G1727" s="70"/>
      <c r="H1727" s="70"/>
      <c r="I1727" s="70"/>
      <c r="J1727" s="70"/>
      <c r="K1727" s="71"/>
      <c r="L1727" s="71"/>
      <c r="M1727" s="71"/>
      <c r="N1727" s="71"/>
      <c r="O1727" s="70"/>
      <c r="P1727" s="73"/>
      <c r="Q1727" s="71"/>
      <c r="R1727" s="71"/>
      <c r="S1727" s="71"/>
      <c r="T1727" s="71"/>
      <c r="U1727" s="71"/>
      <c r="V1727" s="70"/>
      <c r="W1727" s="70"/>
      <c r="X1727" s="70"/>
      <c r="Y1727" s="70"/>
      <c r="Z1727" s="102"/>
    </row>
    <row r="1728">
      <c r="A1728" s="94"/>
      <c r="B1728" s="66"/>
      <c r="C1728" s="70"/>
      <c r="D1728" s="68"/>
      <c r="E1728" s="68"/>
      <c r="F1728" s="69"/>
      <c r="G1728" s="70"/>
      <c r="H1728" s="70"/>
      <c r="I1728" s="70"/>
      <c r="J1728" s="70"/>
      <c r="K1728" s="71"/>
      <c r="L1728" s="71"/>
      <c r="M1728" s="71"/>
      <c r="N1728" s="71"/>
      <c r="O1728" s="70"/>
      <c r="P1728" s="73"/>
      <c r="Q1728" s="71"/>
      <c r="R1728" s="71"/>
      <c r="S1728" s="71"/>
      <c r="T1728" s="71"/>
      <c r="U1728" s="71"/>
      <c r="V1728" s="70"/>
      <c r="W1728" s="70"/>
      <c r="X1728" s="70"/>
      <c r="Y1728" s="70"/>
      <c r="Z1728" s="102"/>
    </row>
    <row r="1729">
      <c r="A1729" s="94"/>
      <c r="B1729" s="66"/>
      <c r="C1729" s="70"/>
      <c r="D1729" s="68"/>
      <c r="E1729" s="68"/>
      <c r="F1729" s="69"/>
      <c r="G1729" s="70"/>
      <c r="H1729" s="70"/>
      <c r="I1729" s="70"/>
      <c r="J1729" s="70"/>
      <c r="K1729" s="71"/>
      <c r="L1729" s="71"/>
      <c r="M1729" s="71"/>
      <c r="N1729" s="71"/>
      <c r="O1729" s="70"/>
      <c r="P1729" s="73"/>
      <c r="Q1729" s="71"/>
      <c r="R1729" s="71"/>
      <c r="S1729" s="71"/>
      <c r="T1729" s="71"/>
      <c r="U1729" s="71"/>
      <c r="V1729" s="70"/>
      <c r="W1729" s="70"/>
      <c r="X1729" s="70"/>
      <c r="Y1729" s="70"/>
      <c r="Z1729" s="102"/>
    </row>
    <row r="1730">
      <c r="A1730" s="94"/>
      <c r="B1730" s="66"/>
      <c r="C1730" s="70"/>
      <c r="D1730" s="68"/>
      <c r="E1730" s="68"/>
      <c r="F1730" s="69"/>
      <c r="G1730" s="70"/>
      <c r="H1730" s="70"/>
      <c r="I1730" s="70"/>
      <c r="J1730" s="70"/>
      <c r="K1730" s="71"/>
      <c r="L1730" s="71"/>
      <c r="M1730" s="71"/>
      <c r="N1730" s="71"/>
      <c r="O1730" s="70"/>
      <c r="P1730" s="73"/>
      <c r="Q1730" s="71"/>
      <c r="R1730" s="71"/>
      <c r="S1730" s="71"/>
      <c r="T1730" s="71"/>
      <c r="U1730" s="71"/>
      <c r="V1730" s="70"/>
      <c r="W1730" s="70"/>
      <c r="X1730" s="70"/>
      <c r="Y1730" s="70"/>
      <c r="Z1730" s="102"/>
    </row>
    <row r="1731">
      <c r="A1731" s="94"/>
      <c r="B1731" s="66"/>
      <c r="C1731" s="70"/>
      <c r="D1731" s="68"/>
      <c r="E1731" s="68"/>
      <c r="F1731" s="69"/>
      <c r="G1731" s="70"/>
      <c r="H1731" s="70"/>
      <c r="I1731" s="70"/>
      <c r="J1731" s="70"/>
      <c r="K1731" s="71"/>
      <c r="L1731" s="71"/>
      <c r="M1731" s="71"/>
      <c r="N1731" s="71"/>
      <c r="O1731" s="70"/>
      <c r="P1731" s="73"/>
      <c r="Q1731" s="71"/>
      <c r="R1731" s="71"/>
      <c r="S1731" s="71"/>
      <c r="T1731" s="71"/>
      <c r="U1731" s="71"/>
      <c r="V1731" s="70"/>
      <c r="W1731" s="70"/>
      <c r="X1731" s="70"/>
      <c r="Y1731" s="70"/>
      <c r="Z1731" s="102"/>
    </row>
    <row r="1732">
      <c r="A1732" s="94"/>
      <c r="B1732" s="66"/>
      <c r="C1732" s="70"/>
      <c r="D1732" s="68"/>
      <c r="E1732" s="68"/>
      <c r="F1732" s="69"/>
      <c r="G1732" s="70"/>
      <c r="H1732" s="70"/>
      <c r="I1732" s="70"/>
      <c r="J1732" s="70"/>
      <c r="K1732" s="71"/>
      <c r="L1732" s="71"/>
      <c r="M1732" s="71"/>
      <c r="N1732" s="71"/>
      <c r="O1732" s="70"/>
      <c r="P1732" s="73"/>
      <c r="Q1732" s="71"/>
      <c r="R1732" s="71"/>
      <c r="S1732" s="71"/>
      <c r="T1732" s="71"/>
      <c r="U1732" s="71"/>
      <c r="V1732" s="70"/>
      <c r="W1732" s="70"/>
      <c r="X1732" s="70"/>
      <c r="Y1732" s="70"/>
      <c r="Z1732" s="102"/>
    </row>
    <row r="1733">
      <c r="A1733" s="94"/>
      <c r="B1733" s="66"/>
      <c r="C1733" s="70"/>
      <c r="D1733" s="68"/>
      <c r="E1733" s="68"/>
      <c r="F1733" s="69"/>
      <c r="G1733" s="70"/>
      <c r="H1733" s="70"/>
      <c r="I1733" s="70"/>
      <c r="J1733" s="70"/>
      <c r="K1733" s="71"/>
      <c r="L1733" s="71"/>
      <c r="M1733" s="71"/>
      <c r="N1733" s="71"/>
      <c r="O1733" s="70"/>
      <c r="P1733" s="73"/>
      <c r="Q1733" s="71"/>
      <c r="R1733" s="71"/>
      <c r="S1733" s="71"/>
      <c r="T1733" s="71"/>
      <c r="U1733" s="71"/>
      <c r="V1733" s="70"/>
      <c r="W1733" s="70"/>
      <c r="X1733" s="70"/>
      <c r="Y1733" s="70"/>
      <c r="Z1733" s="102"/>
    </row>
    <row r="1734">
      <c r="A1734" s="94"/>
      <c r="B1734" s="66"/>
      <c r="C1734" s="70"/>
      <c r="D1734" s="68"/>
      <c r="E1734" s="68"/>
      <c r="F1734" s="69"/>
      <c r="G1734" s="70"/>
      <c r="H1734" s="70"/>
      <c r="I1734" s="70"/>
      <c r="J1734" s="70"/>
      <c r="K1734" s="71"/>
      <c r="L1734" s="71"/>
      <c r="M1734" s="71"/>
      <c r="N1734" s="71"/>
      <c r="O1734" s="70"/>
      <c r="P1734" s="73"/>
      <c r="Q1734" s="71"/>
      <c r="R1734" s="71"/>
      <c r="S1734" s="71"/>
      <c r="T1734" s="71"/>
      <c r="U1734" s="71"/>
      <c r="V1734" s="70"/>
      <c r="W1734" s="70"/>
      <c r="X1734" s="70"/>
      <c r="Y1734" s="70"/>
      <c r="Z1734" s="102"/>
    </row>
    <row r="1735">
      <c r="A1735" s="94"/>
      <c r="B1735" s="66"/>
      <c r="C1735" s="70"/>
      <c r="D1735" s="68"/>
      <c r="E1735" s="68"/>
      <c r="F1735" s="69"/>
      <c r="G1735" s="70"/>
      <c r="H1735" s="70"/>
      <c r="I1735" s="70"/>
      <c r="J1735" s="70"/>
      <c r="K1735" s="71"/>
      <c r="L1735" s="71"/>
      <c r="M1735" s="71"/>
      <c r="N1735" s="71"/>
      <c r="O1735" s="70"/>
      <c r="P1735" s="73"/>
      <c r="Q1735" s="71"/>
      <c r="R1735" s="71"/>
      <c r="S1735" s="71"/>
      <c r="T1735" s="71"/>
      <c r="U1735" s="71"/>
      <c r="V1735" s="70"/>
      <c r="W1735" s="70"/>
      <c r="X1735" s="70"/>
      <c r="Y1735" s="70"/>
      <c r="Z1735" s="102"/>
    </row>
    <row r="1736">
      <c r="A1736" s="94"/>
      <c r="B1736" s="66"/>
      <c r="C1736" s="70"/>
      <c r="D1736" s="68"/>
      <c r="E1736" s="68"/>
      <c r="F1736" s="69"/>
      <c r="G1736" s="70"/>
      <c r="H1736" s="70"/>
      <c r="I1736" s="70"/>
      <c r="J1736" s="70"/>
      <c r="K1736" s="71"/>
      <c r="L1736" s="71"/>
      <c r="M1736" s="71"/>
      <c r="N1736" s="71"/>
      <c r="O1736" s="70"/>
      <c r="P1736" s="73"/>
      <c r="Q1736" s="71"/>
      <c r="R1736" s="71"/>
      <c r="S1736" s="71"/>
      <c r="T1736" s="71"/>
      <c r="U1736" s="71"/>
      <c r="V1736" s="70"/>
      <c r="W1736" s="70"/>
      <c r="X1736" s="70"/>
      <c r="Y1736" s="70"/>
      <c r="Z1736" s="102"/>
    </row>
    <row r="1737">
      <c r="A1737" s="94"/>
      <c r="B1737" s="66"/>
      <c r="C1737" s="70"/>
      <c r="D1737" s="68"/>
      <c r="E1737" s="68"/>
      <c r="F1737" s="69"/>
      <c r="G1737" s="70"/>
      <c r="H1737" s="70"/>
      <c r="I1737" s="70"/>
      <c r="J1737" s="70"/>
      <c r="K1737" s="71"/>
      <c r="L1737" s="71"/>
      <c r="M1737" s="71"/>
      <c r="N1737" s="71"/>
      <c r="O1737" s="70"/>
      <c r="P1737" s="73"/>
      <c r="Q1737" s="71"/>
      <c r="R1737" s="71"/>
      <c r="S1737" s="71"/>
      <c r="T1737" s="71"/>
      <c r="U1737" s="71"/>
      <c r="V1737" s="70"/>
      <c r="W1737" s="70"/>
      <c r="X1737" s="70"/>
      <c r="Y1737" s="70"/>
      <c r="Z1737" s="102"/>
    </row>
    <row r="1738">
      <c r="A1738" s="94"/>
      <c r="B1738" s="66"/>
      <c r="C1738" s="70"/>
      <c r="D1738" s="68"/>
      <c r="E1738" s="68"/>
      <c r="F1738" s="69"/>
      <c r="G1738" s="70"/>
      <c r="H1738" s="70"/>
      <c r="I1738" s="70"/>
      <c r="J1738" s="70"/>
      <c r="K1738" s="71"/>
      <c r="L1738" s="71"/>
      <c r="M1738" s="71"/>
      <c r="N1738" s="71"/>
      <c r="O1738" s="70"/>
      <c r="P1738" s="73"/>
      <c r="Q1738" s="71"/>
      <c r="R1738" s="71"/>
      <c r="S1738" s="71"/>
      <c r="T1738" s="71"/>
      <c r="U1738" s="71"/>
      <c r="V1738" s="70"/>
      <c r="W1738" s="70"/>
      <c r="X1738" s="70"/>
      <c r="Y1738" s="70"/>
      <c r="Z1738" s="102"/>
    </row>
    <row r="1739">
      <c r="A1739" s="94"/>
      <c r="B1739" s="66"/>
      <c r="C1739" s="70"/>
      <c r="D1739" s="68"/>
      <c r="E1739" s="68"/>
      <c r="F1739" s="69"/>
      <c r="G1739" s="70"/>
      <c r="H1739" s="70"/>
      <c r="I1739" s="70"/>
      <c r="J1739" s="70"/>
      <c r="K1739" s="71"/>
      <c r="L1739" s="71"/>
      <c r="M1739" s="71"/>
      <c r="N1739" s="71"/>
      <c r="O1739" s="70"/>
      <c r="P1739" s="73"/>
      <c r="Q1739" s="71"/>
      <c r="R1739" s="71"/>
      <c r="S1739" s="71"/>
      <c r="T1739" s="71"/>
      <c r="U1739" s="71"/>
      <c r="V1739" s="70"/>
      <c r="W1739" s="70"/>
      <c r="X1739" s="70"/>
      <c r="Y1739" s="70"/>
      <c r="Z1739" s="102"/>
    </row>
    <row r="1740">
      <c r="A1740" s="94"/>
      <c r="B1740" s="66"/>
      <c r="C1740" s="70"/>
      <c r="D1740" s="68"/>
      <c r="E1740" s="68"/>
      <c r="F1740" s="69"/>
      <c r="G1740" s="70"/>
      <c r="H1740" s="70"/>
      <c r="I1740" s="70"/>
      <c r="J1740" s="70"/>
      <c r="K1740" s="71"/>
      <c r="L1740" s="71"/>
      <c r="M1740" s="71"/>
      <c r="N1740" s="71"/>
      <c r="O1740" s="70"/>
      <c r="P1740" s="73"/>
      <c r="Q1740" s="71"/>
      <c r="R1740" s="71"/>
      <c r="S1740" s="71"/>
      <c r="T1740" s="71"/>
      <c r="U1740" s="71"/>
      <c r="V1740" s="70"/>
      <c r="W1740" s="70"/>
      <c r="X1740" s="70"/>
      <c r="Y1740" s="70"/>
      <c r="Z1740" s="102"/>
    </row>
    <row r="1741">
      <c r="A1741" s="94"/>
      <c r="B1741" s="66"/>
      <c r="C1741" s="70"/>
      <c r="D1741" s="68"/>
      <c r="E1741" s="68"/>
      <c r="F1741" s="69"/>
      <c r="G1741" s="70"/>
      <c r="H1741" s="70"/>
      <c r="I1741" s="70"/>
      <c r="J1741" s="70"/>
      <c r="K1741" s="71"/>
      <c r="L1741" s="71"/>
      <c r="M1741" s="71"/>
      <c r="N1741" s="71"/>
      <c r="O1741" s="70"/>
      <c r="P1741" s="73"/>
      <c r="Q1741" s="71"/>
      <c r="R1741" s="71"/>
      <c r="S1741" s="71"/>
      <c r="T1741" s="71"/>
      <c r="U1741" s="71"/>
      <c r="V1741" s="70"/>
      <c r="W1741" s="70"/>
      <c r="X1741" s="70"/>
      <c r="Y1741" s="70"/>
      <c r="Z1741" s="102"/>
    </row>
    <row r="1742">
      <c r="A1742" s="94"/>
      <c r="B1742" s="66"/>
      <c r="C1742" s="70"/>
      <c r="D1742" s="68"/>
      <c r="E1742" s="68"/>
      <c r="F1742" s="69"/>
      <c r="G1742" s="70"/>
      <c r="H1742" s="70"/>
      <c r="I1742" s="70"/>
      <c r="J1742" s="70"/>
      <c r="K1742" s="71"/>
      <c r="L1742" s="71"/>
      <c r="M1742" s="71"/>
      <c r="N1742" s="71"/>
      <c r="O1742" s="70"/>
      <c r="P1742" s="73"/>
      <c r="Q1742" s="71"/>
      <c r="R1742" s="71"/>
      <c r="S1742" s="71"/>
      <c r="T1742" s="71"/>
      <c r="U1742" s="71"/>
      <c r="V1742" s="70"/>
      <c r="W1742" s="70"/>
      <c r="X1742" s="70"/>
      <c r="Y1742" s="70"/>
      <c r="Z1742" s="102"/>
    </row>
    <row r="1743">
      <c r="A1743" s="94"/>
      <c r="B1743" s="66"/>
      <c r="C1743" s="70"/>
      <c r="D1743" s="68"/>
      <c r="E1743" s="68"/>
      <c r="F1743" s="69"/>
      <c r="G1743" s="70"/>
      <c r="H1743" s="70"/>
      <c r="I1743" s="70"/>
      <c r="J1743" s="70"/>
      <c r="K1743" s="71"/>
      <c r="L1743" s="71"/>
      <c r="M1743" s="71"/>
      <c r="N1743" s="71"/>
      <c r="O1743" s="70"/>
      <c r="P1743" s="73"/>
      <c r="Q1743" s="71"/>
      <c r="R1743" s="71"/>
      <c r="S1743" s="71"/>
      <c r="T1743" s="71"/>
      <c r="U1743" s="71"/>
      <c r="V1743" s="70"/>
      <c r="W1743" s="70"/>
      <c r="X1743" s="70"/>
      <c r="Y1743" s="70"/>
      <c r="Z1743" s="102"/>
    </row>
    <row r="1744">
      <c r="A1744" s="94"/>
      <c r="B1744" s="66"/>
      <c r="C1744" s="70"/>
      <c r="D1744" s="68"/>
      <c r="E1744" s="68"/>
      <c r="F1744" s="69"/>
      <c r="G1744" s="70"/>
      <c r="H1744" s="70"/>
      <c r="I1744" s="70"/>
      <c r="J1744" s="70"/>
      <c r="K1744" s="71"/>
      <c r="L1744" s="71"/>
      <c r="M1744" s="71"/>
      <c r="N1744" s="71"/>
      <c r="O1744" s="70"/>
      <c r="P1744" s="73"/>
      <c r="Q1744" s="71"/>
      <c r="R1744" s="71"/>
      <c r="S1744" s="71"/>
      <c r="T1744" s="71"/>
      <c r="U1744" s="71"/>
      <c r="V1744" s="70"/>
      <c r="W1744" s="70"/>
      <c r="X1744" s="70"/>
      <c r="Y1744" s="70"/>
      <c r="Z1744" s="102"/>
    </row>
    <row r="1745">
      <c r="A1745" s="94"/>
      <c r="B1745" s="66"/>
      <c r="C1745" s="70"/>
      <c r="D1745" s="68"/>
      <c r="E1745" s="68"/>
      <c r="F1745" s="69"/>
      <c r="G1745" s="70"/>
      <c r="H1745" s="70"/>
      <c r="I1745" s="70"/>
      <c r="J1745" s="70"/>
      <c r="K1745" s="71"/>
      <c r="L1745" s="71"/>
      <c r="M1745" s="71"/>
      <c r="N1745" s="71"/>
      <c r="O1745" s="70"/>
      <c r="P1745" s="73"/>
      <c r="Q1745" s="71"/>
      <c r="R1745" s="71"/>
      <c r="S1745" s="71"/>
      <c r="T1745" s="71"/>
      <c r="U1745" s="71"/>
      <c r="V1745" s="70"/>
      <c r="W1745" s="70"/>
      <c r="X1745" s="70"/>
      <c r="Y1745" s="70"/>
      <c r="Z1745" s="102"/>
    </row>
    <row r="1746">
      <c r="A1746" s="94"/>
      <c r="B1746" s="66"/>
      <c r="C1746" s="70"/>
      <c r="D1746" s="68"/>
      <c r="E1746" s="68"/>
      <c r="F1746" s="69"/>
      <c r="G1746" s="70"/>
      <c r="H1746" s="70"/>
      <c r="I1746" s="70"/>
      <c r="J1746" s="70"/>
      <c r="K1746" s="71"/>
      <c r="L1746" s="71"/>
      <c r="M1746" s="71"/>
      <c r="N1746" s="71"/>
      <c r="O1746" s="70"/>
      <c r="P1746" s="73"/>
      <c r="Q1746" s="71"/>
      <c r="R1746" s="71"/>
      <c r="S1746" s="71"/>
      <c r="T1746" s="71"/>
      <c r="U1746" s="71"/>
      <c r="V1746" s="70"/>
      <c r="W1746" s="70"/>
      <c r="X1746" s="70"/>
      <c r="Y1746" s="70"/>
      <c r="Z1746" s="102"/>
    </row>
    <row r="1747">
      <c r="A1747" s="94"/>
      <c r="B1747" s="66"/>
      <c r="C1747" s="70"/>
      <c r="D1747" s="68"/>
      <c r="E1747" s="68"/>
      <c r="F1747" s="69"/>
      <c r="G1747" s="70"/>
      <c r="H1747" s="70"/>
      <c r="I1747" s="70"/>
      <c r="J1747" s="70"/>
      <c r="K1747" s="71"/>
      <c r="L1747" s="71"/>
      <c r="M1747" s="71"/>
      <c r="N1747" s="71"/>
      <c r="O1747" s="70"/>
      <c r="P1747" s="73"/>
      <c r="Q1747" s="71"/>
      <c r="R1747" s="71"/>
      <c r="S1747" s="71"/>
      <c r="T1747" s="71"/>
      <c r="U1747" s="71"/>
      <c r="V1747" s="70"/>
      <c r="W1747" s="70"/>
      <c r="X1747" s="70"/>
      <c r="Y1747" s="70"/>
      <c r="Z1747" s="102"/>
    </row>
    <row r="1748">
      <c r="A1748" s="94"/>
      <c r="B1748" s="66"/>
      <c r="C1748" s="70"/>
      <c r="D1748" s="68"/>
      <c r="E1748" s="68"/>
      <c r="F1748" s="69"/>
      <c r="G1748" s="70"/>
      <c r="H1748" s="70"/>
      <c r="I1748" s="70"/>
      <c r="J1748" s="70"/>
      <c r="K1748" s="71"/>
      <c r="L1748" s="71"/>
      <c r="M1748" s="71"/>
      <c r="N1748" s="71"/>
      <c r="O1748" s="70"/>
      <c r="P1748" s="73"/>
      <c r="Q1748" s="71"/>
      <c r="R1748" s="71"/>
      <c r="S1748" s="71"/>
      <c r="T1748" s="71"/>
      <c r="U1748" s="71"/>
      <c r="V1748" s="70"/>
      <c r="W1748" s="70"/>
      <c r="X1748" s="70"/>
      <c r="Y1748" s="70"/>
      <c r="Z1748" s="102"/>
    </row>
    <row r="1749">
      <c r="A1749" s="94"/>
      <c r="B1749" s="66"/>
      <c r="C1749" s="70"/>
      <c r="D1749" s="68"/>
      <c r="E1749" s="68"/>
      <c r="F1749" s="69"/>
      <c r="G1749" s="70"/>
      <c r="H1749" s="70"/>
      <c r="I1749" s="70"/>
      <c r="J1749" s="70"/>
      <c r="K1749" s="71"/>
      <c r="L1749" s="71"/>
      <c r="M1749" s="71"/>
      <c r="N1749" s="71"/>
      <c r="O1749" s="70"/>
      <c r="P1749" s="73"/>
      <c r="Q1749" s="71"/>
      <c r="R1749" s="71"/>
      <c r="S1749" s="71"/>
      <c r="T1749" s="71"/>
      <c r="U1749" s="71"/>
      <c r="V1749" s="70"/>
      <c r="W1749" s="70"/>
      <c r="X1749" s="70"/>
      <c r="Y1749" s="70"/>
      <c r="Z1749" s="102"/>
    </row>
    <row r="1750">
      <c r="A1750" s="94"/>
      <c r="B1750" s="66"/>
      <c r="C1750" s="70"/>
      <c r="D1750" s="68"/>
      <c r="E1750" s="68"/>
      <c r="F1750" s="69"/>
      <c r="G1750" s="70"/>
      <c r="H1750" s="70"/>
      <c r="I1750" s="70"/>
      <c r="J1750" s="70"/>
      <c r="K1750" s="71"/>
      <c r="L1750" s="71"/>
      <c r="M1750" s="71"/>
      <c r="N1750" s="71"/>
      <c r="O1750" s="70"/>
      <c r="P1750" s="73"/>
      <c r="Q1750" s="71"/>
      <c r="R1750" s="71"/>
      <c r="S1750" s="71"/>
      <c r="T1750" s="71"/>
      <c r="U1750" s="71"/>
      <c r="V1750" s="70"/>
      <c r="W1750" s="70"/>
      <c r="X1750" s="70"/>
      <c r="Y1750" s="70"/>
      <c r="Z1750" s="102"/>
    </row>
    <row r="1751">
      <c r="A1751" s="94"/>
      <c r="B1751" s="66"/>
      <c r="C1751" s="70"/>
      <c r="D1751" s="68"/>
      <c r="E1751" s="68"/>
      <c r="F1751" s="69"/>
      <c r="G1751" s="70"/>
      <c r="H1751" s="70"/>
      <c r="I1751" s="70"/>
      <c r="J1751" s="70"/>
      <c r="K1751" s="71"/>
      <c r="L1751" s="71"/>
      <c r="M1751" s="71"/>
      <c r="N1751" s="71"/>
      <c r="O1751" s="70"/>
      <c r="P1751" s="73"/>
      <c r="Q1751" s="71"/>
      <c r="R1751" s="71"/>
      <c r="S1751" s="71"/>
      <c r="T1751" s="71"/>
      <c r="U1751" s="71"/>
      <c r="V1751" s="70"/>
      <c r="W1751" s="70"/>
      <c r="X1751" s="70"/>
      <c r="Y1751" s="70"/>
      <c r="Z1751" s="102"/>
    </row>
    <row r="1752">
      <c r="A1752" s="94"/>
      <c r="B1752" s="66"/>
      <c r="C1752" s="70"/>
      <c r="D1752" s="68"/>
      <c r="E1752" s="68"/>
      <c r="F1752" s="69"/>
      <c r="G1752" s="70"/>
      <c r="H1752" s="70"/>
      <c r="I1752" s="70"/>
      <c r="J1752" s="70"/>
      <c r="K1752" s="71"/>
      <c r="L1752" s="71"/>
      <c r="M1752" s="71"/>
      <c r="N1752" s="71"/>
      <c r="O1752" s="70"/>
      <c r="P1752" s="73"/>
      <c r="Q1752" s="71"/>
      <c r="R1752" s="71"/>
      <c r="S1752" s="71"/>
      <c r="T1752" s="71"/>
      <c r="U1752" s="71"/>
      <c r="V1752" s="70"/>
      <c r="W1752" s="70"/>
      <c r="X1752" s="70"/>
      <c r="Y1752" s="70"/>
      <c r="Z1752" s="102"/>
    </row>
    <row r="1753">
      <c r="A1753" s="94"/>
      <c r="B1753" s="66"/>
      <c r="C1753" s="70"/>
      <c r="D1753" s="68"/>
      <c r="E1753" s="68"/>
      <c r="F1753" s="69"/>
      <c r="G1753" s="70"/>
      <c r="H1753" s="70"/>
      <c r="I1753" s="70"/>
      <c r="J1753" s="70"/>
      <c r="K1753" s="71"/>
      <c r="L1753" s="71"/>
      <c r="M1753" s="71"/>
      <c r="N1753" s="71"/>
      <c r="O1753" s="70"/>
      <c r="P1753" s="73"/>
      <c r="Q1753" s="71"/>
      <c r="R1753" s="71"/>
      <c r="S1753" s="71"/>
      <c r="T1753" s="71"/>
      <c r="U1753" s="71"/>
      <c r="V1753" s="70"/>
      <c r="W1753" s="70"/>
      <c r="X1753" s="70"/>
      <c r="Y1753" s="70"/>
      <c r="Z1753" s="102"/>
    </row>
    <row r="1754">
      <c r="A1754" s="94"/>
      <c r="B1754" s="66"/>
      <c r="C1754" s="70"/>
      <c r="D1754" s="68"/>
      <c r="E1754" s="68"/>
      <c r="F1754" s="69"/>
      <c r="G1754" s="70"/>
      <c r="H1754" s="70"/>
      <c r="I1754" s="70"/>
      <c r="J1754" s="70"/>
      <c r="K1754" s="71"/>
      <c r="L1754" s="71"/>
      <c r="M1754" s="71"/>
      <c r="N1754" s="71"/>
      <c r="O1754" s="70"/>
      <c r="P1754" s="73"/>
      <c r="Q1754" s="71"/>
      <c r="R1754" s="71"/>
      <c r="S1754" s="71"/>
      <c r="T1754" s="71"/>
      <c r="U1754" s="71"/>
      <c r="V1754" s="70"/>
      <c r="W1754" s="70"/>
      <c r="X1754" s="70"/>
      <c r="Y1754" s="70"/>
      <c r="Z1754" s="102"/>
    </row>
    <row r="1755">
      <c r="A1755" s="94"/>
      <c r="B1755" s="66"/>
      <c r="C1755" s="70"/>
      <c r="D1755" s="68"/>
      <c r="E1755" s="68"/>
      <c r="F1755" s="69"/>
      <c r="G1755" s="70"/>
      <c r="H1755" s="70"/>
      <c r="I1755" s="70"/>
      <c r="J1755" s="70"/>
      <c r="K1755" s="71"/>
      <c r="L1755" s="71"/>
      <c r="M1755" s="71"/>
      <c r="N1755" s="71"/>
      <c r="O1755" s="70"/>
      <c r="P1755" s="73"/>
      <c r="Q1755" s="71"/>
      <c r="R1755" s="71"/>
      <c r="S1755" s="71"/>
      <c r="T1755" s="71"/>
      <c r="U1755" s="71"/>
      <c r="V1755" s="70"/>
      <c r="W1755" s="70"/>
      <c r="X1755" s="70"/>
      <c r="Y1755" s="70"/>
      <c r="Z1755" s="102"/>
    </row>
    <row r="1756">
      <c r="A1756" s="94"/>
      <c r="B1756" s="66"/>
      <c r="C1756" s="70"/>
      <c r="D1756" s="68"/>
      <c r="E1756" s="68"/>
      <c r="F1756" s="69"/>
      <c r="G1756" s="70"/>
      <c r="H1756" s="70"/>
      <c r="I1756" s="70"/>
      <c r="J1756" s="70"/>
      <c r="K1756" s="71"/>
      <c r="L1756" s="71"/>
      <c r="M1756" s="71"/>
      <c r="N1756" s="71"/>
      <c r="O1756" s="70"/>
      <c r="P1756" s="73"/>
      <c r="Q1756" s="71"/>
      <c r="R1756" s="71"/>
      <c r="S1756" s="71"/>
      <c r="T1756" s="71"/>
      <c r="U1756" s="71"/>
      <c r="V1756" s="70"/>
      <c r="W1756" s="70"/>
      <c r="X1756" s="70"/>
      <c r="Y1756" s="70"/>
      <c r="Z1756" s="102"/>
    </row>
    <row r="1757">
      <c r="A1757" s="94"/>
      <c r="B1757" s="66"/>
      <c r="C1757" s="70"/>
      <c r="D1757" s="68"/>
      <c r="E1757" s="68"/>
      <c r="F1757" s="69"/>
      <c r="G1757" s="70"/>
      <c r="H1757" s="70"/>
      <c r="I1757" s="70"/>
      <c r="J1757" s="70"/>
      <c r="K1757" s="71"/>
      <c r="L1757" s="71"/>
      <c r="M1757" s="71"/>
      <c r="N1757" s="71"/>
      <c r="O1757" s="70"/>
      <c r="P1757" s="73"/>
      <c r="Q1757" s="71"/>
      <c r="R1757" s="71"/>
      <c r="S1757" s="71"/>
      <c r="T1757" s="71"/>
      <c r="U1757" s="71"/>
      <c r="V1757" s="70"/>
      <c r="W1757" s="70"/>
      <c r="X1757" s="70"/>
      <c r="Y1757" s="70"/>
      <c r="Z1757" s="102"/>
    </row>
    <row r="1758">
      <c r="A1758" s="94"/>
      <c r="B1758" s="66"/>
      <c r="C1758" s="70"/>
      <c r="D1758" s="68"/>
      <c r="E1758" s="68"/>
      <c r="F1758" s="69"/>
      <c r="G1758" s="70"/>
      <c r="H1758" s="70"/>
      <c r="I1758" s="70"/>
      <c r="J1758" s="70"/>
      <c r="K1758" s="71"/>
      <c r="L1758" s="71"/>
      <c r="M1758" s="71"/>
      <c r="N1758" s="71"/>
      <c r="O1758" s="70"/>
      <c r="P1758" s="73"/>
      <c r="Q1758" s="71"/>
      <c r="R1758" s="71"/>
      <c r="S1758" s="71"/>
      <c r="T1758" s="71"/>
      <c r="U1758" s="71"/>
      <c r="V1758" s="70"/>
      <c r="W1758" s="70"/>
      <c r="X1758" s="70"/>
      <c r="Y1758" s="70"/>
      <c r="Z1758" s="102"/>
    </row>
    <row r="1759">
      <c r="A1759" s="94"/>
      <c r="B1759" s="66"/>
      <c r="C1759" s="70"/>
      <c r="D1759" s="68"/>
      <c r="E1759" s="68"/>
      <c r="F1759" s="69"/>
      <c r="G1759" s="70"/>
      <c r="H1759" s="70"/>
      <c r="I1759" s="70"/>
      <c r="J1759" s="70"/>
      <c r="K1759" s="71"/>
      <c r="L1759" s="71"/>
      <c r="M1759" s="71"/>
      <c r="N1759" s="71"/>
      <c r="O1759" s="70"/>
      <c r="P1759" s="73"/>
      <c r="Q1759" s="71"/>
      <c r="R1759" s="71"/>
      <c r="S1759" s="71"/>
      <c r="T1759" s="71"/>
      <c r="U1759" s="71"/>
      <c r="V1759" s="70"/>
      <c r="W1759" s="70"/>
      <c r="X1759" s="70"/>
      <c r="Y1759" s="70"/>
      <c r="Z1759" s="102"/>
    </row>
    <row r="1760">
      <c r="A1760" s="94"/>
      <c r="B1760" s="66"/>
      <c r="C1760" s="70"/>
      <c r="D1760" s="68"/>
      <c r="E1760" s="68"/>
      <c r="F1760" s="69"/>
      <c r="G1760" s="70"/>
      <c r="H1760" s="70"/>
      <c r="I1760" s="70"/>
      <c r="J1760" s="70"/>
      <c r="K1760" s="71"/>
      <c r="L1760" s="71"/>
      <c r="M1760" s="71"/>
      <c r="N1760" s="71"/>
      <c r="O1760" s="70"/>
      <c r="P1760" s="73"/>
      <c r="Q1760" s="71"/>
      <c r="R1760" s="71"/>
      <c r="S1760" s="71"/>
      <c r="T1760" s="71"/>
      <c r="U1760" s="71"/>
      <c r="V1760" s="70"/>
      <c r="W1760" s="70"/>
      <c r="X1760" s="70"/>
      <c r="Y1760" s="70"/>
      <c r="Z1760" s="102"/>
    </row>
    <row r="1761">
      <c r="A1761" s="94"/>
      <c r="B1761" s="66"/>
      <c r="C1761" s="70"/>
      <c r="D1761" s="68"/>
      <c r="E1761" s="68"/>
      <c r="F1761" s="69"/>
      <c r="G1761" s="70"/>
      <c r="H1761" s="70"/>
      <c r="I1761" s="70"/>
      <c r="J1761" s="70"/>
      <c r="K1761" s="71"/>
      <c r="L1761" s="71"/>
      <c r="M1761" s="71"/>
      <c r="N1761" s="71"/>
      <c r="O1761" s="70"/>
      <c r="P1761" s="73"/>
      <c r="Q1761" s="71"/>
      <c r="R1761" s="71"/>
      <c r="S1761" s="71"/>
      <c r="T1761" s="71"/>
      <c r="U1761" s="71"/>
      <c r="V1761" s="70"/>
      <c r="W1761" s="70"/>
      <c r="X1761" s="70"/>
      <c r="Y1761" s="70"/>
      <c r="Z1761" s="102"/>
    </row>
    <row r="1762">
      <c r="A1762" s="94"/>
      <c r="B1762" s="66"/>
      <c r="C1762" s="70"/>
      <c r="D1762" s="68"/>
      <c r="E1762" s="68"/>
      <c r="F1762" s="69"/>
      <c r="G1762" s="70"/>
      <c r="H1762" s="70"/>
      <c r="I1762" s="70"/>
      <c r="J1762" s="70"/>
      <c r="K1762" s="71"/>
      <c r="L1762" s="71"/>
      <c r="M1762" s="71"/>
      <c r="N1762" s="71"/>
      <c r="O1762" s="70"/>
      <c r="P1762" s="73"/>
      <c r="Q1762" s="71"/>
      <c r="R1762" s="71"/>
      <c r="S1762" s="71"/>
      <c r="T1762" s="71"/>
      <c r="U1762" s="71"/>
      <c r="V1762" s="70"/>
      <c r="W1762" s="70"/>
      <c r="X1762" s="70"/>
      <c r="Y1762" s="70"/>
      <c r="Z1762" s="102"/>
    </row>
    <row r="1763">
      <c r="A1763" s="94"/>
      <c r="B1763" s="66"/>
      <c r="C1763" s="70"/>
      <c r="D1763" s="68"/>
      <c r="E1763" s="68"/>
      <c r="F1763" s="69"/>
      <c r="G1763" s="70"/>
      <c r="H1763" s="70"/>
      <c r="I1763" s="70"/>
      <c r="J1763" s="70"/>
      <c r="K1763" s="71"/>
      <c r="L1763" s="71"/>
      <c r="M1763" s="71"/>
      <c r="N1763" s="71"/>
      <c r="O1763" s="70"/>
      <c r="P1763" s="73"/>
      <c r="Q1763" s="71"/>
      <c r="R1763" s="71"/>
      <c r="S1763" s="71"/>
      <c r="T1763" s="71"/>
      <c r="U1763" s="71"/>
      <c r="V1763" s="70"/>
      <c r="W1763" s="70"/>
      <c r="X1763" s="70"/>
      <c r="Y1763" s="70"/>
      <c r="Z1763" s="102"/>
    </row>
    <row r="1764">
      <c r="A1764" s="94"/>
      <c r="B1764" s="66"/>
      <c r="C1764" s="70"/>
      <c r="D1764" s="68"/>
      <c r="E1764" s="68"/>
      <c r="F1764" s="69"/>
      <c r="G1764" s="70"/>
      <c r="H1764" s="70"/>
      <c r="I1764" s="70"/>
      <c r="J1764" s="70"/>
      <c r="K1764" s="71"/>
      <c r="L1764" s="71"/>
      <c r="M1764" s="71"/>
      <c r="N1764" s="71"/>
      <c r="O1764" s="70"/>
      <c r="P1764" s="73"/>
      <c r="Q1764" s="71"/>
      <c r="R1764" s="71"/>
      <c r="S1764" s="71"/>
      <c r="T1764" s="71"/>
      <c r="U1764" s="71"/>
      <c r="V1764" s="70"/>
      <c r="W1764" s="70"/>
      <c r="X1764" s="70"/>
      <c r="Y1764" s="70"/>
      <c r="Z1764" s="102"/>
    </row>
    <row r="1765">
      <c r="A1765" s="94"/>
      <c r="B1765" s="66"/>
      <c r="C1765" s="70"/>
      <c r="D1765" s="68"/>
      <c r="E1765" s="68"/>
      <c r="F1765" s="69"/>
      <c r="G1765" s="70"/>
      <c r="H1765" s="70"/>
      <c r="I1765" s="70"/>
      <c r="J1765" s="70"/>
      <c r="K1765" s="71"/>
      <c r="L1765" s="71"/>
      <c r="M1765" s="71"/>
      <c r="N1765" s="71"/>
      <c r="O1765" s="70"/>
      <c r="P1765" s="73"/>
      <c r="Q1765" s="71"/>
      <c r="R1765" s="71"/>
      <c r="S1765" s="71"/>
      <c r="T1765" s="71"/>
      <c r="U1765" s="71"/>
      <c r="V1765" s="70"/>
      <c r="W1765" s="70"/>
      <c r="X1765" s="70"/>
      <c r="Y1765" s="70"/>
      <c r="Z1765" s="102"/>
    </row>
    <row r="1766">
      <c r="A1766" s="94"/>
      <c r="B1766" s="66"/>
      <c r="C1766" s="70"/>
      <c r="D1766" s="68"/>
      <c r="E1766" s="68"/>
      <c r="F1766" s="69"/>
      <c r="G1766" s="70"/>
      <c r="H1766" s="70"/>
      <c r="I1766" s="70"/>
      <c r="J1766" s="70"/>
      <c r="K1766" s="71"/>
      <c r="L1766" s="71"/>
      <c r="M1766" s="71"/>
      <c r="N1766" s="71"/>
      <c r="O1766" s="70"/>
      <c r="P1766" s="73"/>
      <c r="Q1766" s="71"/>
      <c r="R1766" s="71"/>
      <c r="S1766" s="71"/>
      <c r="T1766" s="71"/>
      <c r="U1766" s="71"/>
      <c r="V1766" s="70"/>
      <c r="W1766" s="70"/>
      <c r="X1766" s="70"/>
      <c r="Y1766" s="70"/>
      <c r="Z1766" s="102"/>
    </row>
    <row r="1767">
      <c r="A1767" s="94"/>
      <c r="B1767" s="66"/>
      <c r="C1767" s="70"/>
      <c r="D1767" s="68"/>
      <c r="E1767" s="68"/>
      <c r="F1767" s="69"/>
      <c r="G1767" s="70"/>
      <c r="H1767" s="70"/>
      <c r="I1767" s="70"/>
      <c r="J1767" s="70"/>
      <c r="K1767" s="71"/>
      <c r="L1767" s="71"/>
      <c r="M1767" s="71"/>
      <c r="N1767" s="71"/>
      <c r="O1767" s="70"/>
      <c r="P1767" s="73"/>
      <c r="Q1767" s="71"/>
      <c r="R1767" s="71"/>
      <c r="S1767" s="71"/>
      <c r="T1767" s="71"/>
      <c r="U1767" s="71"/>
      <c r="V1767" s="70"/>
      <c r="W1767" s="70"/>
      <c r="X1767" s="70"/>
      <c r="Y1767" s="70"/>
      <c r="Z1767" s="102"/>
    </row>
    <row r="1768">
      <c r="A1768" s="94"/>
      <c r="B1768" s="66"/>
      <c r="C1768" s="70"/>
      <c r="D1768" s="68"/>
      <c r="E1768" s="68"/>
      <c r="F1768" s="69"/>
      <c r="G1768" s="70"/>
      <c r="H1768" s="70"/>
      <c r="I1768" s="70"/>
      <c r="J1768" s="70"/>
      <c r="K1768" s="71"/>
      <c r="L1768" s="71"/>
      <c r="M1768" s="71"/>
      <c r="N1768" s="71"/>
      <c r="O1768" s="70"/>
      <c r="P1768" s="73"/>
      <c r="Q1768" s="71"/>
      <c r="R1768" s="71"/>
      <c r="S1768" s="71"/>
      <c r="T1768" s="71"/>
      <c r="U1768" s="71"/>
      <c r="V1768" s="70"/>
      <c r="W1768" s="70"/>
      <c r="X1768" s="70"/>
      <c r="Y1768" s="70"/>
      <c r="Z1768" s="102"/>
    </row>
    <row r="1769">
      <c r="A1769" s="94"/>
      <c r="B1769" s="66"/>
      <c r="C1769" s="70"/>
      <c r="D1769" s="68"/>
      <c r="E1769" s="68"/>
      <c r="F1769" s="69"/>
      <c r="G1769" s="70"/>
      <c r="H1769" s="70"/>
      <c r="I1769" s="70"/>
      <c r="J1769" s="70"/>
      <c r="K1769" s="71"/>
      <c r="L1769" s="71"/>
      <c r="M1769" s="71"/>
      <c r="N1769" s="71"/>
      <c r="O1769" s="70"/>
      <c r="P1769" s="73"/>
      <c r="Q1769" s="71"/>
      <c r="R1769" s="71"/>
      <c r="S1769" s="71"/>
      <c r="T1769" s="71"/>
      <c r="U1769" s="71"/>
      <c r="V1769" s="70"/>
      <c r="W1769" s="70"/>
      <c r="X1769" s="70"/>
      <c r="Y1769" s="70"/>
      <c r="Z1769" s="102"/>
    </row>
    <row r="1770">
      <c r="A1770" s="94"/>
      <c r="B1770" s="66"/>
      <c r="C1770" s="70"/>
      <c r="D1770" s="68"/>
      <c r="E1770" s="68"/>
      <c r="F1770" s="69"/>
      <c r="G1770" s="70"/>
      <c r="H1770" s="70"/>
      <c r="I1770" s="70"/>
      <c r="J1770" s="70"/>
      <c r="K1770" s="71"/>
      <c r="L1770" s="71"/>
      <c r="M1770" s="71"/>
      <c r="N1770" s="71"/>
      <c r="O1770" s="70"/>
      <c r="P1770" s="73"/>
      <c r="Q1770" s="71"/>
      <c r="R1770" s="71"/>
      <c r="S1770" s="71"/>
      <c r="T1770" s="71"/>
      <c r="U1770" s="71"/>
      <c r="V1770" s="70"/>
      <c r="W1770" s="70"/>
      <c r="X1770" s="70"/>
      <c r="Y1770" s="70"/>
      <c r="Z1770" s="102"/>
    </row>
    <row r="1771">
      <c r="A1771" s="94"/>
      <c r="B1771" s="66"/>
      <c r="C1771" s="70"/>
      <c r="D1771" s="68"/>
      <c r="E1771" s="68"/>
      <c r="F1771" s="69"/>
      <c r="G1771" s="70"/>
      <c r="H1771" s="70"/>
      <c r="I1771" s="70"/>
      <c r="J1771" s="70"/>
      <c r="K1771" s="71"/>
      <c r="L1771" s="71"/>
      <c r="M1771" s="71"/>
      <c r="N1771" s="71"/>
      <c r="O1771" s="70"/>
      <c r="P1771" s="73"/>
      <c r="Q1771" s="71"/>
      <c r="R1771" s="71"/>
      <c r="S1771" s="71"/>
      <c r="T1771" s="71"/>
      <c r="U1771" s="71"/>
      <c r="V1771" s="70"/>
      <c r="W1771" s="70"/>
      <c r="X1771" s="70"/>
      <c r="Y1771" s="70"/>
      <c r="Z1771" s="102"/>
    </row>
    <row r="1772">
      <c r="A1772" s="94"/>
      <c r="B1772" s="66"/>
      <c r="C1772" s="70"/>
      <c r="D1772" s="68"/>
      <c r="E1772" s="68"/>
      <c r="F1772" s="69"/>
      <c r="G1772" s="70"/>
      <c r="H1772" s="70"/>
      <c r="I1772" s="70"/>
      <c r="J1772" s="70"/>
      <c r="K1772" s="71"/>
      <c r="L1772" s="71"/>
      <c r="M1772" s="71"/>
      <c r="N1772" s="71"/>
      <c r="O1772" s="70"/>
      <c r="P1772" s="73"/>
      <c r="Q1772" s="71"/>
      <c r="R1772" s="71"/>
      <c r="S1772" s="71"/>
      <c r="T1772" s="71"/>
      <c r="U1772" s="71"/>
      <c r="V1772" s="70"/>
      <c r="W1772" s="70"/>
      <c r="X1772" s="70"/>
      <c r="Y1772" s="70"/>
      <c r="Z1772" s="102"/>
    </row>
    <row r="1773">
      <c r="A1773" s="94"/>
      <c r="B1773" s="66"/>
      <c r="C1773" s="70"/>
      <c r="D1773" s="68"/>
      <c r="E1773" s="68"/>
      <c r="F1773" s="69"/>
      <c r="G1773" s="70"/>
      <c r="H1773" s="70"/>
      <c r="I1773" s="70"/>
      <c r="J1773" s="70"/>
      <c r="K1773" s="71"/>
      <c r="L1773" s="71"/>
      <c r="M1773" s="71"/>
      <c r="N1773" s="71"/>
      <c r="O1773" s="70"/>
      <c r="P1773" s="73"/>
      <c r="Q1773" s="71"/>
      <c r="R1773" s="71"/>
      <c r="S1773" s="71"/>
      <c r="T1773" s="71"/>
      <c r="U1773" s="71"/>
      <c r="V1773" s="70"/>
      <c r="W1773" s="70"/>
      <c r="X1773" s="70"/>
      <c r="Y1773" s="70"/>
      <c r="Z1773" s="102"/>
    </row>
    <row r="1774">
      <c r="A1774" s="94"/>
      <c r="B1774" s="66"/>
      <c r="C1774" s="70"/>
      <c r="D1774" s="68"/>
      <c r="E1774" s="68"/>
      <c r="F1774" s="69"/>
      <c r="G1774" s="70"/>
      <c r="H1774" s="70"/>
      <c r="I1774" s="70"/>
      <c r="J1774" s="70"/>
      <c r="K1774" s="71"/>
      <c r="L1774" s="71"/>
      <c r="M1774" s="71"/>
      <c r="N1774" s="71"/>
      <c r="O1774" s="70"/>
      <c r="P1774" s="73"/>
      <c r="Q1774" s="71"/>
      <c r="R1774" s="71"/>
      <c r="S1774" s="71"/>
      <c r="T1774" s="71"/>
      <c r="U1774" s="71"/>
      <c r="V1774" s="70"/>
      <c r="W1774" s="70"/>
      <c r="X1774" s="70"/>
      <c r="Y1774" s="70"/>
      <c r="Z1774" s="102"/>
    </row>
    <row r="1775">
      <c r="A1775" s="94"/>
      <c r="B1775" s="66"/>
      <c r="C1775" s="70"/>
      <c r="D1775" s="68"/>
      <c r="E1775" s="68"/>
      <c r="F1775" s="69"/>
      <c r="G1775" s="70"/>
      <c r="H1775" s="70"/>
      <c r="I1775" s="70"/>
      <c r="J1775" s="70"/>
      <c r="K1775" s="71"/>
      <c r="L1775" s="71"/>
      <c r="M1775" s="71"/>
      <c r="N1775" s="71"/>
      <c r="O1775" s="70"/>
      <c r="P1775" s="73"/>
      <c r="Q1775" s="71"/>
      <c r="R1775" s="71"/>
      <c r="S1775" s="71"/>
      <c r="T1775" s="71"/>
      <c r="U1775" s="71"/>
      <c r="V1775" s="70"/>
      <c r="W1775" s="70"/>
      <c r="X1775" s="70"/>
      <c r="Y1775" s="70"/>
      <c r="Z1775" s="102"/>
    </row>
    <row r="1776">
      <c r="A1776" s="94"/>
      <c r="B1776" s="66"/>
      <c r="C1776" s="70"/>
      <c r="D1776" s="68"/>
      <c r="E1776" s="68"/>
      <c r="F1776" s="69"/>
      <c r="G1776" s="70"/>
      <c r="H1776" s="70"/>
      <c r="I1776" s="70"/>
      <c r="J1776" s="70"/>
      <c r="K1776" s="71"/>
      <c r="L1776" s="71"/>
      <c r="M1776" s="71"/>
      <c r="N1776" s="71"/>
      <c r="O1776" s="70"/>
      <c r="P1776" s="73"/>
      <c r="Q1776" s="71"/>
      <c r="R1776" s="71"/>
      <c r="S1776" s="71"/>
      <c r="T1776" s="71"/>
      <c r="U1776" s="71"/>
      <c r="V1776" s="70"/>
      <c r="W1776" s="70"/>
      <c r="X1776" s="70"/>
      <c r="Y1776" s="70"/>
      <c r="Z1776" s="102"/>
    </row>
    <row r="1777">
      <c r="A1777" s="94"/>
      <c r="B1777" s="66"/>
      <c r="C1777" s="70"/>
      <c r="D1777" s="68"/>
      <c r="E1777" s="68"/>
      <c r="F1777" s="69"/>
      <c r="G1777" s="70"/>
      <c r="H1777" s="70"/>
      <c r="I1777" s="70"/>
      <c r="J1777" s="70"/>
      <c r="K1777" s="71"/>
      <c r="L1777" s="71"/>
      <c r="M1777" s="71"/>
      <c r="N1777" s="71"/>
      <c r="O1777" s="70"/>
      <c r="P1777" s="73"/>
      <c r="Q1777" s="71"/>
      <c r="R1777" s="71"/>
      <c r="S1777" s="71"/>
      <c r="T1777" s="71"/>
      <c r="U1777" s="71"/>
      <c r="V1777" s="70"/>
      <c r="W1777" s="70"/>
      <c r="X1777" s="70"/>
      <c r="Y1777" s="70"/>
      <c r="Z1777" s="102"/>
    </row>
    <row r="1778">
      <c r="A1778" s="94"/>
      <c r="B1778" s="66"/>
      <c r="C1778" s="70"/>
      <c r="D1778" s="68"/>
      <c r="E1778" s="68"/>
      <c r="F1778" s="69"/>
      <c r="G1778" s="70"/>
      <c r="H1778" s="70"/>
      <c r="I1778" s="70"/>
      <c r="J1778" s="70"/>
      <c r="K1778" s="71"/>
      <c r="L1778" s="71"/>
      <c r="M1778" s="71"/>
      <c r="N1778" s="71"/>
      <c r="O1778" s="70"/>
      <c r="P1778" s="73"/>
      <c r="Q1778" s="71"/>
      <c r="R1778" s="71"/>
      <c r="S1778" s="71"/>
      <c r="T1778" s="71"/>
      <c r="U1778" s="71"/>
      <c r="V1778" s="70"/>
      <c r="W1778" s="70"/>
      <c r="X1778" s="70"/>
      <c r="Y1778" s="70"/>
      <c r="Z1778" s="102"/>
    </row>
    <row r="1779">
      <c r="A1779" s="94"/>
      <c r="B1779" s="66"/>
      <c r="C1779" s="70"/>
      <c r="D1779" s="68"/>
      <c r="E1779" s="68"/>
      <c r="F1779" s="69"/>
      <c r="G1779" s="70"/>
      <c r="H1779" s="70"/>
      <c r="I1779" s="70"/>
      <c r="J1779" s="70"/>
      <c r="K1779" s="71"/>
      <c r="L1779" s="71"/>
      <c r="M1779" s="71"/>
      <c r="N1779" s="71"/>
      <c r="O1779" s="70"/>
      <c r="P1779" s="73"/>
      <c r="Q1779" s="71"/>
      <c r="R1779" s="71"/>
      <c r="S1779" s="71"/>
      <c r="T1779" s="71"/>
      <c r="U1779" s="71"/>
      <c r="V1779" s="70"/>
      <c r="W1779" s="70"/>
      <c r="X1779" s="70"/>
      <c r="Y1779" s="70"/>
      <c r="Z1779" s="102"/>
    </row>
    <row r="1780">
      <c r="A1780" s="94"/>
      <c r="B1780" s="66"/>
      <c r="C1780" s="70"/>
      <c r="D1780" s="68"/>
      <c r="E1780" s="68"/>
      <c r="F1780" s="69"/>
      <c r="G1780" s="70"/>
      <c r="H1780" s="70"/>
      <c r="I1780" s="70"/>
      <c r="J1780" s="70"/>
      <c r="K1780" s="71"/>
      <c r="L1780" s="71"/>
      <c r="M1780" s="71"/>
      <c r="N1780" s="71"/>
      <c r="O1780" s="70"/>
      <c r="P1780" s="73"/>
      <c r="Q1780" s="71"/>
      <c r="R1780" s="71"/>
      <c r="S1780" s="71"/>
      <c r="T1780" s="71"/>
      <c r="U1780" s="71"/>
      <c r="V1780" s="70"/>
      <c r="W1780" s="70"/>
      <c r="X1780" s="70"/>
      <c r="Y1780" s="70"/>
      <c r="Z1780" s="102"/>
    </row>
    <row r="1781">
      <c r="A1781" s="94"/>
      <c r="B1781" s="66"/>
      <c r="C1781" s="70"/>
      <c r="D1781" s="68"/>
      <c r="E1781" s="68"/>
      <c r="F1781" s="69"/>
      <c r="G1781" s="70"/>
      <c r="H1781" s="70"/>
      <c r="I1781" s="70"/>
      <c r="J1781" s="70"/>
      <c r="K1781" s="71"/>
      <c r="L1781" s="71"/>
      <c r="M1781" s="71"/>
      <c r="N1781" s="71"/>
      <c r="O1781" s="70"/>
      <c r="P1781" s="73"/>
      <c r="Q1781" s="71"/>
      <c r="R1781" s="71"/>
      <c r="S1781" s="71"/>
      <c r="T1781" s="71"/>
      <c r="U1781" s="71"/>
      <c r="V1781" s="70"/>
      <c r="W1781" s="70"/>
      <c r="X1781" s="70"/>
      <c r="Y1781" s="70"/>
      <c r="Z1781" s="102"/>
    </row>
    <row r="1782">
      <c r="A1782" s="94"/>
      <c r="B1782" s="66"/>
      <c r="C1782" s="70"/>
      <c r="D1782" s="68"/>
      <c r="E1782" s="68"/>
      <c r="F1782" s="69"/>
      <c r="G1782" s="70"/>
      <c r="H1782" s="70"/>
      <c r="I1782" s="70"/>
      <c r="J1782" s="70"/>
      <c r="K1782" s="71"/>
      <c r="L1782" s="71"/>
      <c r="M1782" s="71"/>
      <c r="N1782" s="71"/>
      <c r="O1782" s="70"/>
      <c r="P1782" s="73"/>
      <c r="Q1782" s="71"/>
      <c r="R1782" s="71"/>
      <c r="S1782" s="71"/>
      <c r="T1782" s="71"/>
      <c r="U1782" s="71"/>
      <c r="V1782" s="70"/>
      <c r="W1782" s="70"/>
      <c r="X1782" s="70"/>
      <c r="Y1782" s="70"/>
      <c r="Z1782" s="102"/>
    </row>
    <row r="1783">
      <c r="A1783" s="94"/>
      <c r="B1783" s="66"/>
      <c r="C1783" s="70"/>
      <c r="D1783" s="68"/>
      <c r="E1783" s="68"/>
      <c r="F1783" s="69"/>
      <c r="G1783" s="70"/>
      <c r="H1783" s="70"/>
      <c r="I1783" s="70"/>
      <c r="J1783" s="70"/>
      <c r="K1783" s="71"/>
      <c r="L1783" s="71"/>
      <c r="M1783" s="71"/>
      <c r="N1783" s="71"/>
      <c r="O1783" s="70"/>
      <c r="P1783" s="73"/>
      <c r="Q1783" s="71"/>
      <c r="R1783" s="71"/>
      <c r="S1783" s="71"/>
      <c r="T1783" s="71"/>
      <c r="U1783" s="71"/>
      <c r="V1783" s="70"/>
      <c r="W1783" s="70"/>
      <c r="X1783" s="70"/>
      <c r="Y1783" s="70"/>
      <c r="Z1783" s="102"/>
    </row>
    <row r="1784">
      <c r="A1784" s="94"/>
      <c r="B1784" s="66"/>
      <c r="C1784" s="70"/>
      <c r="D1784" s="68"/>
      <c r="E1784" s="68"/>
      <c r="F1784" s="69"/>
      <c r="G1784" s="70"/>
      <c r="H1784" s="70"/>
      <c r="I1784" s="70"/>
      <c r="J1784" s="70"/>
      <c r="K1784" s="71"/>
      <c r="L1784" s="71"/>
      <c r="M1784" s="71"/>
      <c r="N1784" s="71"/>
      <c r="O1784" s="70"/>
      <c r="P1784" s="73"/>
      <c r="Q1784" s="71"/>
      <c r="R1784" s="71"/>
      <c r="S1784" s="71"/>
      <c r="T1784" s="71"/>
      <c r="U1784" s="71"/>
      <c r="V1784" s="70"/>
      <c r="W1784" s="70"/>
      <c r="X1784" s="70"/>
      <c r="Y1784" s="70"/>
      <c r="Z1784" s="102"/>
    </row>
    <row r="1785">
      <c r="A1785" s="94"/>
      <c r="B1785" s="66"/>
      <c r="C1785" s="70"/>
      <c r="D1785" s="68"/>
      <c r="E1785" s="68"/>
      <c r="F1785" s="69"/>
      <c r="G1785" s="70"/>
      <c r="H1785" s="70"/>
      <c r="I1785" s="70"/>
      <c r="J1785" s="70"/>
      <c r="K1785" s="71"/>
      <c r="L1785" s="71"/>
      <c r="M1785" s="71"/>
      <c r="N1785" s="71"/>
      <c r="O1785" s="70"/>
      <c r="P1785" s="73"/>
      <c r="Q1785" s="71"/>
      <c r="R1785" s="71"/>
      <c r="S1785" s="71"/>
      <c r="T1785" s="71"/>
      <c r="U1785" s="71"/>
      <c r="V1785" s="70"/>
      <c r="W1785" s="70"/>
      <c r="X1785" s="70"/>
      <c r="Y1785" s="70"/>
      <c r="Z1785" s="102"/>
    </row>
    <row r="1786">
      <c r="A1786" s="94"/>
      <c r="B1786" s="66"/>
      <c r="C1786" s="70"/>
      <c r="D1786" s="68"/>
      <c r="E1786" s="68"/>
      <c r="F1786" s="69"/>
      <c r="G1786" s="70"/>
      <c r="H1786" s="70"/>
      <c r="I1786" s="70"/>
      <c r="J1786" s="70"/>
      <c r="K1786" s="71"/>
      <c r="L1786" s="71"/>
      <c r="M1786" s="71"/>
      <c r="N1786" s="71"/>
      <c r="O1786" s="70"/>
      <c r="P1786" s="73"/>
      <c r="Q1786" s="71"/>
      <c r="R1786" s="71"/>
      <c r="S1786" s="71"/>
      <c r="T1786" s="71"/>
      <c r="U1786" s="71"/>
      <c r="V1786" s="70"/>
      <c r="W1786" s="70"/>
      <c r="X1786" s="70"/>
      <c r="Y1786" s="70"/>
      <c r="Z1786" s="102"/>
    </row>
    <row r="1787">
      <c r="A1787" s="94"/>
      <c r="B1787" s="66"/>
      <c r="C1787" s="70"/>
      <c r="D1787" s="68"/>
      <c r="E1787" s="68"/>
      <c r="F1787" s="69"/>
      <c r="G1787" s="70"/>
      <c r="H1787" s="70"/>
      <c r="I1787" s="70"/>
      <c r="J1787" s="70"/>
      <c r="K1787" s="71"/>
      <c r="L1787" s="71"/>
      <c r="M1787" s="71"/>
      <c r="N1787" s="71"/>
      <c r="O1787" s="70"/>
      <c r="P1787" s="73"/>
      <c r="Q1787" s="71"/>
      <c r="R1787" s="71"/>
      <c r="S1787" s="71"/>
      <c r="T1787" s="71"/>
      <c r="U1787" s="71"/>
      <c r="V1787" s="70"/>
      <c r="W1787" s="70"/>
      <c r="X1787" s="70"/>
      <c r="Y1787" s="70"/>
      <c r="Z1787" s="102"/>
    </row>
    <row r="1788">
      <c r="A1788" s="94"/>
      <c r="B1788" s="66"/>
      <c r="C1788" s="70"/>
      <c r="D1788" s="68"/>
      <c r="E1788" s="68"/>
      <c r="F1788" s="69"/>
      <c r="G1788" s="70"/>
      <c r="H1788" s="70"/>
      <c r="I1788" s="70"/>
      <c r="J1788" s="70"/>
      <c r="K1788" s="71"/>
      <c r="L1788" s="71"/>
      <c r="M1788" s="71"/>
      <c r="N1788" s="71"/>
      <c r="O1788" s="70"/>
      <c r="P1788" s="73"/>
      <c r="Q1788" s="71"/>
      <c r="R1788" s="71"/>
      <c r="S1788" s="71"/>
      <c r="T1788" s="71"/>
      <c r="U1788" s="71"/>
      <c r="V1788" s="70"/>
      <c r="W1788" s="70"/>
      <c r="X1788" s="70"/>
      <c r="Y1788" s="70"/>
      <c r="Z1788" s="102"/>
    </row>
    <row r="1789">
      <c r="A1789" s="94"/>
      <c r="B1789" s="66"/>
      <c r="C1789" s="70"/>
      <c r="D1789" s="68"/>
      <c r="E1789" s="68"/>
      <c r="F1789" s="69"/>
      <c r="G1789" s="70"/>
      <c r="H1789" s="70"/>
      <c r="I1789" s="70"/>
      <c r="J1789" s="70"/>
      <c r="K1789" s="71"/>
      <c r="L1789" s="71"/>
      <c r="M1789" s="71"/>
      <c r="N1789" s="71"/>
      <c r="O1789" s="70"/>
      <c r="P1789" s="73"/>
      <c r="Q1789" s="71"/>
      <c r="R1789" s="71"/>
      <c r="S1789" s="71"/>
      <c r="T1789" s="71"/>
      <c r="U1789" s="71"/>
      <c r="V1789" s="70"/>
      <c r="W1789" s="70"/>
      <c r="X1789" s="70"/>
      <c r="Y1789" s="70"/>
      <c r="Z1789" s="102"/>
    </row>
    <row r="1790">
      <c r="A1790" s="94"/>
      <c r="B1790" s="66"/>
      <c r="C1790" s="70"/>
      <c r="D1790" s="68"/>
      <c r="E1790" s="68"/>
      <c r="F1790" s="69"/>
      <c r="G1790" s="70"/>
      <c r="H1790" s="70"/>
      <c r="I1790" s="70"/>
      <c r="J1790" s="70"/>
      <c r="K1790" s="71"/>
      <c r="L1790" s="71"/>
      <c r="M1790" s="71"/>
      <c r="N1790" s="71"/>
      <c r="O1790" s="70"/>
      <c r="P1790" s="73"/>
      <c r="Q1790" s="71"/>
      <c r="R1790" s="71"/>
      <c r="S1790" s="71"/>
      <c r="T1790" s="71"/>
      <c r="U1790" s="71"/>
      <c r="V1790" s="70"/>
      <c r="W1790" s="70"/>
      <c r="X1790" s="70"/>
      <c r="Y1790" s="70"/>
      <c r="Z1790" s="102"/>
    </row>
    <row r="1791">
      <c r="A1791" s="94"/>
      <c r="B1791" s="66"/>
      <c r="C1791" s="70"/>
      <c r="D1791" s="68"/>
      <c r="E1791" s="68"/>
      <c r="F1791" s="69"/>
      <c r="G1791" s="70"/>
      <c r="H1791" s="70"/>
      <c r="I1791" s="70"/>
      <c r="J1791" s="70"/>
      <c r="K1791" s="71"/>
      <c r="L1791" s="71"/>
      <c r="M1791" s="71"/>
      <c r="N1791" s="71"/>
      <c r="O1791" s="70"/>
      <c r="P1791" s="73"/>
      <c r="Q1791" s="71"/>
      <c r="R1791" s="71"/>
      <c r="S1791" s="71"/>
      <c r="T1791" s="71"/>
      <c r="U1791" s="71"/>
      <c r="V1791" s="70"/>
      <c r="W1791" s="70"/>
      <c r="X1791" s="70"/>
      <c r="Y1791" s="70"/>
      <c r="Z1791" s="102"/>
    </row>
    <row r="1792">
      <c r="A1792" s="94"/>
      <c r="B1792" s="66"/>
      <c r="C1792" s="70"/>
      <c r="D1792" s="68"/>
      <c r="E1792" s="68"/>
      <c r="F1792" s="69"/>
      <c r="G1792" s="70"/>
      <c r="H1792" s="70"/>
      <c r="I1792" s="70"/>
      <c r="J1792" s="70"/>
      <c r="K1792" s="71"/>
      <c r="L1792" s="71"/>
      <c r="M1792" s="71"/>
      <c r="N1792" s="71"/>
      <c r="O1792" s="70"/>
      <c r="P1792" s="73"/>
      <c r="Q1792" s="71"/>
      <c r="R1792" s="71"/>
      <c r="S1792" s="71"/>
      <c r="T1792" s="71"/>
      <c r="U1792" s="71"/>
      <c r="V1792" s="70"/>
      <c r="W1792" s="70"/>
      <c r="X1792" s="70"/>
      <c r="Y1792" s="70"/>
      <c r="Z1792" s="102"/>
    </row>
    <row r="1793">
      <c r="A1793" s="94"/>
      <c r="B1793" s="66"/>
      <c r="C1793" s="70"/>
      <c r="D1793" s="68"/>
      <c r="E1793" s="68"/>
      <c r="F1793" s="69"/>
      <c r="G1793" s="70"/>
      <c r="H1793" s="70"/>
      <c r="I1793" s="70"/>
      <c r="J1793" s="70"/>
      <c r="K1793" s="71"/>
      <c r="L1793" s="71"/>
      <c r="M1793" s="71"/>
      <c r="N1793" s="71"/>
      <c r="O1793" s="70"/>
      <c r="P1793" s="73"/>
      <c r="Q1793" s="71"/>
      <c r="R1793" s="71"/>
      <c r="S1793" s="71"/>
      <c r="T1793" s="71"/>
      <c r="U1793" s="71"/>
      <c r="V1793" s="70"/>
      <c r="W1793" s="70"/>
      <c r="X1793" s="70"/>
      <c r="Y1793" s="70"/>
      <c r="Z1793" s="102"/>
    </row>
    <row r="1794">
      <c r="A1794" s="94"/>
      <c r="B1794" s="66"/>
      <c r="C1794" s="70"/>
      <c r="D1794" s="68"/>
      <c r="E1794" s="68"/>
      <c r="F1794" s="69"/>
      <c r="G1794" s="70"/>
      <c r="H1794" s="70"/>
      <c r="I1794" s="70"/>
      <c r="J1794" s="70"/>
      <c r="K1794" s="71"/>
      <c r="L1794" s="71"/>
      <c r="M1794" s="71"/>
      <c r="N1794" s="71"/>
      <c r="O1794" s="70"/>
      <c r="P1794" s="73"/>
      <c r="Q1794" s="71"/>
      <c r="R1794" s="71"/>
      <c r="S1794" s="71"/>
      <c r="T1794" s="71"/>
      <c r="U1794" s="71"/>
      <c r="V1794" s="70"/>
      <c r="W1794" s="70"/>
      <c r="X1794" s="70"/>
      <c r="Y1794" s="70"/>
      <c r="Z1794" s="102"/>
    </row>
    <row r="1795">
      <c r="A1795" s="94"/>
      <c r="B1795" s="66"/>
      <c r="C1795" s="70"/>
      <c r="D1795" s="68"/>
      <c r="E1795" s="68"/>
      <c r="F1795" s="69"/>
      <c r="G1795" s="70"/>
      <c r="H1795" s="70"/>
      <c r="I1795" s="70"/>
      <c r="J1795" s="70"/>
      <c r="K1795" s="71"/>
      <c r="L1795" s="71"/>
      <c r="M1795" s="71"/>
      <c r="N1795" s="71"/>
      <c r="O1795" s="70"/>
      <c r="P1795" s="73"/>
      <c r="Q1795" s="71"/>
      <c r="R1795" s="71"/>
      <c r="S1795" s="71"/>
      <c r="T1795" s="71"/>
      <c r="U1795" s="71"/>
      <c r="V1795" s="70"/>
      <c r="W1795" s="70"/>
      <c r="X1795" s="70"/>
      <c r="Y1795" s="70"/>
      <c r="Z1795" s="102"/>
    </row>
    <row r="1796">
      <c r="A1796" s="94"/>
      <c r="B1796" s="66"/>
      <c r="C1796" s="70"/>
      <c r="D1796" s="68"/>
      <c r="E1796" s="68"/>
      <c r="F1796" s="69"/>
      <c r="G1796" s="70"/>
      <c r="H1796" s="70"/>
      <c r="I1796" s="70"/>
      <c r="J1796" s="70"/>
      <c r="K1796" s="71"/>
      <c r="L1796" s="71"/>
      <c r="M1796" s="71"/>
      <c r="N1796" s="71"/>
      <c r="O1796" s="70"/>
      <c r="P1796" s="73"/>
      <c r="Q1796" s="71"/>
      <c r="R1796" s="71"/>
      <c r="S1796" s="71"/>
      <c r="T1796" s="71"/>
      <c r="U1796" s="71"/>
      <c r="V1796" s="70"/>
      <c r="W1796" s="70"/>
      <c r="X1796" s="70"/>
      <c r="Y1796" s="70"/>
      <c r="Z1796" s="102"/>
    </row>
    <row r="1797">
      <c r="A1797" s="94"/>
      <c r="B1797" s="66"/>
      <c r="C1797" s="70"/>
      <c r="D1797" s="68"/>
      <c r="E1797" s="68"/>
      <c r="F1797" s="69"/>
      <c r="G1797" s="70"/>
      <c r="H1797" s="70"/>
      <c r="I1797" s="70"/>
      <c r="J1797" s="70"/>
      <c r="K1797" s="71"/>
      <c r="L1797" s="71"/>
      <c r="M1797" s="71"/>
      <c r="N1797" s="71"/>
      <c r="O1797" s="70"/>
      <c r="P1797" s="73"/>
      <c r="Q1797" s="71"/>
      <c r="R1797" s="71"/>
      <c r="S1797" s="71"/>
      <c r="T1797" s="71"/>
      <c r="U1797" s="71"/>
      <c r="V1797" s="70"/>
      <c r="W1797" s="70"/>
      <c r="X1797" s="70"/>
      <c r="Y1797" s="70"/>
      <c r="Z1797" s="102"/>
    </row>
    <row r="1798">
      <c r="A1798" s="94"/>
      <c r="B1798" s="66"/>
      <c r="C1798" s="70"/>
      <c r="D1798" s="68"/>
      <c r="E1798" s="68"/>
      <c r="F1798" s="69"/>
      <c r="G1798" s="70"/>
      <c r="H1798" s="70"/>
      <c r="I1798" s="70"/>
      <c r="J1798" s="70"/>
      <c r="K1798" s="71"/>
      <c r="L1798" s="71"/>
      <c r="M1798" s="71"/>
      <c r="N1798" s="71"/>
      <c r="O1798" s="70"/>
      <c r="P1798" s="73"/>
      <c r="Q1798" s="71"/>
      <c r="R1798" s="71"/>
      <c r="S1798" s="71"/>
      <c r="T1798" s="71"/>
      <c r="U1798" s="71"/>
      <c r="V1798" s="70"/>
      <c r="W1798" s="70"/>
      <c r="X1798" s="70"/>
      <c r="Y1798" s="70"/>
      <c r="Z1798" s="102"/>
    </row>
    <row r="1799">
      <c r="A1799" s="94"/>
      <c r="B1799" s="66"/>
      <c r="C1799" s="70"/>
      <c r="D1799" s="68"/>
      <c r="E1799" s="68"/>
      <c r="F1799" s="69"/>
      <c r="G1799" s="70"/>
      <c r="H1799" s="70"/>
      <c r="I1799" s="70"/>
      <c r="J1799" s="70"/>
      <c r="K1799" s="71"/>
      <c r="L1799" s="71"/>
      <c r="M1799" s="71"/>
      <c r="N1799" s="71"/>
      <c r="O1799" s="70"/>
      <c r="P1799" s="73"/>
      <c r="Q1799" s="71"/>
      <c r="R1799" s="71"/>
      <c r="S1799" s="71"/>
      <c r="T1799" s="71"/>
      <c r="U1799" s="71"/>
      <c r="V1799" s="70"/>
      <c r="W1799" s="70"/>
      <c r="X1799" s="70"/>
      <c r="Y1799" s="70"/>
      <c r="Z1799" s="102"/>
    </row>
    <row r="1800">
      <c r="A1800" s="94"/>
      <c r="B1800" s="66"/>
      <c r="C1800" s="70"/>
      <c r="D1800" s="68"/>
      <c r="E1800" s="68"/>
      <c r="F1800" s="69"/>
      <c r="G1800" s="70"/>
      <c r="H1800" s="70"/>
      <c r="I1800" s="70"/>
      <c r="J1800" s="70"/>
      <c r="K1800" s="71"/>
      <c r="L1800" s="71"/>
      <c r="M1800" s="71"/>
      <c r="N1800" s="71"/>
      <c r="O1800" s="70"/>
      <c r="P1800" s="73"/>
      <c r="Q1800" s="71"/>
      <c r="R1800" s="71"/>
      <c r="S1800" s="71"/>
      <c r="T1800" s="71"/>
      <c r="U1800" s="71"/>
      <c r="V1800" s="70"/>
      <c r="W1800" s="70"/>
      <c r="X1800" s="70"/>
      <c r="Y1800" s="70"/>
      <c r="Z1800" s="102"/>
    </row>
    <row r="1801">
      <c r="A1801" s="94"/>
      <c r="B1801" s="66"/>
      <c r="C1801" s="70"/>
      <c r="D1801" s="68"/>
      <c r="E1801" s="68"/>
      <c r="F1801" s="69"/>
      <c r="G1801" s="70"/>
      <c r="H1801" s="70"/>
      <c r="I1801" s="70"/>
      <c r="J1801" s="70"/>
      <c r="K1801" s="71"/>
      <c r="L1801" s="71"/>
      <c r="M1801" s="71"/>
      <c r="N1801" s="71"/>
      <c r="O1801" s="70"/>
      <c r="P1801" s="73"/>
      <c r="Q1801" s="71"/>
      <c r="R1801" s="71"/>
      <c r="S1801" s="71"/>
      <c r="T1801" s="71"/>
      <c r="U1801" s="71"/>
      <c r="V1801" s="70"/>
      <c r="W1801" s="70"/>
      <c r="X1801" s="70"/>
      <c r="Y1801" s="70"/>
      <c r="Z1801" s="102"/>
    </row>
    <row r="1802">
      <c r="A1802" s="94"/>
      <c r="B1802" s="66"/>
      <c r="C1802" s="70"/>
      <c r="D1802" s="68"/>
      <c r="E1802" s="68"/>
      <c r="F1802" s="69"/>
      <c r="G1802" s="70"/>
      <c r="H1802" s="70"/>
      <c r="I1802" s="70"/>
      <c r="J1802" s="70"/>
      <c r="K1802" s="71"/>
      <c r="L1802" s="71"/>
      <c r="M1802" s="71"/>
      <c r="N1802" s="71"/>
      <c r="O1802" s="70"/>
      <c r="P1802" s="73"/>
      <c r="Q1802" s="71"/>
      <c r="R1802" s="71"/>
      <c r="S1802" s="71"/>
      <c r="T1802" s="71"/>
      <c r="U1802" s="71"/>
      <c r="V1802" s="70"/>
      <c r="W1802" s="70"/>
      <c r="X1802" s="70"/>
      <c r="Y1802" s="70"/>
      <c r="Z1802" s="102"/>
    </row>
    <row r="1803">
      <c r="A1803" s="94"/>
      <c r="B1803" s="66"/>
      <c r="C1803" s="70"/>
      <c r="D1803" s="68"/>
      <c r="E1803" s="68"/>
      <c r="F1803" s="69"/>
      <c r="G1803" s="70"/>
      <c r="H1803" s="70"/>
      <c r="I1803" s="70"/>
      <c r="J1803" s="70"/>
      <c r="K1803" s="71"/>
      <c r="L1803" s="71"/>
      <c r="M1803" s="71"/>
      <c r="N1803" s="71"/>
      <c r="O1803" s="70"/>
      <c r="P1803" s="73"/>
      <c r="Q1803" s="71"/>
      <c r="R1803" s="71"/>
      <c r="S1803" s="71"/>
      <c r="T1803" s="71"/>
      <c r="U1803" s="71"/>
      <c r="V1803" s="70"/>
      <c r="W1803" s="70"/>
      <c r="X1803" s="70"/>
      <c r="Y1803" s="70"/>
      <c r="Z1803" s="102"/>
    </row>
    <row r="1804">
      <c r="A1804" s="94"/>
      <c r="B1804" s="66"/>
      <c r="C1804" s="70"/>
      <c r="D1804" s="68"/>
      <c r="E1804" s="68"/>
      <c r="F1804" s="69"/>
      <c r="G1804" s="70"/>
      <c r="H1804" s="70"/>
      <c r="I1804" s="70"/>
      <c r="J1804" s="70"/>
      <c r="K1804" s="71"/>
      <c r="L1804" s="71"/>
      <c r="M1804" s="71"/>
      <c r="N1804" s="71"/>
      <c r="O1804" s="70"/>
      <c r="P1804" s="73"/>
      <c r="Q1804" s="71"/>
      <c r="R1804" s="71"/>
      <c r="S1804" s="71"/>
      <c r="T1804" s="71"/>
      <c r="U1804" s="71"/>
      <c r="V1804" s="70"/>
      <c r="W1804" s="70"/>
      <c r="X1804" s="70"/>
      <c r="Y1804" s="70"/>
      <c r="Z1804" s="102"/>
    </row>
    <row r="1805">
      <c r="A1805" s="94"/>
      <c r="B1805" s="66"/>
      <c r="C1805" s="70"/>
      <c r="D1805" s="68"/>
      <c r="E1805" s="68"/>
      <c r="F1805" s="69"/>
      <c r="G1805" s="70"/>
      <c r="H1805" s="70"/>
      <c r="I1805" s="70"/>
      <c r="J1805" s="70"/>
      <c r="K1805" s="71"/>
      <c r="L1805" s="71"/>
      <c r="M1805" s="71"/>
      <c r="N1805" s="71"/>
      <c r="O1805" s="70"/>
      <c r="P1805" s="73"/>
      <c r="Q1805" s="71"/>
      <c r="R1805" s="71"/>
      <c r="S1805" s="71"/>
      <c r="T1805" s="71"/>
      <c r="U1805" s="71"/>
      <c r="V1805" s="70"/>
      <c r="W1805" s="70"/>
      <c r="X1805" s="70"/>
      <c r="Y1805" s="70"/>
      <c r="Z1805" s="102"/>
    </row>
    <row r="1806">
      <c r="A1806" s="94"/>
      <c r="B1806" s="66"/>
      <c r="C1806" s="70"/>
      <c r="D1806" s="68"/>
      <c r="E1806" s="68"/>
      <c r="F1806" s="69"/>
      <c r="G1806" s="70"/>
      <c r="H1806" s="70"/>
      <c r="I1806" s="70"/>
      <c r="J1806" s="70"/>
      <c r="K1806" s="71"/>
      <c r="L1806" s="71"/>
      <c r="M1806" s="71"/>
      <c r="N1806" s="71"/>
      <c r="O1806" s="70"/>
      <c r="P1806" s="73"/>
      <c r="Q1806" s="71"/>
      <c r="R1806" s="71"/>
      <c r="S1806" s="71"/>
      <c r="T1806" s="71"/>
      <c r="U1806" s="71"/>
      <c r="V1806" s="70"/>
      <c r="W1806" s="70"/>
      <c r="X1806" s="70"/>
      <c r="Y1806" s="70"/>
      <c r="Z1806" s="102"/>
    </row>
    <row r="1807">
      <c r="A1807" s="94"/>
      <c r="B1807" s="66"/>
      <c r="C1807" s="70"/>
      <c r="D1807" s="68"/>
      <c r="E1807" s="68"/>
      <c r="F1807" s="69"/>
      <c r="G1807" s="70"/>
      <c r="H1807" s="70"/>
      <c r="I1807" s="70"/>
      <c r="J1807" s="70"/>
      <c r="K1807" s="71"/>
      <c r="L1807" s="71"/>
      <c r="M1807" s="71"/>
      <c r="N1807" s="71"/>
      <c r="O1807" s="70"/>
      <c r="P1807" s="73"/>
      <c r="Q1807" s="71"/>
      <c r="R1807" s="71"/>
      <c r="S1807" s="71"/>
      <c r="T1807" s="71"/>
      <c r="U1807" s="71"/>
      <c r="V1807" s="70"/>
      <c r="W1807" s="70"/>
      <c r="X1807" s="70"/>
      <c r="Y1807" s="70"/>
      <c r="Z1807" s="102"/>
    </row>
    <row r="1808">
      <c r="A1808" s="94"/>
      <c r="B1808" s="66"/>
      <c r="C1808" s="70"/>
      <c r="D1808" s="68"/>
      <c r="E1808" s="68"/>
      <c r="F1808" s="69"/>
      <c r="G1808" s="70"/>
      <c r="H1808" s="70"/>
      <c r="I1808" s="70"/>
      <c r="J1808" s="70"/>
      <c r="K1808" s="71"/>
      <c r="L1808" s="71"/>
      <c r="M1808" s="71"/>
      <c r="N1808" s="71"/>
      <c r="O1808" s="70"/>
      <c r="P1808" s="73"/>
      <c r="Q1808" s="71"/>
      <c r="R1808" s="71"/>
      <c r="S1808" s="71"/>
      <c r="T1808" s="71"/>
      <c r="U1808" s="71"/>
      <c r="V1808" s="70"/>
      <c r="W1808" s="70"/>
      <c r="X1808" s="70"/>
      <c r="Y1808" s="70"/>
      <c r="Z1808" s="102"/>
    </row>
    <row r="1809">
      <c r="A1809" s="94"/>
      <c r="B1809" s="66"/>
      <c r="C1809" s="70"/>
      <c r="D1809" s="68"/>
      <c r="E1809" s="68"/>
      <c r="F1809" s="69"/>
      <c r="G1809" s="70"/>
      <c r="H1809" s="70"/>
      <c r="I1809" s="70"/>
      <c r="J1809" s="70"/>
      <c r="K1809" s="71"/>
      <c r="L1809" s="71"/>
      <c r="M1809" s="71"/>
      <c r="N1809" s="71"/>
      <c r="O1809" s="70"/>
      <c r="P1809" s="73"/>
      <c r="Q1809" s="71"/>
      <c r="R1809" s="71"/>
      <c r="S1809" s="71"/>
      <c r="T1809" s="71"/>
      <c r="U1809" s="71"/>
      <c r="V1809" s="70"/>
      <c r="W1809" s="70"/>
      <c r="X1809" s="70"/>
      <c r="Y1809" s="70"/>
      <c r="Z1809" s="102"/>
    </row>
    <row r="1810">
      <c r="A1810" s="94"/>
      <c r="B1810" s="66"/>
      <c r="C1810" s="70"/>
      <c r="D1810" s="68"/>
      <c r="E1810" s="68"/>
      <c r="F1810" s="69"/>
      <c r="G1810" s="70"/>
      <c r="H1810" s="70"/>
      <c r="I1810" s="70"/>
      <c r="J1810" s="70"/>
      <c r="K1810" s="71"/>
      <c r="L1810" s="71"/>
      <c r="M1810" s="71"/>
      <c r="N1810" s="71"/>
      <c r="O1810" s="70"/>
      <c r="P1810" s="73"/>
      <c r="Q1810" s="71"/>
      <c r="R1810" s="71"/>
      <c r="S1810" s="71"/>
      <c r="T1810" s="71"/>
      <c r="U1810" s="71"/>
      <c r="V1810" s="70"/>
      <c r="W1810" s="70"/>
      <c r="X1810" s="70"/>
      <c r="Y1810" s="70"/>
      <c r="Z1810" s="102"/>
    </row>
    <row r="1811">
      <c r="A1811" s="94"/>
      <c r="B1811" s="66"/>
      <c r="C1811" s="70"/>
      <c r="D1811" s="68"/>
      <c r="E1811" s="68"/>
      <c r="F1811" s="69"/>
      <c r="G1811" s="70"/>
      <c r="H1811" s="70"/>
      <c r="I1811" s="70"/>
      <c r="J1811" s="70"/>
      <c r="K1811" s="71"/>
      <c r="L1811" s="71"/>
      <c r="M1811" s="71"/>
      <c r="N1811" s="71"/>
      <c r="O1811" s="70"/>
      <c r="P1811" s="73"/>
      <c r="Q1811" s="71"/>
      <c r="R1811" s="71"/>
      <c r="S1811" s="71"/>
      <c r="T1811" s="71"/>
      <c r="U1811" s="71"/>
      <c r="V1811" s="70"/>
      <c r="W1811" s="70"/>
      <c r="X1811" s="70"/>
      <c r="Y1811" s="70"/>
      <c r="Z1811" s="102"/>
    </row>
    <row r="1812">
      <c r="A1812" s="94"/>
      <c r="B1812" s="66"/>
      <c r="C1812" s="70"/>
      <c r="D1812" s="68"/>
      <c r="E1812" s="68"/>
      <c r="F1812" s="69"/>
      <c r="G1812" s="70"/>
      <c r="H1812" s="70"/>
      <c r="I1812" s="70"/>
      <c r="J1812" s="70"/>
      <c r="K1812" s="71"/>
      <c r="L1812" s="71"/>
      <c r="M1812" s="71"/>
      <c r="N1812" s="71"/>
      <c r="O1812" s="70"/>
      <c r="P1812" s="73"/>
      <c r="Q1812" s="71"/>
      <c r="R1812" s="71"/>
      <c r="S1812" s="71"/>
      <c r="T1812" s="71"/>
      <c r="U1812" s="71"/>
      <c r="V1812" s="70"/>
      <c r="W1812" s="70"/>
      <c r="X1812" s="70"/>
      <c r="Y1812" s="70"/>
      <c r="Z1812" s="102"/>
    </row>
    <row r="1813">
      <c r="A1813" s="94"/>
      <c r="B1813" s="66"/>
      <c r="C1813" s="70"/>
      <c r="D1813" s="68"/>
      <c r="E1813" s="68"/>
      <c r="F1813" s="69"/>
      <c r="G1813" s="70"/>
      <c r="H1813" s="70"/>
      <c r="I1813" s="70"/>
      <c r="J1813" s="70"/>
      <c r="K1813" s="71"/>
      <c r="L1813" s="71"/>
      <c r="M1813" s="71"/>
      <c r="N1813" s="71"/>
      <c r="O1813" s="70"/>
      <c r="P1813" s="73"/>
      <c r="Q1813" s="71"/>
      <c r="R1813" s="71"/>
      <c r="S1813" s="71"/>
      <c r="T1813" s="71"/>
      <c r="U1813" s="71"/>
      <c r="V1813" s="70"/>
      <c r="W1813" s="70"/>
      <c r="X1813" s="70"/>
      <c r="Y1813" s="70"/>
      <c r="Z1813" s="102"/>
    </row>
    <row r="1814">
      <c r="A1814" s="94"/>
      <c r="B1814" s="66"/>
      <c r="C1814" s="70"/>
      <c r="D1814" s="68"/>
      <c r="E1814" s="68"/>
      <c r="F1814" s="69"/>
      <c r="G1814" s="70"/>
      <c r="H1814" s="70"/>
      <c r="I1814" s="70"/>
      <c r="J1814" s="70"/>
      <c r="K1814" s="71"/>
      <c r="L1814" s="71"/>
      <c r="M1814" s="71"/>
      <c r="N1814" s="71"/>
      <c r="O1814" s="70"/>
      <c r="P1814" s="73"/>
      <c r="Q1814" s="71"/>
      <c r="R1814" s="71"/>
      <c r="S1814" s="71"/>
      <c r="T1814" s="71"/>
      <c r="U1814" s="71"/>
      <c r="V1814" s="70"/>
      <c r="W1814" s="70"/>
      <c r="X1814" s="70"/>
      <c r="Y1814" s="70"/>
      <c r="Z1814" s="102"/>
    </row>
    <row r="1815">
      <c r="A1815" s="94"/>
      <c r="B1815" s="66"/>
      <c r="C1815" s="70"/>
      <c r="D1815" s="68"/>
      <c r="E1815" s="68"/>
      <c r="F1815" s="69"/>
      <c r="G1815" s="70"/>
      <c r="H1815" s="70"/>
      <c r="I1815" s="70"/>
      <c r="J1815" s="70"/>
      <c r="K1815" s="71"/>
      <c r="L1815" s="71"/>
      <c r="M1815" s="71"/>
      <c r="N1815" s="71"/>
      <c r="O1815" s="70"/>
      <c r="P1815" s="73"/>
      <c r="Q1815" s="71"/>
      <c r="R1815" s="71"/>
      <c r="S1815" s="71"/>
      <c r="T1815" s="71"/>
      <c r="U1815" s="71"/>
      <c r="V1815" s="70"/>
      <c r="W1815" s="70"/>
      <c r="X1815" s="70"/>
      <c r="Y1815" s="70"/>
      <c r="Z1815" s="102"/>
    </row>
    <row r="1816">
      <c r="A1816" s="94"/>
      <c r="B1816" s="66"/>
      <c r="C1816" s="70"/>
      <c r="D1816" s="68"/>
      <c r="E1816" s="68"/>
      <c r="F1816" s="69"/>
      <c r="G1816" s="70"/>
      <c r="H1816" s="70"/>
      <c r="I1816" s="70"/>
      <c r="J1816" s="70"/>
      <c r="K1816" s="71"/>
      <c r="L1816" s="71"/>
      <c r="M1816" s="71"/>
      <c r="N1816" s="71"/>
      <c r="O1816" s="70"/>
      <c r="P1816" s="73"/>
      <c r="Q1816" s="71"/>
      <c r="R1816" s="71"/>
      <c r="S1816" s="71"/>
      <c r="T1816" s="71"/>
      <c r="U1816" s="71"/>
      <c r="V1816" s="70"/>
      <c r="W1816" s="70"/>
      <c r="X1816" s="70"/>
      <c r="Y1816" s="70"/>
      <c r="Z1816" s="102"/>
    </row>
    <row r="1817">
      <c r="A1817" s="94"/>
      <c r="B1817" s="66"/>
      <c r="C1817" s="70"/>
      <c r="D1817" s="68"/>
      <c r="E1817" s="68"/>
      <c r="F1817" s="69"/>
      <c r="G1817" s="70"/>
      <c r="H1817" s="70"/>
      <c r="I1817" s="70"/>
      <c r="J1817" s="70"/>
      <c r="K1817" s="71"/>
      <c r="L1817" s="71"/>
      <c r="M1817" s="71"/>
      <c r="N1817" s="71"/>
      <c r="O1817" s="70"/>
      <c r="P1817" s="73"/>
      <c r="Q1817" s="71"/>
      <c r="R1817" s="71"/>
      <c r="S1817" s="71"/>
      <c r="T1817" s="71"/>
      <c r="U1817" s="71"/>
      <c r="V1817" s="70"/>
      <c r="W1817" s="70"/>
      <c r="X1817" s="70"/>
      <c r="Y1817" s="70"/>
      <c r="Z1817" s="102"/>
    </row>
    <row r="1818">
      <c r="A1818" s="94"/>
      <c r="B1818" s="66"/>
      <c r="C1818" s="70"/>
      <c r="D1818" s="68"/>
      <c r="E1818" s="68"/>
      <c r="F1818" s="69"/>
      <c r="G1818" s="70"/>
      <c r="H1818" s="70"/>
      <c r="I1818" s="70"/>
      <c r="J1818" s="70"/>
      <c r="K1818" s="71"/>
      <c r="L1818" s="71"/>
      <c r="M1818" s="71"/>
      <c r="N1818" s="71"/>
      <c r="O1818" s="70"/>
      <c r="P1818" s="73"/>
      <c r="Q1818" s="71"/>
      <c r="R1818" s="71"/>
      <c r="S1818" s="71"/>
      <c r="T1818" s="71"/>
      <c r="U1818" s="71"/>
      <c r="V1818" s="70"/>
      <c r="W1818" s="70"/>
      <c r="X1818" s="70"/>
      <c r="Y1818" s="70"/>
      <c r="Z1818" s="102"/>
    </row>
    <row r="1819">
      <c r="A1819" s="94"/>
      <c r="B1819" s="66"/>
      <c r="C1819" s="70"/>
      <c r="D1819" s="68"/>
      <c r="E1819" s="68"/>
      <c r="F1819" s="69"/>
      <c r="G1819" s="70"/>
      <c r="H1819" s="70"/>
      <c r="I1819" s="70"/>
      <c r="J1819" s="70"/>
      <c r="K1819" s="71"/>
      <c r="L1819" s="71"/>
      <c r="M1819" s="71"/>
      <c r="N1819" s="71"/>
      <c r="O1819" s="70"/>
      <c r="P1819" s="73"/>
      <c r="Q1819" s="71"/>
      <c r="R1819" s="71"/>
      <c r="S1819" s="71"/>
      <c r="T1819" s="71"/>
      <c r="U1819" s="71"/>
      <c r="V1819" s="70"/>
      <c r="W1819" s="70"/>
      <c r="X1819" s="70"/>
      <c r="Y1819" s="70"/>
      <c r="Z1819" s="102"/>
    </row>
    <row r="1820">
      <c r="A1820" s="94"/>
      <c r="B1820" s="66"/>
      <c r="C1820" s="70"/>
      <c r="D1820" s="68"/>
      <c r="E1820" s="68"/>
      <c r="F1820" s="69"/>
      <c r="G1820" s="70"/>
      <c r="H1820" s="70"/>
      <c r="I1820" s="70"/>
      <c r="J1820" s="70"/>
      <c r="K1820" s="71"/>
      <c r="L1820" s="71"/>
      <c r="M1820" s="71"/>
      <c r="N1820" s="71"/>
      <c r="O1820" s="70"/>
      <c r="P1820" s="73"/>
      <c r="Q1820" s="71"/>
      <c r="R1820" s="71"/>
      <c r="S1820" s="71"/>
      <c r="T1820" s="71"/>
      <c r="U1820" s="71"/>
      <c r="V1820" s="70"/>
      <c r="W1820" s="70"/>
      <c r="X1820" s="70"/>
      <c r="Y1820" s="70"/>
      <c r="Z1820" s="102"/>
    </row>
    <row r="1821">
      <c r="A1821" s="94"/>
      <c r="B1821" s="66"/>
      <c r="C1821" s="70"/>
      <c r="D1821" s="68"/>
      <c r="E1821" s="68"/>
      <c r="F1821" s="69"/>
      <c r="G1821" s="70"/>
      <c r="H1821" s="70"/>
      <c r="I1821" s="70"/>
      <c r="J1821" s="70"/>
      <c r="K1821" s="71"/>
      <c r="L1821" s="71"/>
      <c r="M1821" s="71"/>
      <c r="N1821" s="71"/>
      <c r="O1821" s="70"/>
      <c r="P1821" s="73"/>
      <c r="Q1821" s="71"/>
      <c r="R1821" s="71"/>
      <c r="S1821" s="71"/>
      <c r="T1821" s="71"/>
      <c r="U1821" s="71"/>
      <c r="V1821" s="70"/>
      <c r="W1821" s="70"/>
      <c r="X1821" s="70"/>
      <c r="Y1821" s="70"/>
      <c r="Z1821" s="102"/>
    </row>
    <row r="1822">
      <c r="A1822" s="94"/>
      <c r="B1822" s="66"/>
      <c r="C1822" s="70"/>
      <c r="D1822" s="68"/>
      <c r="E1822" s="68"/>
      <c r="F1822" s="69"/>
      <c r="G1822" s="70"/>
      <c r="H1822" s="70"/>
      <c r="I1822" s="70"/>
      <c r="J1822" s="70"/>
      <c r="K1822" s="71"/>
      <c r="L1822" s="71"/>
      <c r="M1822" s="71"/>
      <c r="N1822" s="71"/>
      <c r="O1822" s="70"/>
      <c r="P1822" s="73"/>
      <c r="Q1822" s="71"/>
      <c r="R1822" s="71"/>
      <c r="S1822" s="71"/>
      <c r="T1822" s="71"/>
      <c r="U1822" s="71"/>
      <c r="V1822" s="70"/>
      <c r="W1822" s="70"/>
      <c r="X1822" s="70"/>
      <c r="Y1822" s="70"/>
      <c r="Z1822" s="102"/>
    </row>
    <row r="1823">
      <c r="A1823" s="94"/>
      <c r="B1823" s="66"/>
      <c r="C1823" s="70"/>
      <c r="D1823" s="68"/>
      <c r="E1823" s="68"/>
      <c r="F1823" s="69"/>
      <c r="G1823" s="70"/>
      <c r="H1823" s="70"/>
      <c r="I1823" s="70"/>
      <c r="J1823" s="70"/>
      <c r="K1823" s="71"/>
      <c r="L1823" s="71"/>
      <c r="M1823" s="71"/>
      <c r="N1823" s="71"/>
      <c r="O1823" s="70"/>
      <c r="P1823" s="73"/>
      <c r="Q1823" s="71"/>
      <c r="R1823" s="71"/>
      <c r="S1823" s="71"/>
      <c r="T1823" s="71"/>
      <c r="U1823" s="71"/>
      <c r="V1823" s="70"/>
      <c r="W1823" s="70"/>
      <c r="X1823" s="70"/>
      <c r="Y1823" s="70"/>
      <c r="Z1823" s="102"/>
    </row>
    <row r="1824">
      <c r="A1824" s="94"/>
      <c r="B1824" s="66"/>
      <c r="C1824" s="70"/>
      <c r="D1824" s="68"/>
      <c r="E1824" s="68"/>
      <c r="F1824" s="69"/>
      <c r="G1824" s="70"/>
      <c r="H1824" s="70"/>
      <c r="I1824" s="70"/>
      <c r="J1824" s="70"/>
      <c r="K1824" s="71"/>
      <c r="L1824" s="71"/>
      <c r="M1824" s="71"/>
      <c r="N1824" s="71"/>
      <c r="O1824" s="70"/>
      <c r="P1824" s="73"/>
      <c r="Q1824" s="71"/>
      <c r="R1824" s="71"/>
      <c r="S1824" s="71"/>
      <c r="T1824" s="71"/>
      <c r="U1824" s="71"/>
      <c r="V1824" s="70"/>
      <c r="W1824" s="70"/>
      <c r="X1824" s="70"/>
      <c r="Y1824" s="70"/>
      <c r="Z1824" s="102"/>
    </row>
    <row r="1825">
      <c r="A1825" s="94"/>
      <c r="B1825" s="66"/>
      <c r="C1825" s="70"/>
      <c r="D1825" s="68"/>
      <c r="E1825" s="68"/>
      <c r="F1825" s="69"/>
      <c r="G1825" s="70"/>
      <c r="H1825" s="70"/>
      <c r="I1825" s="70"/>
      <c r="J1825" s="70"/>
      <c r="K1825" s="71"/>
      <c r="L1825" s="71"/>
      <c r="M1825" s="71"/>
      <c r="N1825" s="71"/>
      <c r="O1825" s="70"/>
      <c r="P1825" s="73"/>
      <c r="Q1825" s="71"/>
      <c r="R1825" s="71"/>
      <c r="S1825" s="71"/>
      <c r="T1825" s="71"/>
      <c r="U1825" s="71"/>
      <c r="V1825" s="70"/>
      <c r="W1825" s="70"/>
      <c r="X1825" s="70"/>
      <c r="Y1825" s="70"/>
      <c r="Z1825" s="102"/>
    </row>
    <row r="1826">
      <c r="A1826" s="94"/>
      <c r="B1826" s="66"/>
      <c r="C1826" s="70"/>
      <c r="D1826" s="68"/>
      <c r="E1826" s="68"/>
      <c r="F1826" s="69"/>
      <c r="G1826" s="70"/>
      <c r="H1826" s="70"/>
      <c r="I1826" s="70"/>
      <c r="J1826" s="70"/>
      <c r="K1826" s="71"/>
      <c r="L1826" s="71"/>
      <c r="M1826" s="71"/>
      <c r="N1826" s="71"/>
      <c r="O1826" s="70"/>
      <c r="P1826" s="73"/>
      <c r="Q1826" s="71"/>
      <c r="R1826" s="71"/>
      <c r="S1826" s="71"/>
      <c r="T1826" s="71"/>
      <c r="U1826" s="71"/>
      <c r="V1826" s="70"/>
      <c r="W1826" s="70"/>
      <c r="X1826" s="70"/>
      <c r="Y1826" s="70"/>
      <c r="Z1826" s="102"/>
    </row>
    <row r="1827">
      <c r="A1827" s="94"/>
      <c r="B1827" s="66"/>
      <c r="C1827" s="70"/>
      <c r="D1827" s="68"/>
      <c r="E1827" s="68"/>
      <c r="F1827" s="69"/>
      <c r="G1827" s="70"/>
      <c r="H1827" s="70"/>
      <c r="I1827" s="70"/>
      <c r="J1827" s="70"/>
      <c r="K1827" s="71"/>
      <c r="L1827" s="71"/>
      <c r="M1827" s="71"/>
      <c r="N1827" s="71"/>
      <c r="O1827" s="70"/>
      <c r="P1827" s="73"/>
      <c r="Q1827" s="71"/>
      <c r="R1827" s="71"/>
      <c r="S1827" s="71"/>
      <c r="T1827" s="71"/>
      <c r="U1827" s="71"/>
      <c r="V1827" s="70"/>
      <c r="W1827" s="70"/>
      <c r="X1827" s="70"/>
      <c r="Y1827" s="70"/>
      <c r="Z1827" s="102"/>
    </row>
    <row r="1828">
      <c r="A1828" s="94"/>
      <c r="B1828" s="66"/>
      <c r="C1828" s="70"/>
      <c r="D1828" s="68"/>
      <c r="E1828" s="68"/>
      <c r="F1828" s="69"/>
      <c r="G1828" s="70"/>
      <c r="H1828" s="70"/>
      <c r="I1828" s="70"/>
      <c r="J1828" s="70"/>
      <c r="K1828" s="71"/>
      <c r="L1828" s="71"/>
      <c r="M1828" s="71"/>
      <c r="N1828" s="71"/>
      <c r="O1828" s="70"/>
      <c r="P1828" s="73"/>
      <c r="Q1828" s="71"/>
      <c r="R1828" s="71"/>
      <c r="S1828" s="71"/>
      <c r="T1828" s="71"/>
      <c r="U1828" s="71"/>
      <c r="V1828" s="70"/>
      <c r="W1828" s="70"/>
      <c r="X1828" s="70"/>
      <c r="Y1828" s="70"/>
      <c r="Z1828" s="102"/>
    </row>
    <row r="1829">
      <c r="A1829" s="94"/>
      <c r="B1829" s="66"/>
      <c r="C1829" s="70"/>
      <c r="D1829" s="68"/>
      <c r="E1829" s="68"/>
      <c r="F1829" s="69"/>
      <c r="G1829" s="70"/>
      <c r="H1829" s="70"/>
      <c r="I1829" s="70"/>
      <c r="J1829" s="70"/>
      <c r="K1829" s="71"/>
      <c r="L1829" s="71"/>
      <c r="M1829" s="71"/>
      <c r="N1829" s="71"/>
      <c r="O1829" s="70"/>
      <c r="P1829" s="73"/>
      <c r="Q1829" s="71"/>
      <c r="R1829" s="71"/>
      <c r="S1829" s="71"/>
      <c r="T1829" s="71"/>
      <c r="U1829" s="71"/>
      <c r="V1829" s="70"/>
      <c r="W1829" s="70"/>
      <c r="X1829" s="70"/>
      <c r="Y1829" s="70"/>
      <c r="Z1829" s="102"/>
    </row>
    <row r="1830">
      <c r="A1830" s="94"/>
      <c r="B1830" s="66"/>
      <c r="C1830" s="70"/>
      <c r="D1830" s="68"/>
      <c r="E1830" s="68"/>
      <c r="F1830" s="69"/>
      <c r="G1830" s="70"/>
      <c r="H1830" s="70"/>
      <c r="I1830" s="70"/>
      <c r="J1830" s="70"/>
      <c r="K1830" s="71"/>
      <c r="L1830" s="71"/>
      <c r="M1830" s="71"/>
      <c r="N1830" s="71"/>
      <c r="O1830" s="70"/>
      <c r="P1830" s="73"/>
      <c r="Q1830" s="71"/>
      <c r="R1830" s="71"/>
      <c r="S1830" s="71"/>
      <c r="T1830" s="71"/>
      <c r="U1830" s="71"/>
      <c r="V1830" s="70"/>
      <c r="W1830" s="70"/>
      <c r="X1830" s="70"/>
      <c r="Y1830" s="70"/>
      <c r="Z1830" s="102"/>
    </row>
    <row r="1831">
      <c r="A1831" s="94"/>
      <c r="B1831" s="66"/>
      <c r="C1831" s="70"/>
      <c r="D1831" s="68"/>
      <c r="E1831" s="68"/>
      <c r="F1831" s="69"/>
      <c r="G1831" s="70"/>
      <c r="H1831" s="70"/>
      <c r="I1831" s="70"/>
      <c r="J1831" s="70"/>
      <c r="K1831" s="71"/>
      <c r="L1831" s="71"/>
      <c r="M1831" s="71"/>
      <c r="N1831" s="71"/>
      <c r="O1831" s="70"/>
      <c r="P1831" s="73"/>
      <c r="Q1831" s="71"/>
      <c r="R1831" s="71"/>
      <c r="S1831" s="71"/>
      <c r="T1831" s="71"/>
      <c r="U1831" s="71"/>
      <c r="V1831" s="70"/>
      <c r="W1831" s="70"/>
      <c r="X1831" s="70"/>
      <c r="Y1831" s="70"/>
      <c r="Z1831" s="102"/>
    </row>
    <row r="1832">
      <c r="A1832" s="94"/>
      <c r="B1832" s="66"/>
      <c r="C1832" s="70"/>
      <c r="D1832" s="68"/>
      <c r="E1832" s="68"/>
      <c r="F1832" s="69"/>
      <c r="G1832" s="70"/>
      <c r="H1832" s="70"/>
      <c r="I1832" s="70"/>
      <c r="J1832" s="70"/>
      <c r="K1832" s="71"/>
      <c r="L1832" s="71"/>
      <c r="M1832" s="71"/>
      <c r="N1832" s="71"/>
      <c r="O1832" s="70"/>
      <c r="P1832" s="73"/>
      <c r="Q1832" s="71"/>
      <c r="R1832" s="71"/>
      <c r="S1832" s="71"/>
      <c r="T1832" s="71"/>
      <c r="U1832" s="71"/>
      <c r="V1832" s="70"/>
      <c r="W1832" s="70"/>
      <c r="X1832" s="70"/>
      <c r="Y1832" s="70"/>
      <c r="Z1832" s="102"/>
    </row>
    <row r="1833">
      <c r="A1833" s="94"/>
      <c r="B1833" s="66"/>
      <c r="C1833" s="70"/>
      <c r="D1833" s="68"/>
      <c r="E1833" s="68"/>
      <c r="F1833" s="69"/>
      <c r="G1833" s="70"/>
      <c r="H1833" s="70"/>
      <c r="I1833" s="70"/>
      <c r="J1833" s="70"/>
      <c r="K1833" s="71"/>
      <c r="L1833" s="71"/>
      <c r="M1833" s="71"/>
      <c r="N1833" s="71"/>
      <c r="O1833" s="70"/>
      <c r="P1833" s="73"/>
      <c r="Q1833" s="71"/>
      <c r="R1833" s="71"/>
      <c r="S1833" s="71"/>
      <c r="T1833" s="71"/>
      <c r="U1833" s="71"/>
      <c r="V1833" s="70"/>
      <c r="W1833" s="70"/>
      <c r="X1833" s="70"/>
      <c r="Y1833" s="70"/>
      <c r="Z1833" s="102"/>
    </row>
    <row r="1834">
      <c r="A1834" s="94"/>
      <c r="B1834" s="66"/>
      <c r="C1834" s="70"/>
      <c r="D1834" s="68"/>
      <c r="E1834" s="68"/>
      <c r="F1834" s="69"/>
      <c r="G1834" s="70"/>
      <c r="H1834" s="70"/>
      <c r="I1834" s="70"/>
      <c r="J1834" s="70"/>
      <c r="K1834" s="71"/>
      <c r="L1834" s="71"/>
      <c r="M1834" s="71"/>
      <c r="N1834" s="71"/>
      <c r="O1834" s="70"/>
      <c r="P1834" s="73"/>
      <c r="Q1834" s="71"/>
      <c r="R1834" s="71"/>
      <c r="S1834" s="71"/>
      <c r="T1834" s="71"/>
      <c r="U1834" s="71"/>
      <c r="V1834" s="70"/>
      <c r="W1834" s="70"/>
      <c r="X1834" s="70"/>
      <c r="Y1834" s="70"/>
      <c r="Z1834" s="102"/>
    </row>
    <row r="1835">
      <c r="A1835" s="94"/>
      <c r="B1835" s="66"/>
      <c r="C1835" s="70"/>
      <c r="D1835" s="68"/>
      <c r="E1835" s="68"/>
      <c r="F1835" s="69"/>
      <c r="G1835" s="70"/>
      <c r="H1835" s="70"/>
      <c r="I1835" s="70"/>
      <c r="J1835" s="70"/>
      <c r="K1835" s="71"/>
      <c r="L1835" s="71"/>
      <c r="M1835" s="71"/>
      <c r="N1835" s="71"/>
      <c r="O1835" s="70"/>
      <c r="P1835" s="73"/>
      <c r="Q1835" s="71"/>
      <c r="R1835" s="71"/>
      <c r="S1835" s="71"/>
      <c r="T1835" s="71"/>
      <c r="U1835" s="71"/>
      <c r="V1835" s="70"/>
      <c r="W1835" s="70"/>
      <c r="X1835" s="70"/>
      <c r="Y1835" s="70"/>
      <c r="Z1835" s="102"/>
    </row>
    <row r="1836">
      <c r="A1836" s="94"/>
      <c r="B1836" s="66"/>
      <c r="C1836" s="70"/>
      <c r="D1836" s="68"/>
      <c r="E1836" s="68"/>
      <c r="F1836" s="69"/>
      <c r="G1836" s="70"/>
      <c r="H1836" s="70"/>
      <c r="I1836" s="70"/>
      <c r="J1836" s="70"/>
      <c r="K1836" s="71"/>
      <c r="L1836" s="71"/>
      <c r="M1836" s="71"/>
      <c r="N1836" s="71"/>
      <c r="O1836" s="70"/>
      <c r="P1836" s="73"/>
      <c r="Q1836" s="71"/>
      <c r="R1836" s="71"/>
      <c r="S1836" s="71"/>
      <c r="T1836" s="71"/>
      <c r="U1836" s="71"/>
      <c r="V1836" s="70"/>
      <c r="W1836" s="70"/>
      <c r="X1836" s="70"/>
      <c r="Y1836" s="70"/>
      <c r="Z1836" s="102"/>
    </row>
    <row r="1837">
      <c r="A1837" s="94"/>
      <c r="B1837" s="66"/>
      <c r="C1837" s="70"/>
      <c r="D1837" s="68"/>
      <c r="E1837" s="68"/>
      <c r="F1837" s="69"/>
      <c r="G1837" s="70"/>
      <c r="H1837" s="70"/>
      <c r="I1837" s="70"/>
      <c r="J1837" s="70"/>
      <c r="K1837" s="71"/>
      <c r="L1837" s="71"/>
      <c r="M1837" s="71"/>
      <c r="N1837" s="71"/>
      <c r="O1837" s="70"/>
      <c r="P1837" s="73"/>
      <c r="Q1837" s="71"/>
      <c r="R1837" s="71"/>
      <c r="S1837" s="71"/>
      <c r="T1837" s="71"/>
      <c r="U1837" s="71"/>
      <c r="V1837" s="70"/>
      <c r="W1837" s="70"/>
      <c r="X1837" s="70"/>
      <c r="Y1837" s="70"/>
      <c r="Z1837" s="102"/>
    </row>
    <row r="1838">
      <c r="A1838" s="94"/>
      <c r="B1838" s="66"/>
      <c r="C1838" s="70"/>
      <c r="D1838" s="68"/>
      <c r="E1838" s="68"/>
      <c r="F1838" s="69"/>
      <c r="G1838" s="70"/>
      <c r="H1838" s="70"/>
      <c r="I1838" s="70"/>
      <c r="J1838" s="70"/>
      <c r="K1838" s="71"/>
      <c r="L1838" s="71"/>
      <c r="M1838" s="71"/>
      <c r="N1838" s="71"/>
      <c r="O1838" s="70"/>
      <c r="P1838" s="73"/>
      <c r="Q1838" s="71"/>
      <c r="R1838" s="71"/>
      <c r="S1838" s="71"/>
      <c r="T1838" s="71"/>
      <c r="U1838" s="71"/>
      <c r="V1838" s="70"/>
      <c r="W1838" s="70"/>
      <c r="X1838" s="70"/>
      <c r="Y1838" s="70"/>
      <c r="Z1838" s="102"/>
    </row>
    <row r="1839">
      <c r="A1839" s="94"/>
      <c r="B1839" s="66"/>
      <c r="C1839" s="70"/>
      <c r="D1839" s="68"/>
      <c r="E1839" s="68"/>
      <c r="F1839" s="69"/>
      <c r="G1839" s="70"/>
      <c r="H1839" s="70"/>
      <c r="I1839" s="70"/>
      <c r="J1839" s="70"/>
      <c r="K1839" s="71"/>
      <c r="L1839" s="71"/>
      <c r="M1839" s="71"/>
      <c r="N1839" s="71"/>
      <c r="O1839" s="70"/>
      <c r="P1839" s="73"/>
      <c r="Q1839" s="71"/>
      <c r="R1839" s="71"/>
      <c r="S1839" s="71"/>
      <c r="T1839" s="71"/>
      <c r="U1839" s="71"/>
      <c r="V1839" s="70"/>
      <c r="W1839" s="70"/>
      <c r="X1839" s="70"/>
      <c r="Y1839" s="70"/>
      <c r="Z1839" s="102"/>
    </row>
    <row r="1840">
      <c r="A1840" s="94"/>
      <c r="B1840" s="66"/>
      <c r="C1840" s="70"/>
      <c r="D1840" s="68"/>
      <c r="E1840" s="68"/>
      <c r="F1840" s="69"/>
      <c r="G1840" s="70"/>
      <c r="H1840" s="70"/>
      <c r="I1840" s="70"/>
      <c r="J1840" s="70"/>
      <c r="K1840" s="71"/>
      <c r="L1840" s="71"/>
      <c r="M1840" s="71"/>
      <c r="N1840" s="71"/>
      <c r="O1840" s="70"/>
      <c r="P1840" s="73"/>
      <c r="Q1840" s="71"/>
      <c r="R1840" s="71"/>
      <c r="S1840" s="71"/>
      <c r="T1840" s="71"/>
      <c r="U1840" s="71"/>
      <c r="V1840" s="70"/>
      <c r="W1840" s="70"/>
      <c r="X1840" s="70"/>
      <c r="Y1840" s="70"/>
      <c r="Z1840" s="102"/>
    </row>
    <row r="1841">
      <c r="A1841" s="94"/>
      <c r="B1841" s="66"/>
      <c r="C1841" s="70"/>
      <c r="D1841" s="68"/>
      <c r="E1841" s="68"/>
      <c r="F1841" s="69"/>
      <c r="G1841" s="70"/>
      <c r="H1841" s="70"/>
      <c r="I1841" s="70"/>
      <c r="J1841" s="70"/>
      <c r="K1841" s="71"/>
      <c r="L1841" s="71"/>
      <c r="M1841" s="71"/>
      <c r="N1841" s="71"/>
      <c r="O1841" s="70"/>
      <c r="P1841" s="73"/>
      <c r="Q1841" s="71"/>
      <c r="R1841" s="71"/>
      <c r="S1841" s="71"/>
      <c r="T1841" s="71"/>
      <c r="U1841" s="71"/>
      <c r="V1841" s="70"/>
      <c r="W1841" s="70"/>
      <c r="X1841" s="70"/>
      <c r="Y1841" s="70"/>
      <c r="Z1841" s="102"/>
    </row>
    <row r="1842">
      <c r="A1842" s="94"/>
      <c r="B1842" s="66"/>
      <c r="C1842" s="70"/>
      <c r="D1842" s="68"/>
      <c r="E1842" s="68"/>
      <c r="F1842" s="69"/>
      <c r="G1842" s="70"/>
      <c r="H1842" s="70"/>
      <c r="I1842" s="70"/>
      <c r="J1842" s="70"/>
      <c r="K1842" s="71"/>
      <c r="L1842" s="71"/>
      <c r="M1842" s="71"/>
      <c r="N1842" s="71"/>
      <c r="O1842" s="70"/>
      <c r="P1842" s="73"/>
      <c r="Q1842" s="71"/>
      <c r="R1842" s="71"/>
      <c r="S1842" s="71"/>
      <c r="T1842" s="71"/>
      <c r="U1842" s="71"/>
      <c r="V1842" s="70"/>
      <c r="W1842" s="70"/>
      <c r="X1842" s="70"/>
      <c r="Y1842" s="70"/>
      <c r="Z1842" s="102"/>
    </row>
    <row r="1843">
      <c r="A1843" s="94"/>
      <c r="B1843" s="66"/>
      <c r="C1843" s="70"/>
      <c r="D1843" s="68"/>
      <c r="E1843" s="68"/>
      <c r="F1843" s="69"/>
      <c r="G1843" s="70"/>
      <c r="H1843" s="70"/>
      <c r="I1843" s="70"/>
      <c r="J1843" s="70"/>
      <c r="K1843" s="71"/>
      <c r="L1843" s="71"/>
      <c r="M1843" s="71"/>
      <c r="N1843" s="71"/>
      <c r="O1843" s="70"/>
      <c r="P1843" s="73"/>
      <c r="Q1843" s="71"/>
      <c r="R1843" s="71"/>
      <c r="S1843" s="71"/>
      <c r="T1843" s="71"/>
      <c r="U1843" s="71"/>
      <c r="V1843" s="70"/>
      <c r="W1843" s="70"/>
      <c r="X1843" s="70"/>
      <c r="Y1843" s="70"/>
      <c r="Z1843" s="102"/>
    </row>
    <row r="1844">
      <c r="A1844" s="94"/>
      <c r="B1844" s="66"/>
      <c r="C1844" s="70"/>
      <c r="D1844" s="68"/>
      <c r="E1844" s="68"/>
      <c r="F1844" s="69"/>
      <c r="G1844" s="70"/>
      <c r="H1844" s="70"/>
      <c r="I1844" s="70"/>
      <c r="J1844" s="70"/>
      <c r="K1844" s="71"/>
      <c r="L1844" s="71"/>
      <c r="M1844" s="71"/>
      <c r="N1844" s="71"/>
      <c r="O1844" s="70"/>
      <c r="P1844" s="73"/>
      <c r="Q1844" s="71"/>
      <c r="R1844" s="71"/>
      <c r="S1844" s="71"/>
      <c r="T1844" s="71"/>
      <c r="U1844" s="71"/>
      <c r="V1844" s="70"/>
      <c r="W1844" s="70"/>
      <c r="X1844" s="70"/>
      <c r="Y1844" s="70"/>
      <c r="Z1844" s="102"/>
    </row>
    <row r="1845">
      <c r="A1845" s="94"/>
      <c r="B1845" s="66"/>
      <c r="C1845" s="70"/>
      <c r="D1845" s="68"/>
      <c r="E1845" s="68"/>
      <c r="F1845" s="69"/>
      <c r="G1845" s="70"/>
      <c r="H1845" s="70"/>
      <c r="I1845" s="70"/>
      <c r="J1845" s="70"/>
      <c r="K1845" s="71"/>
      <c r="L1845" s="71"/>
      <c r="M1845" s="71"/>
      <c r="N1845" s="71"/>
      <c r="O1845" s="70"/>
      <c r="P1845" s="73"/>
      <c r="Q1845" s="71"/>
      <c r="R1845" s="71"/>
      <c r="S1845" s="71"/>
      <c r="T1845" s="71"/>
      <c r="U1845" s="71"/>
      <c r="V1845" s="70"/>
      <c r="W1845" s="70"/>
      <c r="X1845" s="70"/>
      <c r="Y1845" s="70"/>
      <c r="Z1845" s="102"/>
    </row>
    <row r="1846">
      <c r="A1846" s="94"/>
      <c r="B1846" s="66"/>
      <c r="C1846" s="70"/>
      <c r="D1846" s="68"/>
      <c r="E1846" s="68"/>
      <c r="F1846" s="69"/>
      <c r="G1846" s="70"/>
      <c r="H1846" s="70"/>
      <c r="I1846" s="70"/>
      <c r="J1846" s="70"/>
      <c r="K1846" s="71"/>
      <c r="L1846" s="71"/>
      <c r="M1846" s="71"/>
      <c r="N1846" s="71"/>
      <c r="O1846" s="70"/>
      <c r="P1846" s="73"/>
      <c r="Q1846" s="71"/>
      <c r="R1846" s="71"/>
      <c r="S1846" s="71"/>
      <c r="T1846" s="71"/>
      <c r="U1846" s="71"/>
      <c r="V1846" s="70"/>
      <c r="W1846" s="70"/>
      <c r="X1846" s="70"/>
      <c r="Y1846" s="70"/>
      <c r="Z1846" s="102"/>
    </row>
    <row r="1847">
      <c r="A1847" s="94"/>
      <c r="B1847" s="66"/>
      <c r="C1847" s="70"/>
      <c r="D1847" s="68"/>
      <c r="E1847" s="68"/>
      <c r="F1847" s="69"/>
      <c r="G1847" s="70"/>
      <c r="H1847" s="70"/>
      <c r="I1847" s="70"/>
      <c r="J1847" s="70"/>
      <c r="K1847" s="71"/>
      <c r="L1847" s="71"/>
      <c r="M1847" s="71"/>
      <c r="N1847" s="71"/>
      <c r="O1847" s="70"/>
      <c r="P1847" s="73"/>
      <c r="Q1847" s="71"/>
      <c r="R1847" s="71"/>
      <c r="S1847" s="71"/>
      <c r="T1847" s="71"/>
      <c r="U1847" s="71"/>
      <c r="V1847" s="70"/>
      <c r="W1847" s="70"/>
      <c r="X1847" s="70"/>
      <c r="Y1847" s="70"/>
      <c r="Z1847" s="102"/>
    </row>
    <row r="1848">
      <c r="A1848" s="94"/>
      <c r="B1848" s="66"/>
      <c r="C1848" s="70"/>
      <c r="D1848" s="68"/>
      <c r="E1848" s="68"/>
      <c r="F1848" s="69"/>
      <c r="G1848" s="70"/>
      <c r="H1848" s="70"/>
      <c r="I1848" s="70"/>
      <c r="J1848" s="70"/>
      <c r="K1848" s="71"/>
      <c r="L1848" s="71"/>
      <c r="M1848" s="71"/>
      <c r="N1848" s="71"/>
      <c r="O1848" s="70"/>
      <c r="P1848" s="73"/>
      <c r="Q1848" s="71"/>
      <c r="R1848" s="71"/>
      <c r="S1848" s="71"/>
      <c r="T1848" s="71"/>
      <c r="U1848" s="71"/>
      <c r="V1848" s="70"/>
      <c r="W1848" s="70"/>
      <c r="X1848" s="70"/>
      <c r="Y1848" s="70"/>
      <c r="Z1848" s="102"/>
    </row>
    <row r="1849">
      <c r="A1849" s="94"/>
      <c r="B1849" s="66"/>
      <c r="C1849" s="70"/>
      <c r="D1849" s="68"/>
      <c r="E1849" s="68"/>
      <c r="F1849" s="69"/>
      <c r="G1849" s="70"/>
      <c r="H1849" s="70"/>
      <c r="I1849" s="70"/>
      <c r="J1849" s="70"/>
      <c r="K1849" s="71"/>
      <c r="L1849" s="71"/>
      <c r="M1849" s="71"/>
      <c r="N1849" s="71"/>
      <c r="O1849" s="70"/>
      <c r="P1849" s="73"/>
      <c r="Q1849" s="71"/>
      <c r="R1849" s="71"/>
      <c r="S1849" s="71"/>
      <c r="T1849" s="71"/>
      <c r="U1849" s="71"/>
      <c r="V1849" s="70"/>
      <c r="W1849" s="70"/>
      <c r="X1849" s="70"/>
      <c r="Y1849" s="70"/>
      <c r="Z1849" s="102"/>
    </row>
    <row r="1850">
      <c r="A1850" s="94"/>
      <c r="B1850" s="66"/>
      <c r="C1850" s="70"/>
      <c r="D1850" s="68"/>
      <c r="E1850" s="68"/>
      <c r="F1850" s="69"/>
      <c r="G1850" s="70"/>
      <c r="H1850" s="70"/>
      <c r="I1850" s="70"/>
      <c r="J1850" s="70"/>
      <c r="K1850" s="71"/>
      <c r="L1850" s="71"/>
      <c r="M1850" s="71"/>
      <c r="N1850" s="71"/>
      <c r="O1850" s="70"/>
      <c r="P1850" s="73"/>
      <c r="Q1850" s="71"/>
      <c r="R1850" s="71"/>
      <c r="S1850" s="71"/>
      <c r="T1850" s="71"/>
      <c r="U1850" s="71"/>
      <c r="V1850" s="70"/>
      <c r="W1850" s="70"/>
      <c r="X1850" s="70"/>
      <c r="Y1850" s="70"/>
      <c r="Z1850" s="102"/>
    </row>
    <row r="1851">
      <c r="A1851" s="94"/>
      <c r="B1851" s="66"/>
      <c r="C1851" s="70"/>
      <c r="D1851" s="68"/>
      <c r="E1851" s="68"/>
      <c r="F1851" s="69"/>
      <c r="G1851" s="70"/>
      <c r="H1851" s="70"/>
      <c r="I1851" s="70"/>
      <c r="J1851" s="70"/>
      <c r="K1851" s="71"/>
      <c r="L1851" s="71"/>
      <c r="M1851" s="71"/>
      <c r="N1851" s="71"/>
      <c r="O1851" s="70"/>
      <c r="P1851" s="73"/>
      <c r="Q1851" s="71"/>
      <c r="R1851" s="71"/>
      <c r="S1851" s="71"/>
      <c r="T1851" s="71"/>
      <c r="U1851" s="71"/>
      <c r="V1851" s="70"/>
      <c r="W1851" s="70"/>
      <c r="X1851" s="70"/>
      <c r="Y1851" s="70"/>
      <c r="Z1851" s="102"/>
    </row>
    <row r="1852">
      <c r="A1852" s="94"/>
      <c r="B1852" s="66"/>
      <c r="C1852" s="70"/>
      <c r="D1852" s="68"/>
      <c r="E1852" s="68"/>
      <c r="F1852" s="69"/>
      <c r="G1852" s="70"/>
      <c r="H1852" s="70"/>
      <c r="I1852" s="70"/>
      <c r="J1852" s="70"/>
      <c r="K1852" s="71"/>
      <c r="L1852" s="71"/>
      <c r="M1852" s="71"/>
      <c r="N1852" s="71"/>
      <c r="O1852" s="70"/>
      <c r="P1852" s="73"/>
      <c r="Q1852" s="71"/>
      <c r="R1852" s="71"/>
      <c r="S1852" s="71"/>
      <c r="T1852" s="71"/>
      <c r="U1852" s="71"/>
      <c r="V1852" s="70"/>
      <c r="W1852" s="70"/>
      <c r="X1852" s="70"/>
      <c r="Y1852" s="70"/>
      <c r="Z1852" s="102"/>
    </row>
    <row r="1853">
      <c r="A1853" s="94"/>
      <c r="B1853" s="66"/>
      <c r="C1853" s="70"/>
      <c r="D1853" s="68"/>
      <c r="E1853" s="68"/>
      <c r="F1853" s="69"/>
      <c r="G1853" s="70"/>
      <c r="H1853" s="70"/>
      <c r="I1853" s="70"/>
      <c r="J1853" s="70"/>
      <c r="K1853" s="71"/>
      <c r="L1853" s="71"/>
      <c r="M1853" s="71"/>
      <c r="N1853" s="71"/>
      <c r="O1853" s="70"/>
      <c r="P1853" s="73"/>
      <c r="Q1853" s="71"/>
      <c r="R1853" s="71"/>
      <c r="S1853" s="71"/>
      <c r="T1853" s="71"/>
      <c r="U1853" s="71"/>
      <c r="V1853" s="70"/>
      <c r="W1853" s="70"/>
      <c r="X1853" s="70"/>
      <c r="Y1853" s="70"/>
      <c r="Z1853" s="102"/>
    </row>
    <row r="1854">
      <c r="A1854" s="94"/>
      <c r="B1854" s="66"/>
      <c r="C1854" s="70"/>
      <c r="D1854" s="68"/>
      <c r="E1854" s="68"/>
      <c r="F1854" s="69"/>
      <c r="G1854" s="70"/>
      <c r="H1854" s="70"/>
      <c r="I1854" s="70"/>
      <c r="J1854" s="70"/>
      <c r="K1854" s="71"/>
      <c r="L1854" s="71"/>
      <c r="M1854" s="71"/>
      <c r="N1854" s="71"/>
      <c r="O1854" s="70"/>
      <c r="P1854" s="73"/>
      <c r="Q1854" s="71"/>
      <c r="R1854" s="71"/>
      <c r="S1854" s="71"/>
      <c r="T1854" s="71"/>
      <c r="U1854" s="71"/>
      <c r="V1854" s="70"/>
      <c r="W1854" s="70"/>
      <c r="X1854" s="70"/>
      <c r="Y1854" s="70"/>
      <c r="Z1854" s="102"/>
    </row>
    <row r="1855">
      <c r="A1855" s="94"/>
      <c r="B1855" s="66"/>
      <c r="C1855" s="70"/>
      <c r="D1855" s="68"/>
      <c r="E1855" s="68"/>
      <c r="F1855" s="69"/>
      <c r="G1855" s="70"/>
      <c r="H1855" s="70"/>
      <c r="I1855" s="70"/>
      <c r="J1855" s="70"/>
      <c r="K1855" s="71"/>
      <c r="L1855" s="71"/>
      <c r="M1855" s="71"/>
      <c r="N1855" s="71"/>
      <c r="O1855" s="70"/>
      <c r="P1855" s="73"/>
      <c r="Q1855" s="71"/>
      <c r="R1855" s="71"/>
      <c r="S1855" s="71"/>
      <c r="T1855" s="71"/>
      <c r="U1855" s="71"/>
      <c r="V1855" s="70"/>
      <c r="W1855" s="70"/>
      <c r="X1855" s="70"/>
      <c r="Y1855" s="70"/>
      <c r="Z1855" s="102"/>
    </row>
    <row r="1856">
      <c r="A1856" s="94"/>
      <c r="B1856" s="66"/>
      <c r="C1856" s="70"/>
      <c r="D1856" s="68"/>
      <c r="E1856" s="68"/>
      <c r="F1856" s="69"/>
      <c r="G1856" s="70"/>
      <c r="H1856" s="70"/>
      <c r="I1856" s="70"/>
      <c r="J1856" s="70"/>
      <c r="K1856" s="71"/>
      <c r="L1856" s="71"/>
      <c r="M1856" s="71"/>
      <c r="N1856" s="71"/>
      <c r="O1856" s="70"/>
      <c r="P1856" s="73"/>
      <c r="Q1856" s="71"/>
      <c r="R1856" s="71"/>
      <c r="S1856" s="71"/>
      <c r="T1856" s="71"/>
      <c r="U1856" s="71"/>
      <c r="V1856" s="70"/>
      <c r="W1856" s="70"/>
      <c r="X1856" s="70"/>
      <c r="Y1856" s="70"/>
      <c r="Z1856" s="102"/>
    </row>
    <row r="1857">
      <c r="A1857" s="94"/>
      <c r="B1857" s="66"/>
      <c r="C1857" s="70"/>
      <c r="D1857" s="68"/>
      <c r="E1857" s="68"/>
      <c r="F1857" s="69"/>
      <c r="G1857" s="70"/>
      <c r="H1857" s="70"/>
      <c r="I1857" s="70"/>
      <c r="J1857" s="70"/>
      <c r="K1857" s="71"/>
      <c r="L1857" s="71"/>
      <c r="M1857" s="71"/>
      <c r="N1857" s="71"/>
      <c r="O1857" s="70"/>
      <c r="P1857" s="73"/>
      <c r="Q1857" s="71"/>
      <c r="R1857" s="71"/>
      <c r="S1857" s="71"/>
      <c r="T1857" s="71"/>
      <c r="U1857" s="71"/>
      <c r="V1857" s="70"/>
      <c r="W1857" s="70"/>
      <c r="X1857" s="70"/>
      <c r="Y1857" s="70"/>
      <c r="Z1857" s="102"/>
    </row>
    <row r="1858">
      <c r="A1858" s="94"/>
      <c r="B1858" s="66"/>
      <c r="C1858" s="70"/>
      <c r="D1858" s="68"/>
      <c r="E1858" s="68"/>
      <c r="F1858" s="69"/>
      <c r="G1858" s="70"/>
      <c r="H1858" s="70"/>
      <c r="I1858" s="70"/>
      <c r="J1858" s="70"/>
      <c r="K1858" s="71"/>
      <c r="L1858" s="71"/>
      <c r="M1858" s="71"/>
      <c r="N1858" s="71"/>
      <c r="O1858" s="70"/>
      <c r="P1858" s="73"/>
      <c r="Q1858" s="71"/>
      <c r="R1858" s="71"/>
      <c r="S1858" s="71"/>
      <c r="T1858" s="71"/>
      <c r="U1858" s="71"/>
      <c r="V1858" s="70"/>
      <c r="W1858" s="70"/>
      <c r="X1858" s="70"/>
      <c r="Y1858" s="70"/>
      <c r="Z1858" s="102"/>
    </row>
    <row r="1859">
      <c r="A1859" s="94"/>
      <c r="B1859" s="66"/>
      <c r="C1859" s="70"/>
      <c r="D1859" s="68"/>
      <c r="E1859" s="68"/>
      <c r="F1859" s="69"/>
      <c r="G1859" s="70"/>
      <c r="H1859" s="70"/>
      <c r="I1859" s="70"/>
      <c r="J1859" s="70"/>
      <c r="K1859" s="71"/>
      <c r="L1859" s="71"/>
      <c r="M1859" s="71"/>
      <c r="N1859" s="71"/>
      <c r="O1859" s="70"/>
      <c r="P1859" s="73"/>
      <c r="Q1859" s="71"/>
      <c r="R1859" s="71"/>
      <c r="S1859" s="71"/>
      <c r="T1859" s="71"/>
      <c r="U1859" s="71"/>
      <c r="V1859" s="70"/>
      <c r="W1859" s="70"/>
      <c r="X1859" s="70"/>
      <c r="Y1859" s="70"/>
      <c r="Z1859" s="102"/>
    </row>
    <row r="1860">
      <c r="A1860" s="94"/>
      <c r="B1860" s="66"/>
      <c r="C1860" s="70"/>
      <c r="D1860" s="68"/>
      <c r="E1860" s="68"/>
      <c r="F1860" s="69"/>
      <c r="G1860" s="70"/>
      <c r="H1860" s="70"/>
      <c r="I1860" s="70"/>
      <c r="J1860" s="70"/>
      <c r="K1860" s="71"/>
      <c r="L1860" s="71"/>
      <c r="M1860" s="71"/>
      <c r="N1860" s="71"/>
      <c r="O1860" s="70"/>
      <c r="P1860" s="73"/>
      <c r="Q1860" s="71"/>
      <c r="R1860" s="71"/>
      <c r="S1860" s="71"/>
      <c r="T1860" s="71"/>
      <c r="U1860" s="71"/>
      <c r="V1860" s="70"/>
      <c r="W1860" s="70"/>
      <c r="X1860" s="70"/>
      <c r="Y1860" s="70"/>
      <c r="Z1860" s="102"/>
    </row>
    <row r="1861">
      <c r="A1861" s="94"/>
      <c r="B1861" s="66"/>
      <c r="C1861" s="70"/>
      <c r="D1861" s="68"/>
      <c r="E1861" s="68"/>
      <c r="F1861" s="69"/>
      <c r="G1861" s="70"/>
      <c r="H1861" s="70"/>
      <c r="I1861" s="70"/>
      <c r="J1861" s="70"/>
      <c r="K1861" s="71"/>
      <c r="L1861" s="71"/>
      <c r="M1861" s="71"/>
      <c r="N1861" s="71"/>
      <c r="O1861" s="70"/>
      <c r="P1861" s="73"/>
      <c r="Q1861" s="71"/>
      <c r="R1861" s="71"/>
      <c r="S1861" s="71"/>
      <c r="T1861" s="71"/>
      <c r="U1861" s="71"/>
      <c r="V1861" s="70"/>
      <c r="W1861" s="70"/>
      <c r="X1861" s="70"/>
      <c r="Y1861" s="70"/>
      <c r="Z1861" s="102"/>
    </row>
    <row r="1862">
      <c r="A1862" s="94"/>
      <c r="B1862" s="66"/>
      <c r="C1862" s="70"/>
      <c r="D1862" s="68"/>
      <c r="E1862" s="68"/>
      <c r="F1862" s="69"/>
      <c r="G1862" s="70"/>
      <c r="H1862" s="70"/>
      <c r="I1862" s="70"/>
      <c r="J1862" s="70"/>
      <c r="K1862" s="71"/>
      <c r="L1862" s="71"/>
      <c r="M1862" s="71"/>
      <c r="N1862" s="71"/>
      <c r="O1862" s="70"/>
      <c r="P1862" s="73"/>
      <c r="Q1862" s="71"/>
      <c r="R1862" s="71"/>
      <c r="S1862" s="71"/>
      <c r="T1862" s="71"/>
      <c r="U1862" s="71"/>
      <c r="V1862" s="70"/>
      <c r="W1862" s="70"/>
      <c r="X1862" s="70"/>
      <c r="Y1862" s="70"/>
      <c r="Z1862" s="102"/>
    </row>
    <row r="1863">
      <c r="A1863" s="94"/>
      <c r="B1863" s="66"/>
      <c r="C1863" s="70"/>
      <c r="D1863" s="68"/>
      <c r="E1863" s="68"/>
      <c r="F1863" s="69"/>
      <c r="G1863" s="70"/>
      <c r="H1863" s="70"/>
      <c r="I1863" s="70"/>
      <c r="J1863" s="70"/>
      <c r="K1863" s="71"/>
      <c r="L1863" s="71"/>
      <c r="M1863" s="71"/>
      <c r="N1863" s="71"/>
      <c r="O1863" s="70"/>
      <c r="P1863" s="73"/>
      <c r="Q1863" s="71"/>
      <c r="R1863" s="71"/>
      <c r="S1863" s="71"/>
      <c r="T1863" s="71"/>
      <c r="U1863" s="71"/>
      <c r="V1863" s="70"/>
      <c r="W1863" s="70"/>
      <c r="X1863" s="70"/>
      <c r="Y1863" s="70"/>
      <c r="Z1863" s="102"/>
    </row>
    <row r="1864">
      <c r="A1864" s="94"/>
      <c r="B1864" s="66"/>
      <c r="C1864" s="70"/>
      <c r="D1864" s="68"/>
      <c r="E1864" s="68"/>
      <c r="F1864" s="69"/>
      <c r="G1864" s="70"/>
      <c r="H1864" s="70"/>
      <c r="I1864" s="70"/>
      <c r="J1864" s="70"/>
      <c r="K1864" s="71"/>
      <c r="L1864" s="71"/>
      <c r="M1864" s="71"/>
      <c r="N1864" s="71"/>
      <c r="O1864" s="70"/>
      <c r="P1864" s="73"/>
      <c r="Q1864" s="71"/>
      <c r="R1864" s="71"/>
      <c r="S1864" s="71"/>
      <c r="T1864" s="71"/>
      <c r="U1864" s="71"/>
      <c r="V1864" s="70"/>
      <c r="W1864" s="70"/>
      <c r="X1864" s="70"/>
      <c r="Y1864" s="70"/>
      <c r="Z1864" s="102"/>
    </row>
    <row r="1865">
      <c r="A1865" s="94"/>
      <c r="B1865" s="66"/>
      <c r="C1865" s="70"/>
      <c r="D1865" s="68"/>
      <c r="E1865" s="68"/>
      <c r="F1865" s="69"/>
      <c r="G1865" s="70"/>
      <c r="H1865" s="70"/>
      <c r="I1865" s="70"/>
      <c r="J1865" s="70"/>
      <c r="K1865" s="71"/>
      <c r="L1865" s="71"/>
      <c r="M1865" s="71"/>
      <c r="N1865" s="71"/>
      <c r="O1865" s="70"/>
      <c r="P1865" s="73"/>
      <c r="Q1865" s="71"/>
      <c r="R1865" s="71"/>
      <c r="S1865" s="71"/>
      <c r="T1865" s="71"/>
      <c r="U1865" s="71"/>
      <c r="V1865" s="70"/>
      <c r="W1865" s="70"/>
      <c r="X1865" s="70"/>
      <c r="Y1865" s="70"/>
      <c r="Z1865" s="102"/>
    </row>
    <row r="1866">
      <c r="A1866" s="94"/>
      <c r="B1866" s="66"/>
      <c r="C1866" s="70"/>
      <c r="D1866" s="68"/>
      <c r="E1866" s="68"/>
      <c r="F1866" s="69"/>
      <c r="G1866" s="70"/>
      <c r="H1866" s="70"/>
      <c r="I1866" s="70"/>
      <c r="J1866" s="70"/>
      <c r="K1866" s="71"/>
      <c r="L1866" s="71"/>
      <c r="M1866" s="71"/>
      <c r="N1866" s="71"/>
      <c r="O1866" s="70"/>
      <c r="P1866" s="73"/>
      <c r="Q1866" s="71"/>
      <c r="R1866" s="71"/>
      <c r="S1866" s="71"/>
      <c r="T1866" s="71"/>
      <c r="U1866" s="71"/>
      <c r="V1866" s="70"/>
      <c r="W1866" s="70"/>
      <c r="X1866" s="70"/>
      <c r="Y1866" s="70"/>
      <c r="Z1866" s="102"/>
    </row>
    <row r="1867">
      <c r="A1867" s="94"/>
      <c r="B1867" s="66"/>
      <c r="C1867" s="70"/>
      <c r="D1867" s="68"/>
      <c r="E1867" s="68"/>
      <c r="F1867" s="69"/>
      <c r="G1867" s="70"/>
      <c r="H1867" s="70"/>
      <c r="I1867" s="70"/>
      <c r="J1867" s="70"/>
      <c r="K1867" s="71"/>
      <c r="L1867" s="71"/>
      <c r="M1867" s="71"/>
      <c r="N1867" s="71"/>
      <c r="O1867" s="70"/>
      <c r="P1867" s="73"/>
      <c r="Q1867" s="71"/>
      <c r="R1867" s="71"/>
      <c r="S1867" s="71"/>
      <c r="T1867" s="71"/>
      <c r="U1867" s="71"/>
      <c r="V1867" s="70"/>
      <c r="W1867" s="70"/>
      <c r="X1867" s="70"/>
      <c r="Y1867" s="70"/>
      <c r="Z1867" s="102"/>
    </row>
    <row r="1868">
      <c r="A1868" s="94"/>
      <c r="B1868" s="66"/>
      <c r="C1868" s="70"/>
      <c r="D1868" s="68"/>
      <c r="E1868" s="68"/>
      <c r="F1868" s="69"/>
      <c r="G1868" s="70"/>
      <c r="H1868" s="70"/>
      <c r="I1868" s="70"/>
      <c r="J1868" s="70"/>
      <c r="K1868" s="71"/>
      <c r="L1868" s="71"/>
      <c r="M1868" s="71"/>
      <c r="N1868" s="71"/>
      <c r="O1868" s="70"/>
      <c r="P1868" s="73"/>
      <c r="Q1868" s="71"/>
      <c r="R1868" s="71"/>
      <c r="S1868" s="71"/>
      <c r="T1868" s="71"/>
      <c r="U1868" s="71"/>
      <c r="V1868" s="70"/>
      <c r="W1868" s="70"/>
      <c r="X1868" s="70"/>
      <c r="Y1868" s="70"/>
      <c r="Z1868" s="102"/>
    </row>
    <row r="1869">
      <c r="A1869" s="94"/>
      <c r="B1869" s="66"/>
      <c r="C1869" s="70"/>
      <c r="D1869" s="68"/>
      <c r="E1869" s="68"/>
      <c r="F1869" s="69"/>
      <c r="G1869" s="70"/>
      <c r="H1869" s="70"/>
      <c r="I1869" s="70"/>
      <c r="J1869" s="70"/>
      <c r="K1869" s="71"/>
      <c r="L1869" s="71"/>
      <c r="M1869" s="71"/>
      <c r="N1869" s="71"/>
      <c r="O1869" s="70"/>
      <c r="P1869" s="73"/>
      <c r="Q1869" s="71"/>
      <c r="R1869" s="71"/>
      <c r="S1869" s="71"/>
      <c r="T1869" s="71"/>
      <c r="U1869" s="71"/>
      <c r="V1869" s="70"/>
      <c r="W1869" s="70"/>
      <c r="X1869" s="70"/>
      <c r="Y1869" s="70"/>
      <c r="Z1869" s="102"/>
    </row>
    <row r="1870">
      <c r="A1870" s="94"/>
      <c r="B1870" s="66"/>
      <c r="C1870" s="70"/>
      <c r="D1870" s="68"/>
      <c r="E1870" s="68"/>
      <c r="F1870" s="69"/>
      <c r="G1870" s="70"/>
      <c r="H1870" s="70"/>
      <c r="I1870" s="70"/>
      <c r="J1870" s="70"/>
      <c r="K1870" s="71"/>
      <c r="L1870" s="71"/>
      <c r="M1870" s="71"/>
      <c r="N1870" s="71"/>
      <c r="O1870" s="70"/>
      <c r="P1870" s="73"/>
      <c r="Q1870" s="71"/>
      <c r="R1870" s="71"/>
      <c r="S1870" s="71"/>
      <c r="T1870" s="71"/>
      <c r="U1870" s="71"/>
      <c r="V1870" s="70"/>
      <c r="W1870" s="70"/>
      <c r="X1870" s="70"/>
      <c r="Y1870" s="70"/>
      <c r="Z1870" s="102"/>
    </row>
    <row r="1871">
      <c r="A1871" s="94"/>
      <c r="B1871" s="66"/>
      <c r="C1871" s="70"/>
      <c r="D1871" s="68"/>
      <c r="E1871" s="68"/>
      <c r="F1871" s="69"/>
      <c r="G1871" s="70"/>
      <c r="H1871" s="70"/>
      <c r="I1871" s="70"/>
      <c r="J1871" s="70"/>
      <c r="K1871" s="71"/>
      <c r="L1871" s="71"/>
      <c r="M1871" s="71"/>
      <c r="N1871" s="71"/>
      <c r="O1871" s="70"/>
      <c r="P1871" s="73"/>
      <c r="Q1871" s="71"/>
      <c r="R1871" s="71"/>
      <c r="S1871" s="71"/>
      <c r="T1871" s="71"/>
      <c r="U1871" s="71"/>
      <c r="V1871" s="70"/>
      <c r="W1871" s="70"/>
      <c r="X1871" s="70"/>
      <c r="Y1871" s="70"/>
      <c r="Z1871" s="102"/>
    </row>
    <row r="1872">
      <c r="A1872" s="94"/>
      <c r="B1872" s="66"/>
      <c r="C1872" s="70"/>
      <c r="D1872" s="68"/>
      <c r="E1872" s="68"/>
      <c r="F1872" s="69"/>
      <c r="G1872" s="70"/>
      <c r="H1872" s="70"/>
      <c r="I1872" s="70"/>
      <c r="J1872" s="70"/>
      <c r="K1872" s="71"/>
      <c r="L1872" s="71"/>
      <c r="M1872" s="71"/>
      <c r="N1872" s="71"/>
      <c r="O1872" s="70"/>
      <c r="P1872" s="73"/>
      <c r="Q1872" s="71"/>
      <c r="R1872" s="71"/>
      <c r="S1872" s="71"/>
      <c r="T1872" s="71"/>
      <c r="U1872" s="71"/>
      <c r="V1872" s="70"/>
      <c r="W1872" s="70"/>
      <c r="X1872" s="70"/>
      <c r="Y1872" s="70"/>
      <c r="Z1872" s="102"/>
    </row>
    <row r="1873">
      <c r="A1873" s="94"/>
      <c r="B1873" s="66"/>
      <c r="C1873" s="70"/>
      <c r="D1873" s="68"/>
      <c r="E1873" s="68"/>
      <c r="F1873" s="69"/>
      <c r="G1873" s="70"/>
      <c r="H1873" s="70"/>
      <c r="I1873" s="70"/>
      <c r="J1873" s="70"/>
      <c r="K1873" s="71"/>
      <c r="L1873" s="71"/>
      <c r="M1873" s="71"/>
      <c r="N1873" s="71"/>
      <c r="O1873" s="70"/>
      <c r="P1873" s="73"/>
      <c r="Q1873" s="71"/>
      <c r="R1873" s="71"/>
      <c r="S1873" s="71"/>
      <c r="T1873" s="71"/>
      <c r="U1873" s="71"/>
      <c r="V1873" s="70"/>
      <c r="W1873" s="70"/>
      <c r="X1873" s="70"/>
      <c r="Y1873" s="70"/>
      <c r="Z1873" s="102"/>
    </row>
    <row r="1874">
      <c r="A1874" s="94"/>
      <c r="B1874" s="66"/>
      <c r="C1874" s="70"/>
      <c r="D1874" s="68"/>
      <c r="E1874" s="68"/>
      <c r="F1874" s="69"/>
      <c r="G1874" s="70"/>
      <c r="H1874" s="70"/>
      <c r="I1874" s="70"/>
      <c r="J1874" s="70"/>
      <c r="K1874" s="71"/>
      <c r="L1874" s="71"/>
      <c r="M1874" s="71"/>
      <c r="N1874" s="71"/>
      <c r="O1874" s="70"/>
      <c r="P1874" s="73"/>
      <c r="Q1874" s="71"/>
      <c r="R1874" s="71"/>
      <c r="S1874" s="71"/>
      <c r="T1874" s="71"/>
      <c r="U1874" s="71"/>
      <c r="V1874" s="70"/>
      <c r="W1874" s="70"/>
      <c r="X1874" s="70"/>
      <c r="Y1874" s="70"/>
      <c r="Z1874" s="102"/>
    </row>
    <row r="1875">
      <c r="A1875" s="94"/>
      <c r="B1875" s="66"/>
      <c r="C1875" s="70"/>
      <c r="D1875" s="68"/>
      <c r="E1875" s="68"/>
      <c r="F1875" s="69"/>
      <c r="G1875" s="70"/>
      <c r="H1875" s="70"/>
      <c r="I1875" s="70"/>
      <c r="J1875" s="70"/>
      <c r="K1875" s="71"/>
      <c r="L1875" s="71"/>
      <c r="M1875" s="71"/>
      <c r="N1875" s="71"/>
      <c r="O1875" s="70"/>
      <c r="P1875" s="73"/>
      <c r="Q1875" s="71"/>
      <c r="R1875" s="71"/>
      <c r="S1875" s="71"/>
      <c r="T1875" s="71"/>
      <c r="U1875" s="71"/>
      <c r="V1875" s="70"/>
      <c r="W1875" s="70"/>
      <c r="X1875" s="70"/>
      <c r="Y1875" s="70"/>
      <c r="Z1875" s="102"/>
    </row>
    <row r="1876">
      <c r="A1876" s="94"/>
      <c r="B1876" s="66"/>
      <c r="C1876" s="70"/>
      <c r="D1876" s="68"/>
      <c r="E1876" s="68"/>
      <c r="F1876" s="69"/>
      <c r="G1876" s="70"/>
      <c r="H1876" s="70"/>
      <c r="I1876" s="70"/>
      <c r="J1876" s="70"/>
      <c r="K1876" s="71"/>
      <c r="L1876" s="71"/>
      <c r="M1876" s="71"/>
      <c r="N1876" s="71"/>
      <c r="O1876" s="70"/>
      <c r="P1876" s="73"/>
      <c r="Q1876" s="71"/>
      <c r="R1876" s="71"/>
      <c r="S1876" s="71"/>
      <c r="T1876" s="71"/>
      <c r="U1876" s="71"/>
      <c r="V1876" s="70"/>
      <c r="W1876" s="70"/>
      <c r="X1876" s="70"/>
      <c r="Y1876" s="70"/>
      <c r="Z1876" s="102"/>
    </row>
    <row r="1877">
      <c r="A1877" s="94"/>
      <c r="B1877" s="66"/>
      <c r="C1877" s="70"/>
      <c r="D1877" s="68"/>
      <c r="E1877" s="68"/>
      <c r="F1877" s="69"/>
      <c r="G1877" s="70"/>
      <c r="H1877" s="70"/>
      <c r="I1877" s="70"/>
      <c r="J1877" s="70"/>
      <c r="K1877" s="71"/>
      <c r="L1877" s="71"/>
      <c r="M1877" s="71"/>
      <c r="N1877" s="71"/>
      <c r="O1877" s="70"/>
      <c r="P1877" s="73"/>
      <c r="Q1877" s="71"/>
      <c r="R1877" s="71"/>
      <c r="S1877" s="71"/>
      <c r="T1877" s="71"/>
      <c r="U1877" s="71"/>
      <c r="V1877" s="70"/>
      <c r="W1877" s="70"/>
      <c r="X1877" s="70"/>
      <c r="Y1877" s="70"/>
      <c r="Z1877" s="102"/>
    </row>
    <row r="1878">
      <c r="A1878" s="94"/>
      <c r="B1878" s="66"/>
      <c r="C1878" s="70"/>
      <c r="D1878" s="68"/>
      <c r="E1878" s="68"/>
      <c r="F1878" s="69"/>
      <c r="G1878" s="70"/>
      <c r="H1878" s="70"/>
      <c r="I1878" s="70"/>
      <c r="J1878" s="70"/>
      <c r="K1878" s="71"/>
      <c r="L1878" s="71"/>
      <c r="M1878" s="71"/>
      <c r="N1878" s="71"/>
      <c r="O1878" s="70"/>
      <c r="P1878" s="73"/>
      <c r="Q1878" s="71"/>
      <c r="R1878" s="71"/>
      <c r="S1878" s="71"/>
      <c r="T1878" s="71"/>
      <c r="U1878" s="71"/>
      <c r="V1878" s="70"/>
      <c r="W1878" s="70"/>
      <c r="X1878" s="70"/>
      <c r="Y1878" s="70"/>
      <c r="Z1878" s="102"/>
    </row>
    <row r="1879">
      <c r="A1879" s="94"/>
      <c r="B1879" s="66"/>
      <c r="C1879" s="70"/>
      <c r="D1879" s="68"/>
      <c r="E1879" s="68"/>
      <c r="F1879" s="69"/>
      <c r="G1879" s="70"/>
      <c r="H1879" s="70"/>
      <c r="I1879" s="70"/>
      <c r="J1879" s="70"/>
      <c r="K1879" s="71"/>
      <c r="L1879" s="71"/>
      <c r="M1879" s="71"/>
      <c r="N1879" s="71"/>
      <c r="O1879" s="70"/>
      <c r="P1879" s="73"/>
      <c r="Q1879" s="71"/>
      <c r="R1879" s="71"/>
      <c r="S1879" s="71"/>
      <c r="T1879" s="71"/>
      <c r="U1879" s="71"/>
      <c r="V1879" s="70"/>
      <c r="W1879" s="70"/>
      <c r="X1879" s="70"/>
      <c r="Y1879" s="70"/>
      <c r="Z1879" s="102"/>
    </row>
    <row r="1880">
      <c r="A1880" s="94"/>
      <c r="B1880" s="66"/>
      <c r="C1880" s="70"/>
      <c r="D1880" s="68"/>
      <c r="E1880" s="68"/>
      <c r="F1880" s="69"/>
      <c r="G1880" s="70"/>
      <c r="H1880" s="70"/>
      <c r="I1880" s="70"/>
      <c r="J1880" s="70"/>
      <c r="K1880" s="71"/>
      <c r="L1880" s="71"/>
      <c r="M1880" s="71"/>
      <c r="N1880" s="71"/>
      <c r="O1880" s="70"/>
      <c r="P1880" s="73"/>
      <c r="Q1880" s="71"/>
      <c r="R1880" s="71"/>
      <c r="S1880" s="71"/>
      <c r="T1880" s="71"/>
      <c r="U1880" s="71"/>
      <c r="V1880" s="70"/>
      <c r="W1880" s="70"/>
      <c r="X1880" s="70"/>
      <c r="Y1880" s="70"/>
      <c r="Z1880" s="102"/>
    </row>
    <row r="1881">
      <c r="A1881" s="94"/>
      <c r="B1881" s="66"/>
      <c r="C1881" s="70"/>
      <c r="D1881" s="68"/>
      <c r="E1881" s="68"/>
      <c r="F1881" s="69"/>
      <c r="G1881" s="70"/>
      <c r="H1881" s="70"/>
      <c r="I1881" s="70"/>
      <c r="J1881" s="70"/>
      <c r="K1881" s="71"/>
      <c r="L1881" s="71"/>
      <c r="M1881" s="71"/>
      <c r="N1881" s="71"/>
      <c r="O1881" s="70"/>
      <c r="P1881" s="73"/>
      <c r="Q1881" s="71"/>
      <c r="R1881" s="71"/>
      <c r="S1881" s="71"/>
      <c r="T1881" s="71"/>
      <c r="U1881" s="71"/>
      <c r="V1881" s="70"/>
      <c r="W1881" s="70"/>
      <c r="X1881" s="70"/>
      <c r="Y1881" s="70"/>
      <c r="Z1881" s="102"/>
    </row>
    <row r="1882">
      <c r="A1882" s="94"/>
      <c r="B1882" s="66"/>
      <c r="C1882" s="70"/>
      <c r="D1882" s="68"/>
      <c r="E1882" s="68"/>
      <c r="F1882" s="69"/>
      <c r="G1882" s="70"/>
      <c r="H1882" s="70"/>
      <c r="I1882" s="70"/>
      <c r="J1882" s="70"/>
      <c r="K1882" s="71"/>
      <c r="L1882" s="71"/>
      <c r="M1882" s="71"/>
      <c r="N1882" s="71"/>
      <c r="O1882" s="70"/>
      <c r="P1882" s="73"/>
      <c r="Q1882" s="71"/>
      <c r="R1882" s="71"/>
      <c r="S1882" s="71"/>
      <c r="T1882" s="71"/>
      <c r="U1882" s="71"/>
      <c r="V1882" s="70"/>
      <c r="W1882" s="70"/>
      <c r="X1882" s="70"/>
      <c r="Y1882" s="70"/>
      <c r="Z1882" s="102"/>
    </row>
    <row r="1883">
      <c r="A1883" s="94"/>
      <c r="B1883" s="66"/>
      <c r="C1883" s="70"/>
      <c r="D1883" s="68"/>
      <c r="E1883" s="68"/>
      <c r="F1883" s="69"/>
      <c r="G1883" s="70"/>
      <c r="H1883" s="70"/>
      <c r="I1883" s="70"/>
      <c r="J1883" s="70"/>
      <c r="K1883" s="71"/>
      <c r="L1883" s="71"/>
      <c r="M1883" s="71"/>
      <c r="N1883" s="71"/>
      <c r="O1883" s="70"/>
      <c r="P1883" s="73"/>
      <c r="Q1883" s="71"/>
      <c r="R1883" s="71"/>
      <c r="S1883" s="71"/>
      <c r="T1883" s="71"/>
      <c r="U1883" s="71"/>
      <c r="V1883" s="70"/>
      <c r="W1883" s="70"/>
      <c r="X1883" s="70"/>
      <c r="Y1883" s="70"/>
      <c r="Z1883" s="102"/>
    </row>
    <row r="1884">
      <c r="A1884" s="94"/>
      <c r="B1884" s="66"/>
      <c r="C1884" s="70"/>
      <c r="D1884" s="68"/>
      <c r="E1884" s="68"/>
      <c r="F1884" s="69"/>
      <c r="G1884" s="70"/>
      <c r="H1884" s="70"/>
      <c r="I1884" s="70"/>
      <c r="J1884" s="70"/>
      <c r="K1884" s="71"/>
      <c r="L1884" s="71"/>
      <c r="M1884" s="71"/>
      <c r="N1884" s="71"/>
      <c r="O1884" s="70"/>
      <c r="P1884" s="73"/>
      <c r="Q1884" s="71"/>
      <c r="R1884" s="71"/>
      <c r="S1884" s="71"/>
      <c r="T1884" s="71"/>
      <c r="U1884" s="71"/>
      <c r="V1884" s="70"/>
      <c r="W1884" s="70"/>
      <c r="X1884" s="70"/>
      <c r="Y1884" s="70"/>
      <c r="Z1884" s="102"/>
    </row>
    <row r="1885">
      <c r="A1885" s="94"/>
      <c r="B1885" s="66"/>
      <c r="C1885" s="70"/>
      <c r="D1885" s="68"/>
      <c r="E1885" s="68"/>
      <c r="F1885" s="69"/>
      <c r="G1885" s="70"/>
      <c r="H1885" s="70"/>
      <c r="I1885" s="70"/>
      <c r="J1885" s="70"/>
      <c r="K1885" s="71"/>
      <c r="L1885" s="71"/>
      <c r="M1885" s="71"/>
      <c r="N1885" s="71"/>
      <c r="O1885" s="70"/>
      <c r="P1885" s="73"/>
      <c r="Q1885" s="71"/>
      <c r="R1885" s="71"/>
      <c r="S1885" s="71"/>
      <c r="T1885" s="71"/>
      <c r="U1885" s="71"/>
      <c r="V1885" s="70"/>
      <c r="W1885" s="70"/>
      <c r="X1885" s="70"/>
      <c r="Y1885" s="70"/>
      <c r="Z1885" s="102"/>
    </row>
    <row r="1886">
      <c r="A1886" s="94"/>
      <c r="B1886" s="66"/>
      <c r="C1886" s="70"/>
      <c r="D1886" s="68"/>
      <c r="E1886" s="68"/>
      <c r="F1886" s="69"/>
      <c r="G1886" s="70"/>
      <c r="H1886" s="70"/>
      <c r="I1886" s="70"/>
      <c r="J1886" s="70"/>
      <c r="K1886" s="71"/>
      <c r="L1886" s="71"/>
      <c r="M1886" s="71"/>
      <c r="N1886" s="71"/>
      <c r="O1886" s="70"/>
      <c r="P1886" s="73"/>
      <c r="Q1886" s="71"/>
      <c r="R1886" s="71"/>
      <c r="S1886" s="71"/>
      <c r="T1886" s="71"/>
      <c r="U1886" s="71"/>
      <c r="V1886" s="70"/>
      <c r="W1886" s="70"/>
      <c r="X1886" s="70"/>
      <c r="Y1886" s="70"/>
      <c r="Z1886" s="102"/>
    </row>
    <row r="1887">
      <c r="A1887" s="94"/>
      <c r="B1887" s="66"/>
      <c r="C1887" s="70"/>
      <c r="D1887" s="68"/>
      <c r="E1887" s="68"/>
      <c r="F1887" s="69"/>
      <c r="G1887" s="70"/>
      <c r="H1887" s="70"/>
      <c r="I1887" s="70"/>
      <c r="J1887" s="70"/>
      <c r="K1887" s="71"/>
      <c r="L1887" s="71"/>
      <c r="M1887" s="71"/>
      <c r="N1887" s="71"/>
      <c r="O1887" s="70"/>
      <c r="P1887" s="73"/>
      <c r="Q1887" s="71"/>
      <c r="R1887" s="71"/>
      <c r="S1887" s="71"/>
      <c r="T1887" s="71"/>
      <c r="U1887" s="71"/>
      <c r="V1887" s="70"/>
      <c r="W1887" s="70"/>
      <c r="X1887" s="70"/>
      <c r="Y1887" s="70"/>
      <c r="Z1887" s="102"/>
    </row>
    <row r="1888">
      <c r="A1888" s="94"/>
      <c r="B1888" s="66"/>
      <c r="C1888" s="70"/>
      <c r="D1888" s="68"/>
      <c r="E1888" s="68"/>
      <c r="F1888" s="69"/>
      <c r="G1888" s="70"/>
      <c r="H1888" s="70"/>
      <c r="I1888" s="70"/>
      <c r="J1888" s="70"/>
      <c r="K1888" s="71"/>
      <c r="L1888" s="71"/>
      <c r="M1888" s="71"/>
      <c r="N1888" s="71"/>
      <c r="O1888" s="70"/>
      <c r="P1888" s="73"/>
      <c r="Q1888" s="71"/>
      <c r="R1888" s="71"/>
      <c r="S1888" s="71"/>
      <c r="T1888" s="71"/>
      <c r="U1888" s="71"/>
      <c r="V1888" s="70"/>
      <c r="W1888" s="70"/>
      <c r="X1888" s="70"/>
      <c r="Y1888" s="70"/>
      <c r="Z1888" s="102"/>
    </row>
    <row r="1889">
      <c r="A1889" s="94"/>
      <c r="B1889" s="66"/>
      <c r="C1889" s="70"/>
      <c r="D1889" s="68"/>
      <c r="E1889" s="68"/>
      <c r="F1889" s="69"/>
      <c r="G1889" s="70"/>
      <c r="H1889" s="70"/>
      <c r="I1889" s="70"/>
      <c r="J1889" s="70"/>
      <c r="K1889" s="71"/>
      <c r="L1889" s="71"/>
      <c r="M1889" s="71"/>
      <c r="N1889" s="71"/>
      <c r="O1889" s="70"/>
      <c r="P1889" s="73"/>
      <c r="Q1889" s="71"/>
      <c r="R1889" s="71"/>
      <c r="S1889" s="71"/>
      <c r="T1889" s="71"/>
      <c r="U1889" s="71"/>
      <c r="V1889" s="70"/>
      <c r="W1889" s="70"/>
      <c r="X1889" s="70"/>
      <c r="Y1889" s="70"/>
      <c r="Z1889" s="102"/>
    </row>
    <row r="1890">
      <c r="A1890" s="94"/>
      <c r="B1890" s="66"/>
      <c r="C1890" s="70"/>
      <c r="D1890" s="68"/>
      <c r="E1890" s="68"/>
      <c r="F1890" s="69"/>
      <c r="G1890" s="70"/>
      <c r="H1890" s="70"/>
      <c r="I1890" s="70"/>
      <c r="J1890" s="70"/>
      <c r="K1890" s="71"/>
      <c r="L1890" s="71"/>
      <c r="M1890" s="71"/>
      <c r="N1890" s="71"/>
      <c r="O1890" s="70"/>
      <c r="P1890" s="73"/>
      <c r="Q1890" s="71"/>
      <c r="R1890" s="71"/>
      <c r="S1890" s="71"/>
      <c r="T1890" s="71"/>
      <c r="U1890" s="71"/>
      <c r="V1890" s="70"/>
      <c r="W1890" s="70"/>
      <c r="X1890" s="70"/>
      <c r="Y1890" s="70"/>
      <c r="Z1890" s="102"/>
    </row>
    <row r="1891">
      <c r="A1891" s="94"/>
      <c r="B1891" s="66"/>
      <c r="C1891" s="70"/>
      <c r="D1891" s="68"/>
      <c r="E1891" s="68"/>
      <c r="F1891" s="69"/>
      <c r="G1891" s="70"/>
      <c r="H1891" s="70"/>
      <c r="I1891" s="70"/>
      <c r="J1891" s="70"/>
      <c r="K1891" s="71"/>
      <c r="L1891" s="71"/>
      <c r="M1891" s="71"/>
      <c r="N1891" s="71"/>
      <c r="O1891" s="70"/>
      <c r="P1891" s="73"/>
      <c r="Q1891" s="71"/>
      <c r="R1891" s="71"/>
      <c r="S1891" s="71"/>
      <c r="T1891" s="71"/>
      <c r="U1891" s="71"/>
      <c r="V1891" s="70"/>
      <c r="W1891" s="70"/>
      <c r="X1891" s="70"/>
      <c r="Y1891" s="70"/>
      <c r="Z1891" s="102"/>
    </row>
    <row r="1892">
      <c r="A1892" s="94"/>
      <c r="B1892" s="66"/>
      <c r="C1892" s="70"/>
      <c r="D1892" s="68"/>
      <c r="E1892" s="68"/>
      <c r="F1892" s="69"/>
      <c r="G1892" s="70"/>
      <c r="H1892" s="70"/>
      <c r="I1892" s="70"/>
      <c r="J1892" s="70"/>
      <c r="K1892" s="71"/>
      <c r="L1892" s="71"/>
      <c r="M1892" s="71"/>
      <c r="N1892" s="71"/>
      <c r="O1892" s="70"/>
      <c r="P1892" s="73"/>
      <c r="Q1892" s="71"/>
      <c r="R1892" s="71"/>
      <c r="S1892" s="71"/>
      <c r="T1892" s="71"/>
      <c r="U1892" s="71"/>
      <c r="V1892" s="70"/>
      <c r="W1892" s="70"/>
      <c r="X1892" s="70"/>
      <c r="Y1892" s="70"/>
      <c r="Z1892" s="102"/>
    </row>
    <row r="1893">
      <c r="A1893" s="94"/>
      <c r="B1893" s="66"/>
      <c r="C1893" s="70"/>
      <c r="D1893" s="68"/>
      <c r="E1893" s="68"/>
      <c r="F1893" s="69"/>
      <c r="G1893" s="70"/>
      <c r="H1893" s="70"/>
      <c r="I1893" s="70"/>
      <c r="J1893" s="70"/>
      <c r="K1893" s="71"/>
      <c r="L1893" s="71"/>
      <c r="M1893" s="71"/>
      <c r="N1893" s="71"/>
      <c r="O1893" s="70"/>
      <c r="P1893" s="73"/>
      <c r="Q1893" s="71"/>
      <c r="R1893" s="71"/>
      <c r="S1893" s="71"/>
      <c r="T1893" s="71"/>
      <c r="U1893" s="71"/>
      <c r="V1893" s="70"/>
      <c r="W1893" s="70"/>
      <c r="X1893" s="70"/>
      <c r="Y1893" s="70"/>
      <c r="Z1893" s="102"/>
    </row>
    <row r="1894">
      <c r="A1894" s="94"/>
      <c r="B1894" s="66"/>
      <c r="C1894" s="70"/>
      <c r="D1894" s="68"/>
      <c r="E1894" s="68"/>
      <c r="F1894" s="69"/>
      <c r="G1894" s="70"/>
      <c r="H1894" s="70"/>
      <c r="I1894" s="70"/>
      <c r="J1894" s="70"/>
      <c r="K1894" s="71"/>
      <c r="L1894" s="71"/>
      <c r="M1894" s="71"/>
      <c r="N1894" s="71"/>
      <c r="O1894" s="70"/>
      <c r="P1894" s="73"/>
      <c r="Q1894" s="71"/>
      <c r="R1894" s="71"/>
      <c r="S1894" s="71"/>
      <c r="T1894" s="71"/>
      <c r="U1894" s="71"/>
      <c r="V1894" s="70"/>
      <c r="W1894" s="70"/>
      <c r="X1894" s="70"/>
      <c r="Y1894" s="70"/>
      <c r="Z1894" s="102"/>
    </row>
    <row r="1895">
      <c r="A1895" s="94"/>
      <c r="B1895" s="66"/>
      <c r="C1895" s="70"/>
      <c r="D1895" s="68"/>
      <c r="E1895" s="68"/>
      <c r="F1895" s="69"/>
      <c r="G1895" s="70"/>
      <c r="H1895" s="70"/>
      <c r="I1895" s="70"/>
      <c r="J1895" s="70"/>
      <c r="K1895" s="71"/>
      <c r="L1895" s="71"/>
      <c r="M1895" s="71"/>
      <c r="N1895" s="71"/>
      <c r="O1895" s="70"/>
      <c r="P1895" s="73"/>
      <c r="Q1895" s="71"/>
      <c r="R1895" s="71"/>
      <c r="S1895" s="71"/>
      <c r="T1895" s="71"/>
      <c r="U1895" s="71"/>
      <c r="V1895" s="70"/>
      <c r="W1895" s="70"/>
      <c r="X1895" s="70"/>
      <c r="Y1895" s="70"/>
      <c r="Z1895" s="102"/>
    </row>
    <row r="1896">
      <c r="A1896" s="94"/>
      <c r="B1896" s="66"/>
      <c r="C1896" s="70"/>
      <c r="D1896" s="68"/>
      <c r="E1896" s="68"/>
      <c r="F1896" s="69"/>
      <c r="G1896" s="70"/>
      <c r="H1896" s="70"/>
      <c r="I1896" s="70"/>
      <c r="J1896" s="70"/>
      <c r="K1896" s="71"/>
      <c r="L1896" s="71"/>
      <c r="M1896" s="71"/>
      <c r="N1896" s="71"/>
      <c r="O1896" s="70"/>
      <c r="P1896" s="73"/>
      <c r="Q1896" s="71"/>
      <c r="R1896" s="71"/>
      <c r="S1896" s="71"/>
      <c r="T1896" s="71"/>
      <c r="U1896" s="71"/>
      <c r="V1896" s="70"/>
      <c r="W1896" s="70"/>
      <c r="X1896" s="70"/>
      <c r="Y1896" s="70"/>
      <c r="Z1896" s="102"/>
    </row>
    <row r="1897">
      <c r="A1897" s="94"/>
      <c r="B1897" s="66"/>
      <c r="C1897" s="70"/>
      <c r="D1897" s="68"/>
      <c r="E1897" s="68"/>
      <c r="F1897" s="69"/>
      <c r="G1897" s="70"/>
      <c r="H1897" s="70"/>
      <c r="I1897" s="70"/>
      <c r="J1897" s="70"/>
      <c r="K1897" s="71"/>
      <c r="L1897" s="71"/>
      <c r="M1897" s="71"/>
      <c r="N1897" s="71"/>
      <c r="O1897" s="70"/>
      <c r="P1897" s="73"/>
      <c r="Q1897" s="71"/>
      <c r="R1897" s="71"/>
      <c r="S1897" s="71"/>
      <c r="T1897" s="71"/>
      <c r="U1897" s="71"/>
      <c r="V1897" s="70"/>
      <c r="W1897" s="70"/>
      <c r="X1897" s="70"/>
      <c r="Y1897" s="70"/>
      <c r="Z1897" s="102"/>
    </row>
    <row r="1898">
      <c r="A1898" s="94"/>
      <c r="B1898" s="66"/>
      <c r="C1898" s="70"/>
      <c r="D1898" s="68"/>
      <c r="E1898" s="68"/>
      <c r="F1898" s="69"/>
      <c r="G1898" s="70"/>
      <c r="H1898" s="70"/>
      <c r="I1898" s="70"/>
      <c r="J1898" s="70"/>
      <c r="K1898" s="71"/>
      <c r="L1898" s="71"/>
      <c r="M1898" s="71"/>
      <c r="N1898" s="71"/>
      <c r="O1898" s="70"/>
      <c r="P1898" s="73"/>
      <c r="Q1898" s="71"/>
      <c r="R1898" s="71"/>
      <c r="S1898" s="71"/>
      <c r="T1898" s="71"/>
      <c r="U1898" s="71"/>
      <c r="V1898" s="70"/>
      <c r="W1898" s="70"/>
      <c r="X1898" s="70"/>
      <c r="Y1898" s="70"/>
      <c r="Z1898" s="102"/>
    </row>
    <row r="1899">
      <c r="A1899" s="94"/>
      <c r="B1899" s="66"/>
      <c r="C1899" s="70"/>
      <c r="D1899" s="68"/>
      <c r="E1899" s="68"/>
      <c r="F1899" s="69"/>
      <c r="G1899" s="70"/>
      <c r="H1899" s="70"/>
      <c r="I1899" s="70"/>
      <c r="J1899" s="70"/>
      <c r="K1899" s="71"/>
      <c r="L1899" s="71"/>
      <c r="M1899" s="71"/>
      <c r="N1899" s="71"/>
      <c r="O1899" s="70"/>
      <c r="P1899" s="73"/>
      <c r="Q1899" s="71"/>
      <c r="R1899" s="71"/>
      <c r="S1899" s="71"/>
      <c r="T1899" s="71"/>
      <c r="U1899" s="71"/>
      <c r="V1899" s="70"/>
      <c r="W1899" s="70"/>
      <c r="X1899" s="70"/>
      <c r="Y1899" s="70"/>
      <c r="Z1899" s="102"/>
    </row>
    <row r="1900">
      <c r="A1900" s="94"/>
      <c r="B1900" s="66"/>
      <c r="C1900" s="70"/>
      <c r="D1900" s="68"/>
      <c r="E1900" s="68"/>
      <c r="F1900" s="69"/>
      <c r="G1900" s="70"/>
      <c r="H1900" s="70"/>
      <c r="I1900" s="70"/>
      <c r="J1900" s="70"/>
      <c r="K1900" s="71"/>
      <c r="L1900" s="71"/>
      <c r="M1900" s="71"/>
      <c r="N1900" s="71"/>
      <c r="O1900" s="70"/>
      <c r="P1900" s="73"/>
      <c r="Q1900" s="71"/>
      <c r="R1900" s="71"/>
      <c r="S1900" s="71"/>
      <c r="T1900" s="71"/>
      <c r="U1900" s="71"/>
      <c r="V1900" s="70"/>
      <c r="W1900" s="70"/>
      <c r="X1900" s="70"/>
      <c r="Y1900" s="70"/>
      <c r="Z1900" s="102"/>
    </row>
    <row r="1901">
      <c r="A1901" s="94"/>
      <c r="B1901" s="66"/>
      <c r="C1901" s="70"/>
      <c r="D1901" s="68"/>
      <c r="E1901" s="68"/>
      <c r="F1901" s="69"/>
      <c r="G1901" s="70"/>
      <c r="H1901" s="70"/>
      <c r="I1901" s="70"/>
      <c r="J1901" s="70"/>
      <c r="K1901" s="71"/>
      <c r="L1901" s="71"/>
      <c r="M1901" s="71"/>
      <c r="N1901" s="71"/>
      <c r="O1901" s="70"/>
      <c r="P1901" s="73"/>
      <c r="Q1901" s="71"/>
      <c r="R1901" s="71"/>
      <c r="S1901" s="71"/>
      <c r="T1901" s="71"/>
      <c r="U1901" s="71"/>
      <c r="V1901" s="70"/>
      <c r="W1901" s="70"/>
      <c r="X1901" s="70"/>
      <c r="Y1901" s="70"/>
      <c r="Z1901" s="102"/>
    </row>
    <row r="1902">
      <c r="A1902" s="94"/>
      <c r="B1902" s="66"/>
      <c r="C1902" s="70"/>
      <c r="D1902" s="68"/>
      <c r="E1902" s="68"/>
      <c r="F1902" s="69"/>
      <c r="G1902" s="70"/>
      <c r="H1902" s="70"/>
      <c r="I1902" s="70"/>
      <c r="J1902" s="70"/>
      <c r="K1902" s="71"/>
      <c r="L1902" s="71"/>
      <c r="M1902" s="71"/>
      <c r="N1902" s="71"/>
      <c r="O1902" s="70"/>
      <c r="P1902" s="73"/>
      <c r="Q1902" s="71"/>
      <c r="R1902" s="71"/>
      <c r="S1902" s="71"/>
      <c r="T1902" s="71"/>
      <c r="U1902" s="71"/>
      <c r="V1902" s="70"/>
      <c r="W1902" s="70"/>
      <c r="X1902" s="70"/>
      <c r="Y1902" s="70"/>
      <c r="Z1902" s="102"/>
    </row>
    <row r="1903">
      <c r="A1903" s="94"/>
      <c r="B1903" s="66"/>
      <c r="C1903" s="70"/>
      <c r="D1903" s="68"/>
      <c r="E1903" s="68"/>
      <c r="F1903" s="69"/>
      <c r="G1903" s="70"/>
      <c r="H1903" s="70"/>
      <c r="I1903" s="70"/>
      <c r="J1903" s="70"/>
      <c r="K1903" s="71"/>
      <c r="L1903" s="71"/>
      <c r="M1903" s="71"/>
      <c r="N1903" s="71"/>
      <c r="O1903" s="70"/>
      <c r="P1903" s="73"/>
      <c r="Q1903" s="71"/>
      <c r="R1903" s="71"/>
      <c r="S1903" s="71"/>
      <c r="T1903" s="71"/>
      <c r="U1903" s="71"/>
      <c r="V1903" s="70"/>
      <c r="W1903" s="70"/>
      <c r="X1903" s="70"/>
      <c r="Y1903" s="70"/>
      <c r="Z1903" s="102"/>
    </row>
    <row r="1904">
      <c r="A1904" s="94"/>
      <c r="B1904" s="66"/>
      <c r="C1904" s="70"/>
      <c r="D1904" s="68"/>
      <c r="E1904" s="68"/>
      <c r="F1904" s="69"/>
      <c r="G1904" s="70"/>
      <c r="H1904" s="70"/>
      <c r="I1904" s="70"/>
      <c r="J1904" s="70"/>
      <c r="K1904" s="71"/>
      <c r="L1904" s="71"/>
      <c r="M1904" s="71"/>
      <c r="N1904" s="71"/>
      <c r="O1904" s="70"/>
      <c r="P1904" s="73"/>
      <c r="Q1904" s="71"/>
      <c r="R1904" s="71"/>
      <c r="S1904" s="71"/>
      <c r="T1904" s="71"/>
      <c r="U1904" s="71"/>
      <c r="V1904" s="70"/>
      <c r="W1904" s="70"/>
      <c r="X1904" s="70"/>
      <c r="Y1904" s="70"/>
      <c r="Z1904" s="102"/>
    </row>
    <row r="1905">
      <c r="A1905" s="94"/>
      <c r="B1905" s="66"/>
      <c r="C1905" s="70"/>
      <c r="D1905" s="68"/>
      <c r="E1905" s="68"/>
      <c r="F1905" s="69"/>
      <c r="G1905" s="70"/>
      <c r="H1905" s="70"/>
      <c r="I1905" s="70"/>
      <c r="J1905" s="70"/>
      <c r="K1905" s="71"/>
      <c r="L1905" s="71"/>
      <c r="M1905" s="71"/>
      <c r="N1905" s="71"/>
      <c r="O1905" s="70"/>
      <c r="P1905" s="73"/>
      <c r="Q1905" s="71"/>
      <c r="R1905" s="71"/>
      <c r="S1905" s="71"/>
      <c r="T1905" s="71"/>
      <c r="U1905" s="71"/>
      <c r="V1905" s="70"/>
      <c r="W1905" s="70"/>
      <c r="X1905" s="70"/>
      <c r="Y1905" s="70"/>
      <c r="Z1905" s="102"/>
    </row>
    <row r="1906">
      <c r="A1906" s="94"/>
      <c r="B1906" s="66"/>
      <c r="C1906" s="70"/>
      <c r="D1906" s="68"/>
      <c r="E1906" s="68"/>
      <c r="F1906" s="69"/>
      <c r="G1906" s="70"/>
      <c r="H1906" s="70"/>
      <c r="I1906" s="70"/>
      <c r="J1906" s="70"/>
      <c r="K1906" s="71"/>
      <c r="L1906" s="71"/>
      <c r="M1906" s="71"/>
      <c r="N1906" s="71"/>
      <c r="O1906" s="70"/>
      <c r="P1906" s="73"/>
      <c r="Q1906" s="71"/>
      <c r="R1906" s="71"/>
      <c r="S1906" s="71"/>
      <c r="T1906" s="71"/>
      <c r="U1906" s="71"/>
      <c r="V1906" s="70"/>
      <c r="W1906" s="70"/>
      <c r="X1906" s="70"/>
      <c r="Y1906" s="70"/>
      <c r="Z1906" s="102"/>
    </row>
    <row r="1907">
      <c r="A1907" s="94"/>
      <c r="B1907" s="66"/>
      <c r="C1907" s="70"/>
      <c r="D1907" s="68"/>
      <c r="E1907" s="68"/>
      <c r="F1907" s="69"/>
      <c r="G1907" s="70"/>
      <c r="H1907" s="70"/>
      <c r="I1907" s="70"/>
      <c r="J1907" s="70"/>
      <c r="K1907" s="71"/>
      <c r="L1907" s="71"/>
      <c r="M1907" s="71"/>
      <c r="N1907" s="71"/>
      <c r="O1907" s="70"/>
      <c r="P1907" s="73"/>
      <c r="Q1907" s="71"/>
      <c r="R1907" s="71"/>
      <c r="S1907" s="71"/>
      <c r="T1907" s="71"/>
      <c r="U1907" s="71"/>
      <c r="V1907" s="70"/>
      <c r="W1907" s="70"/>
      <c r="X1907" s="70"/>
      <c r="Y1907" s="70"/>
      <c r="Z1907" s="102"/>
    </row>
    <row r="1908">
      <c r="A1908" s="94"/>
      <c r="B1908" s="66"/>
      <c r="C1908" s="70"/>
      <c r="D1908" s="68"/>
      <c r="E1908" s="68"/>
      <c r="F1908" s="69"/>
      <c r="G1908" s="70"/>
      <c r="H1908" s="70"/>
      <c r="I1908" s="70"/>
      <c r="J1908" s="70"/>
      <c r="K1908" s="71"/>
      <c r="L1908" s="71"/>
      <c r="M1908" s="71"/>
      <c r="N1908" s="71"/>
      <c r="O1908" s="70"/>
      <c r="P1908" s="73"/>
      <c r="Q1908" s="71"/>
      <c r="R1908" s="71"/>
      <c r="S1908" s="71"/>
      <c r="T1908" s="71"/>
      <c r="U1908" s="71"/>
      <c r="V1908" s="70"/>
      <c r="W1908" s="70"/>
      <c r="X1908" s="70"/>
      <c r="Y1908" s="70"/>
      <c r="Z1908" s="102"/>
    </row>
    <row r="1909">
      <c r="A1909" s="94"/>
      <c r="B1909" s="66"/>
      <c r="C1909" s="70"/>
      <c r="D1909" s="68"/>
      <c r="E1909" s="68"/>
      <c r="F1909" s="69"/>
      <c r="G1909" s="70"/>
      <c r="H1909" s="70"/>
      <c r="I1909" s="70"/>
      <c r="J1909" s="70"/>
      <c r="K1909" s="71"/>
      <c r="L1909" s="71"/>
      <c r="M1909" s="71"/>
      <c r="N1909" s="71"/>
      <c r="O1909" s="70"/>
      <c r="P1909" s="73"/>
      <c r="Q1909" s="71"/>
      <c r="R1909" s="71"/>
      <c r="S1909" s="71"/>
      <c r="T1909" s="71"/>
      <c r="U1909" s="71"/>
      <c r="V1909" s="70"/>
      <c r="W1909" s="70"/>
      <c r="X1909" s="70"/>
      <c r="Y1909" s="70"/>
      <c r="Z1909" s="102"/>
    </row>
    <row r="1910">
      <c r="A1910" s="94"/>
      <c r="B1910" s="66"/>
      <c r="C1910" s="70"/>
      <c r="D1910" s="68"/>
      <c r="E1910" s="68"/>
      <c r="F1910" s="69"/>
      <c r="G1910" s="70"/>
      <c r="H1910" s="70"/>
      <c r="I1910" s="70"/>
      <c r="J1910" s="70"/>
      <c r="K1910" s="71"/>
      <c r="L1910" s="71"/>
      <c r="M1910" s="71"/>
      <c r="N1910" s="71"/>
      <c r="O1910" s="70"/>
      <c r="P1910" s="73"/>
      <c r="Q1910" s="71"/>
      <c r="R1910" s="71"/>
      <c r="S1910" s="71"/>
      <c r="T1910" s="71"/>
      <c r="U1910" s="71"/>
      <c r="V1910" s="70"/>
      <c r="W1910" s="70"/>
      <c r="X1910" s="70"/>
      <c r="Y1910" s="70"/>
      <c r="Z1910" s="102"/>
    </row>
    <row r="1911">
      <c r="A1911" s="94"/>
      <c r="B1911" s="66"/>
      <c r="C1911" s="70"/>
      <c r="D1911" s="68"/>
      <c r="E1911" s="68"/>
      <c r="F1911" s="69"/>
      <c r="G1911" s="70"/>
      <c r="H1911" s="70"/>
      <c r="I1911" s="70"/>
      <c r="J1911" s="70"/>
      <c r="K1911" s="71"/>
      <c r="L1911" s="71"/>
      <c r="M1911" s="71"/>
      <c r="N1911" s="71"/>
      <c r="O1911" s="70"/>
      <c r="P1911" s="73"/>
      <c r="Q1911" s="71"/>
      <c r="R1911" s="71"/>
      <c r="S1911" s="71"/>
      <c r="T1911" s="71"/>
      <c r="U1911" s="71"/>
      <c r="V1911" s="70"/>
      <c r="W1911" s="70"/>
      <c r="X1911" s="70"/>
      <c r="Y1911" s="70"/>
      <c r="Z1911" s="102"/>
    </row>
    <row r="1912">
      <c r="A1912" s="94"/>
      <c r="B1912" s="66"/>
      <c r="C1912" s="70"/>
      <c r="D1912" s="68"/>
      <c r="E1912" s="68"/>
      <c r="F1912" s="69"/>
      <c r="G1912" s="70"/>
      <c r="H1912" s="70"/>
      <c r="I1912" s="70"/>
      <c r="J1912" s="70"/>
      <c r="K1912" s="71"/>
      <c r="L1912" s="71"/>
      <c r="M1912" s="71"/>
      <c r="N1912" s="71"/>
      <c r="O1912" s="70"/>
      <c r="P1912" s="73"/>
      <c r="Q1912" s="71"/>
      <c r="R1912" s="71"/>
      <c r="S1912" s="71"/>
      <c r="T1912" s="71"/>
      <c r="U1912" s="71"/>
      <c r="V1912" s="70"/>
      <c r="W1912" s="70"/>
      <c r="X1912" s="70"/>
      <c r="Y1912" s="70"/>
      <c r="Z1912" s="102"/>
    </row>
    <row r="1913">
      <c r="A1913" s="94"/>
      <c r="B1913" s="66"/>
      <c r="C1913" s="70"/>
      <c r="D1913" s="68"/>
      <c r="E1913" s="68"/>
      <c r="F1913" s="69"/>
      <c r="G1913" s="70"/>
      <c r="H1913" s="70"/>
      <c r="I1913" s="70"/>
      <c r="J1913" s="70"/>
      <c r="K1913" s="71"/>
      <c r="L1913" s="71"/>
      <c r="M1913" s="71"/>
      <c r="N1913" s="71"/>
      <c r="O1913" s="70"/>
      <c r="P1913" s="73"/>
      <c r="Q1913" s="71"/>
      <c r="R1913" s="71"/>
      <c r="S1913" s="71"/>
      <c r="T1913" s="71"/>
      <c r="U1913" s="71"/>
      <c r="V1913" s="70"/>
      <c r="W1913" s="70"/>
      <c r="X1913" s="70"/>
      <c r="Y1913" s="70"/>
      <c r="Z1913" s="102"/>
    </row>
    <row r="1914">
      <c r="A1914" s="94"/>
      <c r="B1914" s="66"/>
      <c r="C1914" s="70"/>
      <c r="D1914" s="68"/>
      <c r="E1914" s="68"/>
      <c r="F1914" s="69"/>
      <c r="G1914" s="70"/>
      <c r="H1914" s="70"/>
      <c r="I1914" s="70"/>
      <c r="J1914" s="70"/>
      <c r="K1914" s="71"/>
      <c r="L1914" s="71"/>
      <c r="M1914" s="71"/>
      <c r="N1914" s="71"/>
      <c r="O1914" s="70"/>
      <c r="P1914" s="73"/>
      <c r="Q1914" s="71"/>
      <c r="R1914" s="71"/>
      <c r="S1914" s="71"/>
      <c r="T1914" s="71"/>
      <c r="U1914" s="71"/>
      <c r="V1914" s="70"/>
      <c r="W1914" s="70"/>
      <c r="X1914" s="70"/>
      <c r="Y1914" s="70"/>
      <c r="Z1914" s="102"/>
    </row>
    <row r="1915">
      <c r="A1915" s="94"/>
      <c r="B1915" s="66"/>
      <c r="C1915" s="70"/>
      <c r="D1915" s="68"/>
      <c r="E1915" s="68"/>
      <c r="F1915" s="69"/>
      <c r="G1915" s="70"/>
      <c r="H1915" s="70"/>
      <c r="I1915" s="70"/>
      <c r="J1915" s="70"/>
      <c r="K1915" s="71"/>
      <c r="L1915" s="71"/>
      <c r="M1915" s="71"/>
      <c r="N1915" s="71"/>
      <c r="O1915" s="70"/>
      <c r="P1915" s="73"/>
      <c r="Q1915" s="71"/>
      <c r="R1915" s="71"/>
      <c r="S1915" s="71"/>
      <c r="T1915" s="71"/>
      <c r="U1915" s="71"/>
      <c r="V1915" s="70"/>
      <c r="W1915" s="70"/>
      <c r="X1915" s="70"/>
      <c r="Y1915" s="70"/>
      <c r="Z1915" s="102"/>
    </row>
    <row r="1916">
      <c r="A1916" s="94"/>
      <c r="B1916" s="66"/>
      <c r="C1916" s="70"/>
      <c r="D1916" s="68"/>
      <c r="E1916" s="68"/>
      <c r="F1916" s="69"/>
      <c r="G1916" s="70"/>
      <c r="H1916" s="70"/>
      <c r="I1916" s="70"/>
      <c r="J1916" s="70"/>
      <c r="K1916" s="71"/>
      <c r="L1916" s="71"/>
      <c r="M1916" s="71"/>
      <c r="N1916" s="71"/>
      <c r="O1916" s="70"/>
      <c r="P1916" s="73"/>
      <c r="Q1916" s="71"/>
      <c r="R1916" s="71"/>
      <c r="S1916" s="71"/>
      <c r="T1916" s="71"/>
      <c r="U1916" s="71"/>
      <c r="V1916" s="70"/>
      <c r="W1916" s="70"/>
      <c r="X1916" s="70"/>
      <c r="Y1916" s="70"/>
      <c r="Z1916" s="102"/>
    </row>
    <row r="1917">
      <c r="A1917" s="94"/>
      <c r="B1917" s="66"/>
      <c r="C1917" s="70"/>
      <c r="D1917" s="68"/>
      <c r="E1917" s="68"/>
      <c r="F1917" s="69"/>
      <c r="G1917" s="70"/>
      <c r="H1917" s="70"/>
      <c r="I1917" s="70"/>
      <c r="J1917" s="70"/>
      <c r="K1917" s="71"/>
      <c r="L1917" s="71"/>
      <c r="M1917" s="71"/>
      <c r="N1917" s="71"/>
      <c r="O1917" s="70"/>
      <c r="P1917" s="73"/>
      <c r="Q1917" s="71"/>
      <c r="R1917" s="71"/>
      <c r="S1917" s="71"/>
      <c r="T1917" s="71"/>
      <c r="U1917" s="71"/>
      <c r="V1917" s="70"/>
      <c r="W1917" s="70"/>
      <c r="X1917" s="70"/>
      <c r="Y1917" s="70"/>
      <c r="Z1917" s="102"/>
    </row>
    <row r="1918">
      <c r="A1918" s="94"/>
      <c r="B1918" s="66"/>
      <c r="C1918" s="70"/>
      <c r="D1918" s="68"/>
      <c r="E1918" s="68"/>
      <c r="F1918" s="69"/>
      <c r="G1918" s="70"/>
      <c r="H1918" s="70"/>
      <c r="I1918" s="70"/>
      <c r="J1918" s="70"/>
      <c r="K1918" s="71"/>
      <c r="L1918" s="71"/>
      <c r="M1918" s="71"/>
      <c r="N1918" s="71"/>
      <c r="O1918" s="70"/>
      <c r="P1918" s="73"/>
      <c r="Q1918" s="71"/>
      <c r="R1918" s="71"/>
      <c r="S1918" s="71"/>
      <c r="T1918" s="71"/>
      <c r="U1918" s="71"/>
      <c r="V1918" s="70"/>
      <c r="W1918" s="70"/>
      <c r="X1918" s="70"/>
      <c r="Y1918" s="70"/>
      <c r="Z1918" s="102"/>
    </row>
    <row r="1919">
      <c r="A1919" s="94"/>
      <c r="B1919" s="66"/>
      <c r="C1919" s="70"/>
      <c r="D1919" s="68"/>
      <c r="E1919" s="68"/>
      <c r="F1919" s="69"/>
      <c r="G1919" s="70"/>
      <c r="H1919" s="70"/>
      <c r="I1919" s="70"/>
      <c r="J1919" s="70"/>
      <c r="K1919" s="71"/>
      <c r="L1919" s="71"/>
      <c r="M1919" s="71"/>
      <c r="N1919" s="71"/>
      <c r="O1919" s="70"/>
      <c r="P1919" s="73"/>
      <c r="Q1919" s="71"/>
      <c r="R1919" s="71"/>
      <c r="S1919" s="71"/>
      <c r="T1919" s="71"/>
      <c r="U1919" s="71"/>
      <c r="V1919" s="70"/>
      <c r="W1919" s="70"/>
      <c r="X1919" s="70"/>
      <c r="Y1919" s="70"/>
      <c r="Z1919" s="102"/>
    </row>
    <row r="1920">
      <c r="A1920" s="94"/>
      <c r="B1920" s="66"/>
      <c r="C1920" s="70"/>
      <c r="D1920" s="68"/>
      <c r="E1920" s="68"/>
      <c r="F1920" s="69"/>
      <c r="G1920" s="70"/>
      <c r="H1920" s="70"/>
      <c r="I1920" s="70"/>
      <c r="J1920" s="70"/>
      <c r="K1920" s="71"/>
      <c r="L1920" s="71"/>
      <c r="M1920" s="71"/>
      <c r="N1920" s="71"/>
      <c r="O1920" s="70"/>
      <c r="P1920" s="73"/>
      <c r="Q1920" s="71"/>
      <c r="R1920" s="71"/>
      <c r="S1920" s="71"/>
      <c r="T1920" s="71"/>
      <c r="U1920" s="71"/>
      <c r="V1920" s="70"/>
      <c r="W1920" s="70"/>
      <c r="X1920" s="70"/>
      <c r="Y1920" s="70"/>
      <c r="Z1920" s="102"/>
    </row>
    <row r="1921">
      <c r="A1921" s="94"/>
      <c r="B1921" s="66"/>
      <c r="C1921" s="70"/>
      <c r="D1921" s="68"/>
      <c r="E1921" s="68"/>
      <c r="F1921" s="69"/>
      <c r="G1921" s="70"/>
      <c r="H1921" s="70"/>
      <c r="I1921" s="70"/>
      <c r="J1921" s="70"/>
      <c r="K1921" s="71"/>
      <c r="L1921" s="71"/>
      <c r="M1921" s="71"/>
      <c r="N1921" s="71"/>
      <c r="O1921" s="70"/>
      <c r="P1921" s="73"/>
      <c r="Q1921" s="71"/>
      <c r="R1921" s="71"/>
      <c r="S1921" s="71"/>
      <c r="T1921" s="71"/>
      <c r="U1921" s="71"/>
      <c r="V1921" s="70"/>
      <c r="W1921" s="70"/>
      <c r="X1921" s="70"/>
      <c r="Y1921" s="70"/>
      <c r="Z1921" s="102"/>
    </row>
    <row r="1922">
      <c r="A1922" s="94"/>
      <c r="B1922" s="66"/>
      <c r="C1922" s="70"/>
      <c r="D1922" s="68"/>
      <c r="E1922" s="68"/>
      <c r="F1922" s="69"/>
      <c r="G1922" s="70"/>
      <c r="H1922" s="70"/>
      <c r="I1922" s="70"/>
      <c r="J1922" s="70"/>
      <c r="K1922" s="71"/>
      <c r="L1922" s="71"/>
      <c r="M1922" s="71"/>
      <c r="N1922" s="71"/>
      <c r="O1922" s="70"/>
      <c r="P1922" s="73"/>
      <c r="Q1922" s="71"/>
      <c r="R1922" s="71"/>
      <c r="S1922" s="71"/>
      <c r="T1922" s="71"/>
      <c r="U1922" s="71"/>
      <c r="V1922" s="70"/>
      <c r="W1922" s="70"/>
      <c r="X1922" s="70"/>
      <c r="Y1922" s="70"/>
      <c r="Z1922" s="102"/>
    </row>
    <row r="1923">
      <c r="A1923" s="94"/>
      <c r="B1923" s="66"/>
      <c r="C1923" s="70"/>
      <c r="D1923" s="68"/>
      <c r="E1923" s="68"/>
      <c r="F1923" s="69"/>
      <c r="G1923" s="70"/>
      <c r="H1923" s="70"/>
      <c r="I1923" s="70"/>
      <c r="J1923" s="70"/>
      <c r="K1923" s="71"/>
      <c r="L1923" s="71"/>
      <c r="M1923" s="71"/>
      <c r="N1923" s="71"/>
      <c r="O1923" s="70"/>
      <c r="P1923" s="73"/>
      <c r="Q1923" s="71"/>
      <c r="R1923" s="71"/>
      <c r="S1923" s="71"/>
      <c r="T1923" s="71"/>
      <c r="U1923" s="71"/>
      <c r="V1923" s="70"/>
      <c r="W1923" s="70"/>
      <c r="X1923" s="70"/>
      <c r="Y1923" s="70"/>
      <c r="Z1923" s="102"/>
    </row>
    <row r="1924">
      <c r="A1924" s="94"/>
      <c r="B1924" s="66"/>
      <c r="C1924" s="70"/>
      <c r="D1924" s="68"/>
      <c r="E1924" s="68"/>
      <c r="F1924" s="69"/>
      <c r="G1924" s="70"/>
      <c r="H1924" s="70"/>
      <c r="I1924" s="70"/>
      <c r="J1924" s="70"/>
      <c r="K1924" s="71"/>
      <c r="L1924" s="71"/>
      <c r="M1924" s="71"/>
      <c r="N1924" s="71"/>
      <c r="O1924" s="70"/>
      <c r="P1924" s="73"/>
      <c r="Q1924" s="71"/>
      <c r="R1924" s="71"/>
      <c r="S1924" s="71"/>
      <c r="T1924" s="71"/>
      <c r="U1924" s="71"/>
      <c r="V1924" s="70"/>
      <c r="W1924" s="70"/>
      <c r="X1924" s="70"/>
      <c r="Y1924" s="70"/>
      <c r="Z1924" s="102"/>
    </row>
    <row r="1925">
      <c r="A1925" s="94"/>
      <c r="B1925" s="66"/>
      <c r="C1925" s="70"/>
      <c r="D1925" s="68"/>
      <c r="E1925" s="68"/>
      <c r="F1925" s="69"/>
      <c r="G1925" s="70"/>
      <c r="H1925" s="70"/>
      <c r="I1925" s="70"/>
      <c r="J1925" s="70"/>
      <c r="K1925" s="71"/>
      <c r="L1925" s="71"/>
      <c r="M1925" s="71"/>
      <c r="N1925" s="71"/>
      <c r="O1925" s="70"/>
      <c r="P1925" s="73"/>
      <c r="Q1925" s="71"/>
      <c r="R1925" s="71"/>
      <c r="S1925" s="71"/>
      <c r="T1925" s="71"/>
      <c r="U1925" s="71"/>
      <c r="V1925" s="70"/>
      <c r="W1925" s="70"/>
      <c r="X1925" s="70"/>
      <c r="Y1925" s="70"/>
      <c r="Z1925" s="102"/>
    </row>
    <row r="1926">
      <c r="A1926" s="94"/>
      <c r="B1926" s="66"/>
      <c r="C1926" s="70"/>
      <c r="D1926" s="68"/>
      <c r="E1926" s="68"/>
      <c r="F1926" s="69"/>
      <c r="G1926" s="70"/>
      <c r="H1926" s="70"/>
      <c r="I1926" s="70"/>
      <c r="J1926" s="70"/>
      <c r="K1926" s="71"/>
      <c r="L1926" s="71"/>
      <c r="M1926" s="71"/>
      <c r="N1926" s="71"/>
      <c r="O1926" s="70"/>
      <c r="P1926" s="73"/>
      <c r="Q1926" s="71"/>
      <c r="R1926" s="71"/>
      <c r="S1926" s="71"/>
      <c r="T1926" s="71"/>
      <c r="U1926" s="71"/>
      <c r="V1926" s="70"/>
      <c r="W1926" s="70"/>
      <c r="X1926" s="70"/>
      <c r="Y1926" s="70"/>
      <c r="Z1926" s="102"/>
    </row>
    <row r="1927">
      <c r="A1927" s="94"/>
      <c r="B1927" s="66"/>
      <c r="C1927" s="70"/>
      <c r="D1927" s="68"/>
      <c r="E1927" s="68"/>
      <c r="F1927" s="69"/>
      <c r="G1927" s="70"/>
      <c r="H1927" s="70"/>
      <c r="I1927" s="70"/>
      <c r="J1927" s="70"/>
      <c r="K1927" s="71"/>
      <c r="L1927" s="71"/>
      <c r="M1927" s="71"/>
      <c r="N1927" s="71"/>
      <c r="O1927" s="70"/>
      <c r="P1927" s="73"/>
      <c r="Q1927" s="71"/>
      <c r="R1927" s="71"/>
      <c r="S1927" s="71"/>
      <c r="T1927" s="71"/>
      <c r="U1927" s="71"/>
      <c r="V1927" s="70"/>
      <c r="W1927" s="70"/>
      <c r="X1927" s="70"/>
      <c r="Y1927" s="70"/>
      <c r="Z1927" s="102"/>
    </row>
    <row r="1928">
      <c r="A1928" s="94"/>
      <c r="B1928" s="66"/>
      <c r="C1928" s="70"/>
      <c r="D1928" s="68"/>
      <c r="E1928" s="68"/>
      <c r="F1928" s="69"/>
      <c r="G1928" s="70"/>
      <c r="H1928" s="70"/>
      <c r="I1928" s="70"/>
      <c r="J1928" s="70"/>
      <c r="K1928" s="71"/>
      <c r="L1928" s="71"/>
      <c r="M1928" s="71"/>
      <c r="N1928" s="71"/>
      <c r="O1928" s="70"/>
      <c r="P1928" s="73"/>
      <c r="Q1928" s="71"/>
      <c r="R1928" s="71"/>
      <c r="S1928" s="71"/>
      <c r="T1928" s="71"/>
      <c r="U1928" s="71"/>
      <c r="V1928" s="70"/>
      <c r="W1928" s="70"/>
      <c r="X1928" s="70"/>
      <c r="Y1928" s="70"/>
      <c r="Z1928" s="102"/>
    </row>
    <row r="1929">
      <c r="A1929" s="94"/>
      <c r="B1929" s="66"/>
      <c r="C1929" s="70"/>
      <c r="D1929" s="68"/>
      <c r="E1929" s="68"/>
      <c r="F1929" s="69"/>
      <c r="G1929" s="70"/>
      <c r="H1929" s="70"/>
      <c r="I1929" s="70"/>
      <c r="J1929" s="70"/>
      <c r="K1929" s="71"/>
      <c r="L1929" s="71"/>
      <c r="M1929" s="71"/>
      <c r="N1929" s="71"/>
      <c r="O1929" s="70"/>
      <c r="P1929" s="73"/>
      <c r="Q1929" s="71"/>
      <c r="R1929" s="71"/>
      <c r="S1929" s="71"/>
      <c r="T1929" s="71"/>
      <c r="U1929" s="71"/>
      <c r="V1929" s="70"/>
      <c r="W1929" s="70"/>
      <c r="X1929" s="70"/>
      <c r="Y1929" s="70"/>
      <c r="Z1929" s="102"/>
    </row>
    <row r="1930">
      <c r="A1930" s="94"/>
      <c r="B1930" s="66"/>
      <c r="C1930" s="70"/>
      <c r="D1930" s="68"/>
      <c r="E1930" s="68"/>
      <c r="F1930" s="69"/>
      <c r="G1930" s="70"/>
      <c r="H1930" s="70"/>
      <c r="I1930" s="70"/>
      <c r="J1930" s="70"/>
      <c r="K1930" s="71"/>
      <c r="L1930" s="71"/>
      <c r="M1930" s="71"/>
      <c r="N1930" s="71"/>
      <c r="O1930" s="70"/>
      <c r="P1930" s="73"/>
      <c r="Q1930" s="71"/>
      <c r="R1930" s="71"/>
      <c r="S1930" s="71"/>
      <c r="T1930" s="71"/>
      <c r="U1930" s="71"/>
      <c r="V1930" s="70"/>
      <c r="W1930" s="70"/>
      <c r="X1930" s="70"/>
      <c r="Y1930" s="70"/>
      <c r="Z1930" s="102"/>
    </row>
    <row r="1931">
      <c r="A1931" s="94"/>
      <c r="B1931" s="66"/>
      <c r="C1931" s="70"/>
      <c r="D1931" s="68"/>
      <c r="E1931" s="68"/>
      <c r="F1931" s="69"/>
      <c r="G1931" s="70"/>
      <c r="H1931" s="70"/>
      <c r="I1931" s="70"/>
      <c r="J1931" s="70"/>
      <c r="K1931" s="71"/>
      <c r="L1931" s="71"/>
      <c r="M1931" s="71"/>
      <c r="N1931" s="71"/>
      <c r="O1931" s="70"/>
      <c r="P1931" s="73"/>
      <c r="Q1931" s="71"/>
      <c r="R1931" s="71"/>
      <c r="S1931" s="71"/>
      <c r="T1931" s="71"/>
      <c r="U1931" s="71"/>
      <c r="V1931" s="70"/>
      <c r="W1931" s="70"/>
      <c r="X1931" s="70"/>
      <c r="Y1931" s="70"/>
      <c r="Z1931" s="102"/>
    </row>
    <row r="1932">
      <c r="A1932" s="94"/>
      <c r="B1932" s="66"/>
      <c r="C1932" s="70"/>
      <c r="D1932" s="68"/>
      <c r="E1932" s="68"/>
      <c r="F1932" s="69"/>
      <c r="G1932" s="70"/>
      <c r="H1932" s="70"/>
      <c r="I1932" s="70"/>
      <c r="J1932" s="70"/>
      <c r="K1932" s="71"/>
      <c r="L1932" s="71"/>
      <c r="M1932" s="71"/>
      <c r="N1932" s="71"/>
      <c r="O1932" s="70"/>
      <c r="P1932" s="73"/>
      <c r="Q1932" s="71"/>
      <c r="R1932" s="71"/>
      <c r="S1932" s="71"/>
      <c r="T1932" s="71"/>
      <c r="U1932" s="71"/>
      <c r="V1932" s="70"/>
      <c r="W1932" s="70"/>
      <c r="X1932" s="70"/>
      <c r="Y1932" s="70"/>
      <c r="Z1932" s="102"/>
    </row>
    <row r="1933">
      <c r="A1933" s="94"/>
      <c r="B1933" s="66"/>
      <c r="C1933" s="70"/>
      <c r="D1933" s="68"/>
      <c r="E1933" s="68"/>
      <c r="F1933" s="69"/>
      <c r="G1933" s="70"/>
      <c r="H1933" s="70"/>
      <c r="I1933" s="70"/>
      <c r="J1933" s="70"/>
      <c r="K1933" s="71"/>
      <c r="L1933" s="71"/>
      <c r="M1933" s="71"/>
      <c r="N1933" s="71"/>
      <c r="O1933" s="70"/>
      <c r="P1933" s="73"/>
      <c r="Q1933" s="71"/>
      <c r="R1933" s="71"/>
      <c r="S1933" s="71"/>
      <c r="T1933" s="71"/>
      <c r="U1933" s="71"/>
      <c r="V1933" s="70"/>
      <c r="W1933" s="70"/>
      <c r="X1933" s="70"/>
      <c r="Y1933" s="70"/>
      <c r="Z1933" s="102"/>
    </row>
    <row r="1934">
      <c r="A1934" s="94"/>
      <c r="B1934" s="66"/>
      <c r="C1934" s="70"/>
      <c r="D1934" s="68"/>
      <c r="E1934" s="68"/>
      <c r="F1934" s="69"/>
      <c r="G1934" s="70"/>
      <c r="H1934" s="70"/>
      <c r="I1934" s="70"/>
      <c r="J1934" s="70"/>
      <c r="K1934" s="71"/>
      <c r="L1934" s="71"/>
      <c r="M1934" s="71"/>
      <c r="N1934" s="71"/>
      <c r="O1934" s="70"/>
      <c r="P1934" s="73"/>
      <c r="Q1934" s="71"/>
      <c r="R1934" s="71"/>
      <c r="S1934" s="71"/>
      <c r="T1934" s="71"/>
      <c r="U1934" s="71"/>
      <c r="V1934" s="70"/>
      <c r="W1934" s="70"/>
      <c r="X1934" s="70"/>
      <c r="Y1934" s="70"/>
      <c r="Z1934" s="102"/>
    </row>
    <row r="1935">
      <c r="A1935" s="94"/>
      <c r="B1935" s="66"/>
      <c r="C1935" s="70"/>
      <c r="D1935" s="68"/>
      <c r="E1935" s="68"/>
      <c r="F1935" s="69"/>
      <c r="G1935" s="70"/>
      <c r="H1935" s="70"/>
      <c r="I1935" s="70"/>
      <c r="J1935" s="70"/>
      <c r="K1935" s="71"/>
      <c r="L1935" s="71"/>
      <c r="M1935" s="71"/>
      <c r="N1935" s="71"/>
      <c r="O1935" s="70"/>
      <c r="P1935" s="73"/>
      <c r="Q1935" s="71"/>
      <c r="R1935" s="71"/>
      <c r="S1935" s="71"/>
      <c r="T1935" s="71"/>
      <c r="U1935" s="71"/>
      <c r="V1935" s="70"/>
      <c r="W1935" s="70"/>
      <c r="X1935" s="70"/>
      <c r="Y1935" s="70"/>
      <c r="Z1935" s="102"/>
    </row>
    <row r="1936">
      <c r="A1936" s="94"/>
      <c r="B1936" s="66"/>
      <c r="C1936" s="70"/>
      <c r="D1936" s="68"/>
      <c r="E1936" s="68"/>
      <c r="F1936" s="69"/>
      <c r="G1936" s="70"/>
      <c r="H1936" s="70"/>
      <c r="I1936" s="70"/>
      <c r="J1936" s="70"/>
      <c r="K1936" s="71"/>
      <c r="L1936" s="71"/>
      <c r="M1936" s="71"/>
      <c r="N1936" s="71"/>
      <c r="O1936" s="70"/>
      <c r="P1936" s="73"/>
      <c r="Q1936" s="71"/>
      <c r="R1936" s="71"/>
      <c r="S1936" s="71"/>
      <c r="T1936" s="71"/>
      <c r="U1936" s="71"/>
      <c r="V1936" s="70"/>
      <c r="W1936" s="70"/>
      <c r="X1936" s="70"/>
      <c r="Y1936" s="70"/>
      <c r="Z1936" s="102"/>
    </row>
    <row r="1937">
      <c r="A1937" s="94"/>
      <c r="B1937" s="66"/>
      <c r="C1937" s="70"/>
      <c r="D1937" s="68"/>
      <c r="E1937" s="68"/>
      <c r="F1937" s="69"/>
      <c r="G1937" s="70"/>
      <c r="H1937" s="70"/>
      <c r="I1937" s="70"/>
      <c r="J1937" s="70"/>
      <c r="K1937" s="71"/>
      <c r="L1937" s="71"/>
      <c r="M1937" s="71"/>
      <c r="N1937" s="71"/>
      <c r="O1937" s="70"/>
      <c r="P1937" s="73"/>
      <c r="Q1937" s="71"/>
      <c r="R1937" s="71"/>
      <c r="S1937" s="71"/>
      <c r="T1937" s="71"/>
      <c r="U1937" s="71"/>
      <c r="V1937" s="70"/>
      <c r="W1937" s="70"/>
      <c r="X1937" s="70"/>
      <c r="Y1937" s="70"/>
      <c r="Z1937" s="102"/>
    </row>
    <row r="1938">
      <c r="A1938" s="94"/>
      <c r="B1938" s="66"/>
      <c r="C1938" s="70"/>
      <c r="D1938" s="68"/>
      <c r="E1938" s="68"/>
      <c r="F1938" s="69"/>
      <c r="G1938" s="70"/>
      <c r="H1938" s="70"/>
      <c r="I1938" s="70"/>
      <c r="J1938" s="70"/>
      <c r="K1938" s="71"/>
      <c r="L1938" s="71"/>
      <c r="M1938" s="71"/>
      <c r="N1938" s="71"/>
      <c r="O1938" s="70"/>
      <c r="P1938" s="73"/>
      <c r="Q1938" s="71"/>
      <c r="R1938" s="71"/>
      <c r="S1938" s="71"/>
      <c r="T1938" s="71"/>
      <c r="U1938" s="71"/>
      <c r="V1938" s="70"/>
      <c r="W1938" s="70"/>
      <c r="X1938" s="70"/>
      <c r="Y1938" s="70"/>
      <c r="Z1938" s="102"/>
    </row>
    <row r="1939">
      <c r="A1939" s="94"/>
      <c r="B1939" s="66"/>
      <c r="C1939" s="70"/>
      <c r="D1939" s="68"/>
      <c r="E1939" s="68"/>
      <c r="F1939" s="69"/>
      <c r="G1939" s="70"/>
      <c r="H1939" s="70"/>
      <c r="I1939" s="70"/>
      <c r="J1939" s="70"/>
      <c r="K1939" s="71"/>
      <c r="L1939" s="71"/>
      <c r="M1939" s="71"/>
      <c r="N1939" s="71"/>
      <c r="O1939" s="70"/>
      <c r="P1939" s="73"/>
      <c r="Q1939" s="71"/>
      <c r="R1939" s="71"/>
      <c r="S1939" s="71"/>
      <c r="T1939" s="71"/>
      <c r="U1939" s="71"/>
      <c r="V1939" s="70"/>
      <c r="W1939" s="70"/>
      <c r="X1939" s="70"/>
      <c r="Y1939" s="70"/>
      <c r="Z1939" s="102"/>
    </row>
    <row r="1940">
      <c r="A1940" s="94"/>
      <c r="B1940" s="66"/>
      <c r="C1940" s="70"/>
      <c r="D1940" s="68"/>
      <c r="E1940" s="68"/>
      <c r="F1940" s="69"/>
      <c r="G1940" s="70"/>
      <c r="H1940" s="70"/>
      <c r="I1940" s="70"/>
      <c r="J1940" s="70"/>
      <c r="K1940" s="71"/>
      <c r="L1940" s="71"/>
      <c r="M1940" s="71"/>
      <c r="N1940" s="71"/>
      <c r="O1940" s="70"/>
      <c r="P1940" s="73"/>
      <c r="Q1940" s="71"/>
      <c r="R1940" s="71"/>
      <c r="S1940" s="71"/>
      <c r="T1940" s="71"/>
      <c r="U1940" s="71"/>
      <c r="V1940" s="70"/>
      <c r="W1940" s="70"/>
      <c r="X1940" s="70"/>
      <c r="Y1940" s="70"/>
      <c r="Z1940" s="102"/>
    </row>
    <row r="1941">
      <c r="A1941" s="94"/>
      <c r="B1941" s="66"/>
      <c r="C1941" s="70"/>
      <c r="D1941" s="68"/>
      <c r="E1941" s="68"/>
      <c r="F1941" s="69"/>
      <c r="G1941" s="70"/>
      <c r="H1941" s="70"/>
      <c r="I1941" s="70"/>
      <c r="J1941" s="70"/>
      <c r="K1941" s="71"/>
      <c r="L1941" s="71"/>
      <c r="M1941" s="71"/>
      <c r="N1941" s="71"/>
      <c r="O1941" s="70"/>
      <c r="P1941" s="73"/>
      <c r="Q1941" s="71"/>
      <c r="R1941" s="71"/>
      <c r="S1941" s="71"/>
      <c r="T1941" s="71"/>
      <c r="U1941" s="71"/>
      <c r="V1941" s="70"/>
      <c r="W1941" s="70"/>
      <c r="X1941" s="70"/>
      <c r="Y1941" s="70"/>
      <c r="Z1941" s="102"/>
    </row>
    <row r="1942">
      <c r="A1942" s="94"/>
      <c r="B1942" s="66"/>
      <c r="C1942" s="70"/>
      <c r="D1942" s="68"/>
      <c r="E1942" s="68"/>
      <c r="F1942" s="69"/>
      <c r="G1942" s="70"/>
      <c r="H1942" s="70"/>
      <c r="I1942" s="70"/>
      <c r="J1942" s="70"/>
      <c r="K1942" s="71"/>
      <c r="L1942" s="71"/>
      <c r="M1942" s="71"/>
      <c r="N1942" s="71"/>
      <c r="O1942" s="70"/>
      <c r="P1942" s="73"/>
      <c r="Q1942" s="71"/>
      <c r="R1942" s="71"/>
      <c r="S1942" s="71"/>
      <c r="T1942" s="71"/>
      <c r="U1942" s="71"/>
      <c r="V1942" s="70"/>
      <c r="W1942" s="70"/>
      <c r="X1942" s="70"/>
      <c r="Y1942" s="70"/>
      <c r="Z1942" s="102"/>
    </row>
    <row r="1943">
      <c r="A1943" s="94"/>
      <c r="B1943" s="66"/>
      <c r="C1943" s="70"/>
      <c r="D1943" s="68"/>
      <c r="E1943" s="68"/>
      <c r="F1943" s="69"/>
      <c r="G1943" s="70"/>
      <c r="H1943" s="70"/>
      <c r="I1943" s="70"/>
      <c r="J1943" s="70"/>
      <c r="K1943" s="71"/>
      <c r="L1943" s="71"/>
      <c r="M1943" s="71"/>
      <c r="N1943" s="71"/>
      <c r="O1943" s="70"/>
      <c r="P1943" s="73"/>
      <c r="Q1943" s="71"/>
      <c r="R1943" s="71"/>
      <c r="S1943" s="71"/>
      <c r="T1943" s="71"/>
      <c r="U1943" s="71"/>
      <c r="V1943" s="70"/>
      <c r="W1943" s="70"/>
      <c r="X1943" s="70"/>
      <c r="Y1943" s="70"/>
      <c r="Z1943" s="102"/>
    </row>
    <row r="1944">
      <c r="A1944" s="94"/>
      <c r="B1944" s="66"/>
      <c r="C1944" s="70"/>
      <c r="D1944" s="68"/>
      <c r="E1944" s="68"/>
      <c r="F1944" s="69"/>
      <c r="G1944" s="70"/>
      <c r="H1944" s="70"/>
      <c r="I1944" s="70"/>
      <c r="J1944" s="70"/>
      <c r="K1944" s="71"/>
      <c r="L1944" s="71"/>
      <c r="M1944" s="71"/>
      <c r="N1944" s="71"/>
      <c r="O1944" s="70"/>
      <c r="P1944" s="73"/>
      <c r="Q1944" s="71"/>
      <c r="R1944" s="71"/>
      <c r="S1944" s="71"/>
      <c r="T1944" s="71"/>
      <c r="U1944" s="71"/>
      <c r="V1944" s="70"/>
      <c r="W1944" s="70"/>
      <c r="X1944" s="70"/>
      <c r="Y1944" s="70"/>
      <c r="Z1944" s="102"/>
    </row>
    <row r="1945">
      <c r="A1945" s="94"/>
      <c r="B1945" s="66"/>
      <c r="C1945" s="70"/>
      <c r="D1945" s="68"/>
      <c r="E1945" s="68"/>
      <c r="F1945" s="69"/>
      <c r="G1945" s="70"/>
      <c r="H1945" s="70"/>
      <c r="I1945" s="70"/>
      <c r="J1945" s="70"/>
      <c r="K1945" s="71"/>
      <c r="L1945" s="71"/>
      <c r="M1945" s="71"/>
      <c r="N1945" s="71"/>
      <c r="O1945" s="70"/>
      <c r="P1945" s="73"/>
      <c r="Q1945" s="71"/>
      <c r="R1945" s="71"/>
      <c r="S1945" s="71"/>
      <c r="T1945" s="71"/>
      <c r="U1945" s="71"/>
      <c r="V1945" s="70"/>
      <c r="W1945" s="70"/>
      <c r="X1945" s="70"/>
      <c r="Y1945" s="70"/>
      <c r="Z1945" s="102"/>
    </row>
    <row r="1946">
      <c r="A1946" s="94"/>
      <c r="B1946" s="66"/>
      <c r="C1946" s="70"/>
      <c r="D1946" s="68"/>
      <c r="E1946" s="68"/>
      <c r="F1946" s="69"/>
      <c r="G1946" s="70"/>
      <c r="H1946" s="70"/>
      <c r="I1946" s="70"/>
      <c r="J1946" s="70"/>
      <c r="K1946" s="71"/>
      <c r="L1946" s="71"/>
      <c r="M1946" s="71"/>
      <c r="N1946" s="71"/>
      <c r="O1946" s="70"/>
      <c r="P1946" s="73"/>
      <c r="Q1946" s="71"/>
      <c r="R1946" s="71"/>
      <c r="S1946" s="71"/>
      <c r="T1946" s="71"/>
      <c r="U1946" s="71"/>
      <c r="V1946" s="70"/>
      <c r="W1946" s="70"/>
      <c r="X1946" s="70"/>
      <c r="Y1946" s="70"/>
      <c r="Z1946" s="102"/>
    </row>
    <row r="1947">
      <c r="A1947" s="94"/>
      <c r="B1947" s="66"/>
      <c r="C1947" s="70"/>
      <c r="D1947" s="68"/>
      <c r="E1947" s="68"/>
      <c r="F1947" s="69"/>
      <c r="G1947" s="70"/>
      <c r="H1947" s="70"/>
      <c r="I1947" s="70"/>
      <c r="J1947" s="70"/>
      <c r="K1947" s="71"/>
      <c r="L1947" s="71"/>
      <c r="M1947" s="71"/>
      <c r="N1947" s="71"/>
      <c r="O1947" s="70"/>
      <c r="P1947" s="73"/>
      <c r="Q1947" s="71"/>
      <c r="R1947" s="71"/>
      <c r="S1947" s="71"/>
      <c r="T1947" s="71"/>
      <c r="U1947" s="71"/>
      <c r="V1947" s="70"/>
      <c r="W1947" s="70"/>
      <c r="X1947" s="70"/>
      <c r="Y1947" s="70"/>
      <c r="Z1947" s="102"/>
    </row>
    <row r="1948">
      <c r="A1948" s="94"/>
      <c r="B1948" s="66"/>
      <c r="C1948" s="70"/>
      <c r="D1948" s="68"/>
      <c r="E1948" s="68"/>
      <c r="F1948" s="69"/>
      <c r="G1948" s="70"/>
      <c r="H1948" s="70"/>
      <c r="I1948" s="70"/>
      <c r="J1948" s="70"/>
      <c r="K1948" s="71"/>
      <c r="L1948" s="71"/>
      <c r="M1948" s="71"/>
      <c r="N1948" s="71"/>
      <c r="O1948" s="70"/>
      <c r="P1948" s="73"/>
      <c r="Q1948" s="71"/>
      <c r="R1948" s="71"/>
      <c r="S1948" s="71"/>
      <c r="T1948" s="71"/>
      <c r="U1948" s="71"/>
      <c r="V1948" s="70"/>
      <c r="W1948" s="70"/>
      <c r="X1948" s="70"/>
      <c r="Y1948" s="70"/>
      <c r="Z1948" s="102"/>
    </row>
    <row r="1949">
      <c r="A1949" s="94"/>
      <c r="B1949" s="66"/>
      <c r="C1949" s="70"/>
      <c r="D1949" s="68"/>
      <c r="E1949" s="68"/>
      <c r="F1949" s="69"/>
      <c r="G1949" s="70"/>
      <c r="H1949" s="70"/>
      <c r="I1949" s="70"/>
      <c r="J1949" s="70"/>
      <c r="K1949" s="71"/>
      <c r="L1949" s="71"/>
      <c r="M1949" s="71"/>
      <c r="N1949" s="71"/>
      <c r="O1949" s="70"/>
      <c r="P1949" s="73"/>
      <c r="Q1949" s="71"/>
      <c r="R1949" s="71"/>
      <c r="S1949" s="71"/>
      <c r="T1949" s="71"/>
      <c r="U1949" s="71"/>
      <c r="V1949" s="70"/>
      <c r="W1949" s="70"/>
      <c r="X1949" s="70"/>
      <c r="Y1949" s="70"/>
      <c r="Z1949" s="102"/>
    </row>
    <row r="1950">
      <c r="A1950" s="94"/>
      <c r="B1950" s="66"/>
      <c r="C1950" s="70"/>
      <c r="D1950" s="68"/>
      <c r="E1950" s="68"/>
      <c r="F1950" s="69"/>
      <c r="G1950" s="70"/>
      <c r="H1950" s="70"/>
      <c r="I1950" s="70"/>
      <c r="J1950" s="70"/>
      <c r="K1950" s="71"/>
      <c r="L1950" s="71"/>
      <c r="M1950" s="71"/>
      <c r="N1950" s="71"/>
      <c r="O1950" s="70"/>
      <c r="P1950" s="73"/>
      <c r="Q1950" s="71"/>
      <c r="R1950" s="71"/>
      <c r="S1950" s="71"/>
      <c r="T1950" s="71"/>
      <c r="U1950" s="71"/>
      <c r="V1950" s="70"/>
      <c r="W1950" s="70"/>
      <c r="X1950" s="70"/>
      <c r="Y1950" s="70"/>
      <c r="Z1950" s="102"/>
    </row>
    <row r="1951">
      <c r="A1951" s="94"/>
      <c r="B1951" s="66"/>
      <c r="C1951" s="70"/>
      <c r="D1951" s="68"/>
      <c r="E1951" s="68"/>
      <c r="F1951" s="69"/>
      <c r="G1951" s="70"/>
      <c r="H1951" s="70"/>
      <c r="I1951" s="70"/>
      <c r="J1951" s="70"/>
      <c r="K1951" s="71"/>
      <c r="L1951" s="71"/>
      <c r="M1951" s="71"/>
      <c r="N1951" s="71"/>
      <c r="O1951" s="70"/>
      <c r="P1951" s="73"/>
      <c r="Q1951" s="71"/>
      <c r="R1951" s="71"/>
      <c r="S1951" s="71"/>
      <c r="T1951" s="71"/>
      <c r="U1951" s="71"/>
      <c r="V1951" s="70"/>
      <c r="W1951" s="70"/>
      <c r="X1951" s="70"/>
      <c r="Y1951" s="70"/>
      <c r="Z1951" s="102"/>
    </row>
    <row r="1952">
      <c r="A1952" s="94"/>
      <c r="B1952" s="66"/>
      <c r="C1952" s="70"/>
      <c r="D1952" s="68"/>
      <c r="E1952" s="68"/>
      <c r="F1952" s="69"/>
      <c r="G1952" s="70"/>
      <c r="H1952" s="70"/>
      <c r="I1952" s="70"/>
      <c r="J1952" s="70"/>
      <c r="K1952" s="71"/>
      <c r="L1952" s="71"/>
      <c r="M1952" s="71"/>
      <c r="N1952" s="71"/>
      <c r="O1952" s="70"/>
      <c r="P1952" s="73"/>
      <c r="Q1952" s="71"/>
      <c r="R1952" s="71"/>
      <c r="S1952" s="71"/>
      <c r="T1952" s="71"/>
      <c r="U1952" s="71"/>
      <c r="V1952" s="70"/>
      <c r="W1952" s="70"/>
      <c r="X1952" s="70"/>
      <c r="Y1952" s="70"/>
      <c r="Z1952" s="102"/>
    </row>
    <row r="1953">
      <c r="A1953" s="94"/>
      <c r="B1953" s="66"/>
      <c r="C1953" s="70"/>
      <c r="D1953" s="68"/>
      <c r="E1953" s="68"/>
      <c r="F1953" s="69"/>
      <c r="G1953" s="70"/>
      <c r="H1953" s="70"/>
      <c r="I1953" s="70"/>
      <c r="J1953" s="70"/>
      <c r="K1953" s="71"/>
      <c r="L1953" s="71"/>
      <c r="M1953" s="71"/>
      <c r="N1953" s="71"/>
      <c r="O1953" s="70"/>
      <c r="P1953" s="73"/>
      <c r="Q1953" s="71"/>
      <c r="R1953" s="71"/>
      <c r="S1953" s="71"/>
      <c r="T1953" s="71"/>
      <c r="U1953" s="71"/>
      <c r="V1953" s="70"/>
      <c r="W1953" s="70"/>
      <c r="X1953" s="70"/>
      <c r="Y1953" s="70"/>
      <c r="Z1953" s="102"/>
    </row>
    <row r="1954">
      <c r="A1954" s="94"/>
      <c r="B1954" s="66"/>
      <c r="C1954" s="70"/>
      <c r="D1954" s="68"/>
      <c r="E1954" s="68"/>
      <c r="F1954" s="69"/>
      <c r="G1954" s="70"/>
      <c r="H1954" s="70"/>
      <c r="I1954" s="70"/>
      <c r="J1954" s="70"/>
      <c r="K1954" s="71"/>
      <c r="L1954" s="71"/>
      <c r="M1954" s="71"/>
      <c r="N1954" s="71"/>
      <c r="O1954" s="70"/>
      <c r="P1954" s="73"/>
      <c r="Q1954" s="71"/>
      <c r="R1954" s="71"/>
      <c r="S1954" s="71"/>
      <c r="T1954" s="71"/>
      <c r="U1954" s="71"/>
      <c r="V1954" s="70"/>
      <c r="W1954" s="70"/>
      <c r="X1954" s="70"/>
      <c r="Y1954" s="70"/>
      <c r="Z1954" s="102"/>
    </row>
    <row r="1955">
      <c r="A1955" s="94"/>
      <c r="B1955" s="66"/>
      <c r="C1955" s="70"/>
      <c r="D1955" s="68"/>
      <c r="E1955" s="68"/>
      <c r="F1955" s="69"/>
      <c r="G1955" s="70"/>
      <c r="H1955" s="70"/>
      <c r="I1955" s="70"/>
      <c r="J1955" s="70"/>
      <c r="K1955" s="71"/>
      <c r="L1955" s="71"/>
      <c r="M1955" s="71"/>
      <c r="N1955" s="71"/>
      <c r="O1955" s="70"/>
      <c r="P1955" s="73"/>
      <c r="Q1955" s="71"/>
      <c r="R1955" s="71"/>
      <c r="S1955" s="71"/>
      <c r="T1955" s="71"/>
      <c r="U1955" s="71"/>
      <c r="V1955" s="70"/>
      <c r="W1955" s="70"/>
      <c r="X1955" s="70"/>
      <c r="Y1955" s="70"/>
      <c r="Z1955" s="102"/>
    </row>
    <row r="1956">
      <c r="A1956" s="94"/>
      <c r="B1956" s="66"/>
      <c r="C1956" s="70"/>
      <c r="D1956" s="68"/>
      <c r="E1956" s="68"/>
      <c r="F1956" s="69"/>
      <c r="G1956" s="70"/>
      <c r="H1956" s="70"/>
      <c r="I1956" s="70"/>
      <c r="J1956" s="70"/>
      <c r="K1956" s="71"/>
      <c r="L1956" s="71"/>
      <c r="M1956" s="71"/>
      <c r="N1956" s="71"/>
      <c r="O1956" s="70"/>
      <c r="P1956" s="73"/>
      <c r="Q1956" s="71"/>
      <c r="R1956" s="71"/>
      <c r="S1956" s="71"/>
      <c r="T1956" s="71"/>
      <c r="U1956" s="71"/>
      <c r="V1956" s="70"/>
      <c r="W1956" s="70"/>
      <c r="X1956" s="70"/>
      <c r="Y1956" s="70"/>
      <c r="Z1956" s="102"/>
    </row>
    <row r="1957">
      <c r="A1957" s="94"/>
      <c r="B1957" s="66"/>
      <c r="C1957" s="70"/>
      <c r="D1957" s="68"/>
      <c r="E1957" s="68"/>
      <c r="F1957" s="69"/>
      <c r="G1957" s="70"/>
      <c r="H1957" s="70"/>
      <c r="I1957" s="70"/>
      <c r="J1957" s="70"/>
      <c r="K1957" s="71"/>
      <c r="L1957" s="71"/>
      <c r="M1957" s="71"/>
      <c r="N1957" s="71"/>
      <c r="O1957" s="70"/>
      <c r="P1957" s="73"/>
      <c r="Q1957" s="71"/>
      <c r="R1957" s="71"/>
      <c r="S1957" s="71"/>
      <c r="T1957" s="71"/>
      <c r="U1957" s="71"/>
      <c r="V1957" s="70"/>
      <c r="W1957" s="70"/>
      <c r="X1957" s="70"/>
      <c r="Y1957" s="70"/>
      <c r="Z1957" s="102"/>
    </row>
    <row r="1958">
      <c r="A1958" s="94"/>
      <c r="B1958" s="66"/>
      <c r="C1958" s="70"/>
      <c r="D1958" s="68"/>
      <c r="E1958" s="68"/>
      <c r="F1958" s="69"/>
      <c r="G1958" s="70"/>
      <c r="H1958" s="70"/>
      <c r="I1958" s="70"/>
      <c r="J1958" s="70"/>
      <c r="K1958" s="71"/>
      <c r="L1958" s="71"/>
      <c r="M1958" s="71"/>
      <c r="N1958" s="71"/>
      <c r="O1958" s="70"/>
      <c r="P1958" s="73"/>
      <c r="Q1958" s="71"/>
      <c r="R1958" s="71"/>
      <c r="S1958" s="71"/>
      <c r="T1958" s="71"/>
      <c r="U1958" s="71"/>
      <c r="V1958" s="70"/>
      <c r="W1958" s="70"/>
      <c r="X1958" s="70"/>
      <c r="Y1958" s="70"/>
      <c r="Z1958" s="102"/>
    </row>
    <row r="1959">
      <c r="A1959" s="94"/>
      <c r="B1959" s="66"/>
      <c r="C1959" s="70"/>
      <c r="D1959" s="68"/>
      <c r="E1959" s="68"/>
      <c r="F1959" s="69"/>
      <c r="G1959" s="70"/>
      <c r="H1959" s="70"/>
      <c r="I1959" s="70"/>
      <c r="J1959" s="70"/>
      <c r="K1959" s="71"/>
      <c r="L1959" s="71"/>
      <c r="M1959" s="71"/>
      <c r="N1959" s="71"/>
      <c r="O1959" s="70"/>
      <c r="P1959" s="73"/>
      <c r="Q1959" s="71"/>
      <c r="R1959" s="71"/>
      <c r="S1959" s="71"/>
      <c r="T1959" s="71"/>
      <c r="U1959" s="71"/>
      <c r="V1959" s="70"/>
      <c r="W1959" s="70"/>
      <c r="X1959" s="70"/>
      <c r="Y1959" s="70"/>
      <c r="Z1959" s="102"/>
    </row>
    <row r="1960">
      <c r="A1960" s="94"/>
      <c r="B1960" s="66"/>
      <c r="C1960" s="70"/>
      <c r="D1960" s="68"/>
      <c r="E1960" s="68"/>
      <c r="F1960" s="69"/>
      <c r="G1960" s="70"/>
      <c r="H1960" s="70"/>
      <c r="I1960" s="70"/>
      <c r="J1960" s="70"/>
      <c r="K1960" s="71"/>
      <c r="L1960" s="71"/>
      <c r="M1960" s="71"/>
      <c r="N1960" s="71"/>
      <c r="O1960" s="70"/>
      <c r="P1960" s="73"/>
      <c r="Q1960" s="71"/>
      <c r="R1960" s="71"/>
      <c r="S1960" s="71"/>
      <c r="T1960" s="71"/>
      <c r="U1960" s="71"/>
      <c r="V1960" s="70"/>
      <c r="W1960" s="70"/>
      <c r="X1960" s="70"/>
      <c r="Y1960" s="70"/>
      <c r="Z1960" s="102"/>
    </row>
    <row r="1961">
      <c r="A1961" s="94"/>
      <c r="B1961" s="66"/>
      <c r="C1961" s="70"/>
      <c r="D1961" s="68"/>
      <c r="E1961" s="68"/>
      <c r="F1961" s="69"/>
      <c r="G1961" s="70"/>
      <c r="H1961" s="70"/>
      <c r="I1961" s="70"/>
      <c r="J1961" s="70"/>
      <c r="K1961" s="71"/>
      <c r="L1961" s="71"/>
      <c r="M1961" s="71"/>
      <c r="N1961" s="71"/>
      <c r="O1961" s="70"/>
      <c r="P1961" s="73"/>
      <c r="Q1961" s="71"/>
      <c r="R1961" s="71"/>
      <c r="S1961" s="71"/>
      <c r="T1961" s="71"/>
      <c r="U1961" s="71"/>
      <c r="V1961" s="70"/>
      <c r="W1961" s="70"/>
      <c r="X1961" s="70"/>
      <c r="Y1961" s="70"/>
      <c r="Z1961" s="102"/>
    </row>
    <row r="1962">
      <c r="A1962" s="94"/>
      <c r="B1962" s="66"/>
      <c r="C1962" s="70"/>
      <c r="D1962" s="68"/>
      <c r="E1962" s="68"/>
      <c r="F1962" s="69"/>
      <c r="G1962" s="70"/>
      <c r="H1962" s="70"/>
      <c r="I1962" s="70"/>
      <c r="J1962" s="70"/>
      <c r="K1962" s="71"/>
      <c r="L1962" s="71"/>
      <c r="M1962" s="71"/>
      <c r="N1962" s="71"/>
      <c r="O1962" s="70"/>
      <c r="P1962" s="73"/>
      <c r="Q1962" s="71"/>
      <c r="R1962" s="71"/>
      <c r="S1962" s="71"/>
      <c r="T1962" s="71"/>
      <c r="U1962" s="71"/>
      <c r="V1962" s="70"/>
      <c r="W1962" s="70"/>
      <c r="X1962" s="70"/>
      <c r="Y1962" s="70"/>
      <c r="Z1962" s="102"/>
    </row>
    <row r="1963">
      <c r="A1963" s="94"/>
      <c r="B1963" s="66"/>
      <c r="C1963" s="70"/>
      <c r="D1963" s="68"/>
      <c r="E1963" s="68"/>
      <c r="F1963" s="69"/>
      <c r="G1963" s="70"/>
      <c r="H1963" s="70"/>
      <c r="I1963" s="70"/>
      <c r="J1963" s="70"/>
      <c r="K1963" s="71"/>
      <c r="L1963" s="71"/>
      <c r="M1963" s="71"/>
      <c r="N1963" s="71"/>
      <c r="O1963" s="70"/>
      <c r="P1963" s="73"/>
      <c r="Q1963" s="71"/>
      <c r="R1963" s="71"/>
      <c r="S1963" s="71"/>
      <c r="T1963" s="71"/>
      <c r="U1963" s="71"/>
      <c r="V1963" s="70"/>
      <c r="W1963" s="70"/>
      <c r="X1963" s="70"/>
      <c r="Y1963" s="70"/>
      <c r="Z1963" s="102"/>
    </row>
    <row r="1964">
      <c r="A1964" s="94"/>
      <c r="B1964" s="66"/>
      <c r="C1964" s="70"/>
      <c r="D1964" s="68"/>
      <c r="E1964" s="68"/>
      <c r="F1964" s="69"/>
      <c r="G1964" s="70"/>
      <c r="H1964" s="70"/>
      <c r="I1964" s="70"/>
      <c r="J1964" s="70"/>
      <c r="K1964" s="71"/>
      <c r="L1964" s="71"/>
      <c r="M1964" s="71"/>
      <c r="N1964" s="71"/>
      <c r="O1964" s="70"/>
      <c r="P1964" s="73"/>
      <c r="Q1964" s="71"/>
      <c r="R1964" s="71"/>
      <c r="S1964" s="71"/>
      <c r="T1964" s="71"/>
      <c r="U1964" s="71"/>
      <c r="V1964" s="70"/>
      <c r="W1964" s="70"/>
      <c r="X1964" s="70"/>
      <c r="Y1964" s="70"/>
      <c r="Z1964" s="102"/>
    </row>
    <row r="1965">
      <c r="A1965" s="94"/>
      <c r="B1965" s="66"/>
      <c r="C1965" s="70"/>
      <c r="D1965" s="68"/>
      <c r="E1965" s="68"/>
      <c r="F1965" s="69"/>
      <c r="G1965" s="70"/>
      <c r="H1965" s="70"/>
      <c r="I1965" s="70"/>
      <c r="J1965" s="70"/>
      <c r="K1965" s="71"/>
      <c r="L1965" s="71"/>
      <c r="M1965" s="71"/>
      <c r="N1965" s="71"/>
      <c r="O1965" s="70"/>
      <c r="P1965" s="73"/>
      <c r="Q1965" s="71"/>
      <c r="R1965" s="71"/>
      <c r="S1965" s="71"/>
      <c r="T1965" s="71"/>
      <c r="U1965" s="71"/>
      <c r="V1965" s="70"/>
      <c r="W1965" s="70"/>
      <c r="X1965" s="70"/>
      <c r="Y1965" s="70"/>
      <c r="Z1965" s="102"/>
    </row>
    <row r="1966">
      <c r="A1966" s="94"/>
      <c r="B1966" s="66"/>
      <c r="C1966" s="70"/>
      <c r="D1966" s="68"/>
      <c r="E1966" s="68"/>
      <c r="F1966" s="69"/>
      <c r="G1966" s="70"/>
      <c r="H1966" s="70"/>
      <c r="I1966" s="70"/>
      <c r="J1966" s="70"/>
      <c r="K1966" s="71"/>
      <c r="L1966" s="71"/>
      <c r="M1966" s="71"/>
      <c r="N1966" s="71"/>
      <c r="O1966" s="70"/>
      <c r="P1966" s="73"/>
      <c r="Q1966" s="71"/>
      <c r="R1966" s="71"/>
      <c r="S1966" s="71"/>
      <c r="T1966" s="71"/>
      <c r="U1966" s="71"/>
      <c r="V1966" s="70"/>
      <c r="W1966" s="70"/>
      <c r="X1966" s="70"/>
      <c r="Y1966" s="70"/>
      <c r="Z1966" s="102"/>
    </row>
    <row r="1967">
      <c r="A1967" s="94"/>
      <c r="B1967" s="66"/>
      <c r="C1967" s="70"/>
      <c r="D1967" s="68"/>
      <c r="E1967" s="68"/>
      <c r="F1967" s="69"/>
      <c r="G1967" s="70"/>
      <c r="H1967" s="70"/>
      <c r="I1967" s="70"/>
      <c r="J1967" s="70"/>
      <c r="K1967" s="71"/>
      <c r="L1967" s="71"/>
      <c r="M1967" s="71"/>
      <c r="N1967" s="71"/>
      <c r="O1967" s="70"/>
      <c r="P1967" s="73"/>
      <c r="Q1967" s="71"/>
      <c r="R1967" s="71"/>
      <c r="S1967" s="71"/>
      <c r="T1967" s="71"/>
      <c r="U1967" s="71"/>
      <c r="V1967" s="70"/>
      <c r="W1967" s="70"/>
      <c r="X1967" s="70"/>
      <c r="Y1967" s="70"/>
      <c r="Z1967" s="102"/>
    </row>
    <row r="1968">
      <c r="A1968" s="94"/>
      <c r="B1968" s="66"/>
      <c r="C1968" s="70"/>
      <c r="D1968" s="68"/>
      <c r="E1968" s="68"/>
      <c r="F1968" s="69"/>
      <c r="G1968" s="70"/>
      <c r="H1968" s="70"/>
      <c r="I1968" s="70"/>
      <c r="J1968" s="70"/>
      <c r="K1968" s="71"/>
      <c r="L1968" s="71"/>
      <c r="M1968" s="71"/>
      <c r="N1968" s="71"/>
      <c r="O1968" s="70"/>
      <c r="P1968" s="73"/>
      <c r="Q1968" s="71"/>
      <c r="R1968" s="71"/>
      <c r="S1968" s="71"/>
      <c r="T1968" s="71"/>
      <c r="U1968" s="71"/>
      <c r="V1968" s="70"/>
      <c r="W1968" s="70"/>
      <c r="X1968" s="70"/>
      <c r="Y1968" s="70"/>
      <c r="Z1968" s="102"/>
    </row>
    <row r="1969">
      <c r="A1969" s="94"/>
      <c r="B1969" s="66"/>
      <c r="C1969" s="70"/>
      <c r="D1969" s="68"/>
      <c r="E1969" s="68"/>
      <c r="F1969" s="69"/>
      <c r="G1969" s="70"/>
      <c r="H1969" s="70"/>
      <c r="I1969" s="70"/>
      <c r="J1969" s="70"/>
      <c r="K1969" s="71"/>
      <c r="L1969" s="71"/>
      <c r="M1969" s="71"/>
      <c r="N1969" s="71"/>
      <c r="O1969" s="70"/>
      <c r="P1969" s="73"/>
      <c r="Q1969" s="71"/>
      <c r="R1969" s="71"/>
      <c r="S1969" s="71"/>
      <c r="T1969" s="71"/>
      <c r="U1969" s="71"/>
      <c r="V1969" s="70"/>
      <c r="W1969" s="70"/>
      <c r="X1969" s="70"/>
      <c r="Y1969" s="70"/>
      <c r="Z1969" s="102"/>
    </row>
    <row r="1970">
      <c r="A1970" s="94"/>
      <c r="B1970" s="66"/>
      <c r="C1970" s="70"/>
      <c r="D1970" s="68"/>
      <c r="E1970" s="68"/>
      <c r="F1970" s="69"/>
      <c r="G1970" s="70"/>
      <c r="H1970" s="70"/>
      <c r="I1970" s="70"/>
      <c r="J1970" s="70"/>
      <c r="K1970" s="71"/>
      <c r="L1970" s="71"/>
      <c r="M1970" s="71"/>
      <c r="N1970" s="71"/>
      <c r="O1970" s="70"/>
      <c r="P1970" s="73"/>
      <c r="Q1970" s="71"/>
      <c r="R1970" s="71"/>
      <c r="S1970" s="71"/>
      <c r="T1970" s="71"/>
      <c r="U1970" s="71"/>
      <c r="V1970" s="70"/>
      <c r="W1970" s="70"/>
      <c r="X1970" s="70"/>
      <c r="Y1970" s="70"/>
      <c r="Z1970" s="102"/>
    </row>
    <row r="1971">
      <c r="A1971" s="94"/>
      <c r="B1971" s="66"/>
      <c r="C1971" s="70"/>
      <c r="D1971" s="68"/>
      <c r="E1971" s="68"/>
      <c r="F1971" s="69"/>
      <c r="G1971" s="70"/>
      <c r="H1971" s="70"/>
      <c r="I1971" s="70"/>
      <c r="J1971" s="70"/>
      <c r="K1971" s="71"/>
      <c r="L1971" s="71"/>
      <c r="M1971" s="71"/>
      <c r="N1971" s="71"/>
      <c r="O1971" s="70"/>
      <c r="P1971" s="73"/>
      <c r="Q1971" s="71"/>
      <c r="R1971" s="71"/>
      <c r="S1971" s="71"/>
      <c r="T1971" s="71"/>
      <c r="U1971" s="71"/>
      <c r="V1971" s="70"/>
      <c r="W1971" s="70"/>
      <c r="X1971" s="70"/>
      <c r="Y1971" s="70"/>
      <c r="Z1971" s="102"/>
    </row>
    <row r="1972">
      <c r="A1972" s="94"/>
      <c r="B1972" s="66"/>
      <c r="C1972" s="70"/>
      <c r="D1972" s="68"/>
      <c r="E1972" s="68"/>
      <c r="F1972" s="69"/>
      <c r="G1972" s="70"/>
      <c r="H1972" s="70"/>
      <c r="I1972" s="70"/>
      <c r="J1972" s="70"/>
      <c r="K1972" s="71"/>
      <c r="L1972" s="71"/>
      <c r="M1972" s="71"/>
      <c r="N1972" s="71"/>
      <c r="O1972" s="70"/>
      <c r="P1972" s="73"/>
      <c r="Q1972" s="71"/>
      <c r="R1972" s="71"/>
      <c r="S1972" s="71"/>
      <c r="T1972" s="71"/>
      <c r="U1972" s="71"/>
      <c r="V1972" s="70"/>
      <c r="W1972" s="70"/>
      <c r="X1972" s="70"/>
      <c r="Y1972" s="70"/>
      <c r="Z1972" s="102"/>
    </row>
    <row r="1973">
      <c r="A1973" s="94"/>
      <c r="B1973" s="66"/>
      <c r="C1973" s="70"/>
      <c r="D1973" s="68"/>
      <c r="E1973" s="68"/>
      <c r="F1973" s="69"/>
      <c r="G1973" s="70"/>
      <c r="H1973" s="70"/>
      <c r="I1973" s="70"/>
      <c r="J1973" s="70"/>
      <c r="K1973" s="71"/>
      <c r="L1973" s="71"/>
      <c r="M1973" s="71"/>
      <c r="N1973" s="71"/>
      <c r="O1973" s="70"/>
      <c r="P1973" s="73"/>
      <c r="Q1973" s="71"/>
      <c r="R1973" s="71"/>
      <c r="S1973" s="71"/>
      <c r="T1973" s="71"/>
      <c r="U1973" s="71"/>
      <c r="V1973" s="70"/>
      <c r="W1973" s="70"/>
      <c r="X1973" s="70"/>
      <c r="Y1973" s="70"/>
      <c r="Z1973" s="102"/>
    </row>
    <row r="1974">
      <c r="A1974" s="94"/>
      <c r="B1974" s="66"/>
      <c r="C1974" s="70"/>
      <c r="D1974" s="68"/>
      <c r="E1974" s="68"/>
      <c r="F1974" s="69"/>
      <c r="G1974" s="70"/>
      <c r="H1974" s="70"/>
      <c r="I1974" s="70"/>
      <c r="J1974" s="70"/>
      <c r="K1974" s="71"/>
      <c r="L1974" s="71"/>
      <c r="M1974" s="71"/>
      <c r="N1974" s="71"/>
      <c r="O1974" s="70"/>
      <c r="P1974" s="73"/>
      <c r="Q1974" s="71"/>
      <c r="R1974" s="71"/>
      <c r="S1974" s="71"/>
      <c r="T1974" s="71"/>
      <c r="U1974" s="71"/>
      <c r="V1974" s="70"/>
      <c r="W1974" s="70"/>
      <c r="X1974" s="70"/>
      <c r="Y1974" s="70"/>
      <c r="Z1974" s="102"/>
    </row>
    <row r="1975">
      <c r="A1975" s="94"/>
      <c r="B1975" s="66"/>
      <c r="C1975" s="70"/>
      <c r="D1975" s="68"/>
      <c r="E1975" s="68"/>
      <c r="F1975" s="69"/>
      <c r="G1975" s="70"/>
      <c r="H1975" s="70"/>
      <c r="I1975" s="70"/>
      <c r="J1975" s="70"/>
      <c r="K1975" s="71"/>
      <c r="L1975" s="71"/>
      <c r="M1975" s="71"/>
      <c r="N1975" s="71"/>
      <c r="O1975" s="70"/>
      <c r="P1975" s="73"/>
      <c r="Q1975" s="71"/>
      <c r="R1975" s="71"/>
      <c r="S1975" s="71"/>
      <c r="T1975" s="71"/>
      <c r="U1975" s="71"/>
      <c r="V1975" s="70"/>
      <c r="W1975" s="70"/>
      <c r="X1975" s="70"/>
      <c r="Y1975" s="70"/>
      <c r="Z1975" s="102"/>
    </row>
    <row r="1976">
      <c r="A1976" s="94"/>
      <c r="B1976" s="66"/>
      <c r="C1976" s="70"/>
      <c r="D1976" s="68"/>
      <c r="E1976" s="68"/>
      <c r="F1976" s="69"/>
      <c r="G1976" s="70"/>
      <c r="H1976" s="70"/>
      <c r="I1976" s="70"/>
      <c r="J1976" s="70"/>
      <c r="K1976" s="71"/>
      <c r="L1976" s="71"/>
      <c r="M1976" s="71"/>
      <c r="N1976" s="71"/>
      <c r="O1976" s="70"/>
      <c r="P1976" s="73"/>
      <c r="Q1976" s="71"/>
      <c r="R1976" s="71"/>
      <c r="S1976" s="71"/>
      <c r="T1976" s="71"/>
      <c r="U1976" s="71"/>
      <c r="V1976" s="70"/>
      <c r="W1976" s="70"/>
      <c r="X1976" s="70"/>
      <c r="Y1976" s="70"/>
      <c r="Z1976" s="102"/>
    </row>
    <row r="1977">
      <c r="A1977" s="94"/>
      <c r="B1977" s="66"/>
      <c r="C1977" s="70"/>
      <c r="D1977" s="68"/>
      <c r="E1977" s="68"/>
      <c r="F1977" s="69"/>
      <c r="G1977" s="70"/>
      <c r="H1977" s="70"/>
      <c r="I1977" s="70"/>
      <c r="J1977" s="70"/>
      <c r="K1977" s="71"/>
      <c r="L1977" s="71"/>
      <c r="M1977" s="71"/>
      <c r="N1977" s="71"/>
      <c r="O1977" s="70"/>
      <c r="P1977" s="73"/>
      <c r="Q1977" s="71"/>
      <c r="R1977" s="71"/>
      <c r="S1977" s="71"/>
      <c r="T1977" s="71"/>
      <c r="U1977" s="71"/>
      <c r="V1977" s="70"/>
      <c r="W1977" s="70"/>
      <c r="X1977" s="70"/>
      <c r="Y1977" s="70"/>
      <c r="Z1977" s="102"/>
    </row>
    <row r="1978">
      <c r="A1978" s="94"/>
      <c r="B1978" s="66"/>
      <c r="C1978" s="70"/>
      <c r="D1978" s="68"/>
      <c r="E1978" s="68"/>
      <c r="F1978" s="69"/>
      <c r="G1978" s="70"/>
      <c r="H1978" s="70"/>
      <c r="I1978" s="70"/>
      <c r="J1978" s="70"/>
      <c r="K1978" s="71"/>
      <c r="L1978" s="71"/>
      <c r="M1978" s="71"/>
      <c r="N1978" s="71"/>
      <c r="O1978" s="70"/>
      <c r="P1978" s="73"/>
      <c r="Q1978" s="71"/>
      <c r="R1978" s="71"/>
      <c r="S1978" s="71"/>
      <c r="T1978" s="71"/>
      <c r="U1978" s="71"/>
      <c r="V1978" s="70"/>
      <c r="W1978" s="70"/>
      <c r="X1978" s="70"/>
      <c r="Y1978" s="70"/>
      <c r="Z1978" s="102"/>
    </row>
    <row r="1979">
      <c r="A1979" s="94"/>
      <c r="B1979" s="66"/>
      <c r="C1979" s="70"/>
      <c r="D1979" s="68"/>
      <c r="E1979" s="68"/>
      <c r="F1979" s="69"/>
      <c r="G1979" s="70"/>
      <c r="H1979" s="70"/>
      <c r="I1979" s="70"/>
      <c r="J1979" s="70"/>
      <c r="K1979" s="71"/>
      <c r="L1979" s="71"/>
      <c r="M1979" s="71"/>
      <c r="N1979" s="71"/>
      <c r="O1979" s="70"/>
      <c r="P1979" s="73"/>
      <c r="Q1979" s="71"/>
      <c r="R1979" s="71"/>
      <c r="S1979" s="71"/>
      <c r="T1979" s="71"/>
      <c r="U1979" s="71"/>
      <c r="V1979" s="70"/>
      <c r="W1979" s="70"/>
      <c r="X1979" s="70"/>
      <c r="Y1979" s="70"/>
      <c r="Z1979" s="102"/>
    </row>
    <row r="1980">
      <c r="A1980" s="94"/>
      <c r="B1980" s="66"/>
      <c r="C1980" s="70"/>
      <c r="D1980" s="68"/>
      <c r="E1980" s="68"/>
      <c r="F1980" s="69"/>
      <c r="G1980" s="70"/>
      <c r="H1980" s="70"/>
      <c r="I1980" s="70"/>
      <c r="J1980" s="70"/>
      <c r="K1980" s="71"/>
      <c r="L1980" s="71"/>
      <c r="M1980" s="71"/>
      <c r="N1980" s="71"/>
      <c r="O1980" s="70"/>
      <c r="P1980" s="73"/>
      <c r="Q1980" s="71"/>
      <c r="R1980" s="71"/>
      <c r="S1980" s="71"/>
      <c r="T1980" s="71"/>
      <c r="U1980" s="71"/>
      <c r="V1980" s="70"/>
      <c r="W1980" s="70"/>
      <c r="X1980" s="70"/>
      <c r="Y1980" s="70"/>
      <c r="Z1980" s="102"/>
    </row>
    <row r="1981">
      <c r="A1981" s="94"/>
      <c r="B1981" s="66"/>
      <c r="C1981" s="70"/>
      <c r="D1981" s="68"/>
      <c r="E1981" s="68"/>
      <c r="F1981" s="69"/>
      <c r="G1981" s="70"/>
      <c r="H1981" s="70"/>
      <c r="I1981" s="70"/>
      <c r="J1981" s="70"/>
      <c r="K1981" s="71"/>
      <c r="L1981" s="71"/>
      <c r="M1981" s="71"/>
      <c r="N1981" s="71"/>
      <c r="O1981" s="70"/>
      <c r="P1981" s="73"/>
      <c r="Q1981" s="71"/>
      <c r="R1981" s="71"/>
      <c r="S1981" s="71"/>
      <c r="T1981" s="71"/>
      <c r="U1981" s="71"/>
      <c r="V1981" s="70"/>
      <c r="W1981" s="70"/>
      <c r="X1981" s="70"/>
      <c r="Y1981" s="70"/>
      <c r="Z1981" s="102"/>
    </row>
    <row r="1982">
      <c r="A1982" s="94"/>
      <c r="B1982" s="66"/>
      <c r="C1982" s="70"/>
      <c r="D1982" s="68"/>
      <c r="E1982" s="68"/>
      <c r="F1982" s="69"/>
      <c r="G1982" s="70"/>
      <c r="H1982" s="70"/>
      <c r="I1982" s="70"/>
      <c r="J1982" s="70"/>
      <c r="K1982" s="71"/>
      <c r="L1982" s="71"/>
      <c r="M1982" s="71"/>
      <c r="N1982" s="71"/>
      <c r="O1982" s="70"/>
      <c r="P1982" s="73"/>
      <c r="Q1982" s="71"/>
      <c r="R1982" s="71"/>
      <c r="S1982" s="71"/>
      <c r="T1982" s="71"/>
      <c r="U1982" s="71"/>
      <c r="V1982" s="70"/>
      <c r="W1982" s="70"/>
      <c r="X1982" s="70"/>
      <c r="Y1982" s="70"/>
      <c r="Z1982" s="102"/>
    </row>
    <row r="1983">
      <c r="A1983" s="94"/>
      <c r="B1983" s="66"/>
      <c r="C1983" s="70"/>
      <c r="D1983" s="68"/>
      <c r="E1983" s="68"/>
      <c r="F1983" s="69"/>
      <c r="G1983" s="70"/>
      <c r="H1983" s="70"/>
      <c r="I1983" s="70"/>
      <c r="J1983" s="70"/>
      <c r="K1983" s="71"/>
      <c r="L1983" s="71"/>
      <c r="M1983" s="71"/>
      <c r="N1983" s="71"/>
      <c r="O1983" s="70"/>
      <c r="P1983" s="73"/>
      <c r="Q1983" s="71"/>
      <c r="R1983" s="71"/>
      <c r="S1983" s="71"/>
      <c r="T1983" s="71"/>
      <c r="U1983" s="71"/>
      <c r="V1983" s="70"/>
      <c r="W1983" s="70"/>
      <c r="X1983" s="70"/>
      <c r="Y1983" s="70"/>
      <c r="Z1983" s="102"/>
    </row>
    <row r="1984">
      <c r="A1984" s="94"/>
      <c r="B1984" s="66"/>
      <c r="C1984" s="70"/>
      <c r="D1984" s="68"/>
      <c r="E1984" s="68"/>
      <c r="F1984" s="69"/>
      <c r="G1984" s="70"/>
      <c r="H1984" s="70"/>
      <c r="I1984" s="70"/>
      <c r="J1984" s="70"/>
      <c r="K1984" s="71"/>
      <c r="L1984" s="71"/>
      <c r="M1984" s="71"/>
      <c r="N1984" s="71"/>
      <c r="O1984" s="70"/>
      <c r="P1984" s="73"/>
      <c r="Q1984" s="71"/>
      <c r="R1984" s="71"/>
      <c r="S1984" s="71"/>
      <c r="T1984" s="71"/>
      <c r="U1984" s="71"/>
      <c r="V1984" s="70"/>
      <c r="W1984" s="70"/>
      <c r="X1984" s="70"/>
      <c r="Y1984" s="70"/>
      <c r="Z1984" s="102"/>
    </row>
    <row r="1985">
      <c r="A1985" s="94"/>
      <c r="B1985" s="66"/>
      <c r="C1985" s="70"/>
      <c r="D1985" s="68"/>
      <c r="E1985" s="68"/>
      <c r="F1985" s="69"/>
      <c r="G1985" s="70"/>
      <c r="H1985" s="70"/>
      <c r="I1985" s="70"/>
      <c r="J1985" s="70"/>
      <c r="K1985" s="71"/>
      <c r="L1985" s="71"/>
      <c r="M1985" s="71"/>
      <c r="N1985" s="71"/>
      <c r="O1985" s="70"/>
      <c r="P1985" s="73"/>
      <c r="Q1985" s="71"/>
      <c r="R1985" s="71"/>
      <c r="S1985" s="71"/>
      <c r="T1985" s="71"/>
      <c r="U1985" s="71"/>
      <c r="V1985" s="70"/>
      <c r="W1985" s="70"/>
      <c r="X1985" s="70"/>
      <c r="Y1985" s="70"/>
      <c r="Z1985" s="102"/>
    </row>
    <row r="1986">
      <c r="A1986" s="94"/>
      <c r="B1986" s="66"/>
      <c r="C1986" s="70"/>
      <c r="D1986" s="68"/>
      <c r="E1986" s="68"/>
      <c r="F1986" s="69"/>
      <c r="G1986" s="70"/>
      <c r="H1986" s="70"/>
      <c r="I1986" s="70"/>
      <c r="J1986" s="70"/>
      <c r="K1986" s="71"/>
      <c r="L1986" s="71"/>
      <c r="M1986" s="71"/>
      <c r="N1986" s="71"/>
      <c r="O1986" s="70"/>
      <c r="P1986" s="73"/>
      <c r="Q1986" s="71"/>
      <c r="R1986" s="71"/>
      <c r="S1986" s="71"/>
      <c r="T1986" s="71"/>
      <c r="U1986" s="71"/>
      <c r="V1986" s="70"/>
      <c r="W1986" s="70"/>
      <c r="X1986" s="70"/>
      <c r="Y1986" s="70"/>
      <c r="Z1986" s="102"/>
    </row>
    <row r="1987">
      <c r="A1987" s="94"/>
      <c r="B1987" s="66"/>
      <c r="C1987" s="70"/>
      <c r="D1987" s="68"/>
      <c r="E1987" s="68"/>
      <c r="F1987" s="69"/>
      <c r="G1987" s="70"/>
      <c r="H1987" s="70"/>
      <c r="I1987" s="70"/>
      <c r="J1987" s="70"/>
      <c r="K1987" s="71"/>
      <c r="L1987" s="71"/>
      <c r="M1987" s="71"/>
      <c r="N1987" s="71"/>
      <c r="O1987" s="70"/>
      <c r="P1987" s="73"/>
      <c r="Q1987" s="71"/>
      <c r="R1987" s="71"/>
      <c r="S1987" s="71"/>
      <c r="T1987" s="71"/>
      <c r="U1987" s="71"/>
      <c r="V1987" s="70"/>
      <c r="W1987" s="70"/>
      <c r="X1987" s="70"/>
      <c r="Y1987" s="70"/>
      <c r="Z1987" s="102"/>
    </row>
    <row r="1988">
      <c r="A1988" s="94"/>
      <c r="B1988" s="66"/>
      <c r="C1988" s="70"/>
      <c r="D1988" s="68"/>
      <c r="E1988" s="68"/>
      <c r="F1988" s="69"/>
      <c r="G1988" s="70"/>
      <c r="H1988" s="70"/>
      <c r="I1988" s="70"/>
      <c r="J1988" s="70"/>
      <c r="K1988" s="71"/>
      <c r="L1988" s="71"/>
      <c r="M1988" s="71"/>
      <c r="N1988" s="71"/>
      <c r="O1988" s="70"/>
      <c r="P1988" s="73"/>
      <c r="Q1988" s="71"/>
      <c r="R1988" s="71"/>
      <c r="S1988" s="71"/>
      <c r="T1988" s="71"/>
      <c r="U1988" s="71"/>
      <c r="V1988" s="70"/>
      <c r="W1988" s="70"/>
      <c r="X1988" s="70"/>
      <c r="Y1988" s="70"/>
      <c r="Z1988" s="102"/>
    </row>
    <row r="1989">
      <c r="A1989" s="94"/>
      <c r="B1989" s="66"/>
      <c r="C1989" s="70"/>
      <c r="D1989" s="68"/>
      <c r="E1989" s="68"/>
      <c r="F1989" s="69"/>
      <c r="G1989" s="70"/>
      <c r="H1989" s="70"/>
      <c r="I1989" s="70"/>
      <c r="J1989" s="70"/>
      <c r="K1989" s="71"/>
      <c r="L1989" s="71"/>
      <c r="M1989" s="71"/>
      <c r="N1989" s="71"/>
      <c r="O1989" s="70"/>
      <c r="P1989" s="73"/>
      <c r="Q1989" s="71"/>
      <c r="R1989" s="71"/>
      <c r="S1989" s="71"/>
      <c r="T1989" s="71"/>
      <c r="U1989" s="71"/>
      <c r="V1989" s="70"/>
      <c r="W1989" s="70"/>
      <c r="X1989" s="70"/>
      <c r="Y1989" s="70"/>
      <c r="Z1989" s="102"/>
    </row>
    <row r="1990">
      <c r="A1990" s="94"/>
      <c r="B1990" s="66"/>
      <c r="C1990" s="70"/>
      <c r="D1990" s="68"/>
      <c r="E1990" s="68"/>
      <c r="F1990" s="69"/>
      <c r="G1990" s="70"/>
      <c r="H1990" s="70"/>
      <c r="I1990" s="70"/>
      <c r="J1990" s="70"/>
      <c r="K1990" s="71"/>
      <c r="L1990" s="71"/>
      <c r="M1990" s="71"/>
      <c r="N1990" s="71"/>
      <c r="O1990" s="70"/>
      <c r="P1990" s="73"/>
      <c r="Q1990" s="71"/>
      <c r="R1990" s="71"/>
      <c r="S1990" s="71"/>
      <c r="T1990" s="71"/>
      <c r="U1990" s="71"/>
      <c r="V1990" s="70"/>
      <c r="W1990" s="70"/>
      <c r="X1990" s="70"/>
      <c r="Y1990" s="70"/>
      <c r="Z1990" s="102"/>
    </row>
    <row r="1991">
      <c r="A1991" s="94"/>
      <c r="B1991" s="66"/>
      <c r="C1991" s="70"/>
      <c r="D1991" s="68"/>
      <c r="E1991" s="68"/>
      <c r="F1991" s="69"/>
      <c r="G1991" s="70"/>
      <c r="H1991" s="70"/>
      <c r="I1991" s="70"/>
      <c r="J1991" s="70"/>
      <c r="K1991" s="71"/>
      <c r="L1991" s="71"/>
      <c r="M1991" s="71"/>
      <c r="N1991" s="71"/>
      <c r="O1991" s="70"/>
      <c r="P1991" s="73"/>
      <c r="Q1991" s="71"/>
      <c r="R1991" s="71"/>
      <c r="S1991" s="71"/>
      <c r="T1991" s="71"/>
      <c r="U1991" s="71"/>
      <c r="V1991" s="70"/>
      <c r="W1991" s="70"/>
      <c r="X1991" s="70"/>
      <c r="Y1991" s="70"/>
      <c r="Z1991" s="102"/>
    </row>
    <row r="1992">
      <c r="A1992" s="94"/>
      <c r="B1992" s="66"/>
      <c r="C1992" s="70"/>
      <c r="D1992" s="68"/>
      <c r="E1992" s="68"/>
      <c r="F1992" s="69"/>
      <c r="G1992" s="70"/>
      <c r="H1992" s="70"/>
      <c r="I1992" s="70"/>
      <c r="J1992" s="70"/>
      <c r="K1992" s="71"/>
      <c r="L1992" s="71"/>
      <c r="M1992" s="71"/>
      <c r="N1992" s="71"/>
      <c r="O1992" s="70"/>
      <c r="P1992" s="73"/>
      <c r="Q1992" s="71"/>
      <c r="R1992" s="71"/>
      <c r="S1992" s="71"/>
      <c r="T1992" s="71"/>
      <c r="U1992" s="71"/>
      <c r="V1992" s="70"/>
      <c r="W1992" s="70"/>
      <c r="X1992" s="70"/>
      <c r="Y1992" s="70"/>
      <c r="Z1992" s="102"/>
    </row>
    <row r="1993">
      <c r="A1993" s="94"/>
      <c r="B1993" s="66"/>
      <c r="C1993" s="70"/>
      <c r="D1993" s="68"/>
      <c r="E1993" s="68"/>
      <c r="F1993" s="69"/>
      <c r="G1993" s="70"/>
      <c r="H1993" s="70"/>
      <c r="I1993" s="70"/>
      <c r="J1993" s="70"/>
      <c r="K1993" s="71"/>
      <c r="L1993" s="71"/>
      <c r="M1993" s="71"/>
      <c r="N1993" s="71"/>
      <c r="O1993" s="70"/>
      <c r="P1993" s="73"/>
      <c r="Q1993" s="71"/>
      <c r="R1993" s="71"/>
      <c r="S1993" s="71"/>
      <c r="T1993" s="71"/>
      <c r="U1993" s="71"/>
      <c r="V1993" s="70"/>
      <c r="W1993" s="70"/>
      <c r="X1993" s="70"/>
      <c r="Y1993" s="70"/>
      <c r="Z1993" s="102"/>
    </row>
    <row r="1994">
      <c r="A1994" s="94"/>
      <c r="B1994" s="66"/>
      <c r="C1994" s="70"/>
      <c r="D1994" s="68"/>
      <c r="E1994" s="68"/>
      <c r="F1994" s="69"/>
      <c r="G1994" s="70"/>
      <c r="H1994" s="70"/>
      <c r="I1994" s="70"/>
      <c r="J1994" s="70"/>
      <c r="K1994" s="71"/>
      <c r="L1994" s="71"/>
      <c r="M1994" s="71"/>
      <c r="N1994" s="71"/>
      <c r="O1994" s="70"/>
      <c r="P1994" s="73"/>
      <c r="Q1994" s="71"/>
      <c r="R1994" s="71"/>
      <c r="S1994" s="71"/>
      <c r="T1994" s="71"/>
      <c r="U1994" s="71"/>
      <c r="V1994" s="70"/>
      <c r="W1994" s="70"/>
      <c r="X1994" s="70"/>
      <c r="Y1994" s="70"/>
      <c r="Z1994" s="102"/>
    </row>
    <row r="1995">
      <c r="A1995" s="94"/>
      <c r="B1995" s="66"/>
      <c r="C1995" s="70"/>
      <c r="D1995" s="68"/>
      <c r="E1995" s="68"/>
      <c r="F1995" s="69"/>
      <c r="G1995" s="70"/>
      <c r="H1995" s="70"/>
      <c r="I1995" s="70"/>
      <c r="J1995" s="70"/>
      <c r="K1995" s="71"/>
      <c r="L1995" s="71"/>
      <c r="M1995" s="71"/>
      <c r="N1995" s="71"/>
      <c r="O1995" s="70"/>
      <c r="P1995" s="73"/>
      <c r="Q1995" s="71"/>
      <c r="R1995" s="71"/>
      <c r="S1995" s="71"/>
      <c r="T1995" s="71"/>
      <c r="U1995" s="71"/>
      <c r="V1995" s="70"/>
      <c r="W1995" s="70"/>
      <c r="X1995" s="70"/>
      <c r="Y1995" s="70"/>
      <c r="Z1995" s="102"/>
    </row>
    <row r="1996">
      <c r="A1996" s="94"/>
      <c r="B1996" s="66"/>
      <c r="C1996" s="70"/>
      <c r="D1996" s="68"/>
      <c r="E1996" s="68"/>
      <c r="F1996" s="69"/>
      <c r="G1996" s="70"/>
      <c r="H1996" s="70"/>
      <c r="I1996" s="70"/>
      <c r="J1996" s="70"/>
      <c r="K1996" s="71"/>
      <c r="L1996" s="71"/>
      <c r="M1996" s="71"/>
      <c r="N1996" s="71"/>
      <c r="O1996" s="70"/>
      <c r="P1996" s="73"/>
      <c r="Q1996" s="71"/>
      <c r="R1996" s="71"/>
      <c r="S1996" s="71"/>
      <c r="T1996" s="71"/>
      <c r="U1996" s="71"/>
      <c r="V1996" s="70"/>
      <c r="W1996" s="70"/>
      <c r="X1996" s="70"/>
      <c r="Y1996" s="70"/>
      <c r="Z1996" s="102"/>
    </row>
    <row r="1997">
      <c r="A1997" s="94"/>
      <c r="B1997" s="66"/>
      <c r="C1997" s="70"/>
      <c r="D1997" s="68"/>
      <c r="E1997" s="68"/>
      <c r="F1997" s="69"/>
      <c r="G1997" s="70"/>
      <c r="H1997" s="70"/>
      <c r="I1997" s="70"/>
      <c r="J1997" s="70"/>
      <c r="K1997" s="71"/>
      <c r="L1997" s="71"/>
      <c r="M1997" s="71"/>
      <c r="N1997" s="71"/>
      <c r="O1997" s="70"/>
      <c r="P1997" s="73"/>
      <c r="Q1997" s="71"/>
      <c r="R1997" s="71"/>
      <c r="S1997" s="71"/>
      <c r="T1997" s="71"/>
      <c r="U1997" s="71"/>
      <c r="V1997" s="70"/>
      <c r="W1997" s="70"/>
      <c r="X1997" s="70"/>
      <c r="Y1997" s="70"/>
      <c r="Z1997" s="102"/>
    </row>
    <row r="1998">
      <c r="A1998" s="94"/>
      <c r="B1998" s="66"/>
      <c r="C1998" s="70"/>
      <c r="D1998" s="68"/>
      <c r="E1998" s="68"/>
      <c r="F1998" s="69"/>
      <c r="G1998" s="70"/>
      <c r="H1998" s="70"/>
      <c r="I1998" s="70"/>
      <c r="J1998" s="70"/>
      <c r="K1998" s="71"/>
      <c r="L1998" s="71"/>
      <c r="M1998" s="71"/>
      <c r="N1998" s="71"/>
      <c r="O1998" s="70"/>
      <c r="P1998" s="73"/>
      <c r="Q1998" s="71"/>
      <c r="R1998" s="71"/>
      <c r="S1998" s="71"/>
      <c r="T1998" s="71"/>
      <c r="U1998" s="71"/>
      <c r="V1998" s="70"/>
      <c r="W1998" s="70"/>
      <c r="X1998" s="70"/>
      <c r="Y1998" s="70"/>
      <c r="Z1998" s="102"/>
    </row>
    <row r="1999">
      <c r="A1999" s="94"/>
      <c r="B1999" s="66"/>
      <c r="C1999" s="70"/>
      <c r="D1999" s="68"/>
      <c r="E1999" s="68"/>
      <c r="F1999" s="69"/>
      <c r="G1999" s="70"/>
      <c r="H1999" s="70"/>
      <c r="I1999" s="70"/>
      <c r="J1999" s="70"/>
      <c r="K1999" s="71"/>
      <c r="L1999" s="71"/>
      <c r="M1999" s="71"/>
      <c r="N1999" s="71"/>
      <c r="O1999" s="70"/>
      <c r="P1999" s="73"/>
      <c r="Q1999" s="71"/>
      <c r="R1999" s="71"/>
      <c r="S1999" s="71"/>
      <c r="T1999" s="71"/>
      <c r="U1999" s="71"/>
      <c r="V1999" s="70"/>
      <c r="W1999" s="70"/>
      <c r="X1999" s="70"/>
      <c r="Y1999" s="70"/>
      <c r="Z1999" s="102"/>
    </row>
    <row r="2000">
      <c r="A2000" s="94"/>
      <c r="B2000" s="66"/>
      <c r="C2000" s="70"/>
      <c r="D2000" s="68"/>
      <c r="E2000" s="68"/>
      <c r="F2000" s="69"/>
      <c r="G2000" s="70"/>
      <c r="H2000" s="70"/>
      <c r="I2000" s="70"/>
      <c r="J2000" s="70"/>
      <c r="K2000" s="71"/>
      <c r="L2000" s="71"/>
      <c r="M2000" s="71"/>
      <c r="N2000" s="71"/>
      <c r="O2000" s="70"/>
      <c r="P2000" s="73"/>
      <c r="Q2000" s="71"/>
      <c r="R2000" s="71"/>
      <c r="S2000" s="71"/>
      <c r="T2000" s="71"/>
      <c r="U2000" s="71"/>
      <c r="V2000" s="70"/>
      <c r="W2000" s="70"/>
      <c r="X2000" s="70"/>
      <c r="Y2000" s="70"/>
      <c r="Z2000" s="102"/>
    </row>
    <row r="2001">
      <c r="A2001" s="94"/>
      <c r="B2001" s="66"/>
      <c r="C2001" s="70"/>
      <c r="D2001" s="68"/>
      <c r="E2001" s="68"/>
      <c r="F2001" s="69"/>
      <c r="G2001" s="70"/>
      <c r="H2001" s="70"/>
      <c r="I2001" s="70"/>
      <c r="J2001" s="70"/>
      <c r="K2001" s="71"/>
      <c r="L2001" s="71"/>
      <c r="M2001" s="71"/>
      <c r="N2001" s="71"/>
      <c r="O2001" s="70"/>
      <c r="P2001" s="73"/>
      <c r="Q2001" s="71"/>
      <c r="R2001" s="71"/>
      <c r="S2001" s="71"/>
      <c r="T2001" s="71"/>
      <c r="U2001" s="71"/>
      <c r="V2001" s="70"/>
      <c r="W2001" s="70"/>
      <c r="X2001" s="70"/>
      <c r="Y2001" s="70"/>
      <c r="Z2001" s="102"/>
    </row>
    <row r="2002">
      <c r="A2002" s="94"/>
      <c r="B2002" s="66"/>
      <c r="C2002" s="70"/>
      <c r="D2002" s="68"/>
      <c r="E2002" s="68"/>
      <c r="F2002" s="69"/>
      <c r="G2002" s="70"/>
      <c r="H2002" s="70"/>
      <c r="I2002" s="70"/>
      <c r="J2002" s="70"/>
      <c r="K2002" s="71"/>
      <c r="L2002" s="71"/>
      <c r="M2002" s="71"/>
      <c r="N2002" s="71"/>
      <c r="O2002" s="70"/>
      <c r="P2002" s="73"/>
      <c r="Q2002" s="71"/>
      <c r="R2002" s="71"/>
      <c r="S2002" s="71"/>
      <c r="T2002" s="71"/>
      <c r="U2002" s="71"/>
      <c r="V2002" s="70"/>
      <c r="W2002" s="70"/>
      <c r="X2002" s="70"/>
      <c r="Y2002" s="70"/>
      <c r="Z2002" s="102"/>
    </row>
    <row r="2003">
      <c r="A2003" s="94"/>
      <c r="B2003" s="66"/>
      <c r="C2003" s="70"/>
      <c r="D2003" s="68"/>
      <c r="E2003" s="68"/>
      <c r="F2003" s="69"/>
      <c r="G2003" s="70"/>
      <c r="H2003" s="70"/>
      <c r="I2003" s="70"/>
      <c r="J2003" s="70"/>
      <c r="K2003" s="71"/>
      <c r="L2003" s="71"/>
      <c r="M2003" s="71"/>
      <c r="N2003" s="71"/>
      <c r="O2003" s="70"/>
      <c r="P2003" s="73"/>
      <c r="Q2003" s="71"/>
      <c r="R2003" s="71"/>
      <c r="S2003" s="71"/>
      <c r="T2003" s="71"/>
      <c r="U2003" s="71"/>
      <c r="V2003" s="70"/>
      <c r="W2003" s="70"/>
      <c r="X2003" s="70"/>
      <c r="Y2003" s="70"/>
      <c r="Z2003" s="102"/>
    </row>
    <row r="2004">
      <c r="A2004" s="94"/>
      <c r="B2004" s="66"/>
      <c r="C2004" s="70"/>
      <c r="D2004" s="68"/>
      <c r="E2004" s="68"/>
      <c r="F2004" s="69"/>
      <c r="G2004" s="70"/>
      <c r="H2004" s="70"/>
      <c r="I2004" s="70"/>
      <c r="J2004" s="70"/>
      <c r="K2004" s="71"/>
      <c r="L2004" s="71"/>
      <c r="M2004" s="71"/>
      <c r="N2004" s="71"/>
      <c r="O2004" s="70"/>
      <c r="P2004" s="73"/>
      <c r="Q2004" s="71"/>
      <c r="R2004" s="71"/>
      <c r="S2004" s="71"/>
      <c r="T2004" s="71"/>
      <c r="U2004" s="71"/>
      <c r="V2004" s="70"/>
      <c r="W2004" s="70"/>
      <c r="X2004" s="70"/>
      <c r="Y2004" s="70"/>
      <c r="Z2004" s="102"/>
    </row>
    <row r="2005">
      <c r="A2005" s="94"/>
      <c r="B2005" s="66"/>
      <c r="C2005" s="70"/>
      <c r="D2005" s="68"/>
      <c r="E2005" s="68"/>
      <c r="F2005" s="69"/>
      <c r="G2005" s="70"/>
      <c r="H2005" s="70"/>
      <c r="I2005" s="70"/>
      <c r="J2005" s="70"/>
      <c r="K2005" s="71"/>
      <c r="L2005" s="71"/>
      <c r="M2005" s="71"/>
      <c r="N2005" s="71"/>
      <c r="O2005" s="70"/>
      <c r="P2005" s="73"/>
      <c r="Q2005" s="71"/>
      <c r="R2005" s="71"/>
      <c r="S2005" s="71"/>
      <c r="T2005" s="71"/>
      <c r="U2005" s="71"/>
      <c r="V2005" s="70"/>
      <c r="W2005" s="70"/>
      <c r="X2005" s="70"/>
      <c r="Y2005" s="70"/>
      <c r="Z2005" s="102"/>
    </row>
    <row r="2006">
      <c r="A2006" s="94"/>
      <c r="B2006" s="66"/>
      <c r="C2006" s="70"/>
      <c r="D2006" s="68"/>
      <c r="E2006" s="68"/>
      <c r="F2006" s="69"/>
      <c r="G2006" s="70"/>
      <c r="H2006" s="70"/>
      <c r="I2006" s="70"/>
      <c r="J2006" s="70"/>
      <c r="K2006" s="71"/>
      <c r="L2006" s="71"/>
      <c r="M2006" s="71"/>
      <c r="N2006" s="71"/>
      <c r="O2006" s="70"/>
      <c r="P2006" s="73"/>
      <c r="Q2006" s="71"/>
      <c r="R2006" s="71"/>
      <c r="S2006" s="71"/>
      <c r="T2006" s="71"/>
      <c r="U2006" s="71"/>
      <c r="V2006" s="70"/>
      <c r="W2006" s="70"/>
      <c r="X2006" s="70"/>
      <c r="Y2006" s="70"/>
      <c r="Z2006" s="102"/>
    </row>
  </sheetData>
  <mergeCells count="9">
    <mergeCell ref="D3:E3"/>
    <mergeCell ref="D4:E4"/>
    <mergeCell ref="D2:E2"/>
    <mergeCell ref="G2:J2"/>
    <mergeCell ref="L2:N2"/>
    <mergeCell ref="Q2:R2"/>
    <mergeCell ref="S2:T2"/>
    <mergeCell ref="A3:A5"/>
    <mergeCell ref="G3:J3"/>
  </mergeCells>
  <conditionalFormatting sqref="O8:O2006">
    <cfRule type="cellIs" dxfId="0" priority="1" operator="equal">
      <formula>"TRUE"</formula>
    </cfRule>
  </conditionalFormatting>
  <conditionalFormatting sqref="D7">
    <cfRule type="expression" dxfId="1" priority="2">
      <formula>$E$5="USD"</formula>
    </cfRule>
  </conditionalFormatting>
  <conditionalFormatting sqref="B8:B2006">
    <cfRule type="expression" dxfId="2" priority="3">
      <formula>AND(NOT($F$6),MOD(ROW($B8),2))</formula>
    </cfRule>
  </conditionalFormatting>
  <conditionalFormatting sqref="V8:V2006">
    <cfRule type="cellIs" dxfId="1" priority="4" operator="equal">
      <formula>"TRUE"</formula>
    </cfRule>
  </conditionalFormatting>
  <conditionalFormatting sqref="A8">
    <cfRule type="cellIs" dxfId="3" priority="5" operator="equal">
      <formula>"No Resorts Match Your Filter Criteria"</formula>
    </cfRule>
  </conditionalFormatting>
  <conditionalFormatting sqref="F8:F2006">
    <cfRule type="expression" dxfId="2" priority="6">
      <formula>AND($F$6,MOD(ROW(F8),2))</formula>
    </cfRule>
  </conditionalFormatting>
  <conditionalFormatting sqref="F8:F2006">
    <cfRule type="expression" dxfId="1" priority="7">
      <formula>$F$6</formula>
    </cfRule>
  </conditionalFormatting>
  <conditionalFormatting sqref="B8:B2006">
    <cfRule type="expression" dxfId="1" priority="8">
      <formula>NOT($F$6)</formula>
    </cfRule>
  </conditionalFormatting>
  <conditionalFormatting sqref="E8:E2006">
    <cfRule type="expression" dxfId="2" priority="9">
      <formula>AND($E$5="CAD",MOD(ROW($B8),2))</formula>
    </cfRule>
  </conditionalFormatting>
  <conditionalFormatting sqref="D8:D2006">
    <cfRule type="expression" dxfId="2" priority="10">
      <formula>AND($E$5="USD",MOD(ROW($B8),2))</formula>
    </cfRule>
  </conditionalFormatting>
  <conditionalFormatting sqref="D8:D2006">
    <cfRule type="expression" dxfId="1" priority="11">
      <formula>$E$5="USD"</formula>
    </cfRule>
  </conditionalFormatting>
  <conditionalFormatting sqref="E8:E2006">
    <cfRule type="expression" dxfId="1" priority="12">
      <formula>$E$5="CAD"</formula>
    </cfRule>
  </conditionalFormatting>
  <conditionalFormatting sqref="A8:Z2006">
    <cfRule type="expression" dxfId="4" priority="13">
      <formula>MOD(ROW($A8),2)</formula>
    </cfRule>
  </conditionalFormatting>
  <conditionalFormatting sqref="E7">
    <cfRule type="expression" dxfId="1" priority="14">
      <formula>$E$5="CAD"</formula>
    </cfRule>
  </conditionalFormatting>
  <conditionalFormatting sqref="G7:J7">
    <cfRule type="expression" dxfId="1" priority="15">
      <formula>AND(G$4&lt;&gt;"ALL", NOT(ISBLANK(G$4)))</formula>
    </cfRule>
  </conditionalFormatting>
  <conditionalFormatting sqref="L7:Z7">
    <cfRule type="expression" dxfId="1" priority="16">
      <formula>AND(NOT(ISBLANK(L$1)),L$1&lt;&gt;"ALL")</formula>
    </cfRule>
  </conditionalFormatting>
  <conditionalFormatting sqref="O4">
    <cfRule type="cellIs" dxfId="0" priority="17" operator="equal">
      <formula>"TRUE"</formula>
    </cfRule>
  </conditionalFormatting>
  <conditionalFormatting sqref="B6">
    <cfRule type="cellIs" dxfId="1" priority="18" operator="equal">
      <formula>"TRUE"</formula>
    </cfRule>
  </conditionalFormatting>
  <conditionalFormatting sqref="T4 V4">
    <cfRule type="cellIs" dxfId="1" priority="19" operator="equal">
      <formula>"TRUE"</formula>
    </cfRule>
  </conditionalFormatting>
  <conditionalFormatting sqref="F7">
    <cfRule type="expression" dxfId="1" priority="20">
      <formula>$F$6</formula>
    </cfRule>
  </conditionalFormatting>
  <conditionalFormatting sqref="C3">
    <cfRule type="expression" dxfId="3" priority="21">
      <formula>$C$4&lt;&gt;"ALL"</formula>
    </cfRule>
  </conditionalFormatting>
  <conditionalFormatting sqref="F6">
    <cfRule type="expression" dxfId="1" priority="22">
      <formula>$F$6</formula>
    </cfRule>
  </conditionalFormatting>
  <conditionalFormatting sqref="D3:E3">
    <cfRule type="expression" dxfId="3" priority="23">
      <formula>D4&lt;&gt;"The Sky's the Limit!"</formula>
    </cfRule>
  </conditionalFormatting>
  <conditionalFormatting sqref="G3:J3">
    <cfRule type="expression" dxfId="3" priority="24">
      <formula>COUNTIF($G$4:$J$4,"ALL")&lt;4</formula>
    </cfRule>
  </conditionalFormatting>
  <conditionalFormatting sqref="K3:N3">
    <cfRule type="expression" dxfId="3" priority="25">
      <formula>NOT(ISBLANK(K4))</formula>
    </cfRule>
  </conditionalFormatting>
  <conditionalFormatting sqref="O3">
    <cfRule type="expression" dxfId="3" priority="26">
      <formula>O4</formula>
    </cfRule>
  </conditionalFormatting>
  <conditionalFormatting sqref="P3">
    <cfRule type="expression" dxfId="3" priority="27">
      <formula>P4&lt;&gt;"ALL"</formula>
    </cfRule>
  </conditionalFormatting>
  <conditionalFormatting sqref="Q3:S3">
    <cfRule type="expression" dxfId="3" priority="28">
      <formula>NOT(ISBLANK(Q4))</formula>
    </cfRule>
  </conditionalFormatting>
  <conditionalFormatting sqref="T3">
    <cfRule type="expression" dxfId="3" priority="29">
      <formula>T4</formula>
    </cfRule>
  </conditionalFormatting>
  <conditionalFormatting sqref="U3">
    <cfRule type="expression" dxfId="3" priority="30">
      <formula>NOT(ISBLANK(U4))</formula>
    </cfRule>
  </conditionalFormatting>
  <conditionalFormatting sqref="V3">
    <cfRule type="expression" dxfId="3" priority="31">
      <formula>V4</formula>
    </cfRule>
  </conditionalFormatting>
  <conditionalFormatting sqref="W3:Y3">
    <cfRule type="expression" dxfId="3" priority="32">
      <formula>W4&lt;&gt;"ALL"</formula>
    </cfRule>
  </conditionalFormatting>
  <dataValidations>
    <dataValidation type="list" allowBlank="1" showErrorMessage="1" sqref="E5">
      <formula1>ResortsDD!$F$2:$F2006</formula1>
    </dataValidation>
    <dataValidation type="list" allowBlank="1" showErrorMessage="1" sqref="X4">
      <formula1>ResortsDD!$Y$2:$Y2006</formula1>
    </dataValidation>
    <dataValidation type="list" allowBlank="1" showErrorMessage="1" sqref="M4">
      <formula1>ResortsDD!$M$2:$M2006</formula1>
    </dataValidation>
    <dataValidation type="list" allowBlank="1" showErrorMessage="1" sqref="S4">
      <formula1>ResortsDD!$S$2:$S2006</formula1>
    </dataValidation>
    <dataValidation type="list" allowBlank="1" showErrorMessage="1" sqref="C4">
      <formula1>ResortsDD!$C$2:$C2006</formula1>
    </dataValidation>
    <dataValidation type="list" allowBlank="1" showErrorMessage="1" sqref="G4">
      <formula1>ResortsDD!$G$2:$G$8</formula1>
    </dataValidation>
    <dataValidation type="list" allowBlank="1" showErrorMessage="1" sqref="H4">
      <formula1>ResortsDD!$H$2:$H$12</formula1>
    </dataValidation>
    <dataValidation type="list" allowBlank="1" showErrorMessage="1" sqref="K4">
      <formula1>ResortsDD!$K$2:$K2006</formula1>
    </dataValidation>
    <dataValidation type="list" allowBlank="1" showErrorMessage="1" sqref="P4">
      <formula1>ResortsDD!$O$2:$O2006</formula1>
    </dataValidation>
    <dataValidation type="list" allowBlank="1" showErrorMessage="1" sqref="D4">
      <formula1>ResortsDD!$D$2:$D2006</formula1>
    </dataValidation>
    <dataValidation type="list" allowBlank="1" showErrorMessage="1" sqref="J4">
      <formula1>ResortsDD!$J$2:$J$7</formula1>
    </dataValidation>
    <dataValidation type="list" allowBlank="1" showErrorMessage="1" sqref="R4">
      <formula1>ResortsDD!$R$2:$R2006</formula1>
    </dataValidation>
    <dataValidation type="list" allowBlank="1" showErrorMessage="1" sqref="W4">
      <formula1>ResortsDD!$W$2:$W2006</formula1>
    </dataValidation>
    <dataValidation type="list" allowBlank="1" showErrorMessage="1" sqref="N4">
      <formula1>ResortsDD!$N$2:$N2006</formula1>
    </dataValidation>
    <dataValidation type="list" allowBlank="1" showErrorMessage="1" sqref="Y4">
      <formula1>ResortsDD!$AA$2:$AA2006</formula1>
    </dataValidation>
    <dataValidation type="list" allowBlank="1" showErrorMessage="1" sqref="Q4">
      <formula1>ResortsDD!$Q$2:$Q2006</formula1>
    </dataValidation>
    <dataValidation type="list" allowBlank="1" showErrorMessage="1" sqref="U4">
      <formula1>ResortsDD!$U$2:$U2006</formula1>
    </dataValidation>
    <dataValidation type="list" allowBlank="1" showErrorMessage="1" sqref="L4">
      <formula1>ResortsDD!$L$2:$L2006</formula1>
    </dataValidation>
    <dataValidation type="list" allowBlank="1" showErrorMessage="1" sqref="I4">
      <formula1>ResortsDD!$I$2:$I$8</formula1>
    </dataValidation>
  </dataValidations>
  <hyperlinks>
    <hyperlink r:id="rId2" ref="A9"/>
    <hyperlink r:id="rId3" ref="A10"/>
    <hyperlink r:id="rId4" ref="A11"/>
    <hyperlink r:id="rId5" ref="A12"/>
    <hyperlink r:id="rId6" ref="A13"/>
    <hyperlink r:id="rId7" ref="A14"/>
    <hyperlink r:id="rId8" ref="A15"/>
    <hyperlink r:id="rId9" ref="A16"/>
    <hyperlink r:id="rId10" ref="A17"/>
    <hyperlink r:id="rId11" ref="A18"/>
    <hyperlink r:id="rId12" ref="A19"/>
    <hyperlink r:id="rId13" ref="A20"/>
    <hyperlink r:id="rId14" ref="A21"/>
    <hyperlink r:id="rId15" ref="A22"/>
    <hyperlink r:id="rId16" ref="A23"/>
    <hyperlink r:id="rId17" ref="A24"/>
    <hyperlink r:id="rId18" ref="A25"/>
    <hyperlink r:id="rId19" ref="A26"/>
    <hyperlink r:id="rId20" ref="A27"/>
    <hyperlink r:id="rId21" ref="A28"/>
    <hyperlink r:id="rId22" ref="A29"/>
    <hyperlink r:id="rId23" ref="A30"/>
    <hyperlink r:id="rId24" ref="A31"/>
    <hyperlink r:id="rId25" ref="A32"/>
    <hyperlink r:id="rId26" ref="A33"/>
    <hyperlink r:id="rId27" ref="A34"/>
    <hyperlink r:id="rId28" ref="A35"/>
    <hyperlink r:id="rId29" ref="A36"/>
    <hyperlink r:id="rId30" ref="A37"/>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1"/>
    <hyperlink r:id="rId45" ref="A52"/>
    <hyperlink r:id="rId46" ref="A53"/>
    <hyperlink r:id="rId47" ref="A54"/>
    <hyperlink r:id="rId48" ref="A55"/>
    <hyperlink r:id="rId49" ref="A56"/>
    <hyperlink r:id="rId50" ref="A57"/>
    <hyperlink r:id="rId51" ref="A58"/>
    <hyperlink r:id="rId52" ref="A59"/>
    <hyperlink r:id="rId53" ref="A60"/>
    <hyperlink r:id="rId54" ref="A61"/>
    <hyperlink r:id="rId55" ref="A62"/>
    <hyperlink r:id="rId56" ref="A63"/>
    <hyperlink r:id="rId57" ref="A64"/>
    <hyperlink r:id="rId58" ref="A65"/>
    <hyperlink r:id="rId59" ref="A66"/>
    <hyperlink r:id="rId60" ref="A67"/>
    <hyperlink r:id="rId61" ref="A68"/>
    <hyperlink r:id="rId62" ref="A69"/>
    <hyperlink r:id="rId63" ref="A70"/>
    <hyperlink r:id="rId64" ref="A71"/>
    <hyperlink r:id="rId65" ref="A72"/>
    <hyperlink r:id="rId66" ref="A73"/>
    <hyperlink r:id="rId67" ref="A74"/>
    <hyperlink r:id="rId68" ref="A75"/>
    <hyperlink r:id="rId69" ref="A76"/>
    <hyperlink r:id="rId70" ref="A77"/>
    <hyperlink r:id="rId71" ref="A78"/>
    <hyperlink r:id="rId72" ref="A79"/>
    <hyperlink r:id="rId73" ref="A80"/>
    <hyperlink r:id="rId74" ref="A81"/>
    <hyperlink r:id="rId75" ref="A82"/>
    <hyperlink r:id="rId76" ref="A83"/>
    <hyperlink r:id="rId77" ref="A84"/>
    <hyperlink r:id="rId78" ref="A85"/>
    <hyperlink r:id="rId79" ref="A86"/>
    <hyperlink r:id="rId80" ref="A87"/>
    <hyperlink r:id="rId81" ref="A88"/>
    <hyperlink r:id="rId82" ref="A89"/>
    <hyperlink r:id="rId83" ref="A90"/>
    <hyperlink r:id="rId84" ref="A91"/>
    <hyperlink r:id="rId85" ref="A92"/>
    <hyperlink r:id="rId86" ref="A93"/>
    <hyperlink r:id="rId87" ref="A94"/>
    <hyperlink r:id="rId88" ref="A95"/>
    <hyperlink r:id="rId89" ref="A96"/>
    <hyperlink r:id="rId90" ref="A97"/>
    <hyperlink r:id="rId91" ref="A98"/>
    <hyperlink r:id="rId92" ref="A99"/>
    <hyperlink r:id="rId93" ref="A100"/>
    <hyperlink r:id="rId94" ref="A101"/>
    <hyperlink r:id="rId95" ref="A102"/>
    <hyperlink r:id="rId96" ref="A103"/>
    <hyperlink r:id="rId97" ref="A104"/>
    <hyperlink r:id="rId98" ref="A105"/>
    <hyperlink r:id="rId99" ref="A106"/>
    <hyperlink r:id="rId100" ref="A107"/>
    <hyperlink r:id="rId101" ref="A108"/>
    <hyperlink r:id="rId102" ref="A109"/>
    <hyperlink r:id="rId103" ref="A110"/>
    <hyperlink r:id="rId104" ref="A111"/>
    <hyperlink r:id="rId105" ref="A112"/>
    <hyperlink r:id="rId106" ref="A113"/>
    <hyperlink r:id="rId107" ref="A114"/>
    <hyperlink r:id="rId108" ref="A115"/>
    <hyperlink r:id="rId109" ref="A116"/>
    <hyperlink r:id="rId110" ref="A117"/>
    <hyperlink r:id="rId111" ref="A118"/>
    <hyperlink r:id="rId112" ref="A119"/>
    <hyperlink r:id="rId113" ref="A120"/>
    <hyperlink r:id="rId114" ref="A121"/>
    <hyperlink r:id="rId115" ref="A122"/>
    <hyperlink r:id="rId116" ref="A123"/>
    <hyperlink r:id="rId117" ref="A124"/>
    <hyperlink r:id="rId118" ref="A125"/>
    <hyperlink r:id="rId119" ref="A126"/>
    <hyperlink r:id="rId120" ref="A127"/>
    <hyperlink r:id="rId121" ref="A128"/>
    <hyperlink r:id="rId122" ref="A129"/>
    <hyperlink r:id="rId123" ref="A130"/>
    <hyperlink r:id="rId124" ref="A131"/>
    <hyperlink r:id="rId125" ref="A132"/>
    <hyperlink r:id="rId126" ref="A133"/>
    <hyperlink r:id="rId127" ref="A134"/>
    <hyperlink r:id="rId128" ref="A135"/>
    <hyperlink r:id="rId129" ref="A136"/>
    <hyperlink r:id="rId130" ref="A137"/>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7"/>
    <hyperlink r:id="rId151" ref="A158"/>
    <hyperlink r:id="rId152" ref="A159"/>
    <hyperlink r:id="rId153" ref="A160"/>
    <hyperlink r:id="rId154" ref="A161"/>
    <hyperlink r:id="rId155" ref="A162"/>
    <hyperlink r:id="rId156" ref="A163"/>
    <hyperlink r:id="rId157" ref="A164"/>
    <hyperlink r:id="rId158" ref="A165"/>
    <hyperlink r:id="rId159" ref="A166"/>
    <hyperlink r:id="rId160" ref="A167"/>
    <hyperlink r:id="rId161" ref="A168"/>
    <hyperlink r:id="rId162" ref="A169"/>
    <hyperlink r:id="rId163" ref="A170"/>
    <hyperlink r:id="rId164" ref="A171"/>
    <hyperlink r:id="rId165" ref="A172"/>
    <hyperlink r:id="rId166" ref="A173"/>
    <hyperlink r:id="rId167" ref="A174"/>
    <hyperlink r:id="rId168" ref="A175"/>
    <hyperlink r:id="rId169" ref="A176"/>
    <hyperlink r:id="rId170" ref="A177"/>
    <hyperlink r:id="rId171" ref="A178"/>
    <hyperlink r:id="rId172" ref="A179"/>
    <hyperlink r:id="rId173" ref="A180"/>
    <hyperlink r:id="rId174" ref="A181"/>
    <hyperlink r:id="rId175" ref="A182"/>
    <hyperlink r:id="rId176" ref="A183"/>
    <hyperlink r:id="rId177" ref="A184"/>
    <hyperlink r:id="rId178" ref="A185"/>
    <hyperlink r:id="rId179" ref="A186"/>
    <hyperlink r:id="rId180" ref="A187"/>
    <hyperlink r:id="rId181" ref="A188"/>
    <hyperlink r:id="rId182" ref="A189"/>
    <hyperlink r:id="rId183" ref="A190"/>
    <hyperlink r:id="rId184" ref="A191"/>
    <hyperlink r:id="rId185" ref="A192"/>
    <hyperlink r:id="rId186" ref="A193"/>
    <hyperlink r:id="rId187" ref="A194"/>
    <hyperlink r:id="rId188" ref="A195"/>
    <hyperlink r:id="rId189" ref="A196"/>
    <hyperlink r:id="rId190" ref="A197"/>
    <hyperlink r:id="rId191" ref="A198"/>
    <hyperlink r:id="rId192" ref="A199"/>
    <hyperlink r:id="rId193" ref="A200"/>
    <hyperlink r:id="rId194" ref="A201"/>
    <hyperlink r:id="rId195" ref="A202"/>
    <hyperlink r:id="rId196" ref="A203"/>
    <hyperlink r:id="rId197" ref="A204"/>
    <hyperlink r:id="rId198" ref="A205"/>
    <hyperlink r:id="rId199" ref="A206"/>
    <hyperlink r:id="rId200" ref="A207"/>
    <hyperlink r:id="rId201" ref="A208"/>
    <hyperlink r:id="rId202" ref="A209"/>
    <hyperlink r:id="rId203" ref="A210"/>
    <hyperlink r:id="rId204" ref="A211"/>
    <hyperlink r:id="rId205" ref="A212"/>
    <hyperlink r:id="rId206" ref="A213"/>
    <hyperlink r:id="rId207" ref="A214"/>
    <hyperlink r:id="rId208" ref="A215"/>
    <hyperlink r:id="rId209" ref="A216"/>
    <hyperlink r:id="rId210" ref="A217"/>
    <hyperlink r:id="rId211" ref="A218"/>
    <hyperlink r:id="rId212" ref="A219"/>
    <hyperlink r:id="rId213" ref="A220"/>
    <hyperlink r:id="rId214" ref="A221"/>
    <hyperlink r:id="rId215" ref="A222"/>
    <hyperlink r:id="rId216" ref="A223"/>
    <hyperlink r:id="rId217" ref="A224"/>
    <hyperlink r:id="rId218" ref="A225"/>
    <hyperlink r:id="rId219" ref="A226"/>
    <hyperlink r:id="rId220" ref="A227"/>
    <hyperlink r:id="rId221" ref="A228"/>
    <hyperlink r:id="rId222" ref="A229"/>
    <hyperlink r:id="rId223" ref="A230"/>
    <hyperlink r:id="rId224" ref="A231"/>
    <hyperlink r:id="rId225" ref="A232"/>
    <hyperlink r:id="rId226" ref="A233"/>
    <hyperlink r:id="rId227" ref="A234"/>
    <hyperlink r:id="rId228" ref="A235"/>
    <hyperlink r:id="rId229" ref="A236"/>
    <hyperlink r:id="rId230" ref="A237"/>
    <hyperlink r:id="rId231" ref="A238"/>
    <hyperlink r:id="rId232" ref="A239"/>
    <hyperlink r:id="rId233" ref="A240"/>
    <hyperlink r:id="rId234" ref="A241"/>
    <hyperlink r:id="rId235" ref="A242"/>
    <hyperlink r:id="rId236" ref="A243"/>
    <hyperlink r:id="rId237" ref="A244"/>
    <hyperlink r:id="rId238" ref="A245"/>
    <hyperlink r:id="rId239" ref="A246"/>
    <hyperlink r:id="rId240" ref="A247"/>
    <hyperlink r:id="rId241" ref="A248"/>
    <hyperlink r:id="rId242" ref="A249"/>
    <hyperlink r:id="rId243" ref="A250"/>
    <hyperlink r:id="rId244" ref="A251"/>
    <hyperlink r:id="rId245" ref="A252"/>
    <hyperlink r:id="rId246" ref="A253"/>
    <hyperlink r:id="rId247" ref="A254"/>
    <hyperlink r:id="rId248" ref="A255"/>
    <hyperlink r:id="rId249" ref="A256"/>
    <hyperlink r:id="rId250" ref="A257"/>
    <hyperlink r:id="rId251" ref="A258"/>
    <hyperlink r:id="rId252" ref="A259"/>
    <hyperlink r:id="rId253" ref="A260"/>
    <hyperlink r:id="rId254" ref="A261"/>
    <hyperlink r:id="rId255" ref="A262"/>
    <hyperlink r:id="rId256" ref="A263"/>
    <hyperlink r:id="rId257" ref="A264"/>
    <hyperlink r:id="rId258" ref="A265"/>
    <hyperlink r:id="rId259" ref="A266"/>
    <hyperlink r:id="rId260" ref="A267"/>
    <hyperlink r:id="rId261" ref="A268"/>
    <hyperlink r:id="rId262" ref="A269"/>
    <hyperlink r:id="rId263" ref="A270"/>
    <hyperlink r:id="rId264" ref="A271"/>
    <hyperlink r:id="rId265" ref="A272"/>
    <hyperlink r:id="rId266" ref="A273"/>
    <hyperlink r:id="rId267" ref="A274"/>
    <hyperlink r:id="rId268" ref="A275"/>
    <hyperlink r:id="rId269" ref="A276"/>
    <hyperlink r:id="rId270" ref="A277"/>
    <hyperlink r:id="rId271" ref="A278"/>
    <hyperlink r:id="rId272" ref="A279"/>
    <hyperlink r:id="rId273" ref="A280"/>
    <hyperlink r:id="rId274" ref="A281"/>
    <hyperlink r:id="rId275" ref="A282"/>
    <hyperlink r:id="rId276" ref="A283"/>
    <hyperlink r:id="rId277" ref="A284"/>
    <hyperlink r:id="rId278" ref="A285"/>
    <hyperlink r:id="rId279" ref="A286"/>
    <hyperlink r:id="rId280" ref="A287"/>
    <hyperlink r:id="rId281" ref="A288"/>
    <hyperlink r:id="rId282" ref="A289"/>
    <hyperlink r:id="rId283" ref="A290"/>
    <hyperlink r:id="rId284" ref="A291"/>
    <hyperlink r:id="rId285" ref="A292"/>
    <hyperlink r:id="rId286" ref="A293"/>
    <hyperlink r:id="rId287" ref="A294"/>
    <hyperlink r:id="rId288" ref="A295"/>
    <hyperlink r:id="rId289" ref="A296"/>
    <hyperlink r:id="rId290" ref="A297"/>
    <hyperlink r:id="rId291" ref="A298"/>
    <hyperlink r:id="rId292" ref="A299"/>
    <hyperlink r:id="rId293" ref="A300"/>
    <hyperlink r:id="rId294" ref="A301"/>
    <hyperlink r:id="rId295" ref="A302"/>
    <hyperlink r:id="rId296" ref="A303"/>
    <hyperlink r:id="rId297" ref="A304"/>
    <hyperlink r:id="rId298" ref="A305"/>
    <hyperlink r:id="rId299" ref="A306"/>
    <hyperlink r:id="rId300" ref="A307"/>
    <hyperlink r:id="rId301" ref="A308"/>
    <hyperlink r:id="rId302" ref="A309"/>
    <hyperlink r:id="rId303" ref="A310"/>
    <hyperlink r:id="rId304" ref="A311"/>
    <hyperlink r:id="rId305" ref="A312"/>
    <hyperlink r:id="rId306" ref="A313"/>
    <hyperlink r:id="rId307" ref="A314"/>
    <hyperlink r:id="rId308" ref="A315"/>
    <hyperlink r:id="rId309" ref="A316"/>
    <hyperlink r:id="rId310" ref="A317"/>
    <hyperlink r:id="rId311" ref="A318"/>
    <hyperlink r:id="rId312" ref="A319"/>
    <hyperlink r:id="rId313" ref="A320"/>
    <hyperlink r:id="rId314" ref="A321"/>
    <hyperlink r:id="rId315" ref="A322"/>
    <hyperlink r:id="rId316" ref="A323"/>
    <hyperlink r:id="rId317" ref="A324"/>
    <hyperlink r:id="rId318" ref="A325"/>
    <hyperlink r:id="rId319" ref="A326"/>
    <hyperlink r:id="rId320" ref="A327"/>
    <hyperlink r:id="rId321" ref="A328"/>
    <hyperlink r:id="rId322" ref="A329"/>
    <hyperlink r:id="rId323" ref="A330"/>
    <hyperlink r:id="rId324" ref="A331"/>
    <hyperlink r:id="rId325" ref="A332"/>
    <hyperlink r:id="rId326" ref="A333"/>
    <hyperlink r:id="rId327" ref="A334"/>
    <hyperlink r:id="rId328" ref="A335"/>
    <hyperlink r:id="rId329" ref="A336"/>
    <hyperlink r:id="rId330" ref="A337"/>
    <hyperlink r:id="rId331" ref="A338"/>
    <hyperlink r:id="rId332" ref="A339"/>
    <hyperlink r:id="rId333" ref="A340"/>
    <hyperlink r:id="rId334" ref="A341"/>
    <hyperlink r:id="rId335" ref="A342"/>
    <hyperlink r:id="rId336" ref="A343"/>
    <hyperlink r:id="rId337" ref="A344"/>
    <hyperlink r:id="rId338" ref="A345"/>
    <hyperlink r:id="rId339" ref="A346"/>
    <hyperlink r:id="rId340" ref="A347"/>
    <hyperlink r:id="rId341" ref="A348"/>
    <hyperlink r:id="rId342" ref="A349"/>
    <hyperlink r:id="rId343" ref="A350"/>
    <hyperlink r:id="rId344" ref="A351"/>
    <hyperlink r:id="rId345" ref="A352"/>
    <hyperlink r:id="rId346" ref="A353"/>
    <hyperlink r:id="rId347" ref="A354"/>
    <hyperlink r:id="rId348" ref="A355"/>
    <hyperlink r:id="rId349" ref="A356"/>
    <hyperlink r:id="rId350" ref="A357"/>
    <hyperlink r:id="rId351" ref="A358"/>
    <hyperlink r:id="rId352" ref="A359"/>
    <hyperlink r:id="rId353" ref="A360"/>
    <hyperlink r:id="rId354" ref="A361"/>
    <hyperlink r:id="rId355" ref="A362"/>
    <hyperlink r:id="rId356" ref="A363"/>
    <hyperlink r:id="rId357" ref="A364"/>
    <hyperlink r:id="rId358" ref="A365"/>
    <hyperlink r:id="rId359" ref="A366"/>
    <hyperlink r:id="rId360" ref="A367"/>
    <hyperlink r:id="rId361" ref="A368"/>
    <hyperlink r:id="rId362" ref="A369"/>
    <hyperlink r:id="rId363" ref="A370"/>
    <hyperlink r:id="rId364" ref="A371"/>
    <hyperlink r:id="rId365" ref="A372"/>
    <hyperlink r:id="rId366" ref="A373"/>
    <hyperlink r:id="rId367" ref="A374"/>
    <hyperlink r:id="rId368" ref="A375"/>
    <hyperlink r:id="rId369" ref="A376"/>
    <hyperlink r:id="rId370" ref="A377"/>
    <hyperlink r:id="rId371" ref="A378"/>
    <hyperlink r:id="rId372" ref="A379"/>
    <hyperlink r:id="rId373" ref="A380"/>
    <hyperlink r:id="rId374" ref="A381"/>
    <hyperlink r:id="rId375" ref="A382"/>
    <hyperlink r:id="rId376" ref="A383"/>
    <hyperlink r:id="rId377" ref="A384"/>
    <hyperlink r:id="rId378" ref="A385"/>
    <hyperlink r:id="rId379" ref="A386"/>
    <hyperlink r:id="rId380" ref="A387"/>
    <hyperlink r:id="rId381" ref="A388"/>
    <hyperlink r:id="rId382" ref="A389"/>
    <hyperlink r:id="rId383" ref="A390"/>
    <hyperlink r:id="rId384" ref="A391"/>
    <hyperlink r:id="rId385" ref="A392"/>
    <hyperlink r:id="rId386" ref="A393"/>
    <hyperlink r:id="rId387" ref="A394"/>
    <hyperlink r:id="rId388" ref="A395"/>
    <hyperlink r:id="rId389" ref="A396"/>
    <hyperlink r:id="rId390" ref="A397"/>
    <hyperlink r:id="rId391" ref="A398"/>
    <hyperlink r:id="rId392" ref="A399"/>
    <hyperlink r:id="rId393" ref="A400"/>
    <hyperlink r:id="rId394" ref="A401"/>
    <hyperlink r:id="rId395" ref="A402"/>
    <hyperlink r:id="rId396" ref="A403"/>
    <hyperlink r:id="rId397" ref="A404"/>
    <hyperlink r:id="rId398" ref="A405"/>
    <hyperlink r:id="rId399" ref="A406"/>
    <hyperlink r:id="rId400" ref="A407"/>
    <hyperlink r:id="rId401" ref="A408"/>
    <hyperlink r:id="rId402" ref="A409"/>
    <hyperlink r:id="rId403" ref="A410"/>
    <hyperlink r:id="rId404" ref="A411"/>
    <hyperlink r:id="rId405" ref="A412"/>
    <hyperlink r:id="rId406" ref="A413"/>
    <hyperlink r:id="rId407" ref="A414"/>
    <hyperlink r:id="rId408" ref="A415"/>
    <hyperlink r:id="rId409" ref="A416"/>
    <hyperlink r:id="rId410" ref="A417"/>
    <hyperlink r:id="rId411" ref="A418"/>
    <hyperlink r:id="rId412" ref="A419"/>
    <hyperlink r:id="rId413" ref="A420"/>
    <hyperlink r:id="rId414" ref="A421"/>
    <hyperlink r:id="rId415" ref="A422"/>
    <hyperlink r:id="rId416" ref="A423"/>
    <hyperlink r:id="rId417" ref="A424"/>
    <hyperlink r:id="rId418" ref="A425"/>
    <hyperlink r:id="rId419" ref="A426"/>
    <hyperlink r:id="rId420" ref="A427"/>
    <hyperlink r:id="rId421" ref="A428"/>
    <hyperlink r:id="rId422" ref="A429"/>
    <hyperlink r:id="rId423" ref="A430"/>
    <hyperlink r:id="rId424" ref="A431"/>
    <hyperlink r:id="rId425" ref="A432"/>
    <hyperlink r:id="rId426" ref="A433"/>
    <hyperlink r:id="rId427" ref="A434"/>
    <hyperlink r:id="rId428" ref="A435"/>
    <hyperlink r:id="rId429" ref="A436"/>
    <hyperlink r:id="rId430" ref="A437"/>
    <hyperlink r:id="rId431" ref="A438"/>
    <hyperlink r:id="rId432" ref="A439"/>
    <hyperlink r:id="rId433" ref="A440"/>
    <hyperlink r:id="rId434" ref="A441"/>
    <hyperlink r:id="rId435" ref="A442"/>
    <hyperlink r:id="rId436" ref="A443"/>
    <hyperlink r:id="rId437" ref="A444"/>
    <hyperlink r:id="rId438" ref="A445"/>
    <hyperlink r:id="rId439" ref="A446"/>
    <hyperlink r:id="rId440" ref="A447"/>
    <hyperlink r:id="rId441" ref="A448"/>
    <hyperlink r:id="rId442" ref="A449"/>
    <hyperlink r:id="rId443" ref="A450"/>
    <hyperlink r:id="rId444" ref="A451"/>
    <hyperlink r:id="rId445" ref="A452"/>
  </hyperlinks>
  <drawing r:id="rId446"/>
  <legacyDrawing r:id="rId4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40.13"/>
    <col customWidth="1" min="2" max="2" width="11.38"/>
    <col customWidth="1" min="3" max="3" width="17.63"/>
    <col customWidth="1" min="4" max="5" width="12.63"/>
    <col collapsed="1" customWidth="1" min="6" max="6" width="8.88"/>
    <col customWidth="1" hidden="1" min="7" max="8" width="11.38" outlineLevel="1"/>
    <col customWidth="1" hidden="1" min="9" max="16" width="10.13" outlineLevel="1"/>
    <col customWidth="1" min="17" max="21" width="11.38"/>
    <col customWidth="1" min="22" max="22" width="30.5"/>
    <col customWidth="1" min="23" max="23" width="26.75"/>
    <col customWidth="1" min="24" max="25" width="22.63"/>
    <col customWidth="1" min="26" max="27" width="11.38"/>
    <col customWidth="1" min="28" max="28" width="25.13"/>
    <col customWidth="1" min="29" max="29" width="35.13"/>
    <col customWidth="1" min="30" max="30" width="98.0"/>
    <col customWidth="1" min="31" max="31" width="23.88"/>
    <col customWidth="1" min="32" max="32" width="45.13"/>
    <col customWidth="1" min="33" max="33" width="8.88"/>
    <col customWidth="1" min="34" max="37" width="12.63"/>
    <col customWidth="1" hidden="1" min="38" max="38" width="35.13"/>
    <col customWidth="1" hidden="1" min="39" max="39" width="50.13"/>
    <col customWidth="1" hidden="1" min="40" max="40" width="12.63"/>
  </cols>
  <sheetData>
    <row r="1">
      <c r="A1" s="103" t="str">
        <f>"Resort ("&amp;COUNTA(A2:A1993)&amp;")"</f>
        <v>Resort (847)</v>
      </c>
      <c r="B1" s="104" t="str">
        <f t="array" ref="B1:B1993">VSTACK("Avg User Rating", BYROW(M2:P1993,LAMBDA(ratings,IF(SUM(ratings),ROUND(AVERAGE(ratings),1),))))</f>
        <v>Avg User Rating</v>
      </c>
      <c r="C1" s="103" t="str">
        <f>"Family ("&amp;COUNTIF(C2:C1993,"Family")&amp;") /
Adults Only ("&amp;COUNTIF(C2:C1993,"Adults Only")&amp;")"</f>
        <v>Family (578) /
Adults Only (269)</v>
      </c>
      <c r="D1" s="105" t="s">
        <v>45</v>
      </c>
      <c r="E1" s="106" t="str">
        <f>IFERROR(__xludf.DUMMYFUNCTION("LET(usdcad,GoogleFinance(""CURRENCY:USDCAD""), VSTACK(""Direct CAD 2025"", BYROW(D2:D1993,LAMBDA(directUSD,IF(ISBLANK(directUSD),,directUSD*usdcad)))))"),"Direct CAD 2025")</f>
        <v>Direct CAD 2025</v>
      </c>
      <c r="F1" s="107" t="str">
        <f t="array" ref="F1:F1993">VSTACK("Value Ratio", MAP(B2:B1993,D2:D1993, LAMBDA(userRating,directUSD, IF(OR(ISBLANK(userRating),ISBLANK(directUSD)),,ROUND(((userRating-80)/directUSD)*1000,2)))))</f>
        <v>Value Ratio</v>
      </c>
      <c r="G1" s="108" t="s">
        <v>57</v>
      </c>
      <c r="H1" s="109" t="s">
        <v>58</v>
      </c>
      <c r="I1" s="109" t="s">
        <v>59</v>
      </c>
      <c r="J1" s="109" t="s">
        <v>60</v>
      </c>
      <c r="K1" s="109" t="s">
        <v>61</v>
      </c>
      <c r="L1" s="109" t="s">
        <v>62</v>
      </c>
      <c r="M1" s="110" t="str">
        <f t="array" ref="M1:M1993">VSTACK("Trip Advisor", MAP(H2:H1993,I2:I1993,J2:J1993,K2:K1993,L2:L1993, LAMBDA(g,h,i,j,k,
  IF(AND(ISBLANK(g),ISBLANK(h),ISBLANK(i),ISBLANK(j),ISBLANK(k)),,
    LET(total,SUM(g,h,i,j,k),ROUND(SUM((g/total)*5,(h/total)*4,(i/total)*3,(j/total)*2,(k/total)*1)*20,0))
  )
)))</f>
        <v>Trip Advisor</v>
      </c>
      <c r="N1" s="111" t="s">
        <v>63</v>
      </c>
      <c r="O1" s="111" t="s">
        <v>64</v>
      </c>
      <c r="P1" s="111" t="s">
        <v>65</v>
      </c>
      <c r="Q1" s="110" t="str">
        <f t="array" ref="Q1:Q1993">VSTACK("Avg 85+ Rating", BYROW(B2:B1993,LAMBDA(rating,IF(ISBLANK(rating),,rating&gt;=85))))</f>
        <v>Avg 85+ Rating</v>
      </c>
      <c r="R1" s="112" t="s">
        <v>48</v>
      </c>
      <c r="S1" s="113" t="s">
        <v>49</v>
      </c>
      <c r="T1" s="112" t="s">
        <v>50</v>
      </c>
      <c r="U1" s="112" t="s">
        <v>51</v>
      </c>
      <c r="V1" s="112" t="s">
        <v>24</v>
      </c>
      <c r="W1" s="114" t="s">
        <v>25</v>
      </c>
      <c r="X1" s="114" t="s">
        <v>26</v>
      </c>
      <c r="Y1" s="114" t="s">
        <v>27</v>
      </c>
      <c r="Z1" s="114" t="s">
        <v>52</v>
      </c>
      <c r="AA1" s="114" t="s">
        <v>53</v>
      </c>
      <c r="AB1" s="103" t="s">
        <v>30</v>
      </c>
      <c r="AC1" s="103" t="s">
        <v>31</v>
      </c>
      <c r="AD1" s="103" t="s">
        <v>32</v>
      </c>
      <c r="AE1" s="103" t="s">
        <v>54</v>
      </c>
      <c r="AF1" s="103" t="s">
        <v>34</v>
      </c>
      <c r="AG1" s="103" t="s">
        <v>55</v>
      </c>
      <c r="AH1" s="115" t="s">
        <v>36</v>
      </c>
      <c r="AI1" s="103" t="s">
        <v>66</v>
      </c>
      <c r="AJ1" s="115" t="s">
        <v>38</v>
      </c>
      <c r="AK1" s="115" t="s">
        <v>56</v>
      </c>
      <c r="AL1" s="116" t="str">
        <f>IFERROR(__xludf.DUMMYFUNCTION("VSTACK(""Hotel Style (Helper)"", BYROW(AC2:AC1993,LAMBDA(styles,IF(ISBLANK(styles),,JOIN("", "",SORT(TOCOL(SPLIT(styles,"", "",FALSE))))))))"),"Hotel Style (Helper)")</f>
        <v>Hotel Style (Helper)</v>
      </c>
      <c r="AM1" s="116" t="str">
        <f>IFERROR(__xludf.DUMMYFUNCTION("VSTACK(""Features (Helper)"", BYROW(AD2:AD1993,LAMBDA(features,IF(ISBLANK(features),,JOIN("", "",SORT(TOCOL(SPLIT(features,"", "",FALSE))))))))"),"Features (Helper)")</f>
        <v>Features (Helper)</v>
      </c>
      <c r="AN1" s="117"/>
    </row>
    <row r="2">
      <c r="A2" s="118" t="s">
        <v>67</v>
      </c>
      <c r="B2" s="119">
        <v>98.5</v>
      </c>
      <c r="C2" s="120" t="s">
        <v>68</v>
      </c>
      <c r="D2" s="121">
        <v>5799.99</v>
      </c>
      <c r="E2" s="122">
        <f>IFERROR(__xludf.DUMMYFUNCTION("""COMPUTED_VALUE"""),8010.075609500998)</f>
        <v>8010.07561</v>
      </c>
      <c r="F2" s="123">
        <v>3.19</v>
      </c>
      <c r="G2" s="124">
        <v>2593.0</v>
      </c>
      <c r="H2" s="125">
        <v>2529.0</v>
      </c>
      <c r="I2" s="125">
        <v>41.0</v>
      </c>
      <c r="J2" s="125">
        <v>15.0</v>
      </c>
      <c r="K2" s="125">
        <v>5.0</v>
      </c>
      <c r="L2" s="125">
        <v>3.0</v>
      </c>
      <c r="M2" s="126">
        <v>99.0</v>
      </c>
      <c r="N2" s="127">
        <v>98.0</v>
      </c>
      <c r="O2" s="127"/>
      <c r="P2" s="127"/>
      <c r="Q2" s="126" t="b">
        <v>1</v>
      </c>
      <c r="R2" s="128"/>
      <c r="S2" s="128"/>
      <c r="T2" s="128"/>
      <c r="U2" s="128"/>
      <c r="V2" s="129"/>
      <c r="W2" s="130" t="s">
        <v>69</v>
      </c>
      <c r="X2" s="130" t="s">
        <v>70</v>
      </c>
      <c r="Y2" s="130" t="s">
        <v>71</v>
      </c>
      <c r="Z2" s="131" t="b">
        <v>1</v>
      </c>
      <c r="AA2" s="131"/>
      <c r="AB2" s="129"/>
      <c r="AC2" s="130" t="s">
        <v>72</v>
      </c>
      <c r="AD2" s="130" t="s">
        <v>73</v>
      </c>
      <c r="AE2" s="130"/>
      <c r="AF2" s="132"/>
      <c r="AG2" s="133" t="b">
        <v>0</v>
      </c>
      <c r="AH2" s="133"/>
      <c r="AI2" s="133"/>
      <c r="AJ2" s="133"/>
      <c r="AK2" s="133"/>
      <c r="AL2" s="129" t="str">
        <f>IFERROR(__xludf.DUMMYFUNCTION("""COMPUTED_VALUE"""),"Great View, Romantic")</f>
        <v>Great View, Romantic</v>
      </c>
      <c r="AM2" s="129" t="str">
        <f>IFERROR(__xludf.DUMMYFUNCTION("""COMPUTED_VALUE"""),"Beach, Diving, Fishing, Wifi (Free), Yoga Classes")</f>
        <v>Beach, Diving, Fishing, Wifi (Free), Yoga Classes</v>
      </c>
      <c r="AN2" s="128"/>
    </row>
    <row r="3">
      <c r="A3" s="118" t="s">
        <v>74</v>
      </c>
      <c r="B3" s="119">
        <v>98.5</v>
      </c>
      <c r="C3" s="134" t="s">
        <v>75</v>
      </c>
      <c r="D3" s="121">
        <v>18917.5</v>
      </c>
      <c r="E3" s="135">
        <f>IFERROR(__xludf.DUMMYFUNCTION("""COMPUTED_VALUE"""),26126.011483249997)</f>
        <v>26126.01148</v>
      </c>
      <c r="F3" s="136">
        <v>0.98</v>
      </c>
      <c r="G3" s="124">
        <v>31.0</v>
      </c>
      <c r="H3" s="125">
        <v>29.0</v>
      </c>
      <c r="I3" s="125">
        <v>0.0</v>
      </c>
      <c r="J3" s="125">
        <v>2.0</v>
      </c>
      <c r="K3" s="125">
        <v>0.0</v>
      </c>
      <c r="L3" s="125">
        <v>0.0</v>
      </c>
      <c r="M3" s="137">
        <v>97.0</v>
      </c>
      <c r="N3" s="138">
        <v>100.0</v>
      </c>
      <c r="O3" s="127"/>
      <c r="P3" s="127"/>
      <c r="Q3" s="137" t="b">
        <v>1</v>
      </c>
      <c r="R3" s="128"/>
      <c r="S3" s="128"/>
      <c r="T3" s="128"/>
      <c r="U3" s="133"/>
      <c r="V3" s="130" t="s">
        <v>76</v>
      </c>
      <c r="W3" s="130" t="s">
        <v>77</v>
      </c>
      <c r="X3" s="130" t="s">
        <v>78</v>
      </c>
      <c r="Y3" s="130" t="s">
        <v>79</v>
      </c>
      <c r="Z3" s="131" t="b">
        <v>0</v>
      </c>
      <c r="AA3" s="131">
        <v>0.008333333333333333</v>
      </c>
      <c r="AB3" s="130"/>
      <c r="AC3" s="129"/>
      <c r="AD3" s="130" t="s">
        <v>80</v>
      </c>
      <c r="AE3" s="130"/>
      <c r="AF3" s="132" t="s">
        <v>81</v>
      </c>
      <c r="AG3" s="128" t="b">
        <v>0</v>
      </c>
      <c r="AH3" s="128"/>
      <c r="AI3" s="128"/>
      <c r="AJ3" s="128"/>
      <c r="AK3" s="128"/>
      <c r="AL3" s="129"/>
      <c r="AM3" s="129" t="str">
        <f>IFERROR(__xludf.DUMMYFUNCTION("""COMPUTED_VALUE"""),"Beach, Gym, Heated Pool, Hiking, Horseback Riding, Snorkelling, Spa, Watersports Equipment Rentals, Wifi (Free), Yoga Classes")</f>
        <v>Beach, Gym, Heated Pool, Hiking, Horseback Riding, Snorkelling, Spa, Watersports Equipment Rentals, Wifi (Free), Yoga Classes</v>
      </c>
      <c r="AN3" s="139"/>
    </row>
    <row r="4">
      <c r="A4" s="140" t="s">
        <v>82</v>
      </c>
      <c r="B4" s="119">
        <v>98.0</v>
      </c>
      <c r="C4" s="141" t="s">
        <v>68</v>
      </c>
      <c r="D4" s="142">
        <v>5114.0</v>
      </c>
      <c r="E4" s="122">
        <f>IFERROR(__xludf.DUMMYFUNCTION("""COMPUTED_VALUE"""),7062.689188599999)</f>
        <v>7062.689189</v>
      </c>
      <c r="F4" s="136">
        <v>3.52</v>
      </c>
      <c r="G4" s="124">
        <v>114.0</v>
      </c>
      <c r="H4" s="125">
        <v>106.0</v>
      </c>
      <c r="I4" s="125">
        <v>5.0</v>
      </c>
      <c r="J4" s="125">
        <v>3.0</v>
      </c>
      <c r="K4" s="125">
        <v>0.0</v>
      </c>
      <c r="L4" s="125">
        <v>0.0</v>
      </c>
      <c r="M4" s="126">
        <v>98.0</v>
      </c>
      <c r="N4" s="138">
        <v>96.0</v>
      </c>
      <c r="O4" s="127"/>
      <c r="P4" s="138">
        <v>100.0</v>
      </c>
      <c r="Q4" s="126" t="b">
        <v>1</v>
      </c>
      <c r="R4" s="143"/>
      <c r="S4" s="133" t="s">
        <v>83</v>
      </c>
      <c r="T4" s="143"/>
      <c r="U4" s="143">
        <v>2.0</v>
      </c>
      <c r="V4" s="129"/>
      <c r="W4" s="144" t="s">
        <v>84</v>
      </c>
      <c r="X4" s="144" t="s">
        <v>85</v>
      </c>
      <c r="Y4" s="144" t="s">
        <v>86</v>
      </c>
      <c r="Z4" s="145" t="b">
        <v>1</v>
      </c>
      <c r="AA4" s="145">
        <v>0.030555555555555555</v>
      </c>
      <c r="AB4" s="129" t="s">
        <v>87</v>
      </c>
      <c r="AC4" s="144" t="s">
        <v>88</v>
      </c>
      <c r="AD4" s="130" t="s">
        <v>89</v>
      </c>
      <c r="AE4" s="129"/>
      <c r="AF4" s="132"/>
      <c r="AG4" s="143" t="b">
        <v>0</v>
      </c>
      <c r="AH4" s="143">
        <v>50.0</v>
      </c>
      <c r="AI4" s="143">
        <v>2023.0</v>
      </c>
      <c r="AJ4" s="143"/>
      <c r="AK4" s="143">
        <v>3.0</v>
      </c>
      <c r="AL4" s="129" t="str">
        <f>IFERROR(__xludf.DUMMYFUNCTION("""COMPUTED_VALUE"""),"Boutique, Business")</f>
        <v>Boutique, Business</v>
      </c>
      <c r="AM4" s="129" t="str">
        <f>IFERROR(__xludf.DUMMYFUNCTION("""COMPUTED_VALUE"""),"Beach, Gym, Room Service, Snorkelling, Spa, Swim Out/Plunge Pool Rooms, Wifi (Free)")</f>
        <v>Beach, Gym, Room Service, Snorkelling, Spa, Swim Out/Plunge Pool Rooms, Wifi (Free)</v>
      </c>
      <c r="AN4" s="128"/>
    </row>
    <row r="5">
      <c r="A5" s="118" t="s">
        <v>90</v>
      </c>
      <c r="B5" s="119">
        <v>98.0</v>
      </c>
      <c r="C5" s="134" t="s">
        <v>75</v>
      </c>
      <c r="D5" s="121">
        <v>24367.0</v>
      </c>
      <c r="E5" s="135">
        <f>IFERROR(__xludf.DUMMYFUNCTION("""COMPUTED_VALUE"""),33652.04291329999)</f>
        <v>33652.04291</v>
      </c>
      <c r="F5" s="136">
        <v>0.74</v>
      </c>
      <c r="G5" s="124">
        <v>454.0</v>
      </c>
      <c r="H5" s="125">
        <v>424.0</v>
      </c>
      <c r="I5" s="125">
        <v>18.0</v>
      </c>
      <c r="J5" s="125">
        <v>9.0</v>
      </c>
      <c r="K5" s="125">
        <v>3.0</v>
      </c>
      <c r="L5" s="125">
        <v>0.0</v>
      </c>
      <c r="M5" s="126">
        <v>98.0</v>
      </c>
      <c r="N5" s="146"/>
      <c r="O5" s="146"/>
      <c r="P5" s="146"/>
      <c r="Q5" s="137" t="b">
        <v>1</v>
      </c>
      <c r="R5" s="128"/>
      <c r="S5" s="133">
        <v>7.0</v>
      </c>
      <c r="T5" s="128"/>
      <c r="U5" s="133">
        <v>4.0</v>
      </c>
      <c r="V5" s="130" t="s">
        <v>91</v>
      </c>
      <c r="W5" s="130" t="s">
        <v>77</v>
      </c>
      <c r="X5" s="130" t="s">
        <v>90</v>
      </c>
      <c r="Y5" s="130" t="s">
        <v>79</v>
      </c>
      <c r="Z5" s="131" t="b">
        <v>0</v>
      </c>
      <c r="AA5" s="131"/>
      <c r="AB5" s="130"/>
      <c r="AC5" s="130" t="s">
        <v>92</v>
      </c>
      <c r="AD5" s="130" t="s">
        <v>93</v>
      </c>
      <c r="AE5" s="130" t="s">
        <v>94</v>
      </c>
      <c r="AF5" s="132" t="s">
        <v>81</v>
      </c>
      <c r="AG5" s="133" t="b">
        <v>0</v>
      </c>
      <c r="AH5" s="133">
        <v>18.0</v>
      </c>
      <c r="AI5" s="133">
        <v>1930.0</v>
      </c>
      <c r="AJ5" s="133">
        <v>2011.0</v>
      </c>
      <c r="AK5" s="133">
        <v>1.0</v>
      </c>
      <c r="AL5" s="129" t="str">
        <f>IFERROR(__xludf.DUMMYFUNCTION("""COMPUTED_VALUE"""),"Quiet")</f>
        <v>Quiet</v>
      </c>
      <c r="AM5" s="129" t="str">
        <f>IFERROR(__xludf.DUMMYFUNCTION("""COMPUTED_VALUE"""),"2 Bedroom Suites, Beach, Buffet, Family Suite, Snorkelling, Swim Out/Plunge Pool Rooms, Tennis, Wifi (Paid)")</f>
        <v>2 Bedroom Suites, Beach, Buffet, Family Suite, Snorkelling, Swim Out/Plunge Pool Rooms, Tennis, Wifi (Paid)</v>
      </c>
      <c r="AN5" s="139"/>
    </row>
    <row r="6">
      <c r="A6" s="118" t="s">
        <v>95</v>
      </c>
      <c r="B6" s="119">
        <v>97.8</v>
      </c>
      <c r="C6" s="120" t="s">
        <v>68</v>
      </c>
      <c r="D6" s="121">
        <v>22400.0</v>
      </c>
      <c r="E6" s="122">
        <f>IFERROR(__xludf.DUMMYFUNCTION("""COMPUTED_VALUE"""),30935.517759999995)</f>
        <v>30935.51776</v>
      </c>
      <c r="F6" s="136">
        <v>0.79</v>
      </c>
      <c r="G6" s="124">
        <v>1642.0</v>
      </c>
      <c r="H6" s="125">
        <v>1582.0</v>
      </c>
      <c r="I6" s="125">
        <v>45.0</v>
      </c>
      <c r="J6" s="125">
        <v>14.0</v>
      </c>
      <c r="K6" s="125">
        <v>3.0</v>
      </c>
      <c r="L6" s="125">
        <v>0.0</v>
      </c>
      <c r="M6" s="126">
        <v>99.0</v>
      </c>
      <c r="N6" s="127">
        <v>98.0</v>
      </c>
      <c r="O6" s="127">
        <v>98.0</v>
      </c>
      <c r="P6" s="127">
        <v>96.0</v>
      </c>
      <c r="Q6" s="122" t="b">
        <v>1</v>
      </c>
      <c r="R6" s="128"/>
      <c r="S6" s="133">
        <v>9.0</v>
      </c>
      <c r="T6" s="133"/>
      <c r="U6" s="133">
        <v>5.0</v>
      </c>
      <c r="V6" s="129"/>
      <c r="W6" s="130" t="s">
        <v>96</v>
      </c>
      <c r="X6" s="130" t="s">
        <v>97</v>
      </c>
      <c r="Y6" s="130" t="s">
        <v>98</v>
      </c>
      <c r="Z6" s="131" t="b">
        <v>0</v>
      </c>
      <c r="AA6" s="131">
        <v>0.003472222222222222</v>
      </c>
      <c r="AB6" s="129"/>
      <c r="AC6" s="130" t="s">
        <v>99</v>
      </c>
      <c r="AD6" s="130" t="s">
        <v>100</v>
      </c>
      <c r="AE6" s="129"/>
      <c r="AF6" s="132"/>
      <c r="AG6" s="133" t="b">
        <v>0</v>
      </c>
      <c r="AH6" s="133">
        <v>36.0</v>
      </c>
      <c r="AI6" s="143"/>
      <c r="AJ6" s="143"/>
      <c r="AK6" s="143"/>
      <c r="AL6" s="129" t="str">
        <f>IFERROR(__xludf.DUMMYFUNCTION("""COMPUTED_VALUE"""),"Luxury")</f>
        <v>Luxury</v>
      </c>
      <c r="AM6" s="129" t="str">
        <f>IFERROR(__xludf.DUMMYFUNCTION("""COMPUTED_VALUE"""),"Beach, Evening Entertainment, Gym, Room Service, Snorkelling, Spa, Swim Out/Plunge Pool Rooms, Tennis, Wifi (Free)")</f>
        <v>Beach, Evening Entertainment, Gym, Room Service, Snorkelling, Spa, Swim Out/Plunge Pool Rooms, Tennis, Wifi (Free)</v>
      </c>
      <c r="AN6" s="128"/>
    </row>
    <row r="7">
      <c r="A7" s="140" t="s">
        <v>101</v>
      </c>
      <c r="B7" s="119">
        <v>97.7</v>
      </c>
      <c r="C7" s="133" t="s">
        <v>75</v>
      </c>
      <c r="D7" s="142">
        <v>28355.67</v>
      </c>
      <c r="E7" s="122">
        <f>IFERROR(__xludf.DUMMYFUNCTION("""COMPUTED_VALUE"""),39160.59521793299)</f>
        <v>39160.59522</v>
      </c>
      <c r="F7" s="136">
        <v>0.62</v>
      </c>
      <c r="G7" s="124">
        <v>78.0</v>
      </c>
      <c r="H7" s="125">
        <v>71.0</v>
      </c>
      <c r="I7" s="125">
        <v>4.0</v>
      </c>
      <c r="J7" s="125">
        <v>1.0</v>
      </c>
      <c r="K7" s="125">
        <v>2.0</v>
      </c>
      <c r="L7" s="125">
        <v>0.0</v>
      </c>
      <c r="M7" s="126">
        <v>97.0</v>
      </c>
      <c r="N7" s="127">
        <v>96.0</v>
      </c>
      <c r="O7" s="146"/>
      <c r="P7" s="127">
        <v>100.0</v>
      </c>
      <c r="Q7" s="122" t="b">
        <v>1</v>
      </c>
      <c r="R7" s="133">
        <v>5.0</v>
      </c>
      <c r="S7" s="133">
        <v>9.0</v>
      </c>
      <c r="T7" s="128"/>
      <c r="U7" s="128">
        <v>5.0</v>
      </c>
      <c r="V7" s="129"/>
      <c r="W7" s="144" t="s">
        <v>84</v>
      </c>
      <c r="X7" s="130" t="s">
        <v>85</v>
      </c>
      <c r="Y7" s="144" t="s">
        <v>86</v>
      </c>
      <c r="Z7" s="145" t="b">
        <v>1</v>
      </c>
      <c r="AA7" s="145">
        <v>0.02847222222222222</v>
      </c>
      <c r="AB7" s="130" t="s">
        <v>102</v>
      </c>
      <c r="AC7" s="129" t="s">
        <v>103</v>
      </c>
      <c r="AD7" s="147" t="s">
        <v>104</v>
      </c>
      <c r="AE7" s="129"/>
      <c r="AF7" s="132" t="s">
        <v>105</v>
      </c>
      <c r="AG7" s="143" t="b">
        <v>0</v>
      </c>
      <c r="AH7" s="143">
        <v>401.0</v>
      </c>
      <c r="AI7" s="143">
        <v>2006.0</v>
      </c>
      <c r="AJ7" s="143">
        <v>2022.0</v>
      </c>
      <c r="AK7" s="143">
        <v>2.0</v>
      </c>
      <c r="AL7" s="129" t="str">
        <f>IFERROR(__xludf.DUMMYFUNCTION("""COMPUTED_VALUE"""),"Business, Luxury")</f>
        <v>Business, Luxury</v>
      </c>
      <c r="AM7" s="129" t="str">
        <f>IFERROR(__xludf.DUMMYFUNCTION("""COMPUTED_VALUE"""),"2 Bedroom Suites, Archery, Babysitting, Beach, Bicycles Available, Evening Entertainment, Family Suite, Golf Course, Gym, Hiking, Kids Club, Pets Allowed, Room Service, Snorkelling, Spa, Tennis, Watersports Equipment Rentals, Wifi (Free), Windsurfing, Yog"&amp;"a Classes")</f>
        <v>2 Bedroom Suites, Archery, Babysitting, Beach, Bicycles Available, Evening Entertainment, Family Suite, Golf Course, Gym, Hiking, Kids Club, Pets Allowed, Room Service, Snorkelling, Spa, Tennis, Watersports Equipment Rentals, Wifi (Free), Windsurfing, Yoga Classes</v>
      </c>
      <c r="AN7" s="139"/>
    </row>
    <row r="8">
      <c r="A8" s="140" t="s">
        <v>106</v>
      </c>
      <c r="B8" s="119">
        <v>97.5</v>
      </c>
      <c r="C8" s="141" t="s">
        <v>68</v>
      </c>
      <c r="D8" s="142">
        <v>4867.14</v>
      </c>
      <c r="E8" s="122">
        <f>IFERROR(__xludf.DUMMYFUNCTION("""COMPUTED_VALUE"""),6721.763210286)</f>
        <v>6721.76321</v>
      </c>
      <c r="F8" s="136">
        <v>3.6</v>
      </c>
      <c r="G8" s="124">
        <v>269.0</v>
      </c>
      <c r="H8" s="125">
        <v>241.0</v>
      </c>
      <c r="I8" s="125">
        <v>19.0</v>
      </c>
      <c r="J8" s="125">
        <v>6.0</v>
      </c>
      <c r="K8" s="125">
        <v>3.0</v>
      </c>
      <c r="L8" s="125">
        <v>0.0</v>
      </c>
      <c r="M8" s="126">
        <v>97.0</v>
      </c>
      <c r="N8" s="127">
        <v>98.0</v>
      </c>
      <c r="O8" s="127"/>
      <c r="P8" s="127"/>
      <c r="Q8" s="126" t="b">
        <v>1</v>
      </c>
      <c r="R8" s="143"/>
      <c r="S8" s="143"/>
      <c r="T8" s="143"/>
      <c r="U8" s="143"/>
      <c r="V8" s="129"/>
      <c r="W8" s="144" t="s">
        <v>107</v>
      </c>
      <c r="X8" s="144" t="s">
        <v>108</v>
      </c>
      <c r="Y8" s="129" t="s">
        <v>109</v>
      </c>
      <c r="Z8" s="145" t="b">
        <v>0</v>
      </c>
      <c r="AA8" s="145"/>
      <c r="AB8" s="129"/>
      <c r="AC8" s="144" t="s">
        <v>110</v>
      </c>
      <c r="AD8" s="130" t="s">
        <v>111</v>
      </c>
      <c r="AE8" s="129"/>
      <c r="AF8" s="132"/>
      <c r="AG8" s="143" t="b">
        <v>0</v>
      </c>
      <c r="AH8" s="143"/>
      <c r="AI8" s="143"/>
      <c r="AJ8" s="143"/>
      <c r="AK8" s="143"/>
      <c r="AL8" s="129" t="str">
        <f>IFERROR(__xludf.DUMMYFUNCTION("""COMPUTED_VALUE"""),"Bay View, Harbour View")</f>
        <v>Bay View, Harbour View</v>
      </c>
      <c r="AM8" s="129" t="str">
        <f>IFERROR(__xludf.DUMMYFUNCTION("""COMPUTED_VALUE"""),"Beach, Diving, Gym, Snorkelling, Wifi (Free)")</f>
        <v>Beach, Diving, Gym, Snorkelling, Wifi (Free)</v>
      </c>
      <c r="AN8" s="128"/>
    </row>
    <row r="9">
      <c r="A9" s="118" t="s">
        <v>112</v>
      </c>
      <c r="B9" s="119">
        <v>97.3</v>
      </c>
      <c r="C9" s="120" t="s">
        <v>68</v>
      </c>
      <c r="D9" s="121">
        <v>10155.6</v>
      </c>
      <c r="E9" s="122">
        <f>IFERROR(__xludf.DUMMYFUNCTION("""COMPUTED_VALUE"""),14025.390364439998)</f>
        <v>14025.39036</v>
      </c>
      <c r="F9" s="136">
        <v>1.7</v>
      </c>
      <c r="G9" s="124">
        <v>421.0</v>
      </c>
      <c r="H9" s="125">
        <v>393.0</v>
      </c>
      <c r="I9" s="125">
        <v>24.0</v>
      </c>
      <c r="J9" s="125">
        <v>5.0</v>
      </c>
      <c r="K9" s="125">
        <v>5.0</v>
      </c>
      <c r="L9" s="125">
        <v>4.0</v>
      </c>
      <c r="M9" s="126">
        <v>97.0</v>
      </c>
      <c r="N9" s="127">
        <v>96.0</v>
      </c>
      <c r="O9" s="127">
        <v>98.0</v>
      </c>
      <c r="P9" s="127">
        <v>98.0</v>
      </c>
      <c r="Q9" s="126" t="b">
        <v>1</v>
      </c>
      <c r="R9" s="133"/>
      <c r="S9" s="133">
        <v>7.0</v>
      </c>
      <c r="T9" s="133"/>
      <c r="U9" s="133"/>
      <c r="V9" s="129"/>
      <c r="W9" s="130" t="s">
        <v>113</v>
      </c>
      <c r="X9" s="130" t="s">
        <v>113</v>
      </c>
      <c r="Y9" s="130" t="s">
        <v>114</v>
      </c>
      <c r="Z9" s="131" t="b">
        <v>1</v>
      </c>
      <c r="AA9" s="131">
        <v>0.021527777777777778</v>
      </c>
      <c r="AB9" s="129"/>
      <c r="AC9" s="130" t="s">
        <v>115</v>
      </c>
      <c r="AD9" s="130" t="s">
        <v>116</v>
      </c>
      <c r="AE9" s="129"/>
      <c r="AF9" s="132"/>
      <c r="AG9" s="133" t="b">
        <v>0</v>
      </c>
      <c r="AH9" s="133">
        <v>42.0</v>
      </c>
      <c r="AI9" s="133">
        <v>2019.0</v>
      </c>
      <c r="AJ9" s="143"/>
      <c r="AK9" s="133">
        <v>1.0</v>
      </c>
      <c r="AL9" s="129" t="str">
        <f>IFERROR(__xludf.DUMMYFUNCTION("""COMPUTED_VALUE"""),"Romantic")</f>
        <v>Romantic</v>
      </c>
      <c r="AM9" s="129" t="str">
        <f>IFERROR(__xludf.DUMMYFUNCTION("""COMPUTED_VALUE"""),"Beach, Diving, Fishing, Gym, Hiking, Room Service, Snorkelling, Spa, Watersports Equipment Rentals, Wifi (Free), Yoga Classes")</f>
        <v>Beach, Diving, Fishing, Gym, Hiking, Room Service, Snorkelling, Spa, Watersports Equipment Rentals, Wifi (Free), Yoga Classes</v>
      </c>
      <c r="AN9" s="128"/>
    </row>
    <row r="10" hidden="1">
      <c r="A10" s="118" t="s">
        <v>117</v>
      </c>
      <c r="B10" s="119">
        <v>96.0</v>
      </c>
      <c r="C10" s="134" t="s">
        <v>75</v>
      </c>
      <c r="D10" s="142"/>
      <c r="E10" s="122"/>
      <c r="F10" s="136"/>
      <c r="G10" s="124">
        <v>1037.0</v>
      </c>
      <c r="H10" s="133"/>
      <c r="I10" s="133"/>
      <c r="J10" s="133"/>
      <c r="K10" s="133"/>
      <c r="L10" s="133"/>
      <c r="M10" s="137"/>
      <c r="N10" s="138">
        <v>96.0</v>
      </c>
      <c r="O10" s="127"/>
      <c r="P10" s="127"/>
      <c r="Q10" s="137" t="b">
        <v>1</v>
      </c>
      <c r="R10" s="128"/>
      <c r="S10" s="128"/>
      <c r="T10" s="128"/>
      <c r="U10" s="128"/>
      <c r="V10" s="130" t="s">
        <v>118</v>
      </c>
      <c r="W10" s="130" t="s">
        <v>84</v>
      </c>
      <c r="X10" s="130" t="s">
        <v>119</v>
      </c>
      <c r="Y10" s="130" t="s">
        <v>120</v>
      </c>
      <c r="Z10" s="145" t="b">
        <v>0</v>
      </c>
      <c r="AA10" s="145"/>
      <c r="AB10" s="130"/>
      <c r="AC10" s="130"/>
      <c r="AD10" s="129"/>
      <c r="AE10" s="129"/>
      <c r="AF10" s="132"/>
      <c r="AG10" s="128" t="b">
        <v>0</v>
      </c>
      <c r="AH10" s="128"/>
      <c r="AI10" s="128"/>
      <c r="AJ10" s="128"/>
      <c r="AK10" s="128"/>
      <c r="AL10" s="129"/>
      <c r="AM10" s="129"/>
      <c r="AN10" s="139"/>
    </row>
    <row r="11">
      <c r="A11" s="118" t="s">
        <v>121</v>
      </c>
      <c r="B11" s="119">
        <v>97.3</v>
      </c>
      <c r="C11" s="134" t="s">
        <v>75</v>
      </c>
      <c r="D11" s="121">
        <v>13584.0</v>
      </c>
      <c r="E11" s="135">
        <f>IFERROR(__xludf.DUMMYFUNCTION("""COMPUTED_VALUE"""),18760.1818416)</f>
        <v>18760.18184</v>
      </c>
      <c r="F11" s="136">
        <v>1.27</v>
      </c>
      <c r="G11" s="124">
        <v>1940.0</v>
      </c>
      <c r="H11" s="125">
        <v>1865.0</v>
      </c>
      <c r="I11" s="125">
        <v>60.0</v>
      </c>
      <c r="J11" s="125">
        <v>13.0</v>
      </c>
      <c r="K11" s="125">
        <v>2.0</v>
      </c>
      <c r="L11" s="125">
        <v>2.0</v>
      </c>
      <c r="M11" s="126">
        <v>99.0</v>
      </c>
      <c r="N11" s="127">
        <v>96.0</v>
      </c>
      <c r="O11" s="127">
        <v>96.0</v>
      </c>
      <c r="P11" s="127">
        <v>98.0</v>
      </c>
      <c r="Q11" s="135" t="b">
        <v>1</v>
      </c>
      <c r="R11" s="133">
        <v>5.0</v>
      </c>
      <c r="S11" s="133">
        <v>9.0</v>
      </c>
      <c r="T11" s="133"/>
      <c r="U11" s="133">
        <v>5.0</v>
      </c>
      <c r="V11" s="129"/>
      <c r="W11" s="130" t="s">
        <v>84</v>
      </c>
      <c r="X11" s="130" t="s">
        <v>122</v>
      </c>
      <c r="Y11" s="130" t="s">
        <v>123</v>
      </c>
      <c r="Z11" s="131" t="b">
        <v>1</v>
      </c>
      <c r="AA11" s="131">
        <v>0.021527777777777778</v>
      </c>
      <c r="AB11" s="130" t="s">
        <v>124</v>
      </c>
      <c r="AC11" s="130" t="s">
        <v>75</v>
      </c>
      <c r="AD11" s="130" t="s">
        <v>125</v>
      </c>
      <c r="AE11" s="130"/>
      <c r="AF11" s="132" t="s">
        <v>126</v>
      </c>
      <c r="AG11" s="133" t="b">
        <v>1</v>
      </c>
      <c r="AH11" s="133">
        <v>304.0</v>
      </c>
      <c r="AI11" s="133">
        <v>2016.0</v>
      </c>
      <c r="AJ11" s="143"/>
      <c r="AK11" s="143"/>
      <c r="AL11" s="129" t="str">
        <f>IFERROR(__xludf.DUMMYFUNCTION("""COMPUTED_VALUE"""),"Family")</f>
        <v>Family</v>
      </c>
      <c r="AM11" s="129" t="str">
        <f>IFERROR(__xludf.DUMMYFUNCTION("""COMPUTED_VALUE"""),"2 Bedroom Suites, Adult Pool, Babysitting, Beach, Evening Entertainment, Family Suite, Great Food, Gym, Heated Pool, Kids Club, Room Service, Spa, Swim Out/Plunge Pool Rooms, Swim Up Bar, Teen Club, Wifi (Free)")</f>
        <v>2 Bedroom Suites, Adult Pool, Babysitting, Beach, Evening Entertainment, Family Suite, Great Food, Gym, Heated Pool, Kids Club, Room Service, Spa, Swim Out/Plunge Pool Rooms, Swim Up Bar, Teen Club, Wifi (Free)</v>
      </c>
      <c r="AN11" s="139"/>
    </row>
    <row r="12">
      <c r="A12" s="118" t="s">
        <v>127</v>
      </c>
      <c r="B12" s="119">
        <v>97.3</v>
      </c>
      <c r="C12" s="134" t="s">
        <v>75</v>
      </c>
      <c r="D12" s="121">
        <v>14420.12</v>
      </c>
      <c r="E12" s="135">
        <f>IFERROR(__xludf.DUMMYFUNCTION("""COMPUTED_VALUE"""),19914.905283988)</f>
        <v>19914.90528</v>
      </c>
      <c r="F12" s="136">
        <v>1.2</v>
      </c>
      <c r="G12" s="124">
        <v>1109.0</v>
      </c>
      <c r="H12" s="125">
        <v>1015.0</v>
      </c>
      <c r="I12" s="125">
        <v>66.0</v>
      </c>
      <c r="J12" s="125">
        <v>19.0</v>
      </c>
      <c r="K12" s="125">
        <v>7.0</v>
      </c>
      <c r="L12" s="125">
        <v>3.0</v>
      </c>
      <c r="M12" s="137">
        <v>98.0</v>
      </c>
      <c r="N12" s="138">
        <v>96.0</v>
      </c>
      <c r="O12" s="138"/>
      <c r="P12" s="138">
        <v>98.0</v>
      </c>
      <c r="Q12" s="135" t="b">
        <v>1</v>
      </c>
      <c r="R12" s="133">
        <v>4.0</v>
      </c>
      <c r="S12" s="133">
        <v>9.0</v>
      </c>
      <c r="T12" s="133"/>
      <c r="U12" s="133">
        <v>5.0</v>
      </c>
      <c r="V12" s="130" t="s">
        <v>128</v>
      </c>
      <c r="W12" s="130" t="s">
        <v>129</v>
      </c>
      <c r="X12" s="130" t="s">
        <v>130</v>
      </c>
      <c r="Y12" s="130" t="s">
        <v>131</v>
      </c>
      <c r="Z12" s="131" t="b">
        <v>0</v>
      </c>
      <c r="AA12" s="131">
        <v>0.005555555555555556</v>
      </c>
      <c r="AB12" s="130"/>
      <c r="AC12" s="130" t="s">
        <v>132</v>
      </c>
      <c r="AD12" s="130" t="s">
        <v>133</v>
      </c>
      <c r="AE12" s="130" t="s">
        <v>134</v>
      </c>
      <c r="AF12" s="132" t="s">
        <v>135</v>
      </c>
      <c r="AG12" s="133" t="b">
        <v>0</v>
      </c>
      <c r="AH12" s="133">
        <v>30.0</v>
      </c>
      <c r="AI12" s="133">
        <v>1960.0</v>
      </c>
      <c r="AJ12" s="133">
        <v>2022.0</v>
      </c>
      <c r="AK12" s="133">
        <v>2.0</v>
      </c>
      <c r="AL12" s="129" t="str">
        <f>IFERROR(__xludf.DUMMYFUNCTION("""COMPUTED_VALUE"""),"Boutique, Great View")</f>
        <v>Boutique, Great View</v>
      </c>
      <c r="AM12" s="129" t="str">
        <f>IFERROR(__xludf.DUMMYFUNCTION("""COMPUTED_VALUE"""),"Babysitting, Beach, Diving, Gym, Room Service, Snorkelling, Swim Out/Plunge Pool Rooms, Tennis, Wifi (Free), Yoga Classes")</f>
        <v>Babysitting, Beach, Diving, Gym, Room Service, Snorkelling, Swim Out/Plunge Pool Rooms, Tennis, Wifi (Free), Yoga Classes</v>
      </c>
      <c r="AN12" s="139"/>
    </row>
    <row r="13">
      <c r="A13" s="118" t="s">
        <v>136</v>
      </c>
      <c r="B13" s="119">
        <v>97.3</v>
      </c>
      <c r="C13" s="133" t="s">
        <v>75</v>
      </c>
      <c r="D13" s="121">
        <v>51097.2</v>
      </c>
      <c r="E13" s="122">
        <f>IFERROR(__xludf.DUMMYFUNCTION("""COMPUTED_VALUE"""),70567.78295027999)</f>
        <v>70567.78295</v>
      </c>
      <c r="F13" s="136">
        <v>0.34</v>
      </c>
      <c r="G13" s="124">
        <v>471.0</v>
      </c>
      <c r="H13" s="125">
        <v>451.0</v>
      </c>
      <c r="I13" s="125">
        <v>12.0</v>
      </c>
      <c r="J13" s="125">
        <v>3.0</v>
      </c>
      <c r="K13" s="125">
        <v>2.0</v>
      </c>
      <c r="L13" s="125">
        <v>4.0</v>
      </c>
      <c r="M13" s="126">
        <v>98.0</v>
      </c>
      <c r="N13" s="138">
        <v>96.0</v>
      </c>
      <c r="O13" s="127"/>
      <c r="P13" s="138">
        <v>98.0</v>
      </c>
      <c r="Q13" s="126" t="b">
        <v>1</v>
      </c>
      <c r="R13" s="128"/>
      <c r="S13" s="128"/>
      <c r="T13" s="128"/>
      <c r="U13" s="133">
        <v>5.0</v>
      </c>
      <c r="V13" s="129"/>
      <c r="W13" s="130" t="s">
        <v>137</v>
      </c>
      <c r="X13" s="130" t="s">
        <v>138</v>
      </c>
      <c r="Y13" s="130" t="s">
        <v>139</v>
      </c>
      <c r="Z13" s="133" t="b">
        <v>1</v>
      </c>
      <c r="AA13" s="133"/>
      <c r="AB13" s="129"/>
      <c r="AC13" s="147" t="s">
        <v>140</v>
      </c>
      <c r="AD13" s="147" t="s">
        <v>141</v>
      </c>
      <c r="AE13" s="129"/>
      <c r="AF13" s="148" t="s">
        <v>142</v>
      </c>
      <c r="AG13" s="128" t="b">
        <v>0</v>
      </c>
      <c r="AH13" s="128"/>
      <c r="AI13" s="128"/>
      <c r="AJ13" s="128"/>
      <c r="AK13" s="128"/>
      <c r="AL13" s="129" t="str">
        <f>IFERROR(__xludf.DUMMYFUNCTION("""COMPUTED_VALUE"""),"Business, Romantic")</f>
        <v>Business, Romantic</v>
      </c>
      <c r="AM13" s="129" t="str">
        <f>IFERROR(__xludf.DUMMYFUNCTION("""COMPUTED_VALUE"""),"2 Bedroom Suites, Babysitting, Beach, Bicycles Available, Evening Entertainment, Fishing, Gym, Heated Pool, Hiking, Kids Club, Room Service, Snorkelling, Spa, Swim Out/Plunge Pool Rooms, Tennis, Watersports Equipment Rentals, Wifi (Free), Windsurfing, Yog"&amp;"a Classes")</f>
        <v>2 Bedroom Suites, Babysitting, Beach, Bicycles Available, Evening Entertainment, Fishing, Gym, Heated Pool, Hiking, Kids Club, Room Service, Snorkelling, Spa, Swim Out/Plunge Pool Rooms, Tennis, Watersports Equipment Rentals, Wifi (Free), Windsurfing, Yoga Classes</v>
      </c>
      <c r="AN13" s="139"/>
    </row>
    <row r="14">
      <c r="A14" s="118" t="s">
        <v>143</v>
      </c>
      <c r="B14" s="119">
        <v>96.8</v>
      </c>
      <c r="C14" s="120" t="s">
        <v>68</v>
      </c>
      <c r="D14" s="121">
        <v>22948.44</v>
      </c>
      <c r="E14" s="122">
        <f>IFERROR(__xludf.DUMMYFUNCTION("""COMPUTED_VALUE"""),31692.940767155993)</f>
        <v>31692.94077</v>
      </c>
      <c r="F14" s="136">
        <v>0.73</v>
      </c>
      <c r="G14" s="124">
        <v>564.0</v>
      </c>
      <c r="H14" s="125">
        <v>523.0</v>
      </c>
      <c r="I14" s="125">
        <v>15.0</v>
      </c>
      <c r="J14" s="125">
        <v>9.0</v>
      </c>
      <c r="K14" s="125">
        <v>7.0</v>
      </c>
      <c r="L14" s="125">
        <v>11.0</v>
      </c>
      <c r="M14" s="126">
        <v>97.0</v>
      </c>
      <c r="N14" s="127">
        <v>96.0</v>
      </c>
      <c r="O14" s="138">
        <v>98.0</v>
      </c>
      <c r="P14" s="127">
        <v>96.0</v>
      </c>
      <c r="Q14" s="126" t="b">
        <v>1</v>
      </c>
      <c r="R14" s="133"/>
      <c r="S14" s="133" t="s">
        <v>83</v>
      </c>
      <c r="T14" s="133"/>
      <c r="U14" s="133">
        <v>5.0</v>
      </c>
      <c r="V14" s="130" t="s">
        <v>144</v>
      </c>
      <c r="W14" s="130" t="s">
        <v>84</v>
      </c>
      <c r="X14" s="130" t="s">
        <v>85</v>
      </c>
      <c r="Y14" s="130" t="s">
        <v>86</v>
      </c>
      <c r="Z14" s="131" t="b">
        <v>1</v>
      </c>
      <c r="AA14" s="131">
        <v>0.04027777777777778</v>
      </c>
      <c r="AB14" s="130" t="s">
        <v>145</v>
      </c>
      <c r="AC14" s="130" t="s">
        <v>99</v>
      </c>
      <c r="AD14" s="130" t="s">
        <v>146</v>
      </c>
      <c r="AE14" s="129"/>
      <c r="AF14" s="132"/>
      <c r="AG14" s="133" t="b">
        <v>0</v>
      </c>
      <c r="AH14" s="133">
        <v>63.0</v>
      </c>
      <c r="AI14" s="133">
        <v>2021.0</v>
      </c>
      <c r="AJ14" s="128"/>
      <c r="AK14" s="128"/>
      <c r="AL14" s="129" t="str">
        <f>IFERROR(__xludf.DUMMYFUNCTION("""COMPUTED_VALUE"""),"Luxury")</f>
        <v>Luxury</v>
      </c>
      <c r="AM14" s="129" t="str">
        <f>IFERROR(__xludf.DUMMYFUNCTION("""COMPUTED_VALUE"""),"Beach, Bicycles Available, Gym, Pets Allowed, Room Service, Snorkelling, Spa, Swim Up Bar, Wifi (Free), Yoga Classes")</f>
        <v>Beach, Bicycles Available, Gym, Pets Allowed, Room Service, Snorkelling, Spa, Swim Up Bar, Wifi (Free), Yoga Classes</v>
      </c>
      <c r="AN14" s="128"/>
    </row>
    <row r="15">
      <c r="A15" s="118" t="s">
        <v>147</v>
      </c>
      <c r="B15" s="119">
        <v>96.7</v>
      </c>
      <c r="C15" s="120" t="s">
        <v>68</v>
      </c>
      <c r="D15" s="121">
        <v>4052.0</v>
      </c>
      <c r="E15" s="122">
        <f>IFERROR(__xludf.DUMMYFUNCTION("""COMPUTED_VALUE"""),5596.014194799999)</f>
        <v>5596.014195</v>
      </c>
      <c r="F15" s="136">
        <v>4.12</v>
      </c>
      <c r="G15" s="124">
        <v>8990.0</v>
      </c>
      <c r="H15" s="125">
        <v>7806.0</v>
      </c>
      <c r="I15" s="125">
        <v>778.0</v>
      </c>
      <c r="J15" s="125">
        <v>247.0</v>
      </c>
      <c r="K15" s="125">
        <v>87.0</v>
      </c>
      <c r="L15" s="125">
        <v>72.0</v>
      </c>
      <c r="M15" s="126">
        <v>96.0</v>
      </c>
      <c r="N15" s="127">
        <v>98.0</v>
      </c>
      <c r="O15" s="127"/>
      <c r="P15" s="127">
        <v>96.0</v>
      </c>
      <c r="Q15" s="126" t="b">
        <v>1</v>
      </c>
      <c r="R15" s="133"/>
      <c r="S15" s="133">
        <v>9.0</v>
      </c>
      <c r="T15" s="133"/>
      <c r="U15" s="133">
        <v>5.0</v>
      </c>
      <c r="V15" s="130" t="s">
        <v>148</v>
      </c>
      <c r="W15" s="130" t="s">
        <v>84</v>
      </c>
      <c r="X15" s="130" t="s">
        <v>149</v>
      </c>
      <c r="Y15" s="130" t="s">
        <v>86</v>
      </c>
      <c r="Z15" s="131" t="b">
        <v>1</v>
      </c>
      <c r="AA15" s="131">
        <v>0.025</v>
      </c>
      <c r="AB15" s="130" t="s">
        <v>150</v>
      </c>
      <c r="AC15" s="130" t="s">
        <v>151</v>
      </c>
      <c r="AD15" s="130" t="s">
        <v>152</v>
      </c>
      <c r="AE15" s="129"/>
      <c r="AF15" s="132"/>
      <c r="AG15" s="133" t="b">
        <v>0</v>
      </c>
      <c r="AH15" s="133">
        <v>109.0</v>
      </c>
      <c r="AI15" s="133">
        <v>2009.0</v>
      </c>
      <c r="AJ15" s="143"/>
      <c r="AK15" s="133">
        <v>4.0</v>
      </c>
      <c r="AL15" s="129" t="str">
        <f>IFERROR(__xludf.DUMMYFUNCTION("""COMPUTED_VALUE"""),"Boutique, Modern")</f>
        <v>Boutique, Modern</v>
      </c>
      <c r="AM15" s="129" t="str">
        <f>IFERROR(__xludf.DUMMYFUNCTION("""COMPUTED_VALUE"""),"Beach, Buffet, Diving, Gym, Heated Pool, Room Service, Snorkelling, Spa, Swim Out/Plunge Pool Rooms, Swim Up Bar, Wifi (Free)")</f>
        <v>Beach, Buffet, Diving, Gym, Heated Pool, Room Service, Snorkelling, Spa, Swim Out/Plunge Pool Rooms, Swim Up Bar, Wifi (Free)</v>
      </c>
      <c r="AN15" s="128"/>
    </row>
    <row r="16">
      <c r="A16" s="118" t="s">
        <v>153</v>
      </c>
      <c r="B16" s="119">
        <v>96.7</v>
      </c>
      <c r="C16" s="134" t="s">
        <v>75</v>
      </c>
      <c r="D16" s="121">
        <v>8855.0</v>
      </c>
      <c r="E16" s="135">
        <f>IFERROR(__xludf.DUMMYFUNCTION("""COMPUTED_VALUE"""),12229.196864499998)</f>
        <v>12229.19686</v>
      </c>
      <c r="F16" s="136">
        <v>1.89</v>
      </c>
      <c r="G16" s="124">
        <v>770.0</v>
      </c>
      <c r="H16" s="125">
        <v>679.0</v>
      </c>
      <c r="I16" s="125">
        <v>66.0</v>
      </c>
      <c r="J16" s="125">
        <v>8.0</v>
      </c>
      <c r="K16" s="125">
        <v>9.0</v>
      </c>
      <c r="L16" s="125">
        <v>8.0</v>
      </c>
      <c r="M16" s="126">
        <v>96.0</v>
      </c>
      <c r="N16" s="127">
        <v>96.0</v>
      </c>
      <c r="O16" s="146"/>
      <c r="P16" s="127">
        <v>98.0</v>
      </c>
      <c r="Q16" s="137" t="b">
        <v>1</v>
      </c>
      <c r="R16" s="133"/>
      <c r="S16" s="133">
        <v>3.0</v>
      </c>
      <c r="T16" s="133"/>
      <c r="U16" s="133">
        <v>3.0</v>
      </c>
      <c r="V16" s="130" t="s">
        <v>154</v>
      </c>
      <c r="W16" s="130" t="s">
        <v>155</v>
      </c>
      <c r="X16" s="130" t="s">
        <v>156</v>
      </c>
      <c r="Y16" s="130" t="s">
        <v>157</v>
      </c>
      <c r="Z16" s="133" t="b">
        <v>1</v>
      </c>
      <c r="AA16" s="131"/>
      <c r="AB16" s="130"/>
      <c r="AC16" s="130" t="s">
        <v>158</v>
      </c>
      <c r="AD16" s="130" t="s">
        <v>159</v>
      </c>
      <c r="AE16" s="130"/>
      <c r="AF16" s="132" t="s">
        <v>160</v>
      </c>
      <c r="AG16" s="133" t="b">
        <v>0</v>
      </c>
      <c r="AH16" s="133">
        <v>21.0</v>
      </c>
      <c r="AI16" s="133">
        <v>1960.0</v>
      </c>
      <c r="AJ16" s="133">
        <v>2013.0</v>
      </c>
      <c r="AK16" s="133">
        <v>1.0</v>
      </c>
      <c r="AL16" s="129" t="str">
        <f>IFERROR(__xludf.DUMMYFUNCTION("""COMPUTED_VALUE"""),"Bay View, Romantic")</f>
        <v>Bay View, Romantic</v>
      </c>
      <c r="AM16" s="129" t="str">
        <f>IFERROR(__xludf.DUMMYFUNCTION("""COMPUTED_VALUE"""),"2 Bedroom Suites, Babysitting, Beach, Bicycles Available, Buffet, Diving, Family Suite, Fishing, Pets Allowed, Snorkelling, Wifi (Free)")</f>
        <v>2 Bedroom Suites, Babysitting, Beach, Bicycles Available, Buffet, Diving, Family Suite, Fishing, Pets Allowed, Snorkelling, Wifi (Free)</v>
      </c>
      <c r="AN16" s="139"/>
    </row>
    <row r="17">
      <c r="A17" s="118" t="s">
        <v>161</v>
      </c>
      <c r="B17" s="119">
        <v>96.7</v>
      </c>
      <c r="C17" s="134" t="s">
        <v>75</v>
      </c>
      <c r="D17" s="121">
        <v>13423.9</v>
      </c>
      <c r="E17" s="135">
        <f>IFERROR(__xludf.DUMMYFUNCTION("""COMPUTED_VALUE"""),18539.07575261)</f>
        <v>18539.07575</v>
      </c>
      <c r="F17" s="136">
        <v>1.24</v>
      </c>
      <c r="G17" s="124">
        <v>1379.0</v>
      </c>
      <c r="H17" s="125">
        <v>1306.0</v>
      </c>
      <c r="I17" s="125">
        <v>37.0</v>
      </c>
      <c r="J17" s="125">
        <v>21.0</v>
      </c>
      <c r="K17" s="125">
        <v>9.0</v>
      </c>
      <c r="L17" s="125">
        <v>6.0</v>
      </c>
      <c r="M17" s="126">
        <v>98.0</v>
      </c>
      <c r="N17" s="127">
        <v>94.0</v>
      </c>
      <c r="O17" s="146"/>
      <c r="P17" s="127">
        <v>98.0</v>
      </c>
      <c r="Q17" s="135" t="b">
        <v>1</v>
      </c>
      <c r="R17" s="133"/>
      <c r="S17" s="133">
        <v>9.0</v>
      </c>
      <c r="T17" s="133"/>
      <c r="U17" s="133">
        <v>5.0</v>
      </c>
      <c r="V17" s="130" t="s">
        <v>162</v>
      </c>
      <c r="W17" s="130" t="s">
        <v>84</v>
      </c>
      <c r="X17" s="130" t="s">
        <v>85</v>
      </c>
      <c r="Y17" s="130" t="s">
        <v>86</v>
      </c>
      <c r="Z17" s="131" t="b">
        <v>1</v>
      </c>
      <c r="AA17" s="131">
        <v>0.041666666666666664</v>
      </c>
      <c r="AB17" s="130"/>
      <c r="AC17" s="130" t="s">
        <v>163</v>
      </c>
      <c r="AD17" s="130" t="s">
        <v>164</v>
      </c>
      <c r="AE17" s="130"/>
      <c r="AF17" s="132" t="s">
        <v>165</v>
      </c>
      <c r="AG17" s="133" t="b">
        <v>0</v>
      </c>
      <c r="AH17" s="133">
        <v>234.0</v>
      </c>
      <c r="AI17" s="133">
        <v>2019.0</v>
      </c>
      <c r="AJ17" s="143"/>
      <c r="AK17" s="133">
        <v>4.0</v>
      </c>
      <c r="AL17" s="129" t="str">
        <f>IFERROR(__xludf.DUMMYFUNCTION("""COMPUTED_VALUE"""),"Luxury, Romantic")</f>
        <v>Luxury, Romantic</v>
      </c>
      <c r="AM17" s="129" t="str">
        <f>IFERROR(__xludf.DUMMYFUNCTION("""COMPUTED_VALUE"""),"2 Bedroom Suites, Babysitting, Beach, Bicycles Available, Diving, Family Suite, Gym, Kids Club, Room Service, Snorkelling, Spa, Swim Up Bar, Wifi (Free), Yoga Classes")</f>
        <v>2 Bedroom Suites, Babysitting, Beach, Bicycles Available, Diving, Family Suite, Gym, Kids Club, Room Service, Snorkelling, Spa, Swim Up Bar, Wifi (Free), Yoga Classes</v>
      </c>
      <c r="AN17" s="139"/>
    </row>
    <row r="18">
      <c r="A18" s="118" t="s">
        <v>166</v>
      </c>
      <c r="B18" s="119">
        <v>96.7</v>
      </c>
      <c r="C18" s="120" t="s">
        <v>68</v>
      </c>
      <c r="D18" s="121">
        <v>16352.0</v>
      </c>
      <c r="E18" s="122">
        <f>IFERROR(__xludf.DUMMYFUNCTION("""COMPUTED_VALUE"""),22582.927964799997)</f>
        <v>22582.92796</v>
      </c>
      <c r="F18" s="123">
        <v>1.02</v>
      </c>
      <c r="G18" s="124">
        <v>708.0</v>
      </c>
      <c r="H18" s="125">
        <v>678.0</v>
      </c>
      <c r="I18" s="125">
        <v>8.0</v>
      </c>
      <c r="J18" s="125">
        <v>9.0</v>
      </c>
      <c r="K18" s="125">
        <v>5.0</v>
      </c>
      <c r="L18" s="125">
        <v>10.0</v>
      </c>
      <c r="M18" s="126">
        <v>98.0</v>
      </c>
      <c r="N18" s="138">
        <v>96.0</v>
      </c>
      <c r="O18" s="127"/>
      <c r="P18" s="138">
        <v>96.0</v>
      </c>
      <c r="Q18" s="126" t="b">
        <v>1</v>
      </c>
      <c r="R18" s="133"/>
      <c r="S18" s="133" t="s">
        <v>83</v>
      </c>
      <c r="T18" s="133"/>
      <c r="U18" s="133">
        <v>5.0</v>
      </c>
      <c r="V18" s="129"/>
      <c r="W18" s="130" t="s">
        <v>84</v>
      </c>
      <c r="X18" s="130" t="s">
        <v>85</v>
      </c>
      <c r="Y18" s="130" t="s">
        <v>86</v>
      </c>
      <c r="Z18" s="131" t="b">
        <v>1</v>
      </c>
      <c r="AA18" s="131">
        <v>0.025</v>
      </c>
      <c r="AB18" s="130" t="s">
        <v>167</v>
      </c>
      <c r="AC18" s="130" t="s">
        <v>163</v>
      </c>
      <c r="AD18" s="130" t="s">
        <v>168</v>
      </c>
      <c r="AE18" s="130"/>
      <c r="AF18" s="132"/>
      <c r="AG18" s="143" t="b">
        <v>0</v>
      </c>
      <c r="AH18" s="143"/>
      <c r="AI18" s="143"/>
      <c r="AJ18" s="143"/>
      <c r="AK18" s="143"/>
      <c r="AL18" s="129" t="str">
        <f>IFERROR(__xludf.DUMMYFUNCTION("""COMPUTED_VALUE"""),"Luxury, Romantic")</f>
        <v>Luxury, Romantic</v>
      </c>
      <c r="AM18" s="129" t="str">
        <f>IFERROR(__xludf.DUMMYFUNCTION("""COMPUTED_VALUE"""),"Beach, Gym, Nightclub, Room Service, Spa, Swim Out/Plunge Pool Rooms, Wifi (Free)")</f>
        <v>Beach, Gym, Nightclub, Room Service, Spa, Swim Out/Plunge Pool Rooms, Wifi (Free)</v>
      </c>
      <c r="AN18" s="128"/>
    </row>
    <row r="19">
      <c r="A19" s="118" t="s">
        <v>169</v>
      </c>
      <c r="B19" s="119">
        <v>96.5</v>
      </c>
      <c r="C19" s="133" t="s">
        <v>75</v>
      </c>
      <c r="D19" s="121">
        <v>6650.0</v>
      </c>
      <c r="E19" s="122">
        <f>IFERROR(__xludf.DUMMYFUNCTION("""COMPUTED_VALUE"""),9183.981834999999)</f>
        <v>9183.981835</v>
      </c>
      <c r="F19" s="136">
        <v>2.48</v>
      </c>
      <c r="G19" s="124">
        <v>316.0</v>
      </c>
      <c r="H19" s="125">
        <v>311.0</v>
      </c>
      <c r="I19" s="125">
        <v>3.0</v>
      </c>
      <c r="J19" s="125">
        <v>1.0</v>
      </c>
      <c r="K19" s="125">
        <v>1.0</v>
      </c>
      <c r="L19" s="125">
        <v>0.0</v>
      </c>
      <c r="M19" s="126">
        <v>99.0</v>
      </c>
      <c r="N19" s="138">
        <v>94.0</v>
      </c>
      <c r="O19" s="127"/>
      <c r="P19" s="127"/>
      <c r="Q19" s="126" t="b">
        <v>1</v>
      </c>
      <c r="R19" s="128"/>
      <c r="S19" s="128"/>
      <c r="T19" s="128"/>
      <c r="U19" s="133">
        <v>3.0</v>
      </c>
      <c r="V19" s="147" t="s">
        <v>170</v>
      </c>
      <c r="W19" s="130" t="s">
        <v>171</v>
      </c>
      <c r="X19" s="130" t="s">
        <v>172</v>
      </c>
      <c r="Y19" s="130" t="s">
        <v>173</v>
      </c>
      <c r="Z19" s="133" t="b">
        <v>1</v>
      </c>
      <c r="AA19" s="131">
        <v>0.25277777777777777</v>
      </c>
      <c r="AB19" s="129"/>
      <c r="AC19" s="147" t="s">
        <v>174</v>
      </c>
      <c r="AD19" s="147" t="s">
        <v>175</v>
      </c>
      <c r="AE19" s="129"/>
      <c r="AF19" s="148" t="s">
        <v>176</v>
      </c>
      <c r="AG19" s="128" t="b">
        <v>0</v>
      </c>
      <c r="AH19" s="128"/>
      <c r="AI19" s="128"/>
      <c r="AJ19" s="128"/>
      <c r="AK19" s="128"/>
      <c r="AL19" s="129" t="str">
        <f>IFERROR(__xludf.DUMMYFUNCTION("""COMPUTED_VALUE"""),"Boutique, Modern")</f>
        <v>Boutique, Modern</v>
      </c>
      <c r="AM19" s="129" t="str">
        <f>IFERROR(__xludf.DUMMYFUNCTION("""COMPUTED_VALUE"""),"Beach, Diving, Fishing, Hiking, Horseback Riding, Snorkelling, Wifi (Free)")</f>
        <v>Beach, Diving, Fishing, Hiking, Horseback Riding, Snorkelling, Wifi (Free)</v>
      </c>
      <c r="AN19" s="139"/>
    </row>
    <row r="20">
      <c r="A20" s="118" t="s">
        <v>177</v>
      </c>
      <c r="B20" s="119">
        <v>96.5</v>
      </c>
      <c r="C20" s="134" t="s">
        <v>75</v>
      </c>
      <c r="D20" s="121">
        <v>37871.0</v>
      </c>
      <c r="E20" s="135">
        <f>IFERROR(__xludf.DUMMYFUNCTION("""COMPUTED_VALUE"""),52301.74076289999)</f>
        <v>52301.74076</v>
      </c>
      <c r="F20" s="136">
        <v>0.44</v>
      </c>
      <c r="G20" s="124">
        <v>781.0</v>
      </c>
      <c r="H20" s="125">
        <v>644.0</v>
      </c>
      <c r="I20" s="125">
        <v>69.0</v>
      </c>
      <c r="J20" s="125">
        <v>26.0</v>
      </c>
      <c r="K20" s="125">
        <v>21.0</v>
      </c>
      <c r="L20" s="125">
        <v>21.0</v>
      </c>
      <c r="M20" s="137">
        <v>93.0</v>
      </c>
      <c r="N20" s="138"/>
      <c r="O20" s="138"/>
      <c r="P20" s="138">
        <v>100.0</v>
      </c>
      <c r="Q20" s="135" t="b">
        <v>1</v>
      </c>
      <c r="R20" s="133">
        <v>4.0</v>
      </c>
      <c r="S20" s="133">
        <v>9.0</v>
      </c>
      <c r="T20" s="133"/>
      <c r="U20" s="133"/>
      <c r="V20" s="130"/>
      <c r="W20" s="130" t="s">
        <v>113</v>
      </c>
      <c r="X20" s="130" t="s">
        <v>178</v>
      </c>
      <c r="Y20" s="130" t="s">
        <v>114</v>
      </c>
      <c r="Z20" s="131" t="b">
        <v>1</v>
      </c>
      <c r="AA20" s="131">
        <v>0.011805555555555555</v>
      </c>
      <c r="AB20" s="130" t="s">
        <v>179</v>
      </c>
      <c r="AC20" s="130" t="s">
        <v>92</v>
      </c>
      <c r="AD20" s="130" t="s">
        <v>180</v>
      </c>
      <c r="AE20" s="130"/>
      <c r="AF20" s="132" t="s">
        <v>181</v>
      </c>
      <c r="AG20" s="133" t="b">
        <v>0</v>
      </c>
      <c r="AH20" s="133">
        <v>42.0</v>
      </c>
      <c r="AI20" s="133">
        <v>1984.0</v>
      </c>
      <c r="AJ20" s="133">
        <v>2018.0</v>
      </c>
      <c r="AK20" s="133">
        <v>1.0</v>
      </c>
      <c r="AL20" s="129" t="str">
        <f>IFERROR(__xludf.DUMMYFUNCTION("""COMPUTED_VALUE"""),"Quiet")</f>
        <v>Quiet</v>
      </c>
      <c r="AM20" s="129" t="str">
        <f>IFERROR(__xludf.DUMMYFUNCTION("""COMPUTED_VALUE"""),"2 Bedroom Suites, Babysitting, Beach, Bicycles Available, Buffet, Family Suite, Fishing, Gym, Kids Club, Snorkelling, Spa, Swim Out/Plunge Pool Rooms, Tennis, Wifi (Free)")</f>
        <v>2 Bedroom Suites, Babysitting, Beach, Bicycles Available, Buffet, Family Suite, Fishing, Gym, Kids Club, Snorkelling, Spa, Swim Out/Plunge Pool Rooms, Tennis, Wifi (Free)</v>
      </c>
      <c r="AN20" s="139"/>
    </row>
    <row r="21">
      <c r="A21" s="118" t="s">
        <v>182</v>
      </c>
      <c r="B21" s="119">
        <v>96.3</v>
      </c>
      <c r="C21" s="120" t="s">
        <v>68</v>
      </c>
      <c r="D21" s="121">
        <v>9506.0</v>
      </c>
      <c r="E21" s="122">
        <f>IFERROR(__xludf.DUMMYFUNCTION("""COMPUTED_VALUE"""),13128.260349399998)</f>
        <v>13128.26035</v>
      </c>
      <c r="F21" s="123">
        <v>1.71</v>
      </c>
      <c r="G21" s="124">
        <v>107.0</v>
      </c>
      <c r="H21" s="125">
        <v>103.0</v>
      </c>
      <c r="I21" s="125">
        <v>3.0</v>
      </c>
      <c r="J21" s="125">
        <v>1.0</v>
      </c>
      <c r="K21" s="125">
        <v>0.0</v>
      </c>
      <c r="L21" s="125">
        <v>0.0</v>
      </c>
      <c r="M21" s="126">
        <v>99.0</v>
      </c>
      <c r="N21" s="138">
        <v>90.0</v>
      </c>
      <c r="O21" s="127"/>
      <c r="P21" s="138">
        <v>100.0</v>
      </c>
      <c r="Q21" s="122" t="b">
        <v>1</v>
      </c>
      <c r="R21" s="128"/>
      <c r="S21" s="133" t="s">
        <v>83</v>
      </c>
      <c r="T21" s="128"/>
      <c r="U21" s="133">
        <v>5.0</v>
      </c>
      <c r="V21" s="130"/>
      <c r="W21" s="130" t="s">
        <v>84</v>
      </c>
      <c r="X21" s="130" t="s">
        <v>123</v>
      </c>
      <c r="Y21" s="130" t="s">
        <v>123</v>
      </c>
      <c r="Z21" s="131" t="b">
        <v>1</v>
      </c>
      <c r="AA21" s="131">
        <v>0.02013888888888889</v>
      </c>
      <c r="AB21" s="130" t="s">
        <v>124</v>
      </c>
      <c r="AC21" s="129"/>
      <c r="AD21" s="130" t="s">
        <v>183</v>
      </c>
      <c r="AE21" s="129"/>
      <c r="AF21" s="132"/>
      <c r="AG21" s="133" t="b">
        <v>1</v>
      </c>
      <c r="AH21" s="133">
        <v>79.0</v>
      </c>
      <c r="AI21" s="133">
        <v>2023.0</v>
      </c>
      <c r="AJ21" s="128"/>
      <c r="AK21" s="128"/>
      <c r="AL21" s="129"/>
      <c r="AM21" s="129" t="str">
        <f>IFERROR(__xludf.DUMMYFUNCTION("""COMPUTED_VALUE"""),"Beach, Buffet, Evening Entertainment, Fishing, Great Food, Gym, Heated Pool, Nightclub, Room Service, Snorkelling, Spa, Swim Out/Plunge Pool Rooms, Swim Up Bar, Wifi (Free), Yoga Classes")</f>
        <v>Beach, Buffet, Evening Entertainment, Fishing, Great Food, Gym, Heated Pool, Nightclub, Room Service, Snorkelling, Spa, Swim Out/Plunge Pool Rooms, Swim Up Bar, Wifi (Free), Yoga Classes</v>
      </c>
      <c r="AN21" s="128"/>
    </row>
    <row r="22">
      <c r="A22" s="118" t="s">
        <v>184</v>
      </c>
      <c r="B22" s="119">
        <v>96.3</v>
      </c>
      <c r="C22" s="120" t="s">
        <v>68</v>
      </c>
      <c r="D22" s="121">
        <v>20496.0</v>
      </c>
      <c r="E22" s="122">
        <f>IFERROR(__xludf.DUMMYFUNCTION("""COMPUTED_VALUE"""),28305.9987504)</f>
        <v>28305.99875</v>
      </c>
      <c r="F22" s="136">
        <v>0.8</v>
      </c>
      <c r="G22" s="124">
        <v>1287.0</v>
      </c>
      <c r="H22" s="125">
        <v>1106.0</v>
      </c>
      <c r="I22" s="125">
        <v>110.0</v>
      </c>
      <c r="J22" s="125">
        <v>35.0</v>
      </c>
      <c r="K22" s="125">
        <v>25.0</v>
      </c>
      <c r="L22" s="125">
        <v>11.0</v>
      </c>
      <c r="M22" s="126">
        <v>95.0</v>
      </c>
      <c r="N22" s="127">
        <v>94.0</v>
      </c>
      <c r="O22" s="138">
        <v>98.0</v>
      </c>
      <c r="P22" s="127">
        <v>98.0</v>
      </c>
      <c r="Q22" s="126" t="b">
        <v>1</v>
      </c>
      <c r="R22" s="133">
        <v>5.0</v>
      </c>
      <c r="S22" s="133">
        <v>9.0</v>
      </c>
      <c r="T22" s="133"/>
      <c r="U22" s="133">
        <v>5.0</v>
      </c>
      <c r="V22" s="129"/>
      <c r="W22" s="130" t="s">
        <v>96</v>
      </c>
      <c r="X22" s="130" t="s">
        <v>185</v>
      </c>
      <c r="Y22" s="130" t="s">
        <v>98</v>
      </c>
      <c r="Z22" s="131" t="b">
        <v>0</v>
      </c>
      <c r="AA22" s="131">
        <v>0.04236111111111111</v>
      </c>
      <c r="AB22" s="129"/>
      <c r="AC22" s="130" t="s">
        <v>186</v>
      </c>
      <c r="AD22" s="130" t="s">
        <v>187</v>
      </c>
      <c r="AE22" s="129"/>
      <c r="AF22" s="132"/>
      <c r="AG22" s="133" t="b">
        <v>0</v>
      </c>
      <c r="AH22" s="133">
        <v>20.0</v>
      </c>
      <c r="AI22" s="143"/>
      <c r="AJ22" s="143"/>
      <c r="AK22" s="143"/>
      <c r="AL22" s="129" t="str">
        <f>IFERROR(__xludf.DUMMYFUNCTION("""COMPUTED_VALUE"""),"Bay View, Green")</f>
        <v>Bay View, Green</v>
      </c>
      <c r="AM22" s="129" t="str">
        <f>IFERROR(__xludf.DUMMYFUNCTION("""COMPUTED_VALUE"""),"Beach, Diving, Gym, Room Service, Snorkelling, Spa, Swim Out/Plunge Pool Rooms, Tennis, Wifi (Free)")</f>
        <v>Beach, Diving, Gym, Room Service, Snorkelling, Spa, Swim Out/Plunge Pool Rooms, Tennis, Wifi (Free)</v>
      </c>
      <c r="AN22" s="128"/>
    </row>
    <row r="23">
      <c r="A23" s="118" t="s">
        <v>188</v>
      </c>
      <c r="B23" s="119">
        <v>96.0</v>
      </c>
      <c r="C23" s="120" t="s">
        <v>68</v>
      </c>
      <c r="D23" s="121">
        <v>3666.0</v>
      </c>
      <c r="E23" s="122">
        <f>IFERROR(__xludf.DUMMYFUNCTION("""COMPUTED_VALUE"""),5062.9289334)</f>
        <v>5062.928933</v>
      </c>
      <c r="F23" s="136">
        <v>4.36</v>
      </c>
      <c r="G23" s="124">
        <v>27090.0</v>
      </c>
      <c r="H23" s="125">
        <v>23256.0</v>
      </c>
      <c r="I23" s="125">
        <v>2588.0</v>
      </c>
      <c r="J23" s="125">
        <v>722.0</v>
      </c>
      <c r="K23" s="125">
        <v>292.0</v>
      </c>
      <c r="L23" s="125">
        <v>234.0</v>
      </c>
      <c r="M23" s="126">
        <v>96.0</v>
      </c>
      <c r="N23" s="127">
        <v>98.0</v>
      </c>
      <c r="O23" s="127"/>
      <c r="P23" s="127">
        <v>94.0</v>
      </c>
      <c r="Q23" s="126" t="b">
        <v>1</v>
      </c>
      <c r="R23" s="133"/>
      <c r="S23" s="133">
        <v>9.0</v>
      </c>
      <c r="T23" s="133"/>
      <c r="U23" s="133">
        <v>5.0</v>
      </c>
      <c r="V23" s="129"/>
      <c r="W23" s="130" t="s">
        <v>84</v>
      </c>
      <c r="X23" s="130" t="s">
        <v>149</v>
      </c>
      <c r="Y23" s="130" t="s">
        <v>86</v>
      </c>
      <c r="Z23" s="131" t="b">
        <v>1</v>
      </c>
      <c r="AA23" s="131">
        <v>0.025</v>
      </c>
      <c r="AB23" s="130" t="s">
        <v>150</v>
      </c>
      <c r="AC23" s="130" t="s">
        <v>189</v>
      </c>
      <c r="AD23" s="130" t="s">
        <v>190</v>
      </c>
      <c r="AE23" s="129"/>
      <c r="AF23" s="132"/>
      <c r="AG23" s="133" t="b">
        <v>0</v>
      </c>
      <c r="AH23" s="133">
        <v>450.0</v>
      </c>
      <c r="AI23" s="133">
        <v>2007.0</v>
      </c>
      <c r="AJ23" s="143"/>
      <c r="AK23" s="133">
        <v>5.0</v>
      </c>
      <c r="AL23" s="129" t="str">
        <f>IFERROR(__xludf.DUMMYFUNCTION("""COMPUTED_VALUE"""),"Luxury, Quiet")</f>
        <v>Luxury, Quiet</v>
      </c>
      <c r="AM23" s="129" t="str">
        <f>IFERROR(__xludf.DUMMYFUNCTION("""COMPUTED_VALUE"""),"Beach, Buffet, Diving, Evening Entertainment, Gym, Heated Pool, Lazy River, Nightclub, Room Service, Snorkelling, Spa, Swim Out/Plunge Pool Rooms, Swim Up Bar, Tennis, Wifi (Free)")</f>
        <v>Beach, Buffet, Diving, Evening Entertainment, Gym, Heated Pool, Lazy River, Nightclub, Room Service, Snorkelling, Spa, Swim Out/Plunge Pool Rooms, Swim Up Bar, Tennis, Wifi (Free)</v>
      </c>
      <c r="AN23" s="128"/>
    </row>
    <row r="24">
      <c r="A24" s="118" t="s">
        <v>191</v>
      </c>
      <c r="B24" s="119">
        <v>96.0</v>
      </c>
      <c r="C24" s="120" t="s">
        <v>68</v>
      </c>
      <c r="D24" s="121">
        <v>6653.79</v>
      </c>
      <c r="E24" s="122">
        <f>IFERROR(__xludf.DUMMYFUNCTION("""COMPUTED_VALUE"""),9189.216014120999)</f>
        <v>9189.216014</v>
      </c>
      <c r="F24" s="136">
        <v>2.4</v>
      </c>
      <c r="G24" s="124">
        <v>7800.0</v>
      </c>
      <c r="H24" s="125">
        <v>7173.0</v>
      </c>
      <c r="I24" s="125">
        <v>418.0</v>
      </c>
      <c r="J24" s="125">
        <v>126.0</v>
      </c>
      <c r="K24" s="125">
        <v>46.0</v>
      </c>
      <c r="L24" s="125">
        <v>38.0</v>
      </c>
      <c r="M24" s="126">
        <v>98.0</v>
      </c>
      <c r="N24" s="138">
        <v>94.0</v>
      </c>
      <c r="O24" s="127">
        <v>96.0</v>
      </c>
      <c r="P24" s="127">
        <v>96.0</v>
      </c>
      <c r="Q24" s="126" t="b">
        <v>1</v>
      </c>
      <c r="R24" s="133">
        <v>4.0</v>
      </c>
      <c r="S24" s="143">
        <v>7.0</v>
      </c>
      <c r="T24" s="133" t="s">
        <v>192</v>
      </c>
      <c r="U24" s="133">
        <v>5.0</v>
      </c>
      <c r="V24" s="130"/>
      <c r="W24" s="130" t="s">
        <v>193</v>
      </c>
      <c r="X24" s="130" t="s">
        <v>194</v>
      </c>
      <c r="Y24" s="130" t="s">
        <v>195</v>
      </c>
      <c r="Z24" s="131" t="b">
        <v>1</v>
      </c>
      <c r="AA24" s="131">
        <v>0.011111111111111112</v>
      </c>
      <c r="AB24" s="130" t="s">
        <v>50</v>
      </c>
      <c r="AC24" s="130" t="s">
        <v>196</v>
      </c>
      <c r="AD24" s="130" t="s">
        <v>197</v>
      </c>
      <c r="AE24" s="129"/>
      <c r="AF24" s="132"/>
      <c r="AG24" s="143" t="b">
        <v>1</v>
      </c>
      <c r="AH24" s="143">
        <v>375.0</v>
      </c>
      <c r="AI24" s="143">
        <v>2019.0</v>
      </c>
      <c r="AJ24" s="143"/>
      <c r="AK24" s="143">
        <v>8.0</v>
      </c>
      <c r="AL24" s="129" t="str">
        <f>IFERROR(__xludf.DUMMYFUNCTION("""COMPUTED_VALUE"""),"Ocean View, Romantic")</f>
        <v>Ocean View, Romantic</v>
      </c>
      <c r="AM24" s="129" t="str">
        <f>IFERROR(__xludf.DUMMYFUNCTION("""COMPUTED_VALUE"""),"Beach, Buffet, Evening Entertainment, Great Food, Gym, Heated Pool, Nightclub, Room Service, Spa, Swim Out/Plunge Pool Rooms, Swim Up Bar, Wifi (Free), Yoga Classes")</f>
        <v>Beach, Buffet, Evening Entertainment, Great Food, Gym, Heated Pool, Nightclub, Room Service, Spa, Swim Out/Plunge Pool Rooms, Swim Up Bar, Wifi (Free), Yoga Classes</v>
      </c>
      <c r="AN24" s="128"/>
    </row>
    <row r="25">
      <c r="A25" s="118" t="s">
        <v>198</v>
      </c>
      <c r="B25" s="119">
        <v>96.0</v>
      </c>
      <c r="C25" s="134" t="s">
        <v>75</v>
      </c>
      <c r="D25" s="121">
        <v>10003.98</v>
      </c>
      <c r="E25" s="135">
        <f>IFERROR(__xludf.DUMMYFUNCTION("""COMPUTED_VALUE"""),13815.995578601998)</f>
        <v>13815.99558</v>
      </c>
      <c r="F25" s="136">
        <v>1.6</v>
      </c>
      <c r="G25" s="124">
        <v>4560.0</v>
      </c>
      <c r="H25" s="125">
        <v>4007.0</v>
      </c>
      <c r="I25" s="125">
        <v>385.0</v>
      </c>
      <c r="J25" s="125">
        <v>94.0</v>
      </c>
      <c r="K25" s="125">
        <v>38.0</v>
      </c>
      <c r="L25" s="125">
        <v>36.0</v>
      </c>
      <c r="M25" s="126">
        <v>96.0</v>
      </c>
      <c r="N25" s="127">
        <v>96.0</v>
      </c>
      <c r="O25" s="127">
        <v>96.0</v>
      </c>
      <c r="P25" s="127">
        <v>96.0</v>
      </c>
      <c r="Q25" s="137" t="b">
        <v>1</v>
      </c>
      <c r="R25" s="133">
        <v>5.0</v>
      </c>
      <c r="S25" s="133">
        <v>9.0</v>
      </c>
      <c r="T25" s="133"/>
      <c r="U25" s="133">
        <v>5.0</v>
      </c>
      <c r="V25" s="129"/>
      <c r="W25" s="130" t="s">
        <v>84</v>
      </c>
      <c r="X25" s="130" t="s">
        <v>199</v>
      </c>
      <c r="Y25" s="130" t="s">
        <v>120</v>
      </c>
      <c r="Z25" s="131" t="b">
        <v>1</v>
      </c>
      <c r="AA25" s="131">
        <v>0.0125</v>
      </c>
      <c r="AB25" s="130" t="s">
        <v>124</v>
      </c>
      <c r="AC25" s="130" t="s">
        <v>200</v>
      </c>
      <c r="AD25" s="130" t="s">
        <v>201</v>
      </c>
      <c r="AE25" s="130"/>
      <c r="AF25" s="132" t="s">
        <v>126</v>
      </c>
      <c r="AG25" s="133" t="b">
        <v>1</v>
      </c>
      <c r="AH25" s="133">
        <v>267.0</v>
      </c>
      <c r="AI25" s="133">
        <v>2002.0</v>
      </c>
      <c r="AJ25" s="133">
        <v>2016.0</v>
      </c>
      <c r="AK25" s="133">
        <v>9.0</v>
      </c>
      <c r="AL25" s="129" t="str">
        <f>IFERROR(__xludf.DUMMYFUNCTION("""COMPUTED_VALUE"""),"Family, Luxury")</f>
        <v>Family, Luxury</v>
      </c>
      <c r="AM25" s="129" t="str">
        <f>IFERROR(__xludf.DUMMYFUNCTION("""COMPUTED_VALUE"""),"2 Bedroom Suites, Babysitting, Beach, Bicycles Available, Diving, Evening Entertainment, Family Suite, Great Food, Gym, Heated Pool, Kids Club, Nightclub, Room Service, Spa, Swim Out/Plunge Pool Rooms, Swim Up Bar, Teen Club, Tennis, Wifi (Paid)")</f>
        <v>2 Bedroom Suites, Babysitting, Beach, Bicycles Available, Diving, Evening Entertainment, Family Suite, Great Food, Gym, Heated Pool, Kids Club, Nightclub, Room Service, Spa, Swim Out/Plunge Pool Rooms, Swim Up Bar, Teen Club, Tennis, Wifi (Paid)</v>
      </c>
      <c r="AN25" s="139"/>
    </row>
    <row r="26">
      <c r="A26" s="118" t="s">
        <v>202</v>
      </c>
      <c r="B26" s="119">
        <v>96.0</v>
      </c>
      <c r="C26" s="134" t="s">
        <v>75</v>
      </c>
      <c r="D26" s="121">
        <v>11396.0</v>
      </c>
      <c r="E26" s="135">
        <f>IFERROR(__xludf.DUMMYFUNCTION("""COMPUTED_VALUE"""),15738.444660399999)</f>
        <v>15738.44466</v>
      </c>
      <c r="F26" s="136">
        <v>1.4</v>
      </c>
      <c r="G26" s="124">
        <v>5767.0</v>
      </c>
      <c r="H26" s="125">
        <v>4959.0</v>
      </c>
      <c r="I26" s="125">
        <v>518.0</v>
      </c>
      <c r="J26" s="125">
        <v>166.0</v>
      </c>
      <c r="K26" s="125">
        <v>73.0</v>
      </c>
      <c r="L26" s="125">
        <v>51.0</v>
      </c>
      <c r="M26" s="126">
        <v>96.0</v>
      </c>
      <c r="N26" s="127">
        <v>96.0</v>
      </c>
      <c r="O26" s="127">
        <v>96.0</v>
      </c>
      <c r="P26" s="127">
        <v>96.0</v>
      </c>
      <c r="Q26" s="135" t="b">
        <v>1</v>
      </c>
      <c r="R26" s="133">
        <v>5.0</v>
      </c>
      <c r="S26" s="133">
        <v>9.0</v>
      </c>
      <c r="T26" s="133"/>
      <c r="U26" s="133">
        <v>5.0</v>
      </c>
      <c r="V26" s="130"/>
      <c r="W26" s="130" t="s">
        <v>84</v>
      </c>
      <c r="X26" s="130" t="s">
        <v>85</v>
      </c>
      <c r="Y26" s="130" t="s">
        <v>86</v>
      </c>
      <c r="Z26" s="131" t="b">
        <v>1</v>
      </c>
      <c r="AA26" s="131">
        <v>0.027083333333333334</v>
      </c>
      <c r="AB26" s="130" t="s">
        <v>124</v>
      </c>
      <c r="AC26" s="130" t="s">
        <v>203</v>
      </c>
      <c r="AD26" s="130" t="s">
        <v>204</v>
      </c>
      <c r="AE26" s="130"/>
      <c r="AF26" s="132" t="s">
        <v>126</v>
      </c>
      <c r="AG26" s="133" t="b">
        <v>0</v>
      </c>
      <c r="AH26" s="133">
        <v>539.0</v>
      </c>
      <c r="AI26" s="133">
        <v>2008.0</v>
      </c>
      <c r="AJ26" s="133">
        <v>2021.0</v>
      </c>
      <c r="AK26" s="133">
        <v>4.0</v>
      </c>
      <c r="AL26" s="129" t="str">
        <f>IFERROR(__xludf.DUMMYFUNCTION("""COMPUTED_VALUE"""),"Family, Great View")</f>
        <v>Family, Great View</v>
      </c>
      <c r="AM26" s="129" t="str">
        <f>IFERROR(__xludf.DUMMYFUNCTION("""COMPUTED_VALUE"""),"2 Bedroom Suites, Babysitting, Beach, Diving, Evening Entertainment, Family Suite, Fishing, Great Food, Gym, Heated Pool, Kids Club, Room Service, Spa, Swim Out/Plunge Pool Rooms, Swim Up Bar, Teen Club, Wifi (Free)")</f>
        <v>2 Bedroom Suites, Babysitting, Beach, Diving, Evening Entertainment, Family Suite, Fishing, Great Food, Gym, Heated Pool, Kids Club, Room Service, Spa, Swim Out/Plunge Pool Rooms, Swim Up Bar, Teen Club, Wifi (Free)</v>
      </c>
      <c r="AN26" s="139"/>
    </row>
    <row r="27">
      <c r="A27" s="118" t="s">
        <v>205</v>
      </c>
      <c r="B27" s="119">
        <v>96.0</v>
      </c>
      <c r="C27" s="134" t="s">
        <v>75</v>
      </c>
      <c r="D27" s="121">
        <v>18340.0</v>
      </c>
      <c r="E27" s="135">
        <f>IFERROR(__xludf.DUMMYFUNCTION("""COMPUTED_VALUE"""),25328.455165999996)</f>
        <v>25328.45517</v>
      </c>
      <c r="F27" s="136">
        <v>0.87</v>
      </c>
      <c r="G27" s="124">
        <v>1168.0</v>
      </c>
      <c r="H27" s="125">
        <v>1037.0</v>
      </c>
      <c r="I27" s="125">
        <v>82.0</v>
      </c>
      <c r="J27" s="125">
        <v>25.0</v>
      </c>
      <c r="K27" s="125">
        <v>18.0</v>
      </c>
      <c r="L27" s="125">
        <v>6.0</v>
      </c>
      <c r="M27" s="137">
        <v>96.0</v>
      </c>
      <c r="N27" s="138">
        <v>94.0</v>
      </c>
      <c r="O27" s="127"/>
      <c r="P27" s="138">
        <v>98.0</v>
      </c>
      <c r="Q27" s="137" t="b">
        <v>1</v>
      </c>
      <c r="R27" s="133">
        <v>5.0</v>
      </c>
      <c r="S27" s="133">
        <v>9.0</v>
      </c>
      <c r="T27" s="133"/>
      <c r="U27" s="133">
        <v>5.0</v>
      </c>
      <c r="V27" s="129"/>
      <c r="W27" s="130" t="s">
        <v>129</v>
      </c>
      <c r="X27" s="130" t="s">
        <v>206</v>
      </c>
      <c r="Y27" s="130" t="s">
        <v>131</v>
      </c>
      <c r="Z27" s="131" t="b">
        <v>0</v>
      </c>
      <c r="AA27" s="131">
        <v>0.006944444444444444</v>
      </c>
      <c r="AB27" s="129"/>
      <c r="AC27" s="130" t="s">
        <v>207</v>
      </c>
      <c r="AD27" s="130" t="s">
        <v>208</v>
      </c>
      <c r="AE27" s="130"/>
      <c r="AF27" s="132" t="s">
        <v>126</v>
      </c>
      <c r="AG27" s="133" t="b">
        <v>0</v>
      </c>
      <c r="AH27" s="133">
        <v>64.0</v>
      </c>
      <c r="AI27" s="133">
        <v>1961.0</v>
      </c>
      <c r="AJ27" s="133">
        <v>2023.0</v>
      </c>
      <c r="AK27" s="133">
        <v>2.0</v>
      </c>
      <c r="AL27" s="129" t="str">
        <f>IFERROR(__xludf.DUMMYFUNCTION("""COMPUTED_VALUE"""),"Family, Green")</f>
        <v>Family, Green</v>
      </c>
      <c r="AM27" s="129" t="str">
        <f>IFERROR(__xludf.DUMMYFUNCTION("""COMPUTED_VALUE"""),"Babysitting, Beach, Bicycles Available, Buffet, Diving, Gym, Kids Club, Pets Allowed, Room Service, Spa, Swim Out/Plunge Pool Rooms, Tennis, Wifi (Free)")</f>
        <v>Babysitting, Beach, Bicycles Available, Buffet, Diving, Gym, Kids Club, Pets Allowed, Room Service, Spa, Swim Out/Plunge Pool Rooms, Tennis, Wifi (Free)</v>
      </c>
      <c r="AN27" s="139"/>
    </row>
    <row r="28">
      <c r="A28" s="118" t="s">
        <v>209</v>
      </c>
      <c r="B28" s="119">
        <v>95.7</v>
      </c>
      <c r="C28" s="120" t="s">
        <v>68</v>
      </c>
      <c r="D28" s="121">
        <v>3528.0</v>
      </c>
      <c r="E28" s="122">
        <f>IFERROR(__xludf.DUMMYFUNCTION("""COMPUTED_VALUE"""),4872.344047199999)</f>
        <v>4872.344047</v>
      </c>
      <c r="F28" s="136">
        <v>4.45</v>
      </c>
      <c r="G28" s="124">
        <v>26241.0</v>
      </c>
      <c r="H28" s="125">
        <v>21560.0</v>
      </c>
      <c r="I28" s="125">
        <v>3189.0</v>
      </c>
      <c r="J28" s="125">
        <v>969.0</v>
      </c>
      <c r="K28" s="125">
        <v>304.0</v>
      </c>
      <c r="L28" s="125">
        <v>221.0</v>
      </c>
      <c r="M28" s="126">
        <v>95.0</v>
      </c>
      <c r="N28" s="127">
        <v>98.0</v>
      </c>
      <c r="O28" s="127"/>
      <c r="P28" s="127">
        <v>94.0</v>
      </c>
      <c r="Q28" s="126" t="b">
        <v>1</v>
      </c>
      <c r="R28" s="133"/>
      <c r="S28" s="133">
        <v>9.0</v>
      </c>
      <c r="T28" s="133"/>
      <c r="U28" s="133">
        <v>5.0</v>
      </c>
      <c r="V28" s="129"/>
      <c r="W28" s="130" t="s">
        <v>84</v>
      </c>
      <c r="X28" s="130" t="s">
        <v>210</v>
      </c>
      <c r="Y28" s="130" t="s">
        <v>86</v>
      </c>
      <c r="Z28" s="131" t="b">
        <v>1</v>
      </c>
      <c r="AA28" s="131">
        <v>0.01597222222222222</v>
      </c>
      <c r="AB28" s="130" t="s">
        <v>150</v>
      </c>
      <c r="AC28" s="130" t="s">
        <v>211</v>
      </c>
      <c r="AD28" s="130" t="s">
        <v>212</v>
      </c>
      <c r="AE28" s="129"/>
      <c r="AF28" s="132"/>
      <c r="AG28" s="133" t="b">
        <v>0</v>
      </c>
      <c r="AH28" s="133">
        <v>440.0</v>
      </c>
      <c r="AI28" s="133">
        <v>2004.0</v>
      </c>
      <c r="AJ28" s="133">
        <v>2015.0</v>
      </c>
      <c r="AK28" s="133">
        <v>4.0</v>
      </c>
      <c r="AL28" s="129" t="str">
        <f>IFERROR(__xludf.DUMMYFUNCTION("""COMPUTED_VALUE"""),"Green, Quiet")</f>
        <v>Green, Quiet</v>
      </c>
      <c r="AM28" s="129" t="str">
        <f>IFERROR(__xludf.DUMMYFUNCTION("""COMPUTED_VALUE"""),"Beach, Buffet, Diving, Evening Entertainment, Fishing, Gym, Heated Pool, Lazy River, Nightclub, Room Service, Snorkelling, Swim Out/Plunge Pool Rooms, Swim Up Bar, Tennis, Wifi (Free)")</f>
        <v>Beach, Buffet, Diving, Evening Entertainment, Fishing, Gym, Heated Pool, Lazy River, Nightclub, Room Service, Snorkelling, Swim Out/Plunge Pool Rooms, Swim Up Bar, Tennis, Wifi (Free)</v>
      </c>
      <c r="AN28" s="128"/>
    </row>
    <row r="29">
      <c r="A29" s="118" t="s">
        <v>213</v>
      </c>
      <c r="B29" s="119">
        <v>95.7</v>
      </c>
      <c r="C29" s="120" t="s">
        <v>68</v>
      </c>
      <c r="D29" s="121">
        <v>6096.82</v>
      </c>
      <c r="E29" s="122">
        <f>IFERROR(__xludf.DUMMYFUNCTION("""COMPUTED_VALUE"""),8420.012651317998)</f>
        <v>8420.012651</v>
      </c>
      <c r="F29" s="136">
        <v>2.58</v>
      </c>
      <c r="G29" s="124">
        <v>9993.0</v>
      </c>
      <c r="H29" s="125">
        <v>8345.0</v>
      </c>
      <c r="I29" s="125">
        <v>1095.0</v>
      </c>
      <c r="J29" s="125">
        <v>346.0</v>
      </c>
      <c r="K29" s="125">
        <v>125.0</v>
      </c>
      <c r="L29" s="125">
        <v>83.0</v>
      </c>
      <c r="M29" s="126">
        <v>95.0</v>
      </c>
      <c r="N29" s="127">
        <v>98.0</v>
      </c>
      <c r="O29" s="127"/>
      <c r="P29" s="127">
        <v>94.0</v>
      </c>
      <c r="Q29" s="126" t="b">
        <v>1</v>
      </c>
      <c r="R29" s="133"/>
      <c r="S29" s="133">
        <v>9.0</v>
      </c>
      <c r="T29" s="133"/>
      <c r="U29" s="133">
        <v>5.0</v>
      </c>
      <c r="V29" s="129"/>
      <c r="W29" s="130" t="s">
        <v>84</v>
      </c>
      <c r="X29" s="130" t="s">
        <v>214</v>
      </c>
      <c r="Y29" s="130" t="s">
        <v>86</v>
      </c>
      <c r="Z29" s="131" t="b">
        <v>1</v>
      </c>
      <c r="AA29" s="131">
        <v>0.022222222222222223</v>
      </c>
      <c r="AB29" s="130" t="s">
        <v>215</v>
      </c>
      <c r="AC29" s="130" t="s">
        <v>216</v>
      </c>
      <c r="AD29" s="130" t="s">
        <v>217</v>
      </c>
      <c r="AE29" s="129"/>
      <c r="AF29" s="132"/>
      <c r="AG29" s="133" t="b">
        <v>0</v>
      </c>
      <c r="AH29" s="133">
        <v>310.0</v>
      </c>
      <c r="AI29" s="133">
        <v>2007.0</v>
      </c>
      <c r="AJ29" s="143"/>
      <c r="AK29" s="133">
        <v>3.0</v>
      </c>
      <c r="AL29" s="129" t="str">
        <f>IFERROR(__xludf.DUMMYFUNCTION("""COMPUTED_VALUE"""),"Great View, Quiet")</f>
        <v>Great View, Quiet</v>
      </c>
      <c r="AM29" s="129" t="str">
        <f>IFERROR(__xludf.DUMMYFUNCTION("""COMPUTED_VALUE"""),"Beach, Buffet, Diving, Evening Entertainment, Golf Course, Great Food, Gym, Spa, Swim Out/Plunge Pool Rooms, Swim Up Bar, Tennis, Wifi (Free)")</f>
        <v>Beach, Buffet, Diving, Evening Entertainment, Golf Course, Great Food, Gym, Spa, Swim Out/Plunge Pool Rooms, Swim Up Bar, Tennis, Wifi (Free)</v>
      </c>
      <c r="AN29" s="128"/>
    </row>
    <row r="30">
      <c r="A30" s="118" t="s">
        <v>218</v>
      </c>
      <c r="B30" s="119">
        <v>95.7</v>
      </c>
      <c r="C30" s="120" t="s">
        <v>68</v>
      </c>
      <c r="D30" s="121">
        <v>6601.0</v>
      </c>
      <c r="E30" s="122">
        <f>IFERROR(__xludf.DUMMYFUNCTION("""COMPUTED_VALUE"""),9116.310389899998)</f>
        <v>9116.31039</v>
      </c>
      <c r="F30" s="136">
        <v>2.38</v>
      </c>
      <c r="G30" s="124">
        <v>888.0</v>
      </c>
      <c r="H30" s="125">
        <v>782.0</v>
      </c>
      <c r="I30" s="125">
        <v>76.0</v>
      </c>
      <c r="J30" s="125">
        <v>18.0</v>
      </c>
      <c r="K30" s="125">
        <v>8.0</v>
      </c>
      <c r="L30" s="125">
        <v>4.0</v>
      </c>
      <c r="M30" s="126">
        <v>97.0</v>
      </c>
      <c r="N30" s="127">
        <v>92.0</v>
      </c>
      <c r="O30" s="127"/>
      <c r="P30" s="127">
        <v>98.0</v>
      </c>
      <c r="Q30" s="126" t="b">
        <v>1</v>
      </c>
      <c r="R30" s="128"/>
      <c r="S30" s="133">
        <v>9.0</v>
      </c>
      <c r="T30" s="128"/>
      <c r="U30" s="133">
        <v>4.0</v>
      </c>
      <c r="V30" s="129"/>
      <c r="W30" s="130" t="s">
        <v>219</v>
      </c>
      <c r="X30" s="130" t="s">
        <v>220</v>
      </c>
      <c r="Y30" s="144" t="s">
        <v>221</v>
      </c>
      <c r="Z30" s="131" t="b">
        <v>1</v>
      </c>
      <c r="AA30" s="131">
        <v>0.06736111111111111</v>
      </c>
      <c r="AB30" s="129"/>
      <c r="AC30" s="130" t="s">
        <v>222</v>
      </c>
      <c r="AD30" s="130" t="s">
        <v>223</v>
      </c>
      <c r="AE30" s="129"/>
      <c r="AF30" s="132"/>
      <c r="AG30" s="133" t="b">
        <v>0</v>
      </c>
      <c r="AH30" s="133">
        <v>12.0</v>
      </c>
      <c r="AI30" s="133">
        <v>1996.0</v>
      </c>
      <c r="AJ30" s="133">
        <v>2008.0</v>
      </c>
      <c r="AK30" s="133">
        <v>2.0</v>
      </c>
      <c r="AL30" s="129" t="str">
        <f>IFERROR(__xludf.DUMMYFUNCTION("""COMPUTED_VALUE"""),"Boutique, Hidden Gem")</f>
        <v>Boutique, Hidden Gem</v>
      </c>
      <c r="AM30" s="129" t="str">
        <f>IFERROR(__xludf.DUMMYFUNCTION("""COMPUTED_VALUE"""),"Diving, Evening Entertainment, Fishing, Snorkelling, Spa, Watersports Equipment Rentals, Wifi (Free), Yoga Classes")</f>
        <v>Diving, Evening Entertainment, Fishing, Snorkelling, Spa, Watersports Equipment Rentals, Wifi (Free), Yoga Classes</v>
      </c>
      <c r="AN30" s="128"/>
    </row>
    <row r="31">
      <c r="A31" s="118" t="s">
        <v>224</v>
      </c>
      <c r="B31" s="119">
        <v>95.7</v>
      </c>
      <c r="C31" s="120" t="s">
        <v>68</v>
      </c>
      <c r="D31" s="121">
        <v>7696.92</v>
      </c>
      <c r="E31" s="122">
        <f>IFERROR(__xludf.DUMMYFUNCTION("""COMPUTED_VALUE"""),10629.830596307998)</f>
        <v>10629.8306</v>
      </c>
      <c r="F31" s="136">
        <v>2.04</v>
      </c>
      <c r="G31" s="124">
        <v>15629.0</v>
      </c>
      <c r="H31" s="125">
        <v>13037.0</v>
      </c>
      <c r="I31" s="125">
        <v>1776.0</v>
      </c>
      <c r="J31" s="125">
        <v>533.0</v>
      </c>
      <c r="K31" s="125">
        <v>177.0</v>
      </c>
      <c r="L31" s="125">
        <v>107.0</v>
      </c>
      <c r="M31" s="126">
        <v>95.0</v>
      </c>
      <c r="N31" s="127">
        <v>98.0</v>
      </c>
      <c r="O31" s="127"/>
      <c r="P31" s="127">
        <v>94.0</v>
      </c>
      <c r="Q31" s="126" t="b">
        <v>1</v>
      </c>
      <c r="R31" s="133">
        <v>4.0</v>
      </c>
      <c r="S31" s="143">
        <v>9.0</v>
      </c>
      <c r="T31" s="133"/>
      <c r="U31" s="133">
        <v>5.0</v>
      </c>
      <c r="V31" s="129"/>
      <c r="W31" s="130" t="s">
        <v>193</v>
      </c>
      <c r="X31" s="130" t="s">
        <v>225</v>
      </c>
      <c r="Y31" s="130" t="s">
        <v>195</v>
      </c>
      <c r="Z31" s="131" t="b">
        <v>1</v>
      </c>
      <c r="AA31" s="131">
        <v>0.017361111111111112</v>
      </c>
      <c r="AB31" s="130" t="s">
        <v>215</v>
      </c>
      <c r="AC31" s="130" t="s">
        <v>196</v>
      </c>
      <c r="AD31" s="130" t="s">
        <v>226</v>
      </c>
      <c r="AE31" s="129"/>
      <c r="AF31" s="132"/>
      <c r="AG31" s="143" t="b">
        <v>0</v>
      </c>
      <c r="AH31" s="143">
        <v>274.0</v>
      </c>
      <c r="AI31" s="143">
        <v>2009.0</v>
      </c>
      <c r="AJ31" s="143"/>
      <c r="AK31" s="143"/>
      <c r="AL31" s="129" t="str">
        <f>IFERROR(__xludf.DUMMYFUNCTION("""COMPUTED_VALUE"""),"Ocean View, Romantic")</f>
        <v>Ocean View, Romantic</v>
      </c>
      <c r="AM31" s="129" t="str">
        <f>IFERROR(__xludf.DUMMYFUNCTION("""COMPUTED_VALUE"""),"Beach, Buffet, Diving, Evening Entertainment, Fishing, Golf Course, Great Food, Gym, Nightclub, Room Service, Spa, Swim Out/Plunge Pool Rooms, Swim Up Bar, Tennis")</f>
        <v>Beach, Buffet, Diving, Evening Entertainment, Fishing, Golf Course, Great Food, Gym, Nightclub, Room Service, Spa, Swim Out/Plunge Pool Rooms, Swim Up Bar, Tennis</v>
      </c>
      <c r="AN31" s="128"/>
    </row>
    <row r="32">
      <c r="A32" s="118" t="s">
        <v>227</v>
      </c>
      <c r="B32" s="119">
        <v>95.7</v>
      </c>
      <c r="C32" s="134" t="s">
        <v>75</v>
      </c>
      <c r="D32" s="121">
        <v>14707.42</v>
      </c>
      <c r="E32" s="135">
        <f>IFERROR(__xludf.DUMMYFUNCTION("""COMPUTED_VALUE"""),20311.680920257997)</f>
        <v>20311.68092</v>
      </c>
      <c r="F32" s="136">
        <v>1.07</v>
      </c>
      <c r="G32" s="124">
        <v>124.0</v>
      </c>
      <c r="H32" s="125">
        <v>107.0</v>
      </c>
      <c r="I32" s="125">
        <v>8.0</v>
      </c>
      <c r="J32" s="125">
        <v>5.0</v>
      </c>
      <c r="K32" s="125">
        <v>0.0</v>
      </c>
      <c r="L32" s="125">
        <v>4.0</v>
      </c>
      <c r="M32" s="126">
        <v>95.0</v>
      </c>
      <c r="N32" s="127">
        <v>94.0</v>
      </c>
      <c r="O32" s="146"/>
      <c r="P32" s="127">
        <v>98.0</v>
      </c>
      <c r="Q32" s="135" t="b">
        <v>1</v>
      </c>
      <c r="R32" s="133"/>
      <c r="S32" s="133" t="s">
        <v>83</v>
      </c>
      <c r="T32" s="133"/>
      <c r="U32" s="133">
        <v>5.0</v>
      </c>
      <c r="V32" s="129"/>
      <c r="W32" s="130" t="s">
        <v>193</v>
      </c>
      <c r="X32" s="130" t="s">
        <v>228</v>
      </c>
      <c r="Y32" s="130" t="s">
        <v>229</v>
      </c>
      <c r="Z32" s="131" t="b">
        <v>1</v>
      </c>
      <c r="AA32" s="131">
        <v>0.04652777777777778</v>
      </c>
      <c r="AB32" s="129"/>
      <c r="AC32" s="129"/>
      <c r="AD32" s="130" t="s">
        <v>230</v>
      </c>
      <c r="AE32" s="130"/>
      <c r="AF32" s="148" t="s">
        <v>231</v>
      </c>
      <c r="AG32" s="143" t="b">
        <v>0</v>
      </c>
      <c r="AH32" s="143">
        <v>219.0</v>
      </c>
      <c r="AI32" s="143">
        <v>2006.0</v>
      </c>
      <c r="AJ32" s="143">
        <v>2022.0</v>
      </c>
      <c r="AK32" s="143">
        <v>4.0</v>
      </c>
      <c r="AL32" s="129"/>
      <c r="AM32" s="129" t="str">
        <f>IFERROR(__xludf.DUMMYFUNCTION("""COMPUTED_VALUE"""),"Beach, Buffet, Evening Entertainment, Gym, Room Service, Spa, Swim Out/Plunge Pool Rooms, Tennis, Wifi (Free)")</f>
        <v>Beach, Buffet, Evening Entertainment, Gym, Room Service, Spa, Swim Out/Plunge Pool Rooms, Tennis, Wifi (Free)</v>
      </c>
      <c r="AN32" s="139"/>
    </row>
    <row r="33">
      <c r="A33" s="118" t="s">
        <v>232</v>
      </c>
      <c r="B33" s="119">
        <v>95.7</v>
      </c>
      <c r="C33" s="134" t="s">
        <v>75</v>
      </c>
      <c r="D33" s="121">
        <v>21869.4</v>
      </c>
      <c r="E33" s="135">
        <f>IFERROR(__xludf.DUMMYFUNCTION("""COMPUTED_VALUE"""),30202.73268306)</f>
        <v>30202.73268</v>
      </c>
      <c r="F33" s="136">
        <v>0.72</v>
      </c>
      <c r="G33" s="124">
        <v>809.0</v>
      </c>
      <c r="H33" s="125">
        <v>691.0</v>
      </c>
      <c r="I33" s="125">
        <v>75.0</v>
      </c>
      <c r="J33" s="125">
        <v>25.0</v>
      </c>
      <c r="K33" s="125">
        <v>12.0</v>
      </c>
      <c r="L33" s="125">
        <v>6.0</v>
      </c>
      <c r="M33" s="126">
        <v>95.0</v>
      </c>
      <c r="N33" s="127">
        <v>94.0</v>
      </c>
      <c r="O33" s="146"/>
      <c r="P33" s="138">
        <v>98.0</v>
      </c>
      <c r="Q33" s="135" t="b">
        <v>1</v>
      </c>
      <c r="R33" s="133"/>
      <c r="S33" s="133">
        <v>9.0</v>
      </c>
      <c r="T33" s="133"/>
      <c r="U33" s="133">
        <v>4.0</v>
      </c>
      <c r="V33" s="130"/>
      <c r="W33" s="130" t="s">
        <v>113</v>
      </c>
      <c r="X33" s="130" t="s">
        <v>233</v>
      </c>
      <c r="Y33" s="130" t="s">
        <v>114</v>
      </c>
      <c r="Z33" s="131" t="b">
        <v>1</v>
      </c>
      <c r="AA33" s="131">
        <v>0.02638888888888889</v>
      </c>
      <c r="AB33" s="130"/>
      <c r="AC33" s="130" t="s">
        <v>72</v>
      </c>
      <c r="AD33" s="130" t="s">
        <v>234</v>
      </c>
      <c r="AE33" s="130"/>
      <c r="AF33" s="132" t="s">
        <v>81</v>
      </c>
      <c r="AG33" s="133" t="b">
        <v>0</v>
      </c>
      <c r="AH33" s="133">
        <v>72.0</v>
      </c>
      <c r="AI33" s="133">
        <v>1962.0</v>
      </c>
      <c r="AJ33" s="133">
        <v>2023.0</v>
      </c>
      <c r="AK33" s="133">
        <v>3.0</v>
      </c>
      <c r="AL33" s="129" t="str">
        <f>IFERROR(__xludf.DUMMYFUNCTION("""COMPUTED_VALUE"""),"Great View, Romantic")</f>
        <v>Great View, Romantic</v>
      </c>
      <c r="AM33" s="129" t="str">
        <f>IFERROR(__xludf.DUMMYFUNCTION("""COMPUTED_VALUE"""),"2 Bedroom Suites, Babysitting, Beach, Diving, Evening Entertainment, Family Suite, Gym, Kids Club, Snorkelling, Swim Out/Plunge Pool Rooms, Tennis, Wifi (Free)")</f>
        <v>2 Bedroom Suites, Babysitting, Beach, Diving, Evening Entertainment, Family Suite, Gym, Kids Club, Snorkelling, Swim Out/Plunge Pool Rooms, Tennis, Wifi (Free)</v>
      </c>
      <c r="AN33" s="139"/>
    </row>
    <row r="34">
      <c r="A34" s="118" t="s">
        <v>235</v>
      </c>
      <c r="B34" s="119">
        <v>95.5</v>
      </c>
      <c r="C34" s="120" t="s">
        <v>68</v>
      </c>
      <c r="D34" s="121">
        <v>5145.0</v>
      </c>
      <c r="E34" s="122">
        <f>IFERROR(__xludf.DUMMYFUNCTION("""COMPUTED_VALUE"""),7105.501735499999)</f>
        <v>7105.501736</v>
      </c>
      <c r="F34" s="136">
        <v>3.01</v>
      </c>
      <c r="G34" s="124">
        <v>2307.0</v>
      </c>
      <c r="H34" s="125">
        <v>2019.0</v>
      </c>
      <c r="I34" s="125">
        <v>170.0</v>
      </c>
      <c r="J34" s="125">
        <v>63.0</v>
      </c>
      <c r="K34" s="125">
        <v>31.0</v>
      </c>
      <c r="L34" s="125">
        <v>24.0</v>
      </c>
      <c r="M34" s="126">
        <v>96.0</v>
      </c>
      <c r="N34" s="127">
        <v>96.0</v>
      </c>
      <c r="O34" s="138">
        <v>94.0</v>
      </c>
      <c r="P34" s="127">
        <v>96.0</v>
      </c>
      <c r="Q34" s="126" t="b">
        <v>1</v>
      </c>
      <c r="R34" s="133">
        <v>4.0</v>
      </c>
      <c r="S34" s="133">
        <v>8.0</v>
      </c>
      <c r="T34" s="133"/>
      <c r="U34" s="133">
        <v>4.0</v>
      </c>
      <c r="V34" s="129"/>
      <c r="W34" s="130" t="s">
        <v>84</v>
      </c>
      <c r="X34" s="130" t="s">
        <v>119</v>
      </c>
      <c r="Y34" s="130" t="s">
        <v>120</v>
      </c>
      <c r="Z34" s="131" t="b">
        <v>1</v>
      </c>
      <c r="AA34" s="131">
        <v>0.004166666666666667</v>
      </c>
      <c r="AB34" s="130" t="s">
        <v>124</v>
      </c>
      <c r="AC34" s="130" t="s">
        <v>236</v>
      </c>
      <c r="AD34" s="130" t="s">
        <v>237</v>
      </c>
      <c r="AE34" s="129"/>
      <c r="AF34" s="132"/>
      <c r="AG34" s="133" t="b">
        <v>0</v>
      </c>
      <c r="AH34" s="133">
        <v>80.0</v>
      </c>
      <c r="AI34" s="143"/>
      <c r="AJ34" s="133">
        <v>2015.0</v>
      </c>
      <c r="AK34" s="133">
        <v>4.0</v>
      </c>
      <c r="AL34" s="129" t="str">
        <f>IFERROR(__xludf.DUMMYFUNCTION("""COMPUTED_VALUE"""),"Charming, Romantic")</f>
        <v>Charming, Romantic</v>
      </c>
      <c r="AM34" s="129" t="str">
        <f>IFERROR(__xludf.DUMMYFUNCTION("""COMPUTED_VALUE"""),"Beach, Evening Entertainment, Golf Course, Gym, Heated Pool, Room Service, Spa, Swim Out/Plunge Pool Rooms, Swim Up Bar, Wifi (Free)")</f>
        <v>Beach, Evening Entertainment, Golf Course, Gym, Heated Pool, Room Service, Spa, Swim Out/Plunge Pool Rooms, Swim Up Bar, Wifi (Free)</v>
      </c>
      <c r="AN34" s="128"/>
    </row>
    <row r="35">
      <c r="A35" s="118" t="s">
        <v>238</v>
      </c>
      <c r="B35" s="119">
        <v>95.5</v>
      </c>
      <c r="C35" s="120" t="s">
        <v>68</v>
      </c>
      <c r="D35" s="121">
        <v>22472.8</v>
      </c>
      <c r="E35" s="122">
        <f>IFERROR(__xludf.DUMMYFUNCTION("""COMPUTED_VALUE"""),31036.058192719996)</f>
        <v>31036.05819</v>
      </c>
      <c r="F35" s="136">
        <v>0.69</v>
      </c>
      <c r="G35" s="124">
        <v>1790.0</v>
      </c>
      <c r="H35" s="125">
        <v>1605.0</v>
      </c>
      <c r="I35" s="125">
        <v>117.0</v>
      </c>
      <c r="J35" s="125">
        <v>41.0</v>
      </c>
      <c r="K35" s="125">
        <v>16.0</v>
      </c>
      <c r="L35" s="125">
        <v>11.0</v>
      </c>
      <c r="M35" s="126">
        <v>97.0</v>
      </c>
      <c r="N35" s="127">
        <v>94.0</v>
      </c>
      <c r="O35" s="127"/>
      <c r="P35" s="127"/>
      <c r="Q35" s="126" t="b">
        <v>1</v>
      </c>
      <c r="R35" s="133"/>
      <c r="S35" s="133">
        <v>9.0</v>
      </c>
      <c r="T35" s="133"/>
      <c r="U35" s="133">
        <v>5.0</v>
      </c>
      <c r="V35" s="129"/>
      <c r="W35" s="130" t="s">
        <v>113</v>
      </c>
      <c r="X35" s="130" t="s">
        <v>233</v>
      </c>
      <c r="Y35" s="130" t="s">
        <v>114</v>
      </c>
      <c r="Z35" s="131" t="b">
        <v>1</v>
      </c>
      <c r="AA35" s="131">
        <v>0.020833333333333332</v>
      </c>
      <c r="AB35" s="129"/>
      <c r="AC35" s="130" t="s">
        <v>196</v>
      </c>
      <c r="AD35" s="130" t="s">
        <v>239</v>
      </c>
      <c r="AE35" s="129"/>
      <c r="AF35" s="132"/>
      <c r="AG35" s="133" t="b">
        <v>0</v>
      </c>
      <c r="AH35" s="133">
        <v>30.0</v>
      </c>
      <c r="AI35" s="133">
        <v>2006.0</v>
      </c>
      <c r="AJ35" s="133">
        <v>2013.0</v>
      </c>
      <c r="AK35" s="143"/>
      <c r="AL35" s="129" t="str">
        <f>IFERROR(__xludf.DUMMYFUNCTION("""COMPUTED_VALUE"""),"Ocean View, Romantic")</f>
        <v>Ocean View, Romantic</v>
      </c>
      <c r="AM35" s="129" t="str">
        <f>IFERROR(__xludf.DUMMYFUNCTION("""COMPUTED_VALUE"""),"Beach, Diving, Evening Entertainment, Fishing, Gym, Hiking, Horseback Riding, Room Service, Snorkelling, Spa, Swim Out/Plunge Pool Rooms, Wifi (Free), Windsurfing, Yoga Classes")</f>
        <v>Beach, Diving, Evening Entertainment, Fishing, Gym, Hiking, Horseback Riding, Room Service, Snorkelling, Spa, Swim Out/Plunge Pool Rooms, Wifi (Free), Windsurfing, Yoga Classes</v>
      </c>
      <c r="AN35" s="128"/>
    </row>
    <row r="36" hidden="1">
      <c r="A36" s="118" t="s">
        <v>240</v>
      </c>
      <c r="B36" s="119">
        <v>92.0</v>
      </c>
      <c r="C36" s="134" t="s">
        <v>75</v>
      </c>
      <c r="D36" s="142"/>
      <c r="E36" s="135"/>
      <c r="F36" s="136"/>
      <c r="G36" s="124"/>
      <c r="H36" s="133"/>
      <c r="I36" s="133"/>
      <c r="J36" s="133"/>
      <c r="K36" s="133"/>
      <c r="L36" s="133"/>
      <c r="M36" s="137"/>
      <c r="N36" s="138">
        <v>92.0</v>
      </c>
      <c r="O36" s="127"/>
      <c r="P36" s="127"/>
      <c r="Q36" s="135" t="b">
        <v>1</v>
      </c>
      <c r="R36" s="133"/>
      <c r="S36" s="133"/>
      <c r="T36" s="133"/>
      <c r="U36" s="133"/>
      <c r="V36" s="130" t="s">
        <v>118</v>
      </c>
      <c r="W36" s="130" t="s">
        <v>84</v>
      </c>
      <c r="X36" s="130" t="s">
        <v>86</v>
      </c>
      <c r="Y36" s="130" t="s">
        <v>86</v>
      </c>
      <c r="Z36" s="131" t="b">
        <v>1</v>
      </c>
      <c r="AA36" s="131">
        <v>0.022222222222222223</v>
      </c>
      <c r="AB36" s="130"/>
      <c r="AC36" s="130"/>
      <c r="AD36" s="130" t="s">
        <v>241</v>
      </c>
      <c r="AE36" s="129"/>
      <c r="AF36" s="132"/>
      <c r="AG36" s="133" t="b">
        <v>1</v>
      </c>
      <c r="AH36" s="133"/>
      <c r="AI36" s="133"/>
      <c r="AJ36" s="133"/>
      <c r="AK36" s="133"/>
      <c r="AL36" s="129"/>
      <c r="AM36" s="129" t="str">
        <f>IFERROR(__xludf.DUMMYFUNCTION("""COMPUTED_VALUE"""),"Beach")</f>
        <v>Beach</v>
      </c>
      <c r="AN36" s="139"/>
    </row>
    <row r="37">
      <c r="A37" s="118" t="s">
        <v>242</v>
      </c>
      <c r="B37" s="119">
        <v>95.3</v>
      </c>
      <c r="C37" s="120" t="s">
        <v>68</v>
      </c>
      <c r="D37" s="121">
        <v>4606.0</v>
      </c>
      <c r="E37" s="122">
        <f>IFERROR(__xludf.DUMMYFUNCTION("""COMPUTED_VALUE"""),6361.1158393999995)</f>
        <v>6361.115839</v>
      </c>
      <c r="F37" s="123">
        <v>3.32</v>
      </c>
      <c r="G37" s="124">
        <v>1440.0</v>
      </c>
      <c r="H37" s="125">
        <v>1127.0</v>
      </c>
      <c r="I37" s="125">
        <v>220.0</v>
      </c>
      <c r="J37" s="125">
        <v>53.0</v>
      </c>
      <c r="K37" s="125">
        <v>25.0</v>
      </c>
      <c r="L37" s="125">
        <v>16.0</v>
      </c>
      <c r="M37" s="126">
        <v>94.0</v>
      </c>
      <c r="N37" s="127">
        <v>96.0</v>
      </c>
      <c r="O37" s="127"/>
      <c r="P37" s="127">
        <v>96.0</v>
      </c>
      <c r="Q37" s="126" t="b">
        <v>1</v>
      </c>
      <c r="R37" s="133"/>
      <c r="S37" s="133">
        <v>4.0</v>
      </c>
      <c r="T37" s="133"/>
      <c r="U37" s="133">
        <v>3.0</v>
      </c>
      <c r="V37" s="129"/>
      <c r="W37" s="130" t="s">
        <v>113</v>
      </c>
      <c r="X37" s="130" t="s">
        <v>243</v>
      </c>
      <c r="Y37" s="130" t="s">
        <v>114</v>
      </c>
      <c r="Z37" s="131" t="b">
        <v>1</v>
      </c>
      <c r="AA37" s="131">
        <v>0.021527777777777778</v>
      </c>
      <c r="AB37" s="129"/>
      <c r="AC37" s="130" t="s">
        <v>244</v>
      </c>
      <c r="AD37" s="130" t="s">
        <v>245</v>
      </c>
      <c r="AE37" s="129"/>
      <c r="AF37" s="132"/>
      <c r="AG37" s="133" t="b">
        <v>0</v>
      </c>
      <c r="AH37" s="133">
        <v>24.0</v>
      </c>
      <c r="AI37" s="133">
        <v>2013.0</v>
      </c>
      <c r="AJ37" s="143"/>
      <c r="AK37" s="133">
        <v>2.0</v>
      </c>
      <c r="AL37" s="129" t="str">
        <f>IFERROR(__xludf.DUMMYFUNCTION("""COMPUTED_VALUE"""),"Quaint")</f>
        <v>Quaint</v>
      </c>
      <c r="AM37" s="129" t="str">
        <f>IFERROR(__xludf.DUMMYFUNCTION("""COMPUTED_VALUE"""),"Beach, Evening Entertainment, Room Service, Snorkelling, Swim Out/Plunge Pool Rooms, Wifi (Free), Yoga Classes")</f>
        <v>Beach, Evening Entertainment, Room Service, Snorkelling, Swim Out/Plunge Pool Rooms, Wifi (Free), Yoga Classes</v>
      </c>
      <c r="AN37" s="128"/>
    </row>
    <row r="38">
      <c r="A38" s="118" t="s">
        <v>246</v>
      </c>
      <c r="B38" s="119">
        <v>95.3</v>
      </c>
      <c r="C38" s="120" t="s">
        <v>68</v>
      </c>
      <c r="D38" s="121">
        <v>7280.0</v>
      </c>
      <c r="E38" s="122">
        <f>IFERROR(__xludf.DUMMYFUNCTION("""COMPUTED_VALUE"""),10054.043271999999)</f>
        <v>10054.04327</v>
      </c>
      <c r="F38" s="136">
        <v>2.1</v>
      </c>
      <c r="G38" s="124">
        <v>23081.0</v>
      </c>
      <c r="H38" s="125">
        <v>19391.0</v>
      </c>
      <c r="I38" s="125">
        <v>2558.0</v>
      </c>
      <c r="J38" s="125">
        <v>757.0</v>
      </c>
      <c r="K38" s="125">
        <v>232.0</v>
      </c>
      <c r="L38" s="125">
        <v>151.0</v>
      </c>
      <c r="M38" s="126">
        <v>95.0</v>
      </c>
      <c r="N38" s="127">
        <v>94.0</v>
      </c>
      <c r="O38" s="127">
        <v>96.0</v>
      </c>
      <c r="P38" s="127">
        <v>96.0</v>
      </c>
      <c r="Q38" s="126" t="b">
        <v>1</v>
      </c>
      <c r="R38" s="133">
        <v>5.0</v>
      </c>
      <c r="S38" s="133">
        <v>9.0</v>
      </c>
      <c r="T38" s="133" t="s">
        <v>247</v>
      </c>
      <c r="U38" s="133">
        <v>5.0</v>
      </c>
      <c r="V38" s="129"/>
      <c r="W38" s="130" t="s">
        <v>84</v>
      </c>
      <c r="X38" s="130" t="s">
        <v>248</v>
      </c>
      <c r="Y38" s="130" t="s">
        <v>86</v>
      </c>
      <c r="Z38" s="131" t="b">
        <v>1</v>
      </c>
      <c r="AA38" s="131">
        <v>0.025</v>
      </c>
      <c r="AB38" s="130" t="s">
        <v>50</v>
      </c>
      <c r="AC38" s="130" t="s">
        <v>249</v>
      </c>
      <c r="AD38" s="130" t="s">
        <v>250</v>
      </c>
      <c r="AE38" s="129"/>
      <c r="AF38" s="132"/>
      <c r="AG38" s="133" t="b">
        <v>0</v>
      </c>
      <c r="AH38" s="133">
        <v>412.0</v>
      </c>
      <c r="AI38" s="133">
        <v>2008.0</v>
      </c>
      <c r="AJ38" s="133">
        <v>2018.0</v>
      </c>
      <c r="AK38" s="133">
        <v>4.0</v>
      </c>
      <c r="AL38" s="129" t="str">
        <f>IFERROR(__xludf.DUMMYFUNCTION("""COMPUTED_VALUE"""),"Green, Romantic")</f>
        <v>Green, Romantic</v>
      </c>
      <c r="AM38" s="129" t="str">
        <f>IFERROR(__xludf.DUMMYFUNCTION("""COMPUTED_VALUE"""),"Beach, Buffet, Diving, Evening Entertainment, Great Food, Gym, Nightclub, Room Service, Snorkelling, Spa, Swim Out/Plunge Pool Rooms, Swim Up Bar, Tennis, Wifi (Free)")</f>
        <v>Beach, Buffet, Diving, Evening Entertainment, Great Food, Gym, Nightclub, Room Service, Snorkelling, Spa, Swim Out/Plunge Pool Rooms, Swim Up Bar, Tennis, Wifi (Free)</v>
      </c>
      <c r="AN38" s="128"/>
    </row>
    <row r="39">
      <c r="A39" s="118" t="s">
        <v>251</v>
      </c>
      <c r="B39" s="119">
        <v>95.3</v>
      </c>
      <c r="C39" s="134" t="s">
        <v>75</v>
      </c>
      <c r="D39" s="121">
        <v>8188.11</v>
      </c>
      <c r="E39" s="135">
        <f>IFERROR(__xludf.DUMMYFUNCTION("""COMPUTED_VALUE"""),11308.188496688997)</f>
        <v>11308.1885</v>
      </c>
      <c r="F39" s="136">
        <v>1.87</v>
      </c>
      <c r="G39" s="124">
        <v>6360.0</v>
      </c>
      <c r="H39" s="125">
        <v>5811.0</v>
      </c>
      <c r="I39" s="125">
        <v>352.0</v>
      </c>
      <c r="J39" s="125">
        <v>112.0</v>
      </c>
      <c r="K39" s="125">
        <v>53.0</v>
      </c>
      <c r="L39" s="125">
        <v>32.0</v>
      </c>
      <c r="M39" s="126">
        <v>97.0</v>
      </c>
      <c r="N39" s="127">
        <v>92.0</v>
      </c>
      <c r="O39" s="127">
        <v>96.0</v>
      </c>
      <c r="P39" s="127">
        <v>96.0</v>
      </c>
      <c r="Q39" s="135" t="b">
        <v>1</v>
      </c>
      <c r="R39" s="133">
        <v>4.0</v>
      </c>
      <c r="S39" s="143">
        <v>8.0</v>
      </c>
      <c r="T39" s="133" t="s">
        <v>192</v>
      </c>
      <c r="U39" s="133">
        <v>5.0</v>
      </c>
      <c r="V39" s="130"/>
      <c r="W39" s="130" t="s">
        <v>193</v>
      </c>
      <c r="X39" s="130" t="s">
        <v>194</v>
      </c>
      <c r="Y39" s="130" t="s">
        <v>195</v>
      </c>
      <c r="Z39" s="131" t="b">
        <v>1</v>
      </c>
      <c r="AA39" s="131">
        <v>0.011111111111111112</v>
      </c>
      <c r="AB39" s="130" t="s">
        <v>50</v>
      </c>
      <c r="AC39" s="130" t="s">
        <v>140</v>
      </c>
      <c r="AD39" s="130" t="s">
        <v>252</v>
      </c>
      <c r="AE39" s="130" t="s">
        <v>134</v>
      </c>
      <c r="AF39" s="132" t="s">
        <v>253</v>
      </c>
      <c r="AG39" s="143" t="b">
        <v>0</v>
      </c>
      <c r="AH39" s="143">
        <v>375.0</v>
      </c>
      <c r="AI39" s="143">
        <v>2019.0</v>
      </c>
      <c r="AJ39" s="143"/>
      <c r="AK39" s="143">
        <v>8.0</v>
      </c>
      <c r="AL39" s="129" t="str">
        <f>IFERROR(__xludf.DUMMYFUNCTION("""COMPUTED_VALUE"""),"Business, Romantic")</f>
        <v>Business, Romantic</v>
      </c>
      <c r="AM39" s="129" t="str">
        <f>IFERROR(__xludf.DUMMYFUNCTION("""COMPUTED_VALUE"""),"Adult Pool, Babysitting, Beach, Big Waterslides, Buffet, Evening Entertainment, Gym, Heated Pool, Horseback Riding, Kids Club, Kids Waterpark, Lazy River, Nightclub, Room Service, Snorkelling, Spa, Swim Out/Plunge Pool Rooms, Swim Up Bar, Teen Club, Water"&amp;"sports Equipment Rentals, Wifi (Free), Yoga Classes")</f>
        <v>Adult Pool, Babysitting, Beach, Big Waterslides, Buffet, Evening Entertainment, Gym, Heated Pool, Horseback Riding, Kids Club, Kids Waterpark, Lazy River, Nightclub, Room Service, Snorkelling, Spa, Swim Out/Plunge Pool Rooms, Swim Up Bar, Teen Club, Watersports Equipment Rentals, Wifi (Free), Yoga Classes</v>
      </c>
      <c r="AN39" s="139"/>
    </row>
    <row r="40">
      <c r="A40" s="118" t="s">
        <v>254</v>
      </c>
      <c r="B40" s="119">
        <v>95.0</v>
      </c>
      <c r="C40" s="120" t="s">
        <v>68</v>
      </c>
      <c r="D40" s="121">
        <v>7882.0</v>
      </c>
      <c r="E40" s="122">
        <f>IFERROR(__xludf.DUMMYFUNCTION("""COMPUTED_VALUE"""),10885.435311799998)</f>
        <v>10885.43531</v>
      </c>
      <c r="F40" s="136">
        <v>1.9</v>
      </c>
      <c r="G40" s="124">
        <v>9856.0</v>
      </c>
      <c r="H40" s="125">
        <v>8682.0</v>
      </c>
      <c r="I40" s="125">
        <v>749.0</v>
      </c>
      <c r="J40" s="125">
        <v>257.0</v>
      </c>
      <c r="K40" s="125">
        <v>80.0</v>
      </c>
      <c r="L40" s="125">
        <v>88.0</v>
      </c>
      <c r="M40" s="126">
        <v>96.0</v>
      </c>
      <c r="N40" s="127">
        <v>92.0</v>
      </c>
      <c r="O40" s="127">
        <v>98.0</v>
      </c>
      <c r="P40" s="127">
        <v>94.0</v>
      </c>
      <c r="Q40" s="126" t="b">
        <v>1</v>
      </c>
      <c r="R40" s="133">
        <v>5.0</v>
      </c>
      <c r="S40" s="133">
        <v>9.0</v>
      </c>
      <c r="T40" s="133"/>
      <c r="U40" s="133">
        <v>5.0</v>
      </c>
      <c r="V40" s="129"/>
      <c r="W40" s="130" t="s">
        <v>84</v>
      </c>
      <c r="X40" s="130" t="s">
        <v>86</v>
      </c>
      <c r="Y40" s="130" t="s">
        <v>86</v>
      </c>
      <c r="Z40" s="131" t="b">
        <v>1</v>
      </c>
      <c r="AA40" s="131">
        <v>0.017361111111111112</v>
      </c>
      <c r="AB40" s="130" t="s">
        <v>255</v>
      </c>
      <c r="AC40" s="130" t="s">
        <v>189</v>
      </c>
      <c r="AD40" s="130" t="s">
        <v>256</v>
      </c>
      <c r="AE40" s="129"/>
      <c r="AF40" s="132"/>
      <c r="AG40" s="133" t="b">
        <v>1</v>
      </c>
      <c r="AH40" s="133">
        <v>260.0</v>
      </c>
      <c r="AI40" s="133">
        <v>1987.0</v>
      </c>
      <c r="AJ40" s="133">
        <v>2019.0</v>
      </c>
      <c r="AK40" s="133">
        <v>9.0</v>
      </c>
      <c r="AL40" s="129" t="str">
        <f>IFERROR(__xludf.DUMMYFUNCTION("""COMPUTED_VALUE"""),"Luxury, Quiet")</f>
        <v>Luxury, Quiet</v>
      </c>
      <c r="AM40" s="129" t="str">
        <f>IFERROR(__xludf.DUMMYFUNCTION("""COMPUTED_VALUE"""),"Beach, Buffet, Diving, Evening Entertainment, Fishing, Great Food, Gym, Heated Pool, Nightclub, Room Service, Spa, Swim Up Bar, Wifi (Free)")</f>
        <v>Beach, Buffet, Diving, Evening Entertainment, Fishing, Great Food, Gym, Heated Pool, Nightclub, Room Service, Spa, Swim Up Bar, Wifi (Free)</v>
      </c>
      <c r="AN40" s="128"/>
    </row>
    <row r="41">
      <c r="A41" s="118" t="s">
        <v>257</v>
      </c>
      <c r="B41" s="119">
        <v>95.0</v>
      </c>
      <c r="C41" s="120" t="s">
        <v>68</v>
      </c>
      <c r="D41" s="121">
        <v>11725.0</v>
      </c>
      <c r="E41" s="122">
        <f>IFERROR(__xludf.DUMMYFUNCTION("""COMPUTED_VALUE"""),16192.810077499998)</f>
        <v>16192.81008</v>
      </c>
      <c r="F41" s="136">
        <v>1.28</v>
      </c>
      <c r="G41" s="124">
        <v>3373.0</v>
      </c>
      <c r="H41" s="125">
        <v>2648.0</v>
      </c>
      <c r="I41" s="125">
        <v>475.0</v>
      </c>
      <c r="J41" s="125">
        <v>117.0</v>
      </c>
      <c r="K41" s="125">
        <v>62.0</v>
      </c>
      <c r="L41" s="125">
        <v>71.0</v>
      </c>
      <c r="M41" s="126">
        <v>93.0</v>
      </c>
      <c r="N41" s="127">
        <v>94.0</v>
      </c>
      <c r="O41" s="127"/>
      <c r="P41" s="127">
        <v>98.0</v>
      </c>
      <c r="Q41" s="126" t="b">
        <v>1</v>
      </c>
      <c r="R41" s="128"/>
      <c r="S41" s="133">
        <v>9.0</v>
      </c>
      <c r="T41" s="128"/>
      <c r="U41" s="133">
        <v>4.0</v>
      </c>
      <c r="V41" s="129"/>
      <c r="W41" s="130" t="s">
        <v>96</v>
      </c>
      <c r="X41" s="130" t="s">
        <v>258</v>
      </c>
      <c r="Y41" s="130" t="s">
        <v>98</v>
      </c>
      <c r="Z41" s="131" t="b">
        <v>0</v>
      </c>
      <c r="AA41" s="131">
        <v>0.059722222222222225</v>
      </c>
      <c r="AB41" s="129"/>
      <c r="AC41" s="130" t="s">
        <v>115</v>
      </c>
      <c r="AD41" s="130" t="s">
        <v>259</v>
      </c>
      <c r="AE41" s="129"/>
      <c r="AF41" s="132"/>
      <c r="AG41" s="133" t="b">
        <v>0</v>
      </c>
      <c r="AH41" s="133">
        <v>155.0</v>
      </c>
      <c r="AI41" s="133">
        <v>1973.0</v>
      </c>
      <c r="AJ41" s="133">
        <v>2019.0</v>
      </c>
      <c r="AK41" s="133">
        <v>4.0</v>
      </c>
      <c r="AL41" s="129" t="str">
        <f>IFERROR(__xludf.DUMMYFUNCTION("""COMPUTED_VALUE"""),"Romantic")</f>
        <v>Romantic</v>
      </c>
      <c r="AM41" s="129" t="str">
        <f>IFERROR(__xludf.DUMMYFUNCTION("""COMPUTED_VALUE"""),"Archery, Beach, Bicycles Available, Buffet, Diving, Evening Entertainment, Golf Course, Gym, Hiking, Nightclub, Snorkelling, Spa, Tennis, Windsurfing, Yoga Classes")</f>
        <v>Archery, Beach, Bicycles Available, Buffet, Diving, Evening Entertainment, Golf Course, Gym, Hiking, Nightclub, Snorkelling, Spa, Tennis, Windsurfing, Yoga Classes</v>
      </c>
      <c r="AN41" s="128"/>
    </row>
    <row r="42">
      <c r="A42" s="118" t="s">
        <v>260</v>
      </c>
      <c r="B42" s="119">
        <v>94.8</v>
      </c>
      <c r="C42" s="120" t="s">
        <v>68</v>
      </c>
      <c r="D42" s="121">
        <v>7196.0</v>
      </c>
      <c r="E42" s="122">
        <f>IFERROR(__xludf.DUMMYFUNCTION("""COMPUTED_VALUE"""),9938.035080399999)</f>
        <v>9938.03508</v>
      </c>
      <c r="F42" s="136">
        <v>2.06</v>
      </c>
      <c r="G42" s="124">
        <v>5862.0</v>
      </c>
      <c r="H42" s="125">
        <v>5134.0</v>
      </c>
      <c r="I42" s="125">
        <v>391.0</v>
      </c>
      <c r="J42" s="125">
        <v>168.0</v>
      </c>
      <c r="K42" s="125">
        <v>68.0</v>
      </c>
      <c r="L42" s="125">
        <v>104.0</v>
      </c>
      <c r="M42" s="126">
        <v>95.0</v>
      </c>
      <c r="N42" s="127">
        <v>94.0</v>
      </c>
      <c r="O42" s="127">
        <v>96.0</v>
      </c>
      <c r="P42" s="138">
        <v>94.0</v>
      </c>
      <c r="Q42" s="126" t="b">
        <v>1</v>
      </c>
      <c r="R42" s="133"/>
      <c r="S42" s="133">
        <v>8.0</v>
      </c>
      <c r="T42" s="133"/>
      <c r="U42" s="133">
        <v>5.0</v>
      </c>
      <c r="V42" s="130" t="s">
        <v>144</v>
      </c>
      <c r="W42" s="130" t="s">
        <v>84</v>
      </c>
      <c r="X42" s="130" t="s">
        <v>149</v>
      </c>
      <c r="Y42" s="130" t="s">
        <v>86</v>
      </c>
      <c r="Z42" s="131" t="b">
        <v>1</v>
      </c>
      <c r="AA42" s="131">
        <v>0.014583333333333334</v>
      </c>
      <c r="AB42" s="130" t="s">
        <v>261</v>
      </c>
      <c r="AC42" s="130" t="s">
        <v>140</v>
      </c>
      <c r="AD42" s="130" t="s">
        <v>262</v>
      </c>
      <c r="AE42" s="129"/>
      <c r="AF42" s="132"/>
      <c r="AG42" s="133" t="b">
        <v>0</v>
      </c>
      <c r="AH42" s="133">
        <v>593.0</v>
      </c>
      <c r="AI42" s="133">
        <v>2018.0</v>
      </c>
      <c r="AJ42" s="133">
        <v>2022.0</v>
      </c>
      <c r="AK42" s="133">
        <v>5.0</v>
      </c>
      <c r="AL42" s="129" t="str">
        <f>IFERROR(__xludf.DUMMYFUNCTION("""COMPUTED_VALUE"""),"Business, Romantic")</f>
        <v>Business, Romantic</v>
      </c>
      <c r="AM42" s="129" t="str">
        <f>IFERROR(__xludf.DUMMYFUNCTION("""COMPUTED_VALUE"""),"Beach, Bicycles Available, Buffet, Evening Entertainment, Golf Course, Great Food, Gym, Heated Pool, Nightclub, Pets Allowed, Room Service, Snorkelling, Spa, Swim Out/Plunge Pool Rooms, Swim Up Bar, Watersports Equipment Rentals, Wifi (Free)")</f>
        <v>Beach, Bicycles Available, Buffet, Evening Entertainment, Golf Course, Great Food, Gym, Heated Pool, Nightclub, Pets Allowed, Room Service, Snorkelling, Spa, Swim Out/Plunge Pool Rooms, Swim Up Bar, Watersports Equipment Rentals, Wifi (Free)</v>
      </c>
      <c r="AN42" s="128"/>
    </row>
    <row r="43">
      <c r="A43" s="118" t="s">
        <v>263</v>
      </c>
      <c r="B43" s="119">
        <v>94.7</v>
      </c>
      <c r="C43" s="120" t="s">
        <v>68</v>
      </c>
      <c r="D43" s="121">
        <v>1650.59</v>
      </c>
      <c r="E43" s="135">
        <f>IFERROR(__xludf.DUMMYFUNCTION("""COMPUTED_VALUE"""),2279.5471544409997)</f>
        <v>2279.547154</v>
      </c>
      <c r="F43" s="136">
        <v>8.91</v>
      </c>
      <c r="G43" s="124">
        <v>29.0</v>
      </c>
      <c r="H43" s="125">
        <v>24.0</v>
      </c>
      <c r="I43" s="125">
        <v>2.0</v>
      </c>
      <c r="J43" s="125">
        <v>1.0</v>
      </c>
      <c r="K43" s="125">
        <v>1.0</v>
      </c>
      <c r="L43" s="125">
        <v>1.0</v>
      </c>
      <c r="M43" s="126">
        <v>92.0</v>
      </c>
      <c r="N43" s="138">
        <v>98.0</v>
      </c>
      <c r="O43" s="127"/>
      <c r="P43" s="127">
        <v>94.0</v>
      </c>
      <c r="Q43" s="122" t="b">
        <v>1</v>
      </c>
      <c r="R43" s="133"/>
      <c r="S43" s="143"/>
      <c r="T43" s="133"/>
      <c r="U43" s="133"/>
      <c r="V43" s="130" t="s">
        <v>264</v>
      </c>
      <c r="W43" s="130" t="s">
        <v>171</v>
      </c>
      <c r="X43" s="130" t="s">
        <v>265</v>
      </c>
      <c r="Y43" s="130" t="s">
        <v>266</v>
      </c>
      <c r="Z43" s="131" t="b">
        <v>0</v>
      </c>
      <c r="AA43" s="131">
        <v>6.944444444444445E-4</v>
      </c>
      <c r="AB43" s="130"/>
      <c r="AC43" s="130" t="s">
        <v>267</v>
      </c>
      <c r="AD43" s="130" t="s">
        <v>268</v>
      </c>
      <c r="AE43" s="130"/>
      <c r="AF43" s="132"/>
      <c r="AG43" s="143" t="b">
        <v>0</v>
      </c>
      <c r="AH43" s="143"/>
      <c r="AI43" s="143"/>
      <c r="AJ43" s="143"/>
      <c r="AK43" s="143"/>
      <c r="AL43" s="129" t="str">
        <f>IFERROR(__xludf.DUMMYFUNCTION("""COMPUTED_VALUE"""),"City View")</f>
        <v>City View</v>
      </c>
      <c r="AM43" s="129" t="str">
        <f>IFERROR(__xludf.DUMMYFUNCTION("""COMPUTED_VALUE"""),"Beach, Fishing, Hiking, Room Service, Wifi (Free)")</f>
        <v>Beach, Fishing, Hiking, Room Service, Wifi (Free)</v>
      </c>
      <c r="AN43" s="128"/>
    </row>
    <row r="44">
      <c r="A44" s="140" t="s">
        <v>269</v>
      </c>
      <c r="B44" s="119">
        <v>94.7</v>
      </c>
      <c r="C44" s="141" t="s">
        <v>68</v>
      </c>
      <c r="D44" s="142">
        <v>7672.0</v>
      </c>
      <c r="E44" s="122">
        <f>IFERROR(__xludf.DUMMYFUNCTION("""COMPUTED_VALUE"""),10595.4148328)</f>
        <v>10595.41483</v>
      </c>
      <c r="F44" s="123">
        <v>1.92</v>
      </c>
      <c r="G44" s="124">
        <v>4443.0</v>
      </c>
      <c r="H44" s="125">
        <v>3532.0</v>
      </c>
      <c r="I44" s="125">
        <v>683.0</v>
      </c>
      <c r="J44" s="125">
        <v>162.0</v>
      </c>
      <c r="K44" s="125">
        <v>43.0</v>
      </c>
      <c r="L44" s="125">
        <v>28.0</v>
      </c>
      <c r="M44" s="126">
        <v>94.0</v>
      </c>
      <c r="N44" s="127">
        <v>94.0</v>
      </c>
      <c r="O44" s="127"/>
      <c r="P44" s="127">
        <v>96.0</v>
      </c>
      <c r="Q44" s="126" t="b">
        <v>1</v>
      </c>
      <c r="R44" s="128"/>
      <c r="S44" s="128">
        <v>6.0</v>
      </c>
      <c r="T44" s="128"/>
      <c r="U44" s="128">
        <v>4.0</v>
      </c>
      <c r="V44" s="129"/>
      <c r="W44" s="144" t="s">
        <v>270</v>
      </c>
      <c r="X44" s="144" t="s">
        <v>271</v>
      </c>
      <c r="Y44" s="144" t="s">
        <v>272</v>
      </c>
      <c r="Z44" s="145" t="b">
        <v>1</v>
      </c>
      <c r="AA44" s="145">
        <v>0.011805555555555555</v>
      </c>
      <c r="AB44" s="129"/>
      <c r="AC44" s="144" t="s">
        <v>273</v>
      </c>
      <c r="AD44" s="130" t="s">
        <v>274</v>
      </c>
      <c r="AE44" s="130"/>
      <c r="AF44" s="132"/>
      <c r="AG44" s="143" t="b">
        <v>0</v>
      </c>
      <c r="AH44" s="143">
        <v>72.0</v>
      </c>
      <c r="AI44" s="143">
        <v>1966.0</v>
      </c>
      <c r="AJ44" s="143">
        <v>2006.0</v>
      </c>
      <c r="AK44" s="143">
        <v>2.0</v>
      </c>
      <c r="AL44" s="129" t="str">
        <f>IFERROR(__xludf.DUMMYFUNCTION("""COMPUTED_VALUE"""),"Bay View, Great View")</f>
        <v>Bay View, Great View</v>
      </c>
      <c r="AM44" s="129" t="str">
        <f>IFERROR(__xludf.DUMMYFUNCTION("""COMPUTED_VALUE"""),"Beach, Diving, Evening Entertainment, Gym, Room Service, Snorkelling, Spa, Wifi (Free), Yoga Classes")</f>
        <v>Beach, Diving, Evening Entertainment, Gym, Room Service, Snorkelling, Spa, Wifi (Free), Yoga Classes</v>
      </c>
      <c r="AN44" s="128"/>
    </row>
    <row r="45">
      <c r="A45" s="118" t="s">
        <v>275</v>
      </c>
      <c r="B45" s="149">
        <v>94.5</v>
      </c>
      <c r="C45" s="120" t="s">
        <v>68</v>
      </c>
      <c r="D45" s="121">
        <v>1783.12</v>
      </c>
      <c r="E45" s="122">
        <f>IFERROR(__xludf.DUMMYFUNCTION("""COMPUTED_VALUE"""),2462.5776976879997)</f>
        <v>2462.577698</v>
      </c>
      <c r="F45" s="136">
        <v>8.13</v>
      </c>
      <c r="G45" s="124">
        <v>446.0</v>
      </c>
      <c r="H45" s="125">
        <v>366.0</v>
      </c>
      <c r="I45" s="125">
        <v>43.0</v>
      </c>
      <c r="J45" s="125">
        <v>12.0</v>
      </c>
      <c r="K45" s="125">
        <v>10.0</v>
      </c>
      <c r="L45" s="125">
        <v>15.0</v>
      </c>
      <c r="M45" s="126">
        <v>93.0</v>
      </c>
      <c r="N45" s="127">
        <v>96.0</v>
      </c>
      <c r="O45" s="127"/>
      <c r="P45" s="127"/>
      <c r="Q45" s="122" t="b">
        <v>1</v>
      </c>
      <c r="R45" s="128"/>
      <c r="S45" s="128"/>
      <c r="T45" s="128"/>
      <c r="U45" s="133">
        <v>5.0</v>
      </c>
      <c r="V45" s="129"/>
      <c r="W45" s="130" t="s">
        <v>276</v>
      </c>
      <c r="X45" s="130" t="s">
        <v>277</v>
      </c>
      <c r="Y45" s="130" t="s">
        <v>278</v>
      </c>
      <c r="Z45" s="131" t="b">
        <v>1</v>
      </c>
      <c r="AA45" s="131">
        <v>0.06458333333333334</v>
      </c>
      <c r="AB45" s="130" t="s">
        <v>215</v>
      </c>
      <c r="AC45" s="129"/>
      <c r="AD45" s="147" t="s">
        <v>279</v>
      </c>
      <c r="AE45" s="129"/>
      <c r="AF45" s="132"/>
      <c r="AG45" s="128" t="b">
        <v>0</v>
      </c>
      <c r="AH45" s="128"/>
      <c r="AI45" s="128"/>
      <c r="AJ45" s="128"/>
      <c r="AK45" s="128"/>
      <c r="AL45" s="129"/>
      <c r="AM45" s="129" t="str">
        <f>IFERROR(__xludf.DUMMYFUNCTION("""COMPUTED_VALUE"""),"Archery, Beach, Buffet, Diving, Evening Entertainment, Gym, Room Service, Snorkelling, Spa, Swim Up Bar, Tennis, Watersports Equipment Rentals, Wifi (Paid), Yoga Classes")</f>
        <v>Archery, Beach, Buffet, Diving, Evening Entertainment, Gym, Room Service, Snorkelling, Spa, Swim Up Bar, Tennis, Watersports Equipment Rentals, Wifi (Paid), Yoga Classes</v>
      </c>
      <c r="AN45" s="128"/>
    </row>
    <row r="46">
      <c r="A46" s="118" t="s">
        <v>280</v>
      </c>
      <c r="B46" s="119">
        <v>94.5</v>
      </c>
      <c r="C46" s="120" t="s">
        <v>68</v>
      </c>
      <c r="D46" s="121">
        <v>9336.6</v>
      </c>
      <c r="E46" s="122">
        <f>IFERROR(__xludf.DUMMYFUNCTION("""COMPUTED_VALUE"""),12894.310496339998)</f>
        <v>12894.3105</v>
      </c>
      <c r="F46" s="136">
        <v>1.55</v>
      </c>
      <c r="G46" s="124">
        <v>4638.0</v>
      </c>
      <c r="H46" s="125">
        <v>3712.0</v>
      </c>
      <c r="I46" s="125">
        <v>655.0</v>
      </c>
      <c r="J46" s="125">
        <v>184.0</v>
      </c>
      <c r="K46" s="125">
        <v>51.0</v>
      </c>
      <c r="L46" s="125">
        <v>36.0</v>
      </c>
      <c r="M46" s="126">
        <v>94.0</v>
      </c>
      <c r="N46" s="127">
        <v>94.0</v>
      </c>
      <c r="O46" s="127">
        <v>96.0</v>
      </c>
      <c r="P46" s="127">
        <v>94.0</v>
      </c>
      <c r="Q46" s="126" t="b">
        <v>1</v>
      </c>
      <c r="R46" s="133">
        <v>3.0</v>
      </c>
      <c r="S46" s="133">
        <v>7.0</v>
      </c>
      <c r="T46" s="133"/>
      <c r="U46" s="133">
        <v>5.0</v>
      </c>
      <c r="V46" s="129"/>
      <c r="W46" s="130" t="s">
        <v>113</v>
      </c>
      <c r="X46" s="130" t="s">
        <v>281</v>
      </c>
      <c r="Y46" s="130" t="s">
        <v>114</v>
      </c>
      <c r="Z46" s="131" t="b">
        <v>1</v>
      </c>
      <c r="AA46" s="131">
        <v>0.016666666666666666</v>
      </c>
      <c r="AB46" s="129"/>
      <c r="AC46" s="130" t="s">
        <v>273</v>
      </c>
      <c r="AD46" s="130" t="s">
        <v>282</v>
      </c>
      <c r="AE46" s="129"/>
      <c r="AF46" s="132"/>
      <c r="AG46" s="133" t="b">
        <v>0</v>
      </c>
      <c r="AH46" s="133">
        <v>298.0</v>
      </c>
      <c r="AI46" s="133">
        <v>1962.0</v>
      </c>
      <c r="AJ46" s="133">
        <v>2023.0</v>
      </c>
      <c r="AK46" s="133">
        <v>2.0</v>
      </c>
      <c r="AL46" s="129" t="str">
        <f>IFERROR(__xludf.DUMMYFUNCTION("""COMPUTED_VALUE"""),"Bay View, Great View")</f>
        <v>Bay View, Great View</v>
      </c>
      <c r="AM46" s="129" t="str">
        <f>IFERROR(__xludf.DUMMYFUNCTION("""COMPUTED_VALUE"""),"Beach, Bicycles Available, Buffet, Fishing, Gym, Snorkelling, Spa, Tennis, Wifi (Paid), Yoga Classes")</f>
        <v>Beach, Bicycles Available, Buffet, Fishing, Gym, Snorkelling, Spa, Tennis, Wifi (Paid), Yoga Classes</v>
      </c>
      <c r="AN46" s="128"/>
    </row>
    <row r="47">
      <c r="A47" s="140" t="s">
        <v>283</v>
      </c>
      <c r="B47" s="119">
        <v>94.5</v>
      </c>
      <c r="C47" s="133" t="s">
        <v>75</v>
      </c>
      <c r="D47" s="142">
        <v>27685.0</v>
      </c>
      <c r="E47" s="122">
        <f>IFERROR(__xludf.DUMMYFUNCTION("""COMPUTED_VALUE"""),38234.366481499994)</f>
        <v>38234.36648</v>
      </c>
      <c r="F47" s="136">
        <v>0.52</v>
      </c>
      <c r="G47" s="124">
        <v>2884.0</v>
      </c>
      <c r="H47" s="125">
        <v>2213.0</v>
      </c>
      <c r="I47" s="125">
        <v>386.0</v>
      </c>
      <c r="J47" s="125">
        <v>164.0</v>
      </c>
      <c r="K47" s="125">
        <v>70.0</v>
      </c>
      <c r="L47" s="125">
        <v>51.0</v>
      </c>
      <c r="M47" s="126">
        <v>92.0</v>
      </c>
      <c r="N47" s="127">
        <v>92.0</v>
      </c>
      <c r="O47" s="127">
        <v>98.0</v>
      </c>
      <c r="P47" s="127">
        <v>96.0</v>
      </c>
      <c r="Q47" s="122" t="b">
        <v>1</v>
      </c>
      <c r="R47" s="133">
        <v>4.0</v>
      </c>
      <c r="S47" s="128">
        <v>9.0</v>
      </c>
      <c r="T47" s="128"/>
      <c r="U47" s="128">
        <v>5.0</v>
      </c>
      <c r="V47" s="129"/>
      <c r="W47" s="144" t="s">
        <v>96</v>
      </c>
      <c r="X47" s="144" t="s">
        <v>185</v>
      </c>
      <c r="Y47" s="129" t="s">
        <v>98</v>
      </c>
      <c r="Z47" s="133" t="b">
        <v>0</v>
      </c>
      <c r="AA47" s="145">
        <v>0.03819444444444445</v>
      </c>
      <c r="AB47" s="130" t="s">
        <v>284</v>
      </c>
      <c r="AC47" s="130" t="s">
        <v>285</v>
      </c>
      <c r="AD47" s="130" t="s">
        <v>286</v>
      </c>
      <c r="AE47" s="129"/>
      <c r="AF47" s="132" t="s">
        <v>181</v>
      </c>
      <c r="AG47" s="143" t="b">
        <v>0</v>
      </c>
      <c r="AH47" s="143">
        <v>130.0</v>
      </c>
      <c r="AI47" s="143">
        <v>1989.0</v>
      </c>
      <c r="AJ47" s="143">
        <v>2021.0</v>
      </c>
      <c r="AK47" s="143">
        <v>1.0</v>
      </c>
      <c r="AL47" s="129" t="str">
        <f>IFERROR(__xludf.DUMMYFUNCTION("""COMPUTED_VALUE"""),"Family, Ocean View")</f>
        <v>Family, Ocean View</v>
      </c>
      <c r="AM47" s="129" t="str">
        <f>IFERROR(__xludf.DUMMYFUNCTION("""COMPUTED_VALUE"""),"2 Bedroom Suites, Babysitting, Beach, Buffet, Diving, Evening Entertainment, Family Suite, Fishing, Gym, Heated Pool, Hiking, Kids Club, Snorkelling, Spa, Swim Out/Plunge Pool Rooms, Tennis, Wifi (Free), Yoga Classes")</f>
        <v>2 Bedroom Suites, Babysitting, Beach, Buffet, Diving, Evening Entertainment, Family Suite, Fishing, Gym, Heated Pool, Hiking, Kids Club, Snorkelling, Spa, Swim Out/Plunge Pool Rooms, Tennis, Wifi (Free), Yoga Classes</v>
      </c>
      <c r="AN47" s="139"/>
    </row>
    <row r="48">
      <c r="A48" s="118" t="s">
        <v>287</v>
      </c>
      <c r="B48" s="119">
        <v>94.3</v>
      </c>
      <c r="C48" s="120" t="s">
        <v>68</v>
      </c>
      <c r="D48" s="121">
        <v>4013.39</v>
      </c>
      <c r="E48" s="122">
        <f>IFERROR(__xludf.DUMMYFUNCTION("""COMPUTED_VALUE"""),5542.691858160999)</f>
        <v>5542.691858</v>
      </c>
      <c r="F48" s="123">
        <v>3.56</v>
      </c>
      <c r="G48" s="124">
        <v>19043.0</v>
      </c>
      <c r="H48" s="125">
        <v>14556.0</v>
      </c>
      <c r="I48" s="125">
        <v>3013.0</v>
      </c>
      <c r="J48" s="125">
        <v>901.0</v>
      </c>
      <c r="K48" s="125">
        <v>318.0</v>
      </c>
      <c r="L48" s="125">
        <v>255.0</v>
      </c>
      <c r="M48" s="126">
        <v>93.0</v>
      </c>
      <c r="N48" s="127">
        <v>96.0</v>
      </c>
      <c r="O48" s="127"/>
      <c r="P48" s="127">
        <v>94.0</v>
      </c>
      <c r="Q48" s="126" t="b">
        <v>1</v>
      </c>
      <c r="R48" s="133"/>
      <c r="S48" s="133">
        <v>8.0</v>
      </c>
      <c r="T48" s="133"/>
      <c r="U48" s="133">
        <v>5.0</v>
      </c>
      <c r="V48" s="130"/>
      <c r="W48" s="130" t="s">
        <v>84</v>
      </c>
      <c r="X48" s="130" t="s">
        <v>288</v>
      </c>
      <c r="Y48" s="130" t="s">
        <v>86</v>
      </c>
      <c r="Z48" s="131" t="b">
        <v>1</v>
      </c>
      <c r="AA48" s="131">
        <v>0.022916666666666665</v>
      </c>
      <c r="AB48" s="129"/>
      <c r="AC48" s="130"/>
      <c r="AD48" s="130" t="s">
        <v>289</v>
      </c>
      <c r="AE48" s="130"/>
      <c r="AF48" s="132"/>
      <c r="AG48" s="133" t="b">
        <v>0</v>
      </c>
      <c r="AH48" s="133">
        <v>540.0</v>
      </c>
      <c r="AI48" s="133">
        <v>2007.0</v>
      </c>
      <c r="AJ48" s="143"/>
      <c r="AK48" s="133">
        <v>3.0</v>
      </c>
      <c r="AL48" s="129"/>
      <c r="AM48" s="129" t="str">
        <f>IFERROR(__xludf.DUMMYFUNCTION("""COMPUTED_VALUE"""),"Archery, Beach, Bicycles Available, Buffet, Diving, Evening Entertainment, Great Food, Gym, Nightclub, Room Service, Spa, Swim Out/Plunge Pool Rooms, Swim Up Bar, Tennis, Yoga Classes")</f>
        <v>Archery, Beach, Bicycles Available, Buffet, Diving, Evening Entertainment, Great Food, Gym, Nightclub, Room Service, Spa, Swim Out/Plunge Pool Rooms, Swim Up Bar, Tennis, Yoga Classes</v>
      </c>
      <c r="AN48" s="128"/>
    </row>
    <row r="49">
      <c r="A49" s="140" t="s">
        <v>290</v>
      </c>
      <c r="B49" s="119">
        <v>94.3</v>
      </c>
      <c r="C49" s="141" t="s">
        <v>68</v>
      </c>
      <c r="D49" s="142">
        <v>4527.6</v>
      </c>
      <c r="E49" s="122">
        <f>IFERROR(__xludf.DUMMYFUNCTION("""COMPUTED_VALUE"""),6252.84152724)</f>
        <v>6252.841527</v>
      </c>
      <c r="F49" s="136">
        <v>3.16</v>
      </c>
      <c r="G49" s="124">
        <v>9851.0</v>
      </c>
      <c r="H49" s="125">
        <v>7530.0</v>
      </c>
      <c r="I49" s="125">
        <v>1493.0</v>
      </c>
      <c r="J49" s="125">
        <v>482.0</v>
      </c>
      <c r="K49" s="125">
        <v>198.0</v>
      </c>
      <c r="L49" s="125">
        <v>149.0</v>
      </c>
      <c r="M49" s="126">
        <v>93.0</v>
      </c>
      <c r="N49" s="138">
        <v>98.0</v>
      </c>
      <c r="O49" s="138">
        <v>94.0</v>
      </c>
      <c r="P49" s="127">
        <v>92.0</v>
      </c>
      <c r="Q49" s="126" t="b">
        <v>1</v>
      </c>
      <c r="R49" s="128"/>
      <c r="S49" s="128">
        <v>9.0</v>
      </c>
      <c r="T49" s="128"/>
      <c r="U49" s="128">
        <v>5.0</v>
      </c>
      <c r="V49" s="129"/>
      <c r="W49" s="144" t="s">
        <v>219</v>
      </c>
      <c r="X49" s="144" t="s">
        <v>291</v>
      </c>
      <c r="Y49" s="144" t="s">
        <v>221</v>
      </c>
      <c r="Z49" s="145" t="b">
        <v>1</v>
      </c>
      <c r="AA49" s="145">
        <v>0.013888888888888888</v>
      </c>
      <c r="AB49" s="130" t="s">
        <v>215</v>
      </c>
      <c r="AC49" s="144" t="s">
        <v>292</v>
      </c>
      <c r="AD49" s="130" t="s">
        <v>293</v>
      </c>
      <c r="AE49" s="129"/>
      <c r="AF49" s="132"/>
      <c r="AG49" s="143" t="b">
        <v>0</v>
      </c>
      <c r="AH49" s="143">
        <v>295.0</v>
      </c>
      <c r="AI49" s="133">
        <v>2009.0</v>
      </c>
      <c r="AJ49" s="143"/>
      <c r="AK49" s="143"/>
      <c r="AL49" s="129" t="str">
        <f>IFERROR(__xludf.DUMMYFUNCTION("""COMPUTED_VALUE"""),"Charming, Modern")</f>
        <v>Charming, Modern</v>
      </c>
      <c r="AM49" s="129" t="str">
        <f>IFERROR(__xludf.DUMMYFUNCTION("""COMPUTED_VALUE"""),"Beach, Buffet, Casino, Diving, Evening Entertainment, Fishing, Gym, Nightclub, Room Service, Spa, Swim Out/Plunge Pool Rooms, Swim Up Bar, Tennis")</f>
        <v>Beach, Buffet, Casino, Diving, Evening Entertainment, Fishing, Gym, Nightclub, Room Service, Spa, Swim Out/Plunge Pool Rooms, Swim Up Bar, Tennis</v>
      </c>
      <c r="AN49" s="128"/>
    </row>
    <row r="50">
      <c r="A50" s="118" t="s">
        <v>294</v>
      </c>
      <c r="B50" s="119">
        <v>94.3</v>
      </c>
      <c r="C50" s="134" t="s">
        <v>75</v>
      </c>
      <c r="D50" s="121">
        <v>4748.83</v>
      </c>
      <c r="E50" s="135">
        <f>IFERROR(__xludf.DUMMYFUNCTION("""COMPUTED_VALUE"""),6558.371196616999)</f>
        <v>6558.371197</v>
      </c>
      <c r="F50" s="136">
        <v>3.01</v>
      </c>
      <c r="G50" s="124">
        <v>2240.0</v>
      </c>
      <c r="H50" s="125">
        <v>1940.0</v>
      </c>
      <c r="I50" s="125">
        <v>176.0</v>
      </c>
      <c r="J50" s="125">
        <v>70.0</v>
      </c>
      <c r="K50" s="125">
        <v>26.0</v>
      </c>
      <c r="L50" s="125">
        <v>29.0</v>
      </c>
      <c r="M50" s="126">
        <v>95.0</v>
      </c>
      <c r="N50" s="138">
        <v>94.0</v>
      </c>
      <c r="O50" s="146"/>
      <c r="P50" s="127">
        <v>94.0</v>
      </c>
      <c r="Q50" s="135" t="b">
        <v>1</v>
      </c>
      <c r="R50" s="133"/>
      <c r="S50" s="133">
        <v>9.0</v>
      </c>
      <c r="T50" s="133"/>
      <c r="U50" s="133">
        <v>5.0</v>
      </c>
      <c r="V50" s="130"/>
      <c r="W50" s="130" t="s">
        <v>84</v>
      </c>
      <c r="X50" s="130" t="s">
        <v>210</v>
      </c>
      <c r="Y50" s="130" t="s">
        <v>86</v>
      </c>
      <c r="Z50" s="131" t="b">
        <v>1</v>
      </c>
      <c r="AA50" s="131">
        <v>0.019444444444444445</v>
      </c>
      <c r="AB50" s="130"/>
      <c r="AC50" s="130" t="s">
        <v>295</v>
      </c>
      <c r="AD50" s="130" t="s">
        <v>296</v>
      </c>
      <c r="AE50" s="130" t="s">
        <v>94</v>
      </c>
      <c r="AF50" s="132" t="s">
        <v>297</v>
      </c>
      <c r="AG50" s="133" t="b">
        <v>0</v>
      </c>
      <c r="AH50" s="133">
        <v>144.0</v>
      </c>
      <c r="AI50" s="133">
        <v>2013.0</v>
      </c>
      <c r="AJ50" s="143"/>
      <c r="AK50" s="133">
        <v>5.0</v>
      </c>
      <c r="AL50" s="129" t="str">
        <f>IFERROR(__xludf.DUMMYFUNCTION("""COMPUTED_VALUE"""),"Great View, Hidden Gem")</f>
        <v>Great View, Hidden Gem</v>
      </c>
      <c r="AM50" s="129" t="str">
        <f>IFERROR(__xludf.DUMMYFUNCTION("""COMPUTED_VALUE"""),"2 Bedroom Suites, Adult Pool, Babysitting, Beach, Bicycles Available, Buffet, Diving, Family Suite, Gym, Heated Pool, Kids Club, Room Service, Snorkelling, Swim Out/Plunge Pool Rooms, Swim Up Bar, Tennis, Wifi (Free)")</f>
        <v>2 Bedroom Suites, Adult Pool, Babysitting, Beach, Bicycles Available, Buffet, Diving, Family Suite, Gym, Heated Pool, Kids Club, Room Service, Snorkelling, Swim Out/Plunge Pool Rooms, Swim Up Bar, Tennis, Wifi (Free)</v>
      </c>
      <c r="AN50" s="139"/>
    </row>
    <row r="51">
      <c r="A51" s="118" t="s">
        <v>298</v>
      </c>
      <c r="B51" s="119">
        <v>94.3</v>
      </c>
      <c r="C51" s="120" t="s">
        <v>68</v>
      </c>
      <c r="D51" s="121">
        <v>5431.72</v>
      </c>
      <c r="E51" s="122">
        <f>IFERROR(__xludf.DUMMYFUNCTION("""COMPUTED_VALUE"""),7501.476362828)</f>
        <v>7501.476363</v>
      </c>
      <c r="F51" s="136">
        <v>2.63</v>
      </c>
      <c r="G51" s="124">
        <v>1883.0</v>
      </c>
      <c r="H51" s="125">
        <v>1341.0</v>
      </c>
      <c r="I51" s="125">
        <v>371.0</v>
      </c>
      <c r="J51" s="125">
        <v>88.0</v>
      </c>
      <c r="K51" s="125">
        <v>53.0</v>
      </c>
      <c r="L51" s="125">
        <v>31.0</v>
      </c>
      <c r="M51" s="126">
        <v>91.0</v>
      </c>
      <c r="N51" s="127">
        <v>98.0</v>
      </c>
      <c r="O51" s="127"/>
      <c r="P51" s="127">
        <v>94.0</v>
      </c>
      <c r="Q51" s="126" t="b">
        <v>1</v>
      </c>
      <c r="R51" s="133"/>
      <c r="S51" s="133">
        <v>4.0</v>
      </c>
      <c r="T51" s="133"/>
      <c r="U51" s="133"/>
      <c r="V51" s="130" t="s">
        <v>154</v>
      </c>
      <c r="W51" s="130" t="s">
        <v>113</v>
      </c>
      <c r="X51" s="130" t="s">
        <v>299</v>
      </c>
      <c r="Y51" s="130" t="s">
        <v>114</v>
      </c>
      <c r="Z51" s="131" t="b">
        <v>1</v>
      </c>
      <c r="AA51" s="131">
        <v>0.019444444444444445</v>
      </c>
      <c r="AB51" s="129"/>
      <c r="AC51" s="130" t="s">
        <v>300</v>
      </c>
      <c r="AD51" s="130" t="s">
        <v>301</v>
      </c>
      <c r="AE51" s="129"/>
      <c r="AF51" s="132"/>
      <c r="AG51" s="133" t="b">
        <v>0</v>
      </c>
      <c r="AH51" s="133">
        <v>34.0</v>
      </c>
      <c r="AI51" s="143"/>
      <c r="AJ51" s="143"/>
      <c r="AK51" s="143"/>
      <c r="AL51" s="129" t="str">
        <f>IFERROR(__xludf.DUMMYFUNCTION("""COMPUTED_VALUE"""),"Bay View, Ocean View")</f>
        <v>Bay View, Ocean View</v>
      </c>
      <c r="AM51" s="129" t="str">
        <f>IFERROR(__xludf.DUMMYFUNCTION("""COMPUTED_VALUE"""),"Beach, Diving, Evening Entertainment, Fishing, Room Service, Snorkelling, Swim Out/Plunge Pool Rooms, Wifi (Free), Yoga Classes")</f>
        <v>Beach, Diving, Evening Entertainment, Fishing, Room Service, Snorkelling, Swim Out/Plunge Pool Rooms, Wifi (Free), Yoga Classes</v>
      </c>
      <c r="AN51" s="128"/>
    </row>
    <row r="52">
      <c r="A52" s="118" t="s">
        <v>302</v>
      </c>
      <c r="B52" s="119">
        <v>94.3</v>
      </c>
      <c r="C52" s="120" t="s">
        <v>68</v>
      </c>
      <c r="D52" s="121">
        <v>5502.0</v>
      </c>
      <c r="E52" s="122">
        <f>IFERROR(__xludf.DUMMYFUNCTION("""COMPUTED_VALUE"""),7598.536549799999)</f>
        <v>7598.53655</v>
      </c>
      <c r="F52" s="136">
        <v>2.6</v>
      </c>
      <c r="G52" s="124">
        <v>8586.0</v>
      </c>
      <c r="H52" s="125">
        <v>7196.0</v>
      </c>
      <c r="I52" s="125">
        <v>905.0</v>
      </c>
      <c r="J52" s="125">
        <v>290.0</v>
      </c>
      <c r="K52" s="125">
        <v>111.0</v>
      </c>
      <c r="L52" s="125">
        <v>84.0</v>
      </c>
      <c r="M52" s="126">
        <v>95.0</v>
      </c>
      <c r="N52" s="127">
        <v>94.0</v>
      </c>
      <c r="O52" s="127">
        <v>92.0</v>
      </c>
      <c r="P52" s="138">
        <v>96.0</v>
      </c>
      <c r="Q52" s="126" t="b">
        <v>1</v>
      </c>
      <c r="R52" s="133"/>
      <c r="S52" s="133">
        <v>9.0</v>
      </c>
      <c r="T52" s="133"/>
      <c r="U52" s="133">
        <v>5.0</v>
      </c>
      <c r="V52" s="129"/>
      <c r="W52" s="130" t="s">
        <v>84</v>
      </c>
      <c r="X52" s="130" t="s">
        <v>248</v>
      </c>
      <c r="Y52" s="130" t="s">
        <v>86</v>
      </c>
      <c r="Z52" s="131" t="b">
        <v>1</v>
      </c>
      <c r="AA52" s="131">
        <v>0.019444444444444445</v>
      </c>
      <c r="AB52" s="129"/>
      <c r="AC52" s="130" t="s">
        <v>303</v>
      </c>
      <c r="AD52" s="130" t="s">
        <v>304</v>
      </c>
      <c r="AE52" s="129"/>
      <c r="AF52" s="132"/>
      <c r="AG52" s="133" t="b">
        <v>0</v>
      </c>
      <c r="AH52" s="133">
        <v>157.0</v>
      </c>
      <c r="AI52" s="133">
        <v>2007.0</v>
      </c>
      <c r="AJ52" s="143"/>
      <c r="AK52" s="143"/>
      <c r="AL52" s="129" t="str">
        <f>IFERROR(__xludf.DUMMYFUNCTION("""COMPUTED_VALUE"""),"Hidden Gem, Romantic")</f>
        <v>Hidden Gem, Romantic</v>
      </c>
      <c r="AM52" s="129" t="str">
        <f>IFERROR(__xludf.DUMMYFUNCTION("""COMPUTED_VALUE"""),"Beach, Diving, Evening Entertainment, Fishing, Gym, Nightclub, Room Service, Snorkelling, Spa, Swim Up Bar, Wifi (Paid)")</f>
        <v>Beach, Diving, Evening Entertainment, Fishing, Gym, Nightclub, Room Service, Snorkelling, Spa, Swim Up Bar, Wifi (Paid)</v>
      </c>
      <c r="AN52" s="128"/>
    </row>
    <row r="53">
      <c r="A53" s="118" t="s">
        <v>305</v>
      </c>
      <c r="B53" s="119">
        <v>94.3</v>
      </c>
      <c r="C53" s="120" t="s">
        <v>68</v>
      </c>
      <c r="D53" s="121">
        <v>6164.2</v>
      </c>
      <c r="E53" s="122">
        <f>IFERROR(__xludf.DUMMYFUNCTION("""COMPUTED_VALUE"""),8513.06779358)</f>
        <v>8513.067794</v>
      </c>
      <c r="F53" s="136">
        <v>2.32</v>
      </c>
      <c r="G53" s="124">
        <v>3010.0</v>
      </c>
      <c r="H53" s="125">
        <v>2503.0</v>
      </c>
      <c r="I53" s="125">
        <v>330.0</v>
      </c>
      <c r="J53" s="125">
        <v>92.0</v>
      </c>
      <c r="K53" s="125">
        <v>47.0</v>
      </c>
      <c r="L53" s="125">
        <v>39.0</v>
      </c>
      <c r="M53" s="126">
        <v>95.0</v>
      </c>
      <c r="N53" s="138">
        <v>94.0</v>
      </c>
      <c r="O53" s="127"/>
      <c r="P53" s="127">
        <v>94.0</v>
      </c>
      <c r="Q53" s="126" t="b">
        <v>1</v>
      </c>
      <c r="R53" s="133"/>
      <c r="S53" s="133">
        <v>8.0</v>
      </c>
      <c r="T53" s="133"/>
      <c r="U53" s="133">
        <v>4.0</v>
      </c>
      <c r="V53" s="130" t="s">
        <v>306</v>
      </c>
      <c r="W53" s="130" t="s">
        <v>84</v>
      </c>
      <c r="X53" s="130" t="s">
        <v>210</v>
      </c>
      <c r="Y53" s="130" t="s">
        <v>86</v>
      </c>
      <c r="Z53" s="131" t="b">
        <v>1</v>
      </c>
      <c r="AA53" s="131">
        <v>0.02013888888888889</v>
      </c>
      <c r="AB53" s="130" t="s">
        <v>307</v>
      </c>
      <c r="AC53" s="130" t="s">
        <v>308</v>
      </c>
      <c r="AD53" s="130" t="s">
        <v>309</v>
      </c>
      <c r="AE53" s="129"/>
      <c r="AF53" s="132"/>
      <c r="AG53" s="133" t="b">
        <v>0</v>
      </c>
      <c r="AH53" s="133">
        <v>88.0</v>
      </c>
      <c r="AI53" s="133">
        <v>2001.0</v>
      </c>
      <c r="AJ53" s="143"/>
      <c r="AK53" s="133">
        <v>3.0</v>
      </c>
      <c r="AL53" s="129" t="str">
        <f>IFERROR(__xludf.DUMMYFUNCTION("""COMPUTED_VALUE"""),"Charming, Romantic")</f>
        <v>Charming, Romantic</v>
      </c>
      <c r="AM53" s="129" t="str">
        <f>IFERROR(__xludf.DUMMYFUNCTION("""COMPUTED_VALUE"""),"Beach, Buffet, Evening Entertainment, Gym, Spa, Swim Out/Plunge Pool Rooms, Swim Up Bar, Wifi (Free), Yoga Classes")</f>
        <v>Beach, Buffet, Evening Entertainment, Gym, Spa, Swim Out/Plunge Pool Rooms, Swim Up Bar, Wifi (Free), Yoga Classes</v>
      </c>
      <c r="AN53" s="128"/>
    </row>
    <row r="54">
      <c r="A54" s="118" t="s">
        <v>310</v>
      </c>
      <c r="B54" s="119">
        <v>94.3</v>
      </c>
      <c r="C54" s="120" t="s">
        <v>68</v>
      </c>
      <c r="D54" s="121">
        <v>6272.0</v>
      </c>
      <c r="E54" s="122">
        <f>IFERROR(__xludf.DUMMYFUNCTION("""COMPUTED_VALUE"""),8661.944972799998)</f>
        <v>8661.944973</v>
      </c>
      <c r="F54" s="136">
        <v>2.28</v>
      </c>
      <c r="G54" s="124">
        <v>23682.0</v>
      </c>
      <c r="H54" s="125">
        <v>21293.0</v>
      </c>
      <c r="I54" s="125">
        <v>1702.0</v>
      </c>
      <c r="J54" s="125">
        <v>441.0</v>
      </c>
      <c r="K54" s="125">
        <v>137.0</v>
      </c>
      <c r="L54" s="125">
        <v>115.0</v>
      </c>
      <c r="M54" s="126">
        <v>97.0</v>
      </c>
      <c r="N54" s="127">
        <v>94.0</v>
      </c>
      <c r="O54" s="127">
        <v>94.0</v>
      </c>
      <c r="P54" s="127">
        <v>92.0</v>
      </c>
      <c r="Q54" s="126" t="b">
        <v>1</v>
      </c>
      <c r="R54" s="133">
        <v>5.0</v>
      </c>
      <c r="S54" s="143">
        <v>7.0</v>
      </c>
      <c r="T54" s="133" t="s">
        <v>247</v>
      </c>
      <c r="U54" s="133">
        <v>4.0</v>
      </c>
      <c r="V54" s="129"/>
      <c r="W54" s="130" t="s">
        <v>193</v>
      </c>
      <c r="X54" s="130" t="s">
        <v>194</v>
      </c>
      <c r="Y54" s="130" t="s">
        <v>195</v>
      </c>
      <c r="Z54" s="131" t="b">
        <v>1</v>
      </c>
      <c r="AA54" s="131">
        <v>0.011805555555555555</v>
      </c>
      <c r="AB54" s="130" t="s">
        <v>50</v>
      </c>
      <c r="AC54" s="130" t="s">
        <v>311</v>
      </c>
      <c r="AD54" s="130" t="s">
        <v>312</v>
      </c>
      <c r="AE54" s="129"/>
      <c r="AF54" s="132"/>
      <c r="AG54" s="143" t="b">
        <v>0</v>
      </c>
      <c r="AH54" s="143">
        <v>457.0</v>
      </c>
      <c r="AI54" s="143">
        <v>2016.0</v>
      </c>
      <c r="AJ54" s="143">
        <v>2019.0</v>
      </c>
      <c r="AK54" s="143">
        <v>6.0</v>
      </c>
      <c r="AL54" s="129" t="str">
        <f>IFERROR(__xludf.DUMMYFUNCTION("""COMPUTED_VALUE"""),"Ocean View, Romantic")</f>
        <v>Ocean View, Romantic</v>
      </c>
      <c r="AM54" s="129" t="str">
        <f>IFERROR(__xludf.DUMMYFUNCTION("""COMPUTED_VALUE"""),"Beach, Buffet, Evening Entertainment, Great Food, Gym, Nightclub, Room Service, Spa, Swim Out/Plunge Pool Rooms, Swim Up Bar, Wifi (Free), Windsurfing")</f>
        <v>Beach, Buffet, Evening Entertainment, Great Food, Gym, Nightclub, Room Service, Spa, Swim Out/Plunge Pool Rooms, Swim Up Bar, Wifi (Free), Windsurfing</v>
      </c>
      <c r="AN54" s="128"/>
    </row>
    <row r="55">
      <c r="A55" s="140" t="s">
        <v>313</v>
      </c>
      <c r="B55" s="119">
        <v>94.3</v>
      </c>
      <c r="C55" s="133" t="s">
        <v>75</v>
      </c>
      <c r="D55" s="121">
        <v>7753.0</v>
      </c>
      <c r="E55" s="135">
        <f>IFERROR(__xludf.DUMMYFUNCTION("""COMPUTED_VALUE"""),10707.279874699998)</f>
        <v>10707.27987</v>
      </c>
      <c r="F55" s="136">
        <v>1.84</v>
      </c>
      <c r="G55" s="124">
        <v>1349.0</v>
      </c>
      <c r="H55" s="125">
        <v>1164.0</v>
      </c>
      <c r="I55" s="125">
        <v>103.0</v>
      </c>
      <c r="J55" s="125">
        <v>42.0</v>
      </c>
      <c r="K55" s="125">
        <v>23.0</v>
      </c>
      <c r="L55" s="125">
        <v>18.0</v>
      </c>
      <c r="M55" s="126">
        <v>95.0</v>
      </c>
      <c r="N55" s="127">
        <v>92.0</v>
      </c>
      <c r="O55" s="146"/>
      <c r="P55" s="138">
        <v>96.0</v>
      </c>
      <c r="Q55" s="126" t="b">
        <v>1</v>
      </c>
      <c r="R55" s="143"/>
      <c r="S55" s="133">
        <v>8.0</v>
      </c>
      <c r="T55" s="133" t="s">
        <v>314</v>
      </c>
      <c r="U55" s="133">
        <v>5.0</v>
      </c>
      <c r="V55" s="129"/>
      <c r="W55" s="144" t="s">
        <v>84</v>
      </c>
      <c r="X55" s="130" t="s">
        <v>315</v>
      </c>
      <c r="Y55" s="130" t="s">
        <v>123</v>
      </c>
      <c r="Z55" s="131" t="b">
        <v>1</v>
      </c>
      <c r="AA55" s="131">
        <v>0.022916666666666665</v>
      </c>
      <c r="AB55" s="130" t="s">
        <v>50</v>
      </c>
      <c r="AC55" s="130" t="s">
        <v>316</v>
      </c>
      <c r="AD55" s="130" t="s">
        <v>317</v>
      </c>
      <c r="AE55" s="130" t="s">
        <v>94</v>
      </c>
      <c r="AF55" s="132" t="s">
        <v>318</v>
      </c>
      <c r="AG55" s="133" t="b">
        <v>0</v>
      </c>
      <c r="AH55" s="133">
        <v>57.0</v>
      </c>
      <c r="AI55" s="133">
        <v>1995.0</v>
      </c>
      <c r="AJ55" s="133">
        <v>2015.0</v>
      </c>
      <c r="AK55" s="133">
        <v>4.0</v>
      </c>
      <c r="AL55" s="129" t="str">
        <f>IFERROR(__xludf.DUMMYFUNCTION("""COMPUTED_VALUE"""),"Bay View, Quiet")</f>
        <v>Bay View, Quiet</v>
      </c>
      <c r="AM55" s="129" t="str">
        <f>IFERROR(__xludf.DUMMYFUNCTION("""COMPUTED_VALUE"""),"2 Bedroom Suites, Beach, Evening Entertainment, Family Suite, Golf Course, Gym, Heated Pool, Room Service, Spa, Swim Up Bar, Tennis, Wifi (Free), Yoga Classes")</f>
        <v>2 Bedroom Suites, Beach, Evening Entertainment, Family Suite, Golf Course, Gym, Heated Pool, Room Service, Spa, Swim Up Bar, Tennis, Wifi (Free), Yoga Classes</v>
      </c>
      <c r="AN55" s="128"/>
    </row>
    <row r="56">
      <c r="A56" s="118" t="s">
        <v>319</v>
      </c>
      <c r="B56" s="119">
        <v>94.3</v>
      </c>
      <c r="C56" s="134" t="s">
        <v>75</v>
      </c>
      <c r="D56" s="121">
        <v>11531.1</v>
      </c>
      <c r="E56" s="135">
        <f>IFERROR(__xludf.DUMMYFUNCTION("""COMPUTED_VALUE"""),15925.024501889999)</f>
        <v>15925.0245</v>
      </c>
      <c r="F56" s="136">
        <v>1.24</v>
      </c>
      <c r="G56" s="124">
        <v>8055.0</v>
      </c>
      <c r="H56" s="125">
        <v>6328.0</v>
      </c>
      <c r="I56" s="125">
        <v>1045.0</v>
      </c>
      <c r="J56" s="125">
        <v>386.0</v>
      </c>
      <c r="K56" s="125">
        <v>182.0</v>
      </c>
      <c r="L56" s="125">
        <v>115.0</v>
      </c>
      <c r="M56" s="126">
        <v>93.0</v>
      </c>
      <c r="N56" s="127">
        <v>94.0</v>
      </c>
      <c r="O56" s="127">
        <v>94.0</v>
      </c>
      <c r="P56" s="127">
        <v>96.0</v>
      </c>
      <c r="Q56" s="135" t="b">
        <v>1</v>
      </c>
      <c r="R56" s="133">
        <v>5.0</v>
      </c>
      <c r="S56" s="133">
        <v>9.0</v>
      </c>
      <c r="T56" s="133"/>
      <c r="U56" s="133">
        <v>5.0</v>
      </c>
      <c r="V56" s="130"/>
      <c r="W56" s="130" t="s">
        <v>84</v>
      </c>
      <c r="X56" s="130" t="s">
        <v>85</v>
      </c>
      <c r="Y56" s="130" t="s">
        <v>86</v>
      </c>
      <c r="Z56" s="131" t="b">
        <v>1</v>
      </c>
      <c r="AA56" s="131">
        <v>0.027083333333333334</v>
      </c>
      <c r="AB56" s="130" t="s">
        <v>102</v>
      </c>
      <c r="AC56" s="130" t="s">
        <v>320</v>
      </c>
      <c r="AD56" s="130" t="s">
        <v>321</v>
      </c>
      <c r="AE56" s="130"/>
      <c r="AF56" s="132" t="s">
        <v>318</v>
      </c>
      <c r="AG56" s="133" t="b">
        <v>0</v>
      </c>
      <c r="AH56" s="133">
        <v>401.0</v>
      </c>
      <c r="AI56" s="133">
        <v>2006.0</v>
      </c>
      <c r="AJ56" s="133">
        <v>2022.0</v>
      </c>
      <c r="AK56" s="133">
        <v>2.0</v>
      </c>
      <c r="AL56" s="129" t="str">
        <f>IFERROR(__xludf.DUMMYFUNCTION("""COMPUTED_VALUE"""),"Family, Lagoon View")</f>
        <v>Family, Lagoon View</v>
      </c>
      <c r="AM56" s="129" t="str">
        <f>IFERROR(__xludf.DUMMYFUNCTION("""COMPUTED_VALUE"""),"2 Bedroom Suites, Adult Pool, Archery, Beach, Bicycles Available, Buffet, Diving, Family Suite, Golf Course, Gym, Heated Pool, Kids Club, Pool Slide, Room Service, Snorkelling, Spa, Swim Out/Plunge Pool Rooms, Swim Up Bar, Tennis, Water Feature, Waterspor"&amp;"ts Equipment Rentals, Wifi (Free), Windsurfing, Yoga Classes")</f>
        <v>2 Bedroom Suites, Adult Pool, Archery, Beach, Bicycles Available, Buffet, Diving, Family Suite, Golf Course, Gym, Heated Pool, Kids Club, Pool Slide, Room Service, Snorkelling, Spa, Swim Out/Plunge Pool Rooms, Swim Up Bar, Tennis, Water Feature, Watersports Equipment Rentals, Wifi (Free), Windsurfing, Yoga Classes</v>
      </c>
      <c r="AN56" s="139"/>
    </row>
    <row r="57">
      <c r="A57" s="118" t="s">
        <v>322</v>
      </c>
      <c r="B57" s="119">
        <v>94.3</v>
      </c>
      <c r="C57" s="133" t="s">
        <v>75</v>
      </c>
      <c r="D57" s="121">
        <v>19458.81</v>
      </c>
      <c r="E57" s="122">
        <f>IFERROR(__xludf.DUMMYFUNCTION("""COMPUTED_VALUE"""),26873.587604619)</f>
        <v>26873.5876</v>
      </c>
      <c r="F57" s="136">
        <v>0.73</v>
      </c>
      <c r="G57" s="124">
        <v>1852.0</v>
      </c>
      <c r="H57" s="125">
        <v>1597.0</v>
      </c>
      <c r="I57" s="125">
        <v>151.0</v>
      </c>
      <c r="J57" s="125">
        <v>57.0</v>
      </c>
      <c r="K57" s="125">
        <v>27.0</v>
      </c>
      <c r="L57" s="125">
        <v>20.0</v>
      </c>
      <c r="M57" s="126">
        <v>95.0</v>
      </c>
      <c r="N57" s="138">
        <v>92.0</v>
      </c>
      <c r="O57" s="127"/>
      <c r="P57" s="138">
        <v>96.0</v>
      </c>
      <c r="Q57" s="126" t="b">
        <v>1</v>
      </c>
      <c r="R57" s="128"/>
      <c r="S57" s="133">
        <v>9.0</v>
      </c>
      <c r="T57" s="128"/>
      <c r="U57" s="133">
        <v>5.0</v>
      </c>
      <c r="V57" s="147" t="s">
        <v>91</v>
      </c>
      <c r="W57" s="130" t="s">
        <v>219</v>
      </c>
      <c r="X57" s="130" t="s">
        <v>323</v>
      </c>
      <c r="Y57" s="130" t="s">
        <v>221</v>
      </c>
      <c r="Z57" s="133" t="b">
        <v>1</v>
      </c>
      <c r="AA57" s="131">
        <v>0.02013888888888889</v>
      </c>
      <c r="AB57" s="129"/>
      <c r="AC57" s="147" t="s">
        <v>324</v>
      </c>
      <c r="AD57" s="147" t="s">
        <v>325</v>
      </c>
      <c r="AE57" s="129"/>
      <c r="AF57" s="148" t="s">
        <v>81</v>
      </c>
      <c r="AG57" s="128" t="b">
        <v>0</v>
      </c>
      <c r="AH57" s="133">
        <v>129.0</v>
      </c>
      <c r="AI57" s="133">
        <v>1953.0</v>
      </c>
      <c r="AJ57" s="133">
        <v>2023.0</v>
      </c>
      <c r="AK57" s="133">
        <v>2.0</v>
      </c>
      <c r="AL57" s="129" t="str">
        <f>IFERROR(__xludf.DUMMYFUNCTION("""COMPUTED_VALUE"""),"Family, Quiet")</f>
        <v>Family, Quiet</v>
      </c>
      <c r="AM57" s="129" t="str">
        <f>IFERROR(__xludf.DUMMYFUNCTION("""COMPUTED_VALUE"""),"Babysitting, Beach, Buffet, Diving, Evening Entertainment, Fishing, Gym, Hiking, Kids Club, Snorkelling, Spa, Tennis, Watersports Equipment Rentals, Wifi (Free), Windsurfing, Yoga Classes")</f>
        <v>Babysitting, Beach, Buffet, Diving, Evening Entertainment, Fishing, Gym, Hiking, Kids Club, Snorkelling, Spa, Tennis, Watersports Equipment Rentals, Wifi (Free), Windsurfing, Yoga Classes</v>
      </c>
      <c r="AN57" s="139"/>
    </row>
    <row r="58">
      <c r="A58" s="118" t="s">
        <v>326</v>
      </c>
      <c r="B58" s="119">
        <v>94.0</v>
      </c>
      <c r="C58" s="120" t="s">
        <v>68</v>
      </c>
      <c r="D58" s="121">
        <v>1841.0</v>
      </c>
      <c r="E58" s="122">
        <f>IFERROR(__xludf.DUMMYFUNCTION("""COMPUTED_VALUE"""),2542.5128658999997)</f>
        <v>2542.512866</v>
      </c>
      <c r="F58" s="136">
        <v>7.6</v>
      </c>
      <c r="G58" s="124">
        <v>10653.0</v>
      </c>
      <c r="H58" s="125">
        <v>7851.0</v>
      </c>
      <c r="I58" s="125">
        <v>1975.0</v>
      </c>
      <c r="J58" s="125">
        <v>545.0</v>
      </c>
      <c r="K58" s="125">
        <v>164.0</v>
      </c>
      <c r="L58" s="125">
        <v>119.0</v>
      </c>
      <c r="M58" s="126">
        <v>92.0</v>
      </c>
      <c r="N58" s="127">
        <v>96.0</v>
      </c>
      <c r="O58" s="127"/>
      <c r="P58" s="127"/>
      <c r="Q58" s="126" t="b">
        <v>1</v>
      </c>
      <c r="R58" s="128"/>
      <c r="S58" s="133">
        <v>7.0</v>
      </c>
      <c r="T58" s="128"/>
      <c r="U58" s="133">
        <v>5.0</v>
      </c>
      <c r="V58" s="129"/>
      <c r="W58" s="130" t="s">
        <v>276</v>
      </c>
      <c r="X58" s="130" t="s">
        <v>327</v>
      </c>
      <c r="Y58" s="130" t="s">
        <v>327</v>
      </c>
      <c r="Z58" s="131" t="b">
        <v>1</v>
      </c>
      <c r="AA58" s="131">
        <v>0.009027777777777777</v>
      </c>
      <c r="AB58" s="130" t="s">
        <v>328</v>
      </c>
      <c r="AC58" s="130" t="s">
        <v>329</v>
      </c>
      <c r="AD58" s="130" t="s">
        <v>330</v>
      </c>
      <c r="AE58" s="129"/>
      <c r="AF58" s="132"/>
      <c r="AG58" s="133" t="b">
        <v>0</v>
      </c>
      <c r="AH58" s="133">
        <v>250.0</v>
      </c>
      <c r="AI58" s="133">
        <v>1999.0</v>
      </c>
      <c r="AJ58" s="128"/>
      <c r="AK58" s="133">
        <v>2.0</v>
      </c>
      <c r="AL58" s="129" t="str">
        <f>IFERROR(__xludf.DUMMYFUNCTION("""COMPUTED_VALUE"""),"Charming, Lagoon View")</f>
        <v>Charming, Lagoon View</v>
      </c>
      <c r="AM58" s="129" t="str">
        <f>IFERROR(__xludf.DUMMYFUNCTION("""COMPUTED_VALUE"""),"Archery, Beach, Bicycles Available, Buffet, Diving, Evening Entertainment, Fishing, Gym, Snorkelling, Spa, Tennis, Yoga Classes")</f>
        <v>Archery, Beach, Bicycles Available, Buffet, Diving, Evening Entertainment, Fishing, Gym, Snorkelling, Spa, Tennis, Yoga Classes</v>
      </c>
      <c r="AN58" s="128"/>
    </row>
    <row r="59">
      <c r="A59" s="118" t="s">
        <v>331</v>
      </c>
      <c r="B59" s="119">
        <v>94.0</v>
      </c>
      <c r="C59" s="120" t="s">
        <v>68</v>
      </c>
      <c r="D59" s="121">
        <v>5995.0</v>
      </c>
      <c r="E59" s="122">
        <f>IFERROR(__xludf.DUMMYFUNCTION("""COMPUTED_VALUE"""),8279.394150499998)</f>
        <v>8279.394151</v>
      </c>
      <c r="F59" s="136">
        <v>2.34</v>
      </c>
      <c r="G59" s="124">
        <v>871.0</v>
      </c>
      <c r="H59" s="125">
        <v>750.0</v>
      </c>
      <c r="I59" s="125">
        <v>88.0</v>
      </c>
      <c r="J59" s="125">
        <v>23.0</v>
      </c>
      <c r="K59" s="125">
        <v>7.0</v>
      </c>
      <c r="L59" s="125">
        <v>3.0</v>
      </c>
      <c r="M59" s="126">
        <v>96.0</v>
      </c>
      <c r="N59" s="127">
        <v>92.0</v>
      </c>
      <c r="O59" s="127"/>
      <c r="P59" s="127"/>
      <c r="Q59" s="126" t="b">
        <v>1</v>
      </c>
      <c r="R59" s="128"/>
      <c r="S59" s="133">
        <v>7.0</v>
      </c>
      <c r="T59" s="128"/>
      <c r="U59" s="133"/>
      <c r="V59" s="129"/>
      <c r="W59" s="130" t="s">
        <v>77</v>
      </c>
      <c r="X59" s="130" t="s">
        <v>332</v>
      </c>
      <c r="Y59" s="130" t="s">
        <v>79</v>
      </c>
      <c r="Z59" s="131" t="b">
        <v>0</v>
      </c>
      <c r="AA59" s="131">
        <v>0.02847222222222222</v>
      </c>
      <c r="AB59" s="129"/>
      <c r="AC59" s="130" t="s">
        <v>333</v>
      </c>
      <c r="AD59" s="130" t="s">
        <v>334</v>
      </c>
      <c r="AE59" s="129"/>
      <c r="AF59" s="132"/>
      <c r="AG59" s="133" t="b">
        <v>0</v>
      </c>
      <c r="AH59" s="133">
        <v>24.0</v>
      </c>
      <c r="AI59" s="133">
        <v>1640.0</v>
      </c>
      <c r="AJ59" s="133">
        <v>2018.0</v>
      </c>
      <c r="AK59" s="133">
        <v>2.0</v>
      </c>
      <c r="AL59" s="129" t="str">
        <f>IFERROR(__xludf.DUMMYFUNCTION("""COMPUTED_VALUE"""),"Bay View, Historic Hotel")</f>
        <v>Bay View, Historic Hotel</v>
      </c>
      <c r="AM59" s="129" t="str">
        <f>IFERROR(__xludf.DUMMYFUNCTION("""COMPUTED_VALUE"""),"Beach, Diving, Fishing, Snorkelling, Spa")</f>
        <v>Beach, Diving, Fishing, Snorkelling, Spa</v>
      </c>
      <c r="AN59" s="128"/>
    </row>
    <row r="60">
      <c r="A60" s="118" t="s">
        <v>335</v>
      </c>
      <c r="B60" s="119">
        <v>94.0</v>
      </c>
      <c r="C60" s="120" t="s">
        <v>68</v>
      </c>
      <c r="D60" s="121">
        <v>7289.0</v>
      </c>
      <c r="E60" s="122">
        <f>IFERROR(__xludf.DUMMYFUNCTION("""COMPUTED_VALUE"""),10066.472721099999)</f>
        <v>10066.47272</v>
      </c>
      <c r="F60" s="136">
        <v>1.92</v>
      </c>
      <c r="G60" s="124">
        <v>13335.0</v>
      </c>
      <c r="H60" s="125">
        <v>11543.0</v>
      </c>
      <c r="I60" s="125">
        <v>1258.0</v>
      </c>
      <c r="J60" s="125">
        <v>366.0</v>
      </c>
      <c r="K60" s="125">
        <v>112.0</v>
      </c>
      <c r="L60" s="125">
        <v>63.0</v>
      </c>
      <c r="M60" s="126">
        <v>96.0</v>
      </c>
      <c r="N60" s="127">
        <v>92.0</v>
      </c>
      <c r="O60" s="127">
        <v>94.0</v>
      </c>
      <c r="P60" s="127">
        <v>94.0</v>
      </c>
      <c r="Q60" s="126" t="b">
        <v>1</v>
      </c>
      <c r="R60" s="133">
        <v>5.0</v>
      </c>
      <c r="S60" s="133">
        <v>8.0</v>
      </c>
      <c r="T60" s="133" t="s">
        <v>247</v>
      </c>
      <c r="U60" s="133">
        <v>5.0</v>
      </c>
      <c r="V60" s="129"/>
      <c r="W60" s="130" t="s">
        <v>84</v>
      </c>
      <c r="X60" s="130" t="s">
        <v>336</v>
      </c>
      <c r="Y60" s="144" t="s">
        <v>337</v>
      </c>
      <c r="Z60" s="145" t="b">
        <v>1</v>
      </c>
      <c r="AA60" s="145">
        <v>0.04375</v>
      </c>
      <c r="AB60" s="144" t="s">
        <v>50</v>
      </c>
      <c r="AC60" s="144" t="s">
        <v>338</v>
      </c>
      <c r="AD60" s="130" t="s">
        <v>339</v>
      </c>
      <c r="AE60" s="129"/>
      <c r="AF60" s="132"/>
      <c r="AG60" s="133" t="b">
        <v>0</v>
      </c>
      <c r="AH60" s="133">
        <v>434.0</v>
      </c>
      <c r="AI60" s="133">
        <v>2015.0</v>
      </c>
      <c r="AJ60" s="143"/>
      <c r="AK60" s="133">
        <v>5.0</v>
      </c>
      <c r="AL60" s="129" t="str">
        <f>IFERROR(__xludf.DUMMYFUNCTION("""COMPUTED_VALUE"""),"Great View, Modern")</f>
        <v>Great View, Modern</v>
      </c>
      <c r="AM60" s="129" t="str">
        <f>IFERROR(__xludf.DUMMYFUNCTION("""COMPUTED_VALUE"""),"Beach, Buffet, Diving, Evening Entertainment, Great Food, Gym, Heated Pool, Nightclub, Snorkelling, Spa, Swim Up Bar, Tennis, Wifi (Free)")</f>
        <v>Beach, Buffet, Diving, Evening Entertainment, Great Food, Gym, Heated Pool, Nightclub, Snorkelling, Spa, Swim Up Bar, Tennis, Wifi (Free)</v>
      </c>
      <c r="AN60" s="128"/>
    </row>
    <row r="61">
      <c r="A61" s="118" t="s">
        <v>340</v>
      </c>
      <c r="B61" s="119">
        <v>94.0</v>
      </c>
      <c r="C61" s="134" t="s">
        <v>75</v>
      </c>
      <c r="D61" s="121">
        <v>14735.0</v>
      </c>
      <c r="E61" s="135">
        <f>IFERROR(__xludf.DUMMYFUNCTION("""COMPUTED_VALUE"""),20349.770276499996)</f>
        <v>20349.77028</v>
      </c>
      <c r="F61" s="136">
        <v>0.95</v>
      </c>
      <c r="G61" s="124">
        <v>1054.0</v>
      </c>
      <c r="H61" s="125">
        <v>916.0</v>
      </c>
      <c r="I61" s="125">
        <v>83.0</v>
      </c>
      <c r="J61" s="125">
        <v>33.0</v>
      </c>
      <c r="K61" s="125">
        <v>14.0</v>
      </c>
      <c r="L61" s="125">
        <v>8.0</v>
      </c>
      <c r="M61" s="126">
        <v>96.0</v>
      </c>
      <c r="N61" s="127">
        <v>92.0</v>
      </c>
      <c r="O61" s="146"/>
      <c r="P61" s="127">
        <v>94.0</v>
      </c>
      <c r="Q61" s="137" t="b">
        <v>1</v>
      </c>
      <c r="R61" s="133">
        <v>4.0</v>
      </c>
      <c r="S61" s="133">
        <v>7.0</v>
      </c>
      <c r="T61" s="133"/>
      <c r="U61" s="133">
        <v>5.0</v>
      </c>
      <c r="V61" s="129"/>
      <c r="W61" s="130" t="s">
        <v>341</v>
      </c>
      <c r="X61" s="130" t="s">
        <v>342</v>
      </c>
      <c r="Y61" s="130" t="s">
        <v>343</v>
      </c>
      <c r="Z61" s="131" t="b">
        <v>1</v>
      </c>
      <c r="AA61" s="131">
        <v>0.01597222222222222</v>
      </c>
      <c r="AB61" s="129"/>
      <c r="AC61" s="130" t="s">
        <v>344</v>
      </c>
      <c r="AD61" s="130" t="s">
        <v>345</v>
      </c>
      <c r="AE61" s="130"/>
      <c r="AF61" s="132" t="s">
        <v>346</v>
      </c>
      <c r="AG61" s="133" t="b">
        <v>0</v>
      </c>
      <c r="AH61" s="133">
        <v>23.0</v>
      </c>
      <c r="AI61" s="133">
        <v>2010.0</v>
      </c>
      <c r="AJ61" s="143"/>
      <c r="AK61" s="133">
        <v>2.0</v>
      </c>
      <c r="AL61" s="129" t="str">
        <f>IFERROR(__xludf.DUMMYFUNCTION("""COMPUTED_VALUE"""),"Quaint, Quiet")</f>
        <v>Quaint, Quiet</v>
      </c>
      <c r="AM61" s="129" t="str">
        <f>IFERROR(__xludf.DUMMYFUNCTION("""COMPUTED_VALUE"""),"2 Bedroom Suites, Beach, Diving, Family Suite, Gym, Room Service, Snorkelling, Spa, Swim Out/Plunge Pool Rooms, Wifi (Free)")</f>
        <v>2 Bedroom Suites, Beach, Diving, Family Suite, Gym, Room Service, Snorkelling, Spa, Swim Out/Plunge Pool Rooms, Wifi (Free)</v>
      </c>
      <c r="AN61" s="139"/>
    </row>
    <row r="62">
      <c r="A62" s="118" t="s">
        <v>347</v>
      </c>
      <c r="B62" s="119">
        <v>94.0</v>
      </c>
      <c r="C62" s="120" t="s">
        <v>68</v>
      </c>
      <c r="D62" s="142">
        <v>28322.89</v>
      </c>
      <c r="E62" s="122">
        <f>IFERROR(__xludf.DUMMYFUNCTION("""COMPUTED_VALUE"""),39115.324402210994)</f>
        <v>39115.3244</v>
      </c>
      <c r="F62" s="136">
        <v>0.49</v>
      </c>
      <c r="G62" s="124">
        <v>1240.0</v>
      </c>
      <c r="H62" s="125">
        <v>978.0</v>
      </c>
      <c r="I62" s="125">
        <v>116.0</v>
      </c>
      <c r="J62" s="125">
        <v>71.0</v>
      </c>
      <c r="K62" s="125">
        <v>46.0</v>
      </c>
      <c r="L62" s="125">
        <v>29.0</v>
      </c>
      <c r="M62" s="126">
        <v>92.0</v>
      </c>
      <c r="N62" s="127">
        <v>92.0</v>
      </c>
      <c r="O62" s="127"/>
      <c r="P62" s="127">
        <v>98.0</v>
      </c>
      <c r="Q62" s="126" t="b">
        <v>1</v>
      </c>
      <c r="R62" s="143"/>
      <c r="S62" s="143">
        <v>9.0</v>
      </c>
      <c r="T62" s="143"/>
      <c r="U62" s="143">
        <v>4.0</v>
      </c>
      <c r="V62" s="144"/>
      <c r="W62" s="144" t="s">
        <v>348</v>
      </c>
      <c r="X62" s="144" t="s">
        <v>349</v>
      </c>
      <c r="Y62" s="144" t="s">
        <v>350</v>
      </c>
      <c r="Z62" s="145" t="b">
        <v>0</v>
      </c>
      <c r="AA62" s="145">
        <v>0.027083333333333334</v>
      </c>
      <c r="AB62" s="144"/>
      <c r="AC62" s="144" t="s">
        <v>351</v>
      </c>
      <c r="AD62" s="130" t="s">
        <v>352</v>
      </c>
      <c r="AE62" s="129"/>
      <c r="AF62" s="132"/>
      <c r="AG62" s="143" t="b">
        <v>0</v>
      </c>
      <c r="AH62" s="143">
        <v>30.0</v>
      </c>
      <c r="AI62" s="143">
        <v>1989.0</v>
      </c>
      <c r="AJ62" s="143">
        <v>2019.0</v>
      </c>
      <c r="AK62" s="143">
        <v>1.0</v>
      </c>
      <c r="AL62" s="129" t="str">
        <f>IFERROR(__xludf.DUMMYFUNCTION("""COMPUTED_VALUE"""),"Marina View")</f>
        <v>Marina View</v>
      </c>
      <c r="AM62" s="129" t="str">
        <f>IFERROR(__xludf.DUMMYFUNCTION("""COMPUTED_VALUE"""),"Beach, Diving, Evening Entertainment, Fishing, Gym, Heated Pool, Room Service, Snorkelling, Spa, Watersports Equipment Rentals, Wifi (Free), Yoga Classes")</f>
        <v>Beach, Diving, Evening Entertainment, Fishing, Gym, Heated Pool, Room Service, Snorkelling, Spa, Watersports Equipment Rentals, Wifi (Free), Yoga Classes</v>
      </c>
      <c r="AN62" s="128"/>
    </row>
    <row r="63">
      <c r="A63" s="118" t="s">
        <v>353</v>
      </c>
      <c r="B63" s="119">
        <v>93.7</v>
      </c>
      <c r="C63" s="120" t="s">
        <v>68</v>
      </c>
      <c r="D63" s="121">
        <v>3093.0</v>
      </c>
      <c r="E63" s="122">
        <f>IFERROR(__xludf.DUMMYFUNCTION("""COMPUTED_VALUE"""),4271.5873407)</f>
        <v>4271.587341</v>
      </c>
      <c r="F63" s="123">
        <v>4.43</v>
      </c>
      <c r="G63" s="124">
        <v>22637.0</v>
      </c>
      <c r="H63" s="125">
        <v>16080.0</v>
      </c>
      <c r="I63" s="125">
        <v>4066.0</v>
      </c>
      <c r="J63" s="125">
        <v>1439.0</v>
      </c>
      <c r="K63" s="125">
        <v>602.0</v>
      </c>
      <c r="L63" s="125">
        <v>454.0</v>
      </c>
      <c r="M63" s="126">
        <v>91.0</v>
      </c>
      <c r="N63" s="127">
        <v>98.0</v>
      </c>
      <c r="O63" s="127"/>
      <c r="P63" s="138">
        <v>92.0</v>
      </c>
      <c r="Q63" s="126" t="b">
        <v>1</v>
      </c>
      <c r="R63" s="133">
        <v>4.0</v>
      </c>
      <c r="S63" s="143">
        <v>9.0</v>
      </c>
      <c r="T63" s="133"/>
      <c r="U63" s="133">
        <v>5.0</v>
      </c>
      <c r="V63" s="129"/>
      <c r="W63" s="130" t="s">
        <v>193</v>
      </c>
      <c r="X63" s="130" t="s">
        <v>195</v>
      </c>
      <c r="Y63" s="130" t="s">
        <v>195</v>
      </c>
      <c r="Z63" s="131" t="b">
        <v>1</v>
      </c>
      <c r="AA63" s="131">
        <v>0.029166666666666667</v>
      </c>
      <c r="AB63" s="130" t="s">
        <v>150</v>
      </c>
      <c r="AC63" s="130" t="s">
        <v>354</v>
      </c>
      <c r="AD63" s="130" t="s">
        <v>355</v>
      </c>
      <c r="AE63" s="129"/>
      <c r="AF63" s="132"/>
      <c r="AG63" s="143" t="b">
        <v>0</v>
      </c>
      <c r="AH63" s="143">
        <v>461.0</v>
      </c>
      <c r="AI63" s="143">
        <v>2000.0</v>
      </c>
      <c r="AJ63" s="143">
        <v>2017.0</v>
      </c>
      <c r="AK63" s="143">
        <v>3.0</v>
      </c>
      <c r="AL63" s="129" t="str">
        <f>IFERROR(__xludf.DUMMYFUNCTION("""COMPUTED_VALUE"""),"Great View, Romantic")</f>
        <v>Great View, Romantic</v>
      </c>
      <c r="AM63" s="129" t="str">
        <f>IFERROR(__xludf.DUMMYFUNCTION("""COMPUTED_VALUE"""),"Beach, Buffet, Evening Entertainment, Great Beach, Great Food, Gym, Horseback Riding, Nightclub, Snorkelling, Spa, Swim Out/Plunge Pool Rooms, Swim Up Bar, Tennis")</f>
        <v>Beach, Buffet, Evening Entertainment, Great Beach, Great Food, Gym, Horseback Riding, Nightclub, Snorkelling, Spa, Swim Out/Plunge Pool Rooms, Swim Up Bar, Tennis</v>
      </c>
      <c r="AN63" s="128"/>
    </row>
    <row r="64">
      <c r="A64" s="118" t="s">
        <v>356</v>
      </c>
      <c r="B64" s="119">
        <v>93.7</v>
      </c>
      <c r="C64" s="120" t="s">
        <v>68</v>
      </c>
      <c r="D64" s="121">
        <v>3570.0</v>
      </c>
      <c r="E64" s="122">
        <f>IFERROR(__xludf.DUMMYFUNCTION("""COMPUTED_VALUE"""),4930.348142999999)</f>
        <v>4930.348143</v>
      </c>
      <c r="F64" s="123">
        <v>3.84</v>
      </c>
      <c r="G64" s="124">
        <v>11366.0</v>
      </c>
      <c r="H64" s="125">
        <v>8289.0</v>
      </c>
      <c r="I64" s="125">
        <v>1791.0</v>
      </c>
      <c r="J64" s="125">
        <v>752.0</v>
      </c>
      <c r="K64" s="125">
        <v>278.0</v>
      </c>
      <c r="L64" s="125">
        <v>258.0</v>
      </c>
      <c r="M64" s="126">
        <v>91.0</v>
      </c>
      <c r="N64" s="127">
        <v>98.0</v>
      </c>
      <c r="O64" s="127"/>
      <c r="P64" s="127">
        <v>92.0</v>
      </c>
      <c r="Q64" s="126" t="b">
        <v>1</v>
      </c>
      <c r="R64" s="133">
        <v>4.0</v>
      </c>
      <c r="S64" s="143">
        <v>8.0</v>
      </c>
      <c r="T64" s="133"/>
      <c r="U64" s="133">
        <v>5.0</v>
      </c>
      <c r="V64" s="129"/>
      <c r="W64" s="130" t="s">
        <v>193</v>
      </c>
      <c r="X64" s="130" t="s">
        <v>357</v>
      </c>
      <c r="Y64" s="130" t="s">
        <v>195</v>
      </c>
      <c r="Z64" s="131" t="b">
        <v>1</v>
      </c>
      <c r="AA64" s="131">
        <v>0.02847222222222222</v>
      </c>
      <c r="AB64" s="130" t="s">
        <v>150</v>
      </c>
      <c r="AC64" s="130" t="s">
        <v>358</v>
      </c>
      <c r="AD64" s="130" t="s">
        <v>359</v>
      </c>
      <c r="AE64" s="130"/>
      <c r="AF64" s="132"/>
      <c r="AG64" s="143" t="b">
        <v>0</v>
      </c>
      <c r="AH64" s="143">
        <v>492.0</v>
      </c>
      <c r="AI64" s="143">
        <v>2016.0</v>
      </c>
      <c r="AJ64" s="143"/>
      <c r="AK64" s="143">
        <v>2.0</v>
      </c>
      <c r="AL64" s="129" t="str">
        <f>IFERROR(__xludf.DUMMYFUNCTION("""COMPUTED_VALUE"""),"Modern, Quiet")</f>
        <v>Modern, Quiet</v>
      </c>
      <c r="AM64" s="129" t="str">
        <f>IFERROR(__xludf.DUMMYFUNCTION("""COMPUTED_VALUE"""),"Beach, Buffet, Diving, Evening Entertainment, Gym, Heated Pool, Nightclub, Snorkelling, Spa, Swim Out/Plunge Pool Rooms, Swim Up Bar, Tennis, Wifi (Free)")</f>
        <v>Beach, Buffet, Diving, Evening Entertainment, Gym, Heated Pool, Nightclub, Snorkelling, Spa, Swim Out/Plunge Pool Rooms, Swim Up Bar, Tennis, Wifi (Free)</v>
      </c>
      <c r="AN64" s="128"/>
    </row>
    <row r="65">
      <c r="A65" s="118" t="s">
        <v>360</v>
      </c>
      <c r="B65" s="119">
        <v>93.7</v>
      </c>
      <c r="C65" s="120" t="s">
        <v>68</v>
      </c>
      <c r="D65" s="121">
        <v>4191.08</v>
      </c>
      <c r="E65" s="122">
        <f>IFERROR(__xludf.DUMMYFUNCTION("""COMPUTED_VALUE"""),5788.090614891999)</f>
        <v>5788.090615</v>
      </c>
      <c r="F65" s="136">
        <v>3.27</v>
      </c>
      <c r="G65" s="124">
        <v>6067.0</v>
      </c>
      <c r="H65" s="125">
        <v>4722.0</v>
      </c>
      <c r="I65" s="125">
        <v>583.0</v>
      </c>
      <c r="J65" s="125">
        <v>324.0</v>
      </c>
      <c r="K65" s="125">
        <v>208.0</v>
      </c>
      <c r="L65" s="125">
        <v>234.0</v>
      </c>
      <c r="M65" s="126">
        <v>91.0</v>
      </c>
      <c r="N65" s="127">
        <v>98.0</v>
      </c>
      <c r="O65" s="127"/>
      <c r="P65" s="127">
        <v>92.0</v>
      </c>
      <c r="Q65" s="126" t="b">
        <v>1</v>
      </c>
      <c r="R65" s="133"/>
      <c r="S65" s="133" t="s">
        <v>83</v>
      </c>
      <c r="T65" s="133"/>
      <c r="U65" s="133">
        <v>5.0</v>
      </c>
      <c r="V65" s="129"/>
      <c r="W65" s="130" t="s">
        <v>84</v>
      </c>
      <c r="X65" s="130" t="s">
        <v>361</v>
      </c>
      <c r="Y65" s="130" t="s">
        <v>86</v>
      </c>
      <c r="Z65" s="131" t="b">
        <v>1</v>
      </c>
      <c r="AA65" s="131">
        <v>0.043055555555555555</v>
      </c>
      <c r="AB65" s="130" t="s">
        <v>362</v>
      </c>
      <c r="AC65" s="130" t="s">
        <v>140</v>
      </c>
      <c r="AD65" s="130" t="s">
        <v>363</v>
      </c>
      <c r="AE65" s="129"/>
      <c r="AF65" s="132"/>
      <c r="AG65" s="133" t="b">
        <v>0</v>
      </c>
      <c r="AH65" s="133">
        <v>850.0</v>
      </c>
      <c r="AI65" s="133">
        <v>2019.0</v>
      </c>
      <c r="AJ65" s="143"/>
      <c r="AK65" s="133">
        <v>5.0</v>
      </c>
      <c r="AL65" s="129" t="str">
        <f>IFERROR(__xludf.DUMMYFUNCTION("""COMPUTED_VALUE"""),"Business, Romantic")</f>
        <v>Business, Romantic</v>
      </c>
      <c r="AM65" s="129" t="str">
        <f>IFERROR(__xludf.DUMMYFUNCTION("""COMPUTED_VALUE"""),"Beach, Buffet, Evening Entertainment, Gym, Nightclub, Snorkelling, Spa, Swim Out/Plunge Pool Rooms, Swim Up Bar, Tennis, Wifi (Free)")</f>
        <v>Beach, Buffet, Evening Entertainment, Gym, Nightclub, Snorkelling, Spa, Swim Out/Plunge Pool Rooms, Swim Up Bar, Tennis, Wifi (Free)</v>
      </c>
      <c r="AN65" s="128"/>
    </row>
    <row r="66">
      <c r="A66" s="118" t="s">
        <v>364</v>
      </c>
      <c r="B66" s="119">
        <v>93.7</v>
      </c>
      <c r="C66" s="134" t="s">
        <v>75</v>
      </c>
      <c r="D66" s="121">
        <v>5265.0</v>
      </c>
      <c r="E66" s="135">
        <f>IFERROR(__xludf.DUMMYFUNCTION("""COMPUTED_VALUE"""),7271.227723499999)</f>
        <v>7271.227724</v>
      </c>
      <c r="F66" s="136">
        <v>2.6</v>
      </c>
      <c r="G66" s="124">
        <v>3278.0</v>
      </c>
      <c r="H66" s="125">
        <v>2491.0</v>
      </c>
      <c r="I66" s="125">
        <v>409.0</v>
      </c>
      <c r="J66" s="125">
        <v>166.0</v>
      </c>
      <c r="K66" s="125">
        <v>95.0</v>
      </c>
      <c r="L66" s="125">
        <v>119.0</v>
      </c>
      <c r="M66" s="126">
        <v>91.0</v>
      </c>
      <c r="N66" s="127">
        <v>98.0</v>
      </c>
      <c r="O66" s="146"/>
      <c r="P66" s="138">
        <v>92.0</v>
      </c>
      <c r="Q66" s="135" t="b">
        <v>1</v>
      </c>
      <c r="R66" s="133">
        <v>4.0</v>
      </c>
      <c r="S66" s="143"/>
      <c r="T66" s="133"/>
      <c r="U66" s="133">
        <v>5.0</v>
      </c>
      <c r="V66" s="130"/>
      <c r="W66" s="130" t="s">
        <v>193</v>
      </c>
      <c r="X66" s="130" t="s">
        <v>195</v>
      </c>
      <c r="Y66" s="130" t="s">
        <v>195</v>
      </c>
      <c r="Z66" s="131" t="b">
        <v>1</v>
      </c>
      <c r="AA66" s="131">
        <v>0.02847222222222222</v>
      </c>
      <c r="AB66" s="130" t="s">
        <v>150</v>
      </c>
      <c r="AC66" s="130" t="s">
        <v>365</v>
      </c>
      <c r="AD66" s="130" t="s">
        <v>366</v>
      </c>
      <c r="AE66" s="130"/>
      <c r="AF66" s="132" t="s">
        <v>367</v>
      </c>
      <c r="AG66" s="143" t="b">
        <v>0</v>
      </c>
      <c r="AH66" s="143">
        <v>455.0</v>
      </c>
      <c r="AI66" s="143">
        <v>2019.0</v>
      </c>
      <c r="AJ66" s="143"/>
      <c r="AK66" s="143"/>
      <c r="AL66" s="129" t="str">
        <f>IFERROR(__xludf.DUMMYFUNCTION("""COMPUTED_VALUE"""),"Business")</f>
        <v>Business</v>
      </c>
      <c r="AM66" s="129" t="str">
        <f>IFERROR(__xludf.DUMMYFUNCTION("""COMPUTED_VALUE"""),"2 Bedroom Suites, Adult Pool, Adults Only Rooms, Babysitting, Beach, Buffet, Diving, Evening Entertainment, Family Suite, Gym, Kids Club, Kids Club for Under 4, Kids Waterpark, Pool Slide, Room Service, Snorkelling, Spa, Swim Out/Plunge Pool Rooms, Swim U"&amp;"p Bar, Tennis, Water Feature, Watersports Equipment Rentals, Wifi (Free), Yoga Classes")</f>
        <v>2 Bedroom Suites, Adult Pool, Adults Only Rooms, Babysitting, Beach, Buffet, Diving, Evening Entertainment, Family Suite, Gym, Kids Club, Kids Club for Under 4, Kids Waterpark, Pool Slide, Room Service, Snorkelling, Spa, Swim Out/Plunge Pool Rooms, Swim Up Bar, Tennis, Water Feature, Watersports Equipment Rentals, Wifi (Free), Yoga Classes</v>
      </c>
      <c r="AN66" s="139"/>
    </row>
    <row r="67">
      <c r="A67" s="118" t="s">
        <v>368</v>
      </c>
      <c r="B67" s="119">
        <v>93.7</v>
      </c>
      <c r="C67" s="134" t="s">
        <v>75</v>
      </c>
      <c r="D67" s="121">
        <v>5544.37</v>
      </c>
      <c r="E67" s="135">
        <f>IFERROR(__xludf.DUMMYFUNCTION("""COMPUTED_VALUE"""),7657.051634062999)</f>
        <v>7657.051634</v>
      </c>
      <c r="F67" s="136">
        <v>2.47</v>
      </c>
      <c r="G67" s="124">
        <v>1138.0</v>
      </c>
      <c r="H67" s="125">
        <v>898.0</v>
      </c>
      <c r="I67" s="125">
        <v>168.0</v>
      </c>
      <c r="J67" s="125">
        <v>31.0</v>
      </c>
      <c r="K67" s="125">
        <v>20.0</v>
      </c>
      <c r="L67" s="125">
        <v>21.0</v>
      </c>
      <c r="M67" s="137">
        <v>93.0</v>
      </c>
      <c r="N67" s="138">
        <v>96.0</v>
      </c>
      <c r="O67" s="138"/>
      <c r="P67" s="138">
        <v>92.0</v>
      </c>
      <c r="Q67" s="135" t="b">
        <v>1</v>
      </c>
      <c r="R67" s="133"/>
      <c r="S67" s="133">
        <v>7.0</v>
      </c>
      <c r="T67" s="133"/>
      <c r="U67" s="133">
        <v>4.5</v>
      </c>
      <c r="V67" s="129"/>
      <c r="W67" s="130" t="s">
        <v>84</v>
      </c>
      <c r="X67" s="130" t="s">
        <v>369</v>
      </c>
      <c r="Y67" s="130" t="s">
        <v>370</v>
      </c>
      <c r="Z67" s="131" t="b">
        <v>0</v>
      </c>
      <c r="AA67" s="131">
        <v>0.05486111111111111</v>
      </c>
      <c r="AB67" s="130" t="s">
        <v>371</v>
      </c>
      <c r="AC67" s="129"/>
      <c r="AD67" s="130" t="s">
        <v>372</v>
      </c>
      <c r="AE67" s="130"/>
      <c r="AF67" s="132" t="s">
        <v>373</v>
      </c>
      <c r="AG67" s="133" t="b">
        <v>0</v>
      </c>
      <c r="AH67" s="133">
        <v>40.0</v>
      </c>
      <c r="AI67" s="133">
        <v>1996.0</v>
      </c>
      <c r="AJ67" s="133">
        <v>2008.0</v>
      </c>
      <c r="AK67" s="133">
        <v>1.0</v>
      </c>
      <c r="AL67" s="129"/>
      <c r="AM67" s="129" t="str">
        <f>IFERROR(__xludf.DUMMYFUNCTION("""COMPUTED_VALUE"""),"Bicycles Available, Hiking, Spa, Swim Out/Plunge Pool Rooms")</f>
        <v>Bicycles Available, Hiking, Spa, Swim Out/Plunge Pool Rooms</v>
      </c>
      <c r="AN67" s="139"/>
    </row>
    <row r="68">
      <c r="A68" s="118" t="s">
        <v>374</v>
      </c>
      <c r="B68" s="119">
        <v>93.7</v>
      </c>
      <c r="C68" s="134" t="s">
        <v>75</v>
      </c>
      <c r="D68" s="121">
        <v>5784.0</v>
      </c>
      <c r="E68" s="135">
        <f>IFERROR(__xludf.DUMMYFUNCTION("""COMPUTED_VALUE"""),7987.992621599999)</f>
        <v>7987.992622</v>
      </c>
      <c r="F68" s="136">
        <v>2.37</v>
      </c>
      <c r="G68" s="124">
        <v>13423.0</v>
      </c>
      <c r="H68" s="125">
        <v>10769.0</v>
      </c>
      <c r="I68" s="125">
        <v>1462.0</v>
      </c>
      <c r="J68" s="125">
        <v>614.0</v>
      </c>
      <c r="K68" s="125">
        <v>248.0</v>
      </c>
      <c r="L68" s="125">
        <v>332.0</v>
      </c>
      <c r="M68" s="126">
        <v>93.0</v>
      </c>
      <c r="N68" s="127">
        <v>98.0</v>
      </c>
      <c r="O68" s="146"/>
      <c r="P68" s="127">
        <v>90.0</v>
      </c>
      <c r="Q68" s="135" t="b">
        <v>1</v>
      </c>
      <c r="R68" s="133"/>
      <c r="S68" s="133">
        <v>8.0</v>
      </c>
      <c r="T68" s="133"/>
      <c r="U68" s="133"/>
      <c r="V68" s="130"/>
      <c r="W68" s="130" t="s">
        <v>84</v>
      </c>
      <c r="X68" s="130" t="s">
        <v>149</v>
      </c>
      <c r="Y68" s="130" t="s">
        <v>86</v>
      </c>
      <c r="Z68" s="131" t="b">
        <v>1</v>
      </c>
      <c r="AA68" s="131">
        <v>0.0375</v>
      </c>
      <c r="AB68" s="130" t="s">
        <v>150</v>
      </c>
      <c r="AC68" s="130" t="s">
        <v>375</v>
      </c>
      <c r="AD68" s="130" t="s">
        <v>376</v>
      </c>
      <c r="AE68" s="130"/>
      <c r="AF68" s="132" t="s">
        <v>373</v>
      </c>
      <c r="AG68" s="133" t="b">
        <v>0</v>
      </c>
      <c r="AH68" s="133">
        <v>450.0</v>
      </c>
      <c r="AI68" s="133">
        <v>2015.0</v>
      </c>
      <c r="AJ68" s="143"/>
      <c r="AK68" s="133">
        <v>4.0</v>
      </c>
      <c r="AL68" s="129" t="str">
        <f>IFERROR(__xludf.DUMMYFUNCTION("""COMPUTED_VALUE"""),"Green, Ocean View")</f>
        <v>Green, Ocean View</v>
      </c>
      <c r="AM68" s="129" t="str">
        <f>IFERROR(__xludf.DUMMYFUNCTION("""COMPUTED_VALUE"""),"2 Bedroom Suites, Adult Pool, Adults Only Rooms, Babysitting, Beach, Buffet, Evening Entertainment, Family Suite, Gym, Heated Pool, Kids Club, Kids Club for Under 4, Kids Waterpark, Nightclub, Pool Slide, Room Service, Spa, Swim Out/Plunge Pool Rooms, Swi"&amp;"m Up Bar, Tennis, Water Feature, Wifi (Free)")</f>
        <v>2 Bedroom Suites, Adult Pool, Adults Only Rooms, Babysitting, Beach, Buffet, Evening Entertainment, Family Suite, Gym, Heated Pool, Kids Club, Kids Club for Under 4, Kids Waterpark, Nightclub, Pool Slide, Room Service, Spa, Swim Out/Plunge Pool Rooms, Swim Up Bar, Tennis, Water Feature, Wifi (Free)</v>
      </c>
      <c r="AN68" s="139"/>
    </row>
    <row r="69">
      <c r="A69" s="118" t="s">
        <v>377</v>
      </c>
      <c r="B69" s="119">
        <v>93.7</v>
      </c>
      <c r="C69" s="134" t="s">
        <v>75</v>
      </c>
      <c r="D69" s="121">
        <v>5884.2</v>
      </c>
      <c r="E69" s="135">
        <f>IFERROR(__xludf.DUMMYFUNCTION("""COMPUTED_VALUE"""),8126.373821579999)</f>
        <v>8126.373822</v>
      </c>
      <c r="F69" s="136">
        <v>2.33</v>
      </c>
      <c r="G69" s="124">
        <v>510.0</v>
      </c>
      <c r="H69" s="125">
        <v>415.0</v>
      </c>
      <c r="I69" s="125">
        <v>71.0</v>
      </c>
      <c r="J69" s="125">
        <v>18.0</v>
      </c>
      <c r="K69" s="125">
        <v>3.0</v>
      </c>
      <c r="L69" s="125">
        <v>3.0</v>
      </c>
      <c r="M69" s="137">
        <v>95.0</v>
      </c>
      <c r="N69" s="138">
        <v>90.0</v>
      </c>
      <c r="O69" s="138"/>
      <c r="P69" s="127">
        <v>96.0</v>
      </c>
      <c r="Q69" s="135" t="b">
        <v>1</v>
      </c>
      <c r="R69" s="133"/>
      <c r="S69" s="133"/>
      <c r="T69" s="133"/>
      <c r="U69" s="133">
        <v>3.5</v>
      </c>
      <c r="V69" s="130" t="s">
        <v>378</v>
      </c>
      <c r="W69" s="130" t="s">
        <v>129</v>
      </c>
      <c r="X69" s="130" t="s">
        <v>379</v>
      </c>
      <c r="Y69" s="130" t="s">
        <v>131</v>
      </c>
      <c r="Z69" s="131" t="b">
        <v>0</v>
      </c>
      <c r="AA69" s="131">
        <v>0.05625</v>
      </c>
      <c r="AB69" s="130"/>
      <c r="AC69" s="130"/>
      <c r="AD69" s="130" t="s">
        <v>380</v>
      </c>
      <c r="AE69" s="130"/>
      <c r="AF69" s="132" t="s">
        <v>81</v>
      </c>
      <c r="AG69" s="133" t="b">
        <v>0</v>
      </c>
      <c r="AH69" s="133"/>
      <c r="AI69" s="133"/>
      <c r="AJ69" s="133"/>
      <c r="AK69" s="133"/>
      <c r="AL69" s="129"/>
      <c r="AM69" s="129" t="str">
        <f>IFERROR(__xludf.DUMMYFUNCTION("""COMPUTED_VALUE"""),"Beach, Buffet, Wifi (Free)")</f>
        <v>Beach, Buffet, Wifi (Free)</v>
      </c>
      <c r="AN69" s="139"/>
    </row>
    <row r="70">
      <c r="A70" s="118" t="s">
        <v>381</v>
      </c>
      <c r="B70" s="119">
        <v>93.7</v>
      </c>
      <c r="C70" s="120" t="s">
        <v>68</v>
      </c>
      <c r="D70" s="121">
        <v>6182.05</v>
      </c>
      <c r="E70" s="122">
        <f>IFERROR(__xludf.DUMMYFUNCTION("""COMPUTED_VALUE"""),8537.719534295)</f>
        <v>8537.719534</v>
      </c>
      <c r="F70" s="136">
        <v>2.22</v>
      </c>
      <c r="G70" s="124">
        <v>3453.0</v>
      </c>
      <c r="H70" s="125">
        <v>2695.0</v>
      </c>
      <c r="I70" s="125">
        <v>481.0</v>
      </c>
      <c r="J70" s="125">
        <v>149.0</v>
      </c>
      <c r="K70" s="125">
        <v>83.0</v>
      </c>
      <c r="L70" s="125">
        <v>45.0</v>
      </c>
      <c r="M70" s="126">
        <v>93.0</v>
      </c>
      <c r="N70" s="127">
        <v>94.0</v>
      </c>
      <c r="O70" s="127"/>
      <c r="P70" s="127">
        <v>94.0</v>
      </c>
      <c r="Q70" s="126" t="b">
        <v>1</v>
      </c>
      <c r="R70" s="133"/>
      <c r="S70" s="133" t="s">
        <v>83</v>
      </c>
      <c r="T70" s="133"/>
      <c r="U70" s="133">
        <v>4.0</v>
      </c>
      <c r="V70" s="130" t="s">
        <v>306</v>
      </c>
      <c r="W70" s="130" t="s">
        <v>84</v>
      </c>
      <c r="X70" s="130" t="s">
        <v>210</v>
      </c>
      <c r="Y70" s="130" t="s">
        <v>86</v>
      </c>
      <c r="Z70" s="131" t="b">
        <v>1</v>
      </c>
      <c r="AA70" s="131">
        <v>0.014583333333333334</v>
      </c>
      <c r="AB70" s="130" t="s">
        <v>307</v>
      </c>
      <c r="AC70" s="130" t="s">
        <v>382</v>
      </c>
      <c r="AD70" s="130" t="s">
        <v>383</v>
      </c>
      <c r="AE70" s="129"/>
      <c r="AF70" s="132"/>
      <c r="AG70" s="133" t="b">
        <v>0</v>
      </c>
      <c r="AH70" s="133">
        <v>114.0</v>
      </c>
      <c r="AI70" s="143"/>
      <c r="AJ70" s="143"/>
      <c r="AK70" s="133">
        <v>2.0</v>
      </c>
      <c r="AL70" s="129" t="str">
        <f>IFERROR(__xludf.DUMMYFUNCTION("""COMPUTED_VALUE"""),"Green, Romantic")</f>
        <v>Green, Romantic</v>
      </c>
      <c r="AM70" s="129" t="str">
        <f>IFERROR(__xludf.DUMMYFUNCTION("""COMPUTED_VALUE"""),"Beach, Buffet, Evening Entertainment, Gym, Nightclub, Room Service, Spa, Swim Out/Plunge Pool Rooms, Swim Up Bar, Wifi (Free)")</f>
        <v>Beach, Buffet, Evening Entertainment, Gym, Nightclub, Room Service, Spa, Swim Out/Plunge Pool Rooms, Swim Up Bar, Wifi (Free)</v>
      </c>
      <c r="AN70" s="128"/>
    </row>
    <row r="71">
      <c r="A71" s="118" t="s">
        <v>384</v>
      </c>
      <c r="B71" s="119">
        <v>93.7</v>
      </c>
      <c r="C71" s="120" t="s">
        <v>68</v>
      </c>
      <c r="D71" s="121">
        <v>7210.0</v>
      </c>
      <c r="E71" s="122">
        <f>IFERROR(__xludf.DUMMYFUNCTION("""COMPUTED_VALUE"""),9957.369778999999)</f>
        <v>9957.369779</v>
      </c>
      <c r="F71" s="136">
        <v>1.9</v>
      </c>
      <c r="G71" s="124">
        <v>3906.0</v>
      </c>
      <c r="H71" s="125">
        <v>3184.0</v>
      </c>
      <c r="I71" s="125">
        <v>488.0</v>
      </c>
      <c r="J71" s="125">
        <v>156.0</v>
      </c>
      <c r="K71" s="125">
        <v>53.0</v>
      </c>
      <c r="L71" s="125">
        <v>27.0</v>
      </c>
      <c r="M71" s="126">
        <v>95.0</v>
      </c>
      <c r="N71" s="127">
        <v>94.0</v>
      </c>
      <c r="O71" s="127"/>
      <c r="P71" s="127">
        <v>92.0</v>
      </c>
      <c r="Q71" s="126" t="b">
        <v>1</v>
      </c>
      <c r="R71" s="133">
        <v>4.0</v>
      </c>
      <c r="S71" s="133" t="s">
        <v>83</v>
      </c>
      <c r="T71" s="133"/>
      <c r="U71" s="133">
        <v>5.0</v>
      </c>
      <c r="V71" s="130" t="s">
        <v>148</v>
      </c>
      <c r="W71" s="130" t="s">
        <v>219</v>
      </c>
      <c r="X71" s="130" t="s">
        <v>385</v>
      </c>
      <c r="Y71" s="144" t="s">
        <v>221</v>
      </c>
      <c r="Z71" s="131" t="b">
        <v>1</v>
      </c>
      <c r="AA71" s="131">
        <v>0.06388888888888888</v>
      </c>
      <c r="AB71" s="130" t="s">
        <v>386</v>
      </c>
      <c r="AC71" s="130" t="s">
        <v>354</v>
      </c>
      <c r="AD71" s="130" t="s">
        <v>387</v>
      </c>
      <c r="AE71" s="129"/>
      <c r="AF71" s="132"/>
      <c r="AG71" s="133" t="b">
        <v>0</v>
      </c>
      <c r="AH71" s="133">
        <v>74.0</v>
      </c>
      <c r="AI71" s="133">
        <v>1957.0</v>
      </c>
      <c r="AJ71" s="133">
        <v>2005.0</v>
      </c>
      <c r="AK71" s="143"/>
      <c r="AL71" s="129" t="str">
        <f>IFERROR(__xludf.DUMMYFUNCTION("""COMPUTED_VALUE"""),"Great View, Romantic")</f>
        <v>Great View, Romantic</v>
      </c>
      <c r="AM71" s="129" t="str">
        <f>IFERROR(__xludf.DUMMYFUNCTION("""COMPUTED_VALUE"""),"Beach, Buffet, Diving, Evening Entertainment, Fishing, Golf Course, Great Beach, Gym, Room Service, Spa, Tennis, Wifi (Free)")</f>
        <v>Beach, Buffet, Diving, Evening Entertainment, Fishing, Golf Course, Great Beach, Gym, Room Service, Spa, Tennis, Wifi (Free)</v>
      </c>
      <c r="AN71" s="128"/>
    </row>
    <row r="72">
      <c r="A72" s="118" t="s">
        <v>388</v>
      </c>
      <c r="B72" s="119">
        <v>93.7</v>
      </c>
      <c r="C72" s="133" t="s">
        <v>75</v>
      </c>
      <c r="D72" s="121">
        <v>17251.0</v>
      </c>
      <c r="E72" s="122">
        <f>IFERROR(__xludf.DUMMYFUNCTION("""COMPUTED_VALUE"""),23824.491824899997)</f>
        <v>23824.49182</v>
      </c>
      <c r="F72" s="136">
        <v>0.79</v>
      </c>
      <c r="G72" s="124">
        <v>373.0</v>
      </c>
      <c r="H72" s="125">
        <v>320.0</v>
      </c>
      <c r="I72" s="125">
        <v>32.0</v>
      </c>
      <c r="J72" s="125">
        <v>10.0</v>
      </c>
      <c r="K72" s="125">
        <v>11.0</v>
      </c>
      <c r="L72" s="125">
        <v>1.0</v>
      </c>
      <c r="M72" s="126">
        <v>95.0</v>
      </c>
      <c r="N72" s="138">
        <v>94.0</v>
      </c>
      <c r="O72" s="127"/>
      <c r="P72" s="138">
        <v>92.0</v>
      </c>
      <c r="Q72" s="126" t="b">
        <v>1</v>
      </c>
      <c r="R72" s="128"/>
      <c r="S72" s="133">
        <v>9.0</v>
      </c>
      <c r="T72" s="128"/>
      <c r="U72" s="133">
        <v>4.0</v>
      </c>
      <c r="V72" s="129"/>
      <c r="W72" s="130" t="s">
        <v>137</v>
      </c>
      <c r="X72" s="130" t="s">
        <v>389</v>
      </c>
      <c r="Y72" s="130" t="s">
        <v>139</v>
      </c>
      <c r="Z72" s="133" t="b">
        <v>1</v>
      </c>
      <c r="AA72" s="133"/>
      <c r="AB72" s="129"/>
      <c r="AC72" s="147" t="s">
        <v>390</v>
      </c>
      <c r="AD72" s="147" t="s">
        <v>391</v>
      </c>
      <c r="AE72" s="129"/>
      <c r="AF72" s="148" t="s">
        <v>81</v>
      </c>
      <c r="AG72" s="128" t="b">
        <v>0</v>
      </c>
      <c r="AH72" s="133">
        <v>35.0</v>
      </c>
      <c r="AI72" s="133">
        <v>2016.0</v>
      </c>
      <c r="AJ72" s="128"/>
      <c r="AK72" s="128"/>
      <c r="AL72" s="129" t="str">
        <f>IFERROR(__xludf.DUMMYFUNCTION("""COMPUTED_VALUE"""),"Family, Romantic")</f>
        <v>Family, Romantic</v>
      </c>
      <c r="AM72" s="129" t="str">
        <f>IFERROR(__xludf.DUMMYFUNCTION("""COMPUTED_VALUE"""),"2 Bedroom Suites, Beach, Bicycles Available, Buffet, Diving, Fishing, Gym, Room Service, Snorkelling, Spa, Swim Out/Plunge Pool Rooms, Watersports Equipment Rentals, Wifi (Free), Windsurfing, Yoga Classes")</f>
        <v>2 Bedroom Suites, Beach, Bicycles Available, Buffet, Diving, Fishing, Gym, Room Service, Snorkelling, Spa, Swim Out/Plunge Pool Rooms, Watersports Equipment Rentals, Wifi (Free), Windsurfing, Yoga Classes</v>
      </c>
      <c r="AN72" s="139"/>
    </row>
    <row r="73">
      <c r="A73" s="118" t="s">
        <v>392</v>
      </c>
      <c r="B73" s="119">
        <v>93.5</v>
      </c>
      <c r="C73" s="134" t="s">
        <v>75</v>
      </c>
      <c r="D73" s="121">
        <v>4122.59</v>
      </c>
      <c r="E73" s="135">
        <f>IFERROR(__xludf.DUMMYFUNCTION("""COMPUTED_VALUE"""),5693.502507241)</f>
        <v>5693.502507</v>
      </c>
      <c r="F73" s="136">
        <v>3.27</v>
      </c>
      <c r="G73" s="124">
        <v>11472.0</v>
      </c>
      <c r="H73" s="125">
        <v>8025.0</v>
      </c>
      <c r="I73" s="125">
        <v>2390.0</v>
      </c>
      <c r="J73" s="125">
        <v>699.0</v>
      </c>
      <c r="K73" s="125">
        <v>199.0</v>
      </c>
      <c r="L73" s="125">
        <v>162.0</v>
      </c>
      <c r="M73" s="126">
        <v>91.0</v>
      </c>
      <c r="N73" s="127">
        <v>96.0</v>
      </c>
      <c r="O73" s="146"/>
      <c r="P73" s="146"/>
      <c r="Q73" s="137" t="b">
        <v>1</v>
      </c>
      <c r="R73" s="128"/>
      <c r="S73" s="133">
        <v>7.0</v>
      </c>
      <c r="T73" s="128"/>
      <c r="U73" s="133">
        <v>5.0</v>
      </c>
      <c r="V73" s="129"/>
      <c r="W73" s="130" t="s">
        <v>276</v>
      </c>
      <c r="X73" s="130" t="s">
        <v>393</v>
      </c>
      <c r="Y73" s="130" t="s">
        <v>393</v>
      </c>
      <c r="Z73" s="131" t="b">
        <v>1</v>
      </c>
      <c r="AA73" s="131">
        <v>0.02361111111111111</v>
      </c>
      <c r="AB73" s="130" t="s">
        <v>215</v>
      </c>
      <c r="AC73" s="130" t="s">
        <v>394</v>
      </c>
      <c r="AD73" s="130" t="s">
        <v>395</v>
      </c>
      <c r="AE73" s="130" t="s">
        <v>396</v>
      </c>
      <c r="AF73" s="132" t="s">
        <v>373</v>
      </c>
      <c r="AG73" s="133" t="b">
        <v>0</v>
      </c>
      <c r="AH73" s="133">
        <v>386.0</v>
      </c>
      <c r="AI73" s="133">
        <v>2004.0</v>
      </c>
      <c r="AJ73" s="133">
        <v>2017.0</v>
      </c>
      <c r="AK73" s="128"/>
      <c r="AL73" s="129" t="str">
        <f>IFERROR(__xludf.DUMMYFUNCTION("""COMPUTED_VALUE"""),"Family, Quiet")</f>
        <v>Family, Quiet</v>
      </c>
      <c r="AM73" s="129" t="str">
        <f>IFERROR(__xludf.DUMMYFUNCTION("""COMPUTED_VALUE"""),"2 Bedroom Suites, Archery, Babysitting, Beach, Buffet, Diving, Evening Entertainment, Family Suite, Great Beach, Gym, Kids Club, Kids Waterpark, Snorkelling, Spa, Swim Up Bar, Teen Club, Tennis, Yoga Classes")</f>
        <v>2 Bedroom Suites, Archery, Babysitting, Beach, Buffet, Diving, Evening Entertainment, Family Suite, Great Beach, Gym, Kids Club, Kids Waterpark, Snorkelling, Spa, Swim Up Bar, Teen Club, Tennis, Yoga Classes</v>
      </c>
      <c r="AN73" s="139"/>
    </row>
    <row r="74">
      <c r="A74" s="118" t="s">
        <v>397</v>
      </c>
      <c r="B74" s="119">
        <v>93.5</v>
      </c>
      <c r="C74" s="120" t="s">
        <v>68</v>
      </c>
      <c r="D74" s="121">
        <v>8638.0</v>
      </c>
      <c r="E74" s="135">
        <f>IFERROR(__xludf.DUMMYFUNCTION("""COMPUTED_VALUE"""),11929.5090362)</f>
        <v>11929.50904</v>
      </c>
      <c r="F74" s="136">
        <v>1.56</v>
      </c>
      <c r="G74" s="124">
        <v>3050.0</v>
      </c>
      <c r="H74" s="125">
        <v>2741.0</v>
      </c>
      <c r="I74" s="125">
        <v>156.0</v>
      </c>
      <c r="J74" s="125">
        <v>64.0</v>
      </c>
      <c r="K74" s="125">
        <v>44.0</v>
      </c>
      <c r="L74" s="125">
        <v>45.0</v>
      </c>
      <c r="M74" s="126">
        <v>96.0</v>
      </c>
      <c r="N74" s="127">
        <v>90.0</v>
      </c>
      <c r="O74" s="127">
        <v>94.0</v>
      </c>
      <c r="P74" s="127">
        <v>94.0</v>
      </c>
      <c r="Q74" s="126" t="b">
        <v>1</v>
      </c>
      <c r="R74" s="133">
        <v>5.0</v>
      </c>
      <c r="S74" s="133">
        <v>9.0</v>
      </c>
      <c r="T74" s="133"/>
      <c r="U74" s="133">
        <v>5.0</v>
      </c>
      <c r="V74" s="129"/>
      <c r="W74" s="130" t="s">
        <v>84</v>
      </c>
      <c r="X74" s="129" t="s">
        <v>315</v>
      </c>
      <c r="Y74" s="130" t="s">
        <v>123</v>
      </c>
      <c r="Z74" s="131" t="b">
        <v>1</v>
      </c>
      <c r="AA74" s="131">
        <v>0.01875</v>
      </c>
      <c r="AB74" s="130" t="s">
        <v>255</v>
      </c>
      <c r="AC74" s="130" t="s">
        <v>140</v>
      </c>
      <c r="AD74" s="130" t="s">
        <v>398</v>
      </c>
      <c r="AE74" s="129"/>
      <c r="AF74" s="132"/>
      <c r="AG74" s="133" t="b">
        <v>1</v>
      </c>
      <c r="AH74" s="133">
        <v>373.0</v>
      </c>
      <c r="AI74" s="133">
        <v>2017.0</v>
      </c>
      <c r="AJ74" s="143"/>
      <c r="AK74" s="133">
        <v>12.0</v>
      </c>
      <c r="AL74" s="129" t="str">
        <f>IFERROR(__xludf.DUMMYFUNCTION("""COMPUTED_VALUE"""),"Business, Romantic")</f>
        <v>Business, Romantic</v>
      </c>
      <c r="AM74" s="129" t="str">
        <f>IFERROR(__xludf.DUMMYFUNCTION("""COMPUTED_VALUE"""),"Beach, Buffet, Evening Entertainment, Gym, Heated Pool, Room Service, Spa, Swim Up Bar, Wifi (Free)")</f>
        <v>Beach, Buffet, Evening Entertainment, Gym, Heated Pool, Room Service, Spa, Swim Up Bar, Wifi (Free)</v>
      </c>
      <c r="AN74" s="128"/>
    </row>
    <row r="75">
      <c r="A75" s="118" t="s">
        <v>399</v>
      </c>
      <c r="B75" s="119">
        <v>93.5</v>
      </c>
      <c r="C75" s="120" t="s">
        <v>68</v>
      </c>
      <c r="D75" s="121">
        <v>9156.0</v>
      </c>
      <c r="E75" s="122">
        <f>IFERROR(__xludf.DUMMYFUNCTION("""COMPUTED_VALUE"""),12644.892884399998)</f>
        <v>12644.89288</v>
      </c>
      <c r="F75" s="136">
        <v>1.47</v>
      </c>
      <c r="G75" s="124">
        <v>1133.0</v>
      </c>
      <c r="H75" s="125">
        <v>1007.0</v>
      </c>
      <c r="I75" s="125">
        <v>67.0</v>
      </c>
      <c r="J75" s="125">
        <v>36.0</v>
      </c>
      <c r="K75" s="125">
        <v>13.0</v>
      </c>
      <c r="L75" s="125">
        <v>16.0</v>
      </c>
      <c r="M75" s="126">
        <v>96.0</v>
      </c>
      <c r="N75" s="138">
        <v>90.0</v>
      </c>
      <c r="O75" s="138">
        <v>92.0</v>
      </c>
      <c r="P75" s="127">
        <v>96.0</v>
      </c>
      <c r="Q75" s="126" t="b">
        <v>1</v>
      </c>
      <c r="R75" s="133"/>
      <c r="S75" s="133">
        <v>9.0</v>
      </c>
      <c r="T75" s="133" t="s">
        <v>192</v>
      </c>
      <c r="U75" s="133">
        <v>5.0</v>
      </c>
      <c r="V75" s="129"/>
      <c r="W75" s="130" t="s">
        <v>84</v>
      </c>
      <c r="X75" s="130" t="s">
        <v>85</v>
      </c>
      <c r="Y75" s="130" t="s">
        <v>86</v>
      </c>
      <c r="Z75" s="131" t="b">
        <v>1</v>
      </c>
      <c r="AA75" s="131">
        <v>0.03125</v>
      </c>
      <c r="AB75" s="130" t="s">
        <v>50</v>
      </c>
      <c r="AC75" s="130" t="s">
        <v>99</v>
      </c>
      <c r="AD75" s="130" t="s">
        <v>400</v>
      </c>
      <c r="AE75" s="129"/>
      <c r="AF75" s="132"/>
      <c r="AG75" s="133" t="b">
        <v>0</v>
      </c>
      <c r="AH75" s="133">
        <v>198.0</v>
      </c>
      <c r="AI75" s="133">
        <v>2021.0</v>
      </c>
      <c r="AJ75" s="143"/>
      <c r="AK75" s="133">
        <v>8.0</v>
      </c>
      <c r="AL75" s="129" t="str">
        <f>IFERROR(__xludf.DUMMYFUNCTION("""COMPUTED_VALUE"""),"Luxury")</f>
        <v>Luxury</v>
      </c>
      <c r="AM75" s="129" t="str">
        <f>IFERROR(__xludf.DUMMYFUNCTION("""COMPUTED_VALUE"""),"Beach, Buffet, Evening Entertainment, Great Food, Gym, Heated Pool, Nightclub, Room Service, Spa, Swim Out/Plunge Pool Rooms, Wifi (Free)")</f>
        <v>Beach, Buffet, Evening Entertainment, Great Food, Gym, Heated Pool, Nightclub, Room Service, Spa, Swim Out/Plunge Pool Rooms, Wifi (Free)</v>
      </c>
      <c r="AN75" s="128"/>
    </row>
    <row r="76">
      <c r="A76" s="118" t="s">
        <v>401</v>
      </c>
      <c r="B76" s="119">
        <v>93.3</v>
      </c>
      <c r="C76" s="120" t="s">
        <v>68</v>
      </c>
      <c r="D76" s="121">
        <v>4280.64</v>
      </c>
      <c r="E76" s="122">
        <f>IFERROR(__xludf.DUMMYFUNCTION("""COMPUTED_VALUE"""),5911.777443936)</f>
        <v>5911.777444</v>
      </c>
      <c r="F76" s="136">
        <v>3.11</v>
      </c>
      <c r="G76" s="124">
        <v>2033.0</v>
      </c>
      <c r="H76" s="125">
        <v>1673.0</v>
      </c>
      <c r="I76" s="125">
        <v>198.0</v>
      </c>
      <c r="J76" s="125">
        <v>85.0</v>
      </c>
      <c r="K76" s="125">
        <v>35.0</v>
      </c>
      <c r="L76" s="125">
        <v>42.0</v>
      </c>
      <c r="M76" s="126">
        <v>94.0</v>
      </c>
      <c r="N76" s="127">
        <v>98.0</v>
      </c>
      <c r="O76" s="127"/>
      <c r="P76" s="127">
        <v>88.0</v>
      </c>
      <c r="Q76" s="126" t="b">
        <v>1</v>
      </c>
      <c r="R76" s="133"/>
      <c r="S76" s="133">
        <v>9.0</v>
      </c>
      <c r="T76" s="133"/>
      <c r="U76" s="133">
        <v>5.0</v>
      </c>
      <c r="V76" s="129"/>
      <c r="W76" s="130" t="s">
        <v>84</v>
      </c>
      <c r="X76" s="130" t="s">
        <v>86</v>
      </c>
      <c r="Y76" s="130" t="s">
        <v>86</v>
      </c>
      <c r="Z76" s="131" t="b">
        <v>1</v>
      </c>
      <c r="AA76" s="131">
        <v>0.0125</v>
      </c>
      <c r="AB76" s="130" t="s">
        <v>215</v>
      </c>
      <c r="AC76" s="130" t="s">
        <v>402</v>
      </c>
      <c r="AD76" s="130" t="s">
        <v>403</v>
      </c>
      <c r="AE76" s="129"/>
      <c r="AF76" s="132"/>
      <c r="AG76" s="133" t="b">
        <v>1</v>
      </c>
      <c r="AH76" s="133">
        <v>156.0</v>
      </c>
      <c r="AI76" s="133">
        <v>2018.0</v>
      </c>
      <c r="AJ76" s="143"/>
      <c r="AK76" s="133">
        <v>15.0</v>
      </c>
      <c r="AL76" s="129" t="str">
        <f>IFERROR(__xludf.DUMMYFUNCTION("""COMPUTED_VALUE"""),"Modern, Romantic")</f>
        <v>Modern, Romantic</v>
      </c>
      <c r="AM76" s="129" t="str">
        <f>IFERROR(__xludf.DUMMYFUNCTION("""COMPUTED_VALUE"""),"Beach, Buffet, Diving, Evening Entertainment, Gym, Spa, Swim Up Bar, Tennis, Wifi (Free)")</f>
        <v>Beach, Buffet, Diving, Evening Entertainment, Gym, Spa, Swim Up Bar, Tennis, Wifi (Free)</v>
      </c>
      <c r="AN76" s="128"/>
    </row>
    <row r="77">
      <c r="A77" s="118" t="s">
        <v>404</v>
      </c>
      <c r="B77" s="119">
        <v>93.3</v>
      </c>
      <c r="C77" s="120" t="s">
        <v>68</v>
      </c>
      <c r="D77" s="121">
        <v>4429.13</v>
      </c>
      <c r="E77" s="122">
        <f>IFERROR(__xludf.DUMMYFUNCTION("""COMPUTED_VALUE"""),6116.849543586999)</f>
        <v>6116.849544</v>
      </c>
      <c r="F77" s="136">
        <v>3.0</v>
      </c>
      <c r="G77" s="124">
        <v>14374.0</v>
      </c>
      <c r="H77" s="125">
        <v>11570.0</v>
      </c>
      <c r="I77" s="125">
        <v>1723.0</v>
      </c>
      <c r="J77" s="125">
        <v>598.0</v>
      </c>
      <c r="K77" s="125">
        <v>233.0</v>
      </c>
      <c r="L77" s="125">
        <v>252.0</v>
      </c>
      <c r="M77" s="126">
        <v>94.0</v>
      </c>
      <c r="N77" s="127">
        <v>92.0</v>
      </c>
      <c r="O77" s="127"/>
      <c r="P77" s="127">
        <v>94.0</v>
      </c>
      <c r="Q77" s="126" t="b">
        <v>1</v>
      </c>
      <c r="R77" s="133">
        <v>4.0</v>
      </c>
      <c r="S77" s="133">
        <v>9.0</v>
      </c>
      <c r="T77" s="133" t="s">
        <v>314</v>
      </c>
      <c r="U77" s="133">
        <v>5.0</v>
      </c>
      <c r="V77" s="129"/>
      <c r="W77" s="130" t="s">
        <v>84</v>
      </c>
      <c r="X77" s="130" t="s">
        <v>86</v>
      </c>
      <c r="Y77" s="130" t="s">
        <v>86</v>
      </c>
      <c r="Z77" s="131" t="b">
        <v>1</v>
      </c>
      <c r="AA77" s="131">
        <v>0.017361111111111112</v>
      </c>
      <c r="AB77" s="130" t="s">
        <v>50</v>
      </c>
      <c r="AC77" s="130" t="s">
        <v>249</v>
      </c>
      <c r="AD77" s="130" t="s">
        <v>405</v>
      </c>
      <c r="AE77" s="129"/>
      <c r="AF77" s="132"/>
      <c r="AG77" s="133" t="b">
        <v>1</v>
      </c>
      <c r="AH77" s="133">
        <v>310.0</v>
      </c>
      <c r="AI77" s="133">
        <v>2007.0</v>
      </c>
      <c r="AJ77" s="143"/>
      <c r="AK77" s="133">
        <v>8.0</v>
      </c>
      <c r="AL77" s="129" t="str">
        <f>IFERROR(__xludf.DUMMYFUNCTION("""COMPUTED_VALUE"""),"Green, Romantic")</f>
        <v>Green, Romantic</v>
      </c>
      <c r="AM77" s="129" t="str">
        <f>IFERROR(__xludf.DUMMYFUNCTION("""COMPUTED_VALUE"""),"Beach, Buffet, Diving, Evening Entertainment, Gym, Heated Pool, Spa, Swim Out/Plunge Pool Rooms, Swim Up Bar, Wifi (Free)")</f>
        <v>Beach, Buffet, Diving, Evening Entertainment, Gym, Heated Pool, Spa, Swim Out/Plunge Pool Rooms, Swim Up Bar, Wifi (Free)</v>
      </c>
      <c r="AN77" s="128"/>
    </row>
    <row r="78">
      <c r="A78" s="118" t="s">
        <v>406</v>
      </c>
      <c r="B78" s="119">
        <v>93.3</v>
      </c>
      <c r="C78" s="120" t="s">
        <v>68</v>
      </c>
      <c r="D78" s="121">
        <v>6921.0</v>
      </c>
      <c r="E78" s="122">
        <f>IFERROR(__xludf.DUMMYFUNCTION("""COMPUTED_VALUE"""),9558.2463579)</f>
        <v>9558.246358</v>
      </c>
      <c r="F78" s="136">
        <v>1.92</v>
      </c>
      <c r="G78" s="124">
        <v>2768.0</v>
      </c>
      <c r="H78" s="125">
        <v>2436.0</v>
      </c>
      <c r="I78" s="125">
        <v>159.0</v>
      </c>
      <c r="J78" s="125">
        <v>68.0</v>
      </c>
      <c r="K78" s="125">
        <v>44.0</v>
      </c>
      <c r="L78" s="125">
        <v>61.0</v>
      </c>
      <c r="M78" s="126">
        <v>95.0</v>
      </c>
      <c r="N78" s="138">
        <v>90.0</v>
      </c>
      <c r="O78" s="138">
        <v>94.0</v>
      </c>
      <c r="P78" s="127">
        <v>94.0</v>
      </c>
      <c r="Q78" s="126" t="b">
        <v>1</v>
      </c>
      <c r="R78" s="133">
        <v>5.0</v>
      </c>
      <c r="S78" s="133">
        <v>9.0</v>
      </c>
      <c r="T78" s="133"/>
      <c r="U78" s="133">
        <v>5.0</v>
      </c>
      <c r="V78" s="129"/>
      <c r="W78" s="130" t="s">
        <v>84</v>
      </c>
      <c r="X78" s="130" t="s">
        <v>119</v>
      </c>
      <c r="Y78" s="130" t="s">
        <v>120</v>
      </c>
      <c r="Z78" s="131" t="b">
        <v>1</v>
      </c>
      <c r="AA78" s="131">
        <v>0.02638888888888889</v>
      </c>
      <c r="AB78" s="130" t="s">
        <v>407</v>
      </c>
      <c r="AC78" s="130" t="s">
        <v>408</v>
      </c>
      <c r="AD78" s="130" t="s">
        <v>409</v>
      </c>
      <c r="AE78" s="129"/>
      <c r="AF78" s="132"/>
      <c r="AG78" s="133" t="b">
        <v>1</v>
      </c>
      <c r="AH78" s="133">
        <v>145.0</v>
      </c>
      <c r="AI78" s="133">
        <v>2014.0</v>
      </c>
      <c r="AJ78" s="133">
        <v>2021.0</v>
      </c>
      <c r="AK78" s="143"/>
      <c r="AL78" s="129" t="str">
        <f>IFERROR(__xludf.DUMMYFUNCTION("""COMPUTED_VALUE"""),"Mountain View, Romantic")</f>
        <v>Mountain View, Romantic</v>
      </c>
      <c r="AM78" s="129" t="str">
        <f>IFERROR(__xludf.DUMMYFUNCTION("""COMPUTED_VALUE"""),"Beach, Buffet, Gym, Heated Pool, Room Service, Spa, Tennis")</f>
        <v>Beach, Buffet, Gym, Heated Pool, Room Service, Spa, Tennis</v>
      </c>
      <c r="AN78" s="128"/>
    </row>
    <row r="79">
      <c r="A79" s="118" t="s">
        <v>410</v>
      </c>
      <c r="B79" s="119">
        <v>93.3</v>
      </c>
      <c r="C79" s="120" t="s">
        <v>68</v>
      </c>
      <c r="D79" s="121">
        <v>7188.44</v>
      </c>
      <c r="E79" s="122">
        <f>IFERROR(__xludf.DUMMYFUNCTION("""COMPUTED_VALUE"""),9927.594343155999)</f>
        <v>9927.594343</v>
      </c>
      <c r="F79" s="136">
        <v>1.85</v>
      </c>
      <c r="G79" s="124">
        <v>13313.0</v>
      </c>
      <c r="H79" s="125">
        <v>10430.0</v>
      </c>
      <c r="I79" s="125">
        <v>1637.0</v>
      </c>
      <c r="J79" s="125">
        <v>654.0</v>
      </c>
      <c r="K79" s="125">
        <v>326.0</v>
      </c>
      <c r="L79" s="125">
        <v>276.0</v>
      </c>
      <c r="M79" s="126">
        <v>92.0</v>
      </c>
      <c r="N79" s="127">
        <v>96.0</v>
      </c>
      <c r="O79" s="127"/>
      <c r="P79" s="127">
        <v>92.0</v>
      </c>
      <c r="Q79" s="126" t="b">
        <v>1</v>
      </c>
      <c r="R79" s="133"/>
      <c r="S79" s="133">
        <v>7.0</v>
      </c>
      <c r="T79" s="133"/>
      <c r="U79" s="133">
        <v>5.0</v>
      </c>
      <c r="V79" s="129"/>
      <c r="W79" s="130" t="s">
        <v>84</v>
      </c>
      <c r="X79" s="130" t="s">
        <v>411</v>
      </c>
      <c r="Y79" s="130" t="s">
        <v>86</v>
      </c>
      <c r="Z79" s="131" t="b">
        <v>1</v>
      </c>
      <c r="AA79" s="131">
        <v>0.04791666666666667</v>
      </c>
      <c r="AB79" s="130" t="s">
        <v>412</v>
      </c>
      <c r="AC79" s="130"/>
      <c r="AD79" s="130" t="s">
        <v>413</v>
      </c>
      <c r="AE79" s="129"/>
      <c r="AF79" s="132"/>
      <c r="AG79" s="133" t="b">
        <v>0</v>
      </c>
      <c r="AH79" s="133">
        <v>454.0</v>
      </c>
      <c r="AI79" s="133">
        <v>2002.0</v>
      </c>
      <c r="AJ79" s="133">
        <v>2017.0</v>
      </c>
      <c r="AK79" s="133">
        <v>3.0</v>
      </c>
      <c r="AL79" s="129"/>
      <c r="AM79" s="129" t="str">
        <f>IFERROR(__xludf.DUMMYFUNCTION("""COMPUTED_VALUE"""),"Beach, Buffet, Diving, Evening Entertainment, Great Food, Gym, Nightclub, Room Service, Spa, Swim Out/Plunge Pool Rooms, Swim Up Bar, Tennis, Wifi (Free)")</f>
        <v>Beach, Buffet, Diving, Evening Entertainment, Great Food, Gym, Nightclub, Room Service, Spa, Swim Out/Plunge Pool Rooms, Swim Up Bar, Tennis, Wifi (Free)</v>
      </c>
      <c r="AN79" s="128"/>
    </row>
    <row r="80">
      <c r="A80" s="140" t="s">
        <v>414</v>
      </c>
      <c r="B80" s="119">
        <v>93.3</v>
      </c>
      <c r="C80" s="133" t="s">
        <v>75</v>
      </c>
      <c r="D80" s="121">
        <v>9065.35</v>
      </c>
      <c r="E80" s="135">
        <f>IFERROR(__xludf.DUMMYFUNCTION("""COMPUTED_VALUE"""),12519.700710964999)</f>
        <v>12519.70071</v>
      </c>
      <c r="F80" s="136">
        <v>1.47</v>
      </c>
      <c r="G80" s="124">
        <v>7444.0</v>
      </c>
      <c r="H80" s="125">
        <v>6348.0</v>
      </c>
      <c r="I80" s="125">
        <v>656.0</v>
      </c>
      <c r="J80" s="125">
        <v>198.0</v>
      </c>
      <c r="K80" s="125">
        <v>123.0</v>
      </c>
      <c r="L80" s="125">
        <v>126.0</v>
      </c>
      <c r="M80" s="126">
        <v>95.0</v>
      </c>
      <c r="N80" s="127">
        <v>94.0</v>
      </c>
      <c r="O80" s="127">
        <v>90.0</v>
      </c>
      <c r="P80" s="127">
        <v>94.0</v>
      </c>
      <c r="Q80" s="135" t="b">
        <v>1</v>
      </c>
      <c r="R80" s="133">
        <v>4.0</v>
      </c>
      <c r="S80" s="133">
        <v>9.0</v>
      </c>
      <c r="T80" s="143"/>
      <c r="U80" s="133">
        <v>4.5</v>
      </c>
      <c r="V80" s="144"/>
      <c r="W80" s="144" t="s">
        <v>193</v>
      </c>
      <c r="X80" s="144" t="s">
        <v>415</v>
      </c>
      <c r="Y80" s="144" t="s">
        <v>195</v>
      </c>
      <c r="Z80" s="131" t="b">
        <v>1</v>
      </c>
      <c r="AA80" s="131">
        <v>0.03263888888888889</v>
      </c>
      <c r="AB80" s="144"/>
      <c r="AC80" s="144"/>
      <c r="AD80" s="130" t="s">
        <v>416</v>
      </c>
      <c r="AE80" s="130" t="s">
        <v>134</v>
      </c>
      <c r="AF80" s="132" t="s">
        <v>373</v>
      </c>
      <c r="AG80" s="133" t="b">
        <v>0</v>
      </c>
      <c r="AH80" s="133">
        <v>185.0</v>
      </c>
      <c r="AI80" s="133">
        <v>1973.0</v>
      </c>
      <c r="AJ80" s="133">
        <v>2019.0</v>
      </c>
      <c r="AK80" s="133">
        <v>2.0</v>
      </c>
      <c r="AL80" s="129"/>
      <c r="AM80" s="129" t="str">
        <f>IFERROR(__xludf.DUMMYFUNCTION("""COMPUTED_VALUE"""),"2 Bedroom Suites, Adult Pool, Babysitting, Beach, Buffet, Evening Entertainment, Family Suite, Fishing, Golf Course, Gym, Horseback Riding, Nightclub, Room Service, Snorkelling, Spa, Swim Up Bar, Tennis, Yoga Classes")</f>
        <v>2 Bedroom Suites, Adult Pool, Babysitting, Beach, Buffet, Evening Entertainment, Family Suite, Fishing, Golf Course, Gym, Horseback Riding, Nightclub, Room Service, Snorkelling, Spa, Swim Up Bar, Tennis, Yoga Classes</v>
      </c>
      <c r="AN80" s="139"/>
    </row>
    <row r="81">
      <c r="A81" s="118" t="s">
        <v>417</v>
      </c>
      <c r="B81" s="119">
        <v>93.3</v>
      </c>
      <c r="C81" s="120" t="s">
        <v>68</v>
      </c>
      <c r="D81" s="121">
        <v>9543.83</v>
      </c>
      <c r="E81" s="122">
        <f>IFERROR(__xludf.DUMMYFUNCTION("""COMPUTED_VALUE"""),13180.505467116998)</f>
        <v>13180.50547</v>
      </c>
      <c r="F81" s="123">
        <v>1.39</v>
      </c>
      <c r="G81" s="124">
        <v>4471.0</v>
      </c>
      <c r="H81" s="125">
        <v>3765.0</v>
      </c>
      <c r="I81" s="125">
        <v>299.0</v>
      </c>
      <c r="J81" s="125">
        <v>153.0</v>
      </c>
      <c r="K81" s="125">
        <v>95.0</v>
      </c>
      <c r="L81" s="125">
        <v>161.0</v>
      </c>
      <c r="M81" s="126">
        <v>93.0</v>
      </c>
      <c r="N81" s="127">
        <v>92.0</v>
      </c>
      <c r="O81" s="127">
        <v>94.0</v>
      </c>
      <c r="P81" s="138">
        <v>94.0</v>
      </c>
      <c r="Q81" s="126" t="b">
        <v>1</v>
      </c>
      <c r="R81" s="133">
        <v>5.0</v>
      </c>
      <c r="S81" s="133" t="s">
        <v>83</v>
      </c>
      <c r="T81" s="133"/>
      <c r="U81" s="133">
        <v>5.0</v>
      </c>
      <c r="V81" s="130" t="s">
        <v>144</v>
      </c>
      <c r="W81" s="130" t="s">
        <v>84</v>
      </c>
      <c r="X81" s="130" t="s">
        <v>85</v>
      </c>
      <c r="Y81" s="130" t="s">
        <v>86</v>
      </c>
      <c r="Z81" s="131" t="b">
        <v>1</v>
      </c>
      <c r="AA81" s="131">
        <v>0.03819444444444445</v>
      </c>
      <c r="AB81" s="130" t="s">
        <v>145</v>
      </c>
      <c r="AC81" s="130" t="s">
        <v>418</v>
      </c>
      <c r="AD81" s="130" t="s">
        <v>419</v>
      </c>
      <c r="AE81" s="130"/>
      <c r="AF81" s="132"/>
      <c r="AG81" s="133" t="b">
        <v>0</v>
      </c>
      <c r="AH81" s="133">
        <v>900.0</v>
      </c>
      <c r="AI81" s="133">
        <v>2021.0</v>
      </c>
      <c r="AJ81" s="143"/>
      <c r="AK81" s="143"/>
      <c r="AL81" s="129" t="str">
        <f>IFERROR(__xludf.DUMMYFUNCTION("""COMPUTED_VALUE"""),"Luxury, Ocean View")</f>
        <v>Luxury, Ocean View</v>
      </c>
      <c r="AM81" s="129" t="str">
        <f>IFERROR(__xludf.DUMMYFUNCTION("""COMPUTED_VALUE"""),"Beach, Buffet, Evening Entertainment, Great Food, Gym, Heated Pool, Hiking, Nightclub, Pets Allowed, Room Service, Spa, Swim Out/Plunge Pool Rooms, Swim Up Bar, Watersports Equipment Rentals, Wifi (Free), Yoga Classes")</f>
        <v>Beach, Buffet, Evening Entertainment, Great Food, Gym, Heated Pool, Hiking, Nightclub, Pets Allowed, Room Service, Spa, Swim Out/Plunge Pool Rooms, Swim Up Bar, Watersports Equipment Rentals, Wifi (Free), Yoga Classes</v>
      </c>
      <c r="AN81" s="128"/>
    </row>
    <row r="82">
      <c r="A82" s="118" t="s">
        <v>420</v>
      </c>
      <c r="B82" s="119">
        <v>93.0</v>
      </c>
      <c r="C82" s="120" t="s">
        <v>68</v>
      </c>
      <c r="D82" s="121">
        <v>2254.56</v>
      </c>
      <c r="E82" s="122">
        <f>IFERROR(__xludf.DUMMYFUNCTION("""COMPUTED_VALUE"""),3113.6598625439997)</f>
        <v>3113.659863</v>
      </c>
      <c r="F82" s="123">
        <v>5.77</v>
      </c>
      <c r="G82" s="124">
        <v>1406.0</v>
      </c>
      <c r="H82" s="125">
        <v>1192.0</v>
      </c>
      <c r="I82" s="125">
        <v>116.0</v>
      </c>
      <c r="J82" s="125">
        <v>47.0</v>
      </c>
      <c r="K82" s="125">
        <v>25.0</v>
      </c>
      <c r="L82" s="125">
        <v>26.0</v>
      </c>
      <c r="M82" s="126">
        <v>94.0</v>
      </c>
      <c r="N82" s="127">
        <v>92.0</v>
      </c>
      <c r="O82" s="127"/>
      <c r="P82" s="127"/>
      <c r="Q82" s="126" t="b">
        <v>1</v>
      </c>
      <c r="R82" s="128"/>
      <c r="S82" s="128"/>
      <c r="T82" s="128"/>
      <c r="U82" s="128">
        <v>5.0</v>
      </c>
      <c r="V82" s="129"/>
      <c r="W82" s="129" t="s">
        <v>276</v>
      </c>
      <c r="X82" s="130" t="s">
        <v>421</v>
      </c>
      <c r="Y82" s="129" t="s">
        <v>327</v>
      </c>
      <c r="Z82" s="145" t="b">
        <v>1</v>
      </c>
      <c r="AA82" s="145">
        <v>0.025694444444444443</v>
      </c>
      <c r="AB82" s="129"/>
      <c r="AC82" s="129" t="s">
        <v>115</v>
      </c>
      <c r="AD82" s="130" t="s">
        <v>422</v>
      </c>
      <c r="AE82" s="130"/>
      <c r="AF82" s="132"/>
      <c r="AG82" s="128" t="b">
        <v>0</v>
      </c>
      <c r="AH82" s="128"/>
      <c r="AI82" s="128"/>
      <c r="AJ82" s="128"/>
      <c r="AK82" s="128"/>
      <c r="AL82" s="129" t="str">
        <f>IFERROR(__xludf.DUMMYFUNCTION("""COMPUTED_VALUE"""),"Romantic")</f>
        <v>Romantic</v>
      </c>
      <c r="AM82" s="129" t="str">
        <f>IFERROR(__xludf.DUMMYFUNCTION("""COMPUTED_VALUE"""),"Beach, Buffet, Evening Entertainment, Gym, Nightclub, Spa, Swim Out/Plunge Pool Rooms, Tennis, Wifi (Paid), Windsurfing, Yoga Classes")</f>
        <v>Beach, Buffet, Evening Entertainment, Gym, Nightclub, Spa, Swim Out/Plunge Pool Rooms, Tennis, Wifi (Paid), Windsurfing, Yoga Classes</v>
      </c>
      <c r="AN82" s="128"/>
    </row>
    <row r="83" hidden="1">
      <c r="A83" s="118" t="s">
        <v>423</v>
      </c>
      <c r="B83" s="119">
        <v>92.0</v>
      </c>
      <c r="C83" s="134" t="s">
        <v>75</v>
      </c>
      <c r="D83" s="142"/>
      <c r="E83" s="135"/>
      <c r="F83" s="136"/>
      <c r="G83" s="124"/>
      <c r="H83" s="133"/>
      <c r="I83" s="133"/>
      <c r="J83" s="133"/>
      <c r="K83" s="133"/>
      <c r="L83" s="133"/>
      <c r="M83" s="137"/>
      <c r="N83" s="138">
        <v>90.0</v>
      </c>
      <c r="O83" s="127"/>
      <c r="P83" s="138">
        <v>94.0</v>
      </c>
      <c r="Q83" s="135" t="b">
        <v>1</v>
      </c>
      <c r="R83" s="133"/>
      <c r="S83" s="133"/>
      <c r="T83" s="133"/>
      <c r="U83" s="133"/>
      <c r="V83" s="130" t="s">
        <v>118</v>
      </c>
      <c r="W83" s="130" t="s">
        <v>84</v>
      </c>
      <c r="X83" s="130" t="s">
        <v>86</v>
      </c>
      <c r="Y83" s="130" t="s">
        <v>86</v>
      </c>
      <c r="Z83" s="131" t="b">
        <v>1</v>
      </c>
      <c r="AA83" s="131">
        <v>0.020833333333333332</v>
      </c>
      <c r="AB83" s="130"/>
      <c r="AC83" s="130"/>
      <c r="AD83" s="129"/>
      <c r="AE83" s="129"/>
      <c r="AF83" s="132"/>
      <c r="AG83" s="133" t="b">
        <v>0</v>
      </c>
      <c r="AH83" s="133"/>
      <c r="AI83" s="133"/>
      <c r="AJ83" s="133"/>
      <c r="AK83" s="133"/>
      <c r="AL83" s="129"/>
      <c r="AM83" s="129"/>
      <c r="AN83" s="139"/>
    </row>
    <row r="84">
      <c r="A84" s="140" t="s">
        <v>424</v>
      </c>
      <c r="B84" s="119">
        <v>93.0</v>
      </c>
      <c r="C84" s="141" t="s">
        <v>68</v>
      </c>
      <c r="D84" s="142">
        <v>7359.0</v>
      </c>
      <c r="E84" s="122">
        <f>IFERROR(__xludf.DUMMYFUNCTION("""COMPUTED_VALUE"""),10163.1462141)</f>
        <v>10163.14621</v>
      </c>
      <c r="F84" s="136">
        <v>1.77</v>
      </c>
      <c r="G84" s="124">
        <v>89.0</v>
      </c>
      <c r="H84" s="125">
        <v>82.0</v>
      </c>
      <c r="I84" s="125">
        <v>1.0</v>
      </c>
      <c r="J84" s="125">
        <v>1.0</v>
      </c>
      <c r="K84" s="125">
        <v>2.0</v>
      </c>
      <c r="L84" s="125">
        <v>3.0</v>
      </c>
      <c r="M84" s="126">
        <v>95.0</v>
      </c>
      <c r="N84" s="138">
        <v>86.0</v>
      </c>
      <c r="O84" s="127"/>
      <c r="P84" s="127">
        <v>98.0</v>
      </c>
      <c r="Q84" s="122" t="b">
        <v>1</v>
      </c>
      <c r="R84" s="143"/>
      <c r="S84" s="133">
        <v>9.0</v>
      </c>
      <c r="T84" s="143"/>
      <c r="U84" s="143">
        <v>5.0</v>
      </c>
      <c r="V84" s="144"/>
      <c r="W84" s="144" t="s">
        <v>84</v>
      </c>
      <c r="X84" s="144" t="s">
        <v>425</v>
      </c>
      <c r="Y84" s="144" t="s">
        <v>86</v>
      </c>
      <c r="Z84" s="145" t="b">
        <v>1</v>
      </c>
      <c r="AA84" s="145">
        <v>0.024305555555555556</v>
      </c>
      <c r="AB84" s="144"/>
      <c r="AC84" s="144" t="s">
        <v>163</v>
      </c>
      <c r="AD84" s="130" t="s">
        <v>426</v>
      </c>
      <c r="AE84" s="129"/>
      <c r="AF84" s="132"/>
      <c r="AG84" s="143" t="b">
        <v>1</v>
      </c>
      <c r="AH84" s="143">
        <v>88.0</v>
      </c>
      <c r="AI84" s="143">
        <v>2023.0</v>
      </c>
      <c r="AJ84" s="143"/>
      <c r="AK84" s="143">
        <v>9.0</v>
      </c>
      <c r="AL84" s="129" t="str">
        <f>IFERROR(__xludf.DUMMYFUNCTION("""COMPUTED_VALUE"""),"Luxury, Romantic")</f>
        <v>Luxury, Romantic</v>
      </c>
      <c r="AM84" s="129" t="str">
        <f>IFERROR(__xludf.DUMMYFUNCTION("""COMPUTED_VALUE"""),"Gym, Heated Pool, Room Service, Snorkelling, Spa, Wifi (Free)")</f>
        <v>Gym, Heated Pool, Room Service, Snorkelling, Spa, Wifi (Free)</v>
      </c>
      <c r="AN84" s="128"/>
    </row>
    <row r="85">
      <c r="A85" s="140" t="s">
        <v>427</v>
      </c>
      <c r="B85" s="119">
        <v>93.0</v>
      </c>
      <c r="C85" s="133" t="s">
        <v>75</v>
      </c>
      <c r="D85" s="142">
        <v>8196.47</v>
      </c>
      <c r="E85" s="122">
        <f>IFERROR(__xludf.DUMMYFUNCTION("""COMPUTED_VALUE"""),11319.734073852998)</f>
        <v>11319.73407</v>
      </c>
      <c r="F85" s="136">
        <v>1.59</v>
      </c>
      <c r="G85" s="124">
        <v>6043.0</v>
      </c>
      <c r="H85" s="125">
        <v>5325.0</v>
      </c>
      <c r="I85" s="125">
        <v>466.0</v>
      </c>
      <c r="J85" s="125">
        <v>141.0</v>
      </c>
      <c r="K85" s="125">
        <v>45.0</v>
      </c>
      <c r="L85" s="125">
        <v>67.0</v>
      </c>
      <c r="M85" s="126">
        <v>96.0</v>
      </c>
      <c r="N85" s="127">
        <v>90.0</v>
      </c>
      <c r="O85" s="127">
        <v>92.0</v>
      </c>
      <c r="P85" s="127">
        <v>94.0</v>
      </c>
      <c r="Q85" s="126" t="b">
        <v>1</v>
      </c>
      <c r="R85" s="128"/>
      <c r="S85" s="128">
        <v>9.0</v>
      </c>
      <c r="T85" s="128"/>
      <c r="U85" s="128">
        <v>4.5</v>
      </c>
      <c r="V85" s="129"/>
      <c r="W85" s="144" t="s">
        <v>84</v>
      </c>
      <c r="X85" s="129" t="s">
        <v>122</v>
      </c>
      <c r="Y85" s="144" t="s">
        <v>123</v>
      </c>
      <c r="Z85" s="145" t="b">
        <v>1</v>
      </c>
      <c r="AA85" s="145">
        <v>0.03125</v>
      </c>
      <c r="AB85" s="129" t="s">
        <v>428</v>
      </c>
      <c r="AC85" s="129" t="s">
        <v>429</v>
      </c>
      <c r="AD85" s="130" t="s">
        <v>430</v>
      </c>
      <c r="AE85" s="130" t="s">
        <v>94</v>
      </c>
      <c r="AF85" s="132" t="s">
        <v>431</v>
      </c>
      <c r="AG85" s="143" t="b">
        <v>1</v>
      </c>
      <c r="AH85" s="143">
        <v>246.0</v>
      </c>
      <c r="AI85" s="143">
        <v>2010.0</v>
      </c>
      <c r="AJ85" s="143">
        <v>2015.0</v>
      </c>
      <c r="AK85" s="143">
        <v>10.0</v>
      </c>
      <c r="AL85" s="129" t="str">
        <f>IFERROR(__xludf.DUMMYFUNCTION("""COMPUTED_VALUE"""),"Quiet, Value")</f>
        <v>Quiet, Value</v>
      </c>
      <c r="AM85" s="129" t="str">
        <f>IFERROR(__xludf.DUMMYFUNCTION("""COMPUTED_VALUE"""),"Adult Pool, Babysitting, Beach, Buffet, Evening Entertainment, Gym, Heated Pool, Kids Club, Spa, Swim Up Bar, Wifi (Free)")</f>
        <v>Adult Pool, Babysitting, Beach, Buffet, Evening Entertainment, Gym, Heated Pool, Kids Club, Spa, Swim Up Bar, Wifi (Free)</v>
      </c>
      <c r="AN85" s="139"/>
    </row>
    <row r="86">
      <c r="A86" s="118" t="s">
        <v>432</v>
      </c>
      <c r="B86" s="119">
        <v>93.0</v>
      </c>
      <c r="C86" s="134" t="s">
        <v>75</v>
      </c>
      <c r="D86" s="121">
        <v>9450.0</v>
      </c>
      <c r="E86" s="135">
        <f>IFERROR(__xludf.DUMMYFUNCTION("""COMPUTED_VALUE"""),13050.921554999999)</f>
        <v>13050.92156</v>
      </c>
      <c r="F86" s="136">
        <v>1.38</v>
      </c>
      <c r="G86" s="124">
        <v>1615.0</v>
      </c>
      <c r="H86" s="125">
        <v>1155.0</v>
      </c>
      <c r="I86" s="125">
        <v>277.0</v>
      </c>
      <c r="J86" s="125">
        <v>85.0</v>
      </c>
      <c r="K86" s="125">
        <v>49.0</v>
      </c>
      <c r="L86" s="125">
        <v>49.0</v>
      </c>
      <c r="M86" s="137">
        <v>90.0</v>
      </c>
      <c r="N86" s="138">
        <v>94.0</v>
      </c>
      <c r="O86" s="138">
        <v>96.0</v>
      </c>
      <c r="P86" s="138">
        <v>92.0</v>
      </c>
      <c r="Q86" s="135" t="b">
        <v>1</v>
      </c>
      <c r="R86" s="133">
        <v>4.0</v>
      </c>
      <c r="S86" s="133">
        <v>7.0</v>
      </c>
      <c r="T86" s="133"/>
      <c r="U86" s="133">
        <v>4.0</v>
      </c>
      <c r="V86" s="130" t="s">
        <v>433</v>
      </c>
      <c r="W86" s="130" t="s">
        <v>96</v>
      </c>
      <c r="X86" s="130" t="s">
        <v>185</v>
      </c>
      <c r="Y86" s="130" t="s">
        <v>98</v>
      </c>
      <c r="Z86" s="133" t="b">
        <v>0</v>
      </c>
      <c r="AA86" s="131">
        <v>0.04236111111111111</v>
      </c>
      <c r="AB86" s="130"/>
      <c r="AC86" s="130" t="s">
        <v>434</v>
      </c>
      <c r="AD86" s="130" t="s">
        <v>435</v>
      </c>
      <c r="AE86" s="130" t="s">
        <v>134</v>
      </c>
      <c r="AF86" s="132" t="s">
        <v>436</v>
      </c>
      <c r="AG86" s="133" t="b">
        <v>0</v>
      </c>
      <c r="AH86" s="133">
        <v>49.0</v>
      </c>
      <c r="AI86" s="133">
        <v>1968.0</v>
      </c>
      <c r="AJ86" s="133">
        <v>2001.0</v>
      </c>
      <c r="AK86" s="143"/>
      <c r="AL86" s="129" t="str">
        <f>IFERROR(__xludf.DUMMYFUNCTION("""COMPUTED_VALUE"""),"Ocean View, Quiet")</f>
        <v>Ocean View, Quiet</v>
      </c>
      <c r="AM86" s="129" t="str">
        <f>IFERROR(__xludf.DUMMYFUNCTION("""COMPUTED_VALUE"""),"2 Bedroom Suites, Beach, Buffet, Diving, Family Suite, Fishing, Snorkelling, Spa, Swim Out/Plunge Pool Rooms, Tennis")</f>
        <v>2 Bedroom Suites, Beach, Buffet, Diving, Family Suite, Fishing, Snorkelling, Spa, Swim Out/Plunge Pool Rooms, Tennis</v>
      </c>
      <c r="AN86" s="139"/>
    </row>
    <row r="87">
      <c r="A87" s="118" t="s">
        <v>437</v>
      </c>
      <c r="B87" s="119">
        <v>93.0</v>
      </c>
      <c r="C87" s="120" t="s">
        <v>68</v>
      </c>
      <c r="D87" s="121">
        <v>9509.99</v>
      </c>
      <c r="E87" s="122">
        <f>IFERROR(__xludf.DUMMYFUNCTION("""COMPUTED_VALUE"""),13133.770738500998)</f>
        <v>13133.77074</v>
      </c>
      <c r="F87" s="136">
        <v>1.37</v>
      </c>
      <c r="G87" s="124">
        <v>16915.0</v>
      </c>
      <c r="H87" s="125">
        <v>13785.0</v>
      </c>
      <c r="I87" s="125">
        <v>1997.0</v>
      </c>
      <c r="J87" s="125">
        <v>689.0</v>
      </c>
      <c r="K87" s="125">
        <v>253.0</v>
      </c>
      <c r="L87" s="125">
        <v>193.0</v>
      </c>
      <c r="M87" s="126">
        <v>94.0</v>
      </c>
      <c r="N87" s="127">
        <v>92.0</v>
      </c>
      <c r="O87" s="127">
        <v>94.0</v>
      </c>
      <c r="P87" s="127">
        <v>92.0</v>
      </c>
      <c r="Q87" s="126" t="b">
        <v>1</v>
      </c>
      <c r="R87" s="133"/>
      <c r="S87" s="133">
        <v>9.0</v>
      </c>
      <c r="T87" s="133"/>
      <c r="U87" s="133">
        <v>5.0</v>
      </c>
      <c r="V87" s="129"/>
      <c r="W87" s="130" t="s">
        <v>84</v>
      </c>
      <c r="X87" s="130" t="s">
        <v>86</v>
      </c>
      <c r="Y87" s="130" t="s">
        <v>86</v>
      </c>
      <c r="Z87" s="131" t="b">
        <v>1</v>
      </c>
      <c r="AA87" s="131">
        <v>0.01597222222222222</v>
      </c>
      <c r="AB87" s="130" t="s">
        <v>371</v>
      </c>
      <c r="AC87" s="130" t="s">
        <v>249</v>
      </c>
      <c r="AD87" s="130" t="s">
        <v>438</v>
      </c>
      <c r="AE87" s="129"/>
      <c r="AF87" s="132"/>
      <c r="AG87" s="133" t="b">
        <v>1</v>
      </c>
      <c r="AH87" s="133">
        <v>371.0</v>
      </c>
      <c r="AI87" s="133">
        <v>2002.0</v>
      </c>
      <c r="AJ87" s="133">
        <v>2018.0</v>
      </c>
      <c r="AK87" s="133">
        <v>11.0</v>
      </c>
      <c r="AL87" s="129" t="str">
        <f>IFERROR(__xludf.DUMMYFUNCTION("""COMPUTED_VALUE"""),"Green, Romantic")</f>
        <v>Green, Romantic</v>
      </c>
      <c r="AM87" s="129" t="str">
        <f>IFERROR(__xludf.DUMMYFUNCTION("""COMPUTED_VALUE"""),"Beach, Buffet, Evening Entertainment, Gym, Heated Pool, Nightclub, Room Service, Spa, Swim Up Bar, Wifi (Free)")</f>
        <v>Beach, Buffet, Evening Entertainment, Gym, Heated Pool, Nightclub, Room Service, Spa, Swim Up Bar, Wifi (Free)</v>
      </c>
      <c r="AN87" s="128"/>
    </row>
    <row r="88">
      <c r="A88" s="118" t="s">
        <v>439</v>
      </c>
      <c r="B88" s="119">
        <v>93.0</v>
      </c>
      <c r="C88" s="134" t="s">
        <v>75</v>
      </c>
      <c r="D88" s="121">
        <v>11227.9</v>
      </c>
      <c r="E88" s="135">
        <f>IFERROR(__xludf.DUMMYFUNCTION("""COMPUTED_VALUE"""),15506.290172209998)</f>
        <v>15506.29017</v>
      </c>
      <c r="F88" s="136">
        <v>1.16</v>
      </c>
      <c r="G88" s="124">
        <v>4424.0</v>
      </c>
      <c r="H88" s="125">
        <v>3601.0</v>
      </c>
      <c r="I88" s="125">
        <v>493.0</v>
      </c>
      <c r="J88" s="125">
        <v>175.0</v>
      </c>
      <c r="K88" s="125">
        <v>65.0</v>
      </c>
      <c r="L88" s="125">
        <v>96.0</v>
      </c>
      <c r="M88" s="126">
        <v>94.0</v>
      </c>
      <c r="N88" s="138">
        <v>92.0</v>
      </c>
      <c r="O88" s="146"/>
      <c r="P88" s="146"/>
      <c r="Q88" s="135" t="b">
        <v>1</v>
      </c>
      <c r="R88" s="133"/>
      <c r="S88" s="133" t="s">
        <v>83</v>
      </c>
      <c r="T88" s="133"/>
      <c r="U88" s="133"/>
      <c r="V88" s="130"/>
      <c r="W88" s="130" t="s">
        <v>193</v>
      </c>
      <c r="X88" s="130" t="s">
        <v>440</v>
      </c>
      <c r="Y88" s="130" t="s">
        <v>195</v>
      </c>
      <c r="Z88" s="131" t="b">
        <v>1</v>
      </c>
      <c r="AA88" s="131">
        <v>0.05625</v>
      </c>
      <c r="AB88" s="130" t="s">
        <v>441</v>
      </c>
      <c r="AC88" s="130" t="s">
        <v>442</v>
      </c>
      <c r="AD88" s="130" t="s">
        <v>443</v>
      </c>
      <c r="AE88" s="130"/>
      <c r="AF88" s="132" t="s">
        <v>81</v>
      </c>
      <c r="AG88" s="143" t="b">
        <v>0</v>
      </c>
      <c r="AH88" s="143">
        <v>162.0</v>
      </c>
      <c r="AI88" s="143">
        <v>2019.0</v>
      </c>
      <c r="AJ88" s="143"/>
      <c r="AK88" s="143"/>
      <c r="AL88" s="129" t="str">
        <f>IFERROR(__xludf.DUMMYFUNCTION("""COMPUTED_VALUE"""),"Ocean View")</f>
        <v>Ocean View</v>
      </c>
      <c r="AM88" s="129" t="str">
        <f>IFERROR(__xludf.DUMMYFUNCTION("""COMPUTED_VALUE"""),"Adult Pool, Adults Only Rooms, Archery, Babysitting, Beach, Buffet, Evening Entertainment, Gym, Horseback Riding, Kids Club, Kids Club for Under 4, Kids Waterpark, Nightclub, Spa, Swim Out/Plunge Pool Rooms, Teen Club, Tennis, Yoga Classes")</f>
        <v>Adult Pool, Adults Only Rooms, Archery, Babysitting, Beach, Buffet, Evening Entertainment, Gym, Horseback Riding, Kids Club, Kids Club for Under 4, Kids Waterpark, Nightclub, Spa, Swim Out/Plunge Pool Rooms, Teen Club, Tennis, Yoga Classes</v>
      </c>
      <c r="AN88" s="139"/>
    </row>
    <row r="89">
      <c r="A89" s="118" t="s">
        <v>444</v>
      </c>
      <c r="B89" s="119">
        <v>93.0</v>
      </c>
      <c r="C89" s="134" t="s">
        <v>75</v>
      </c>
      <c r="D89" s="121">
        <v>14055.3</v>
      </c>
      <c r="E89" s="135">
        <f>IFERROR(__xludf.DUMMYFUNCTION("""COMPUTED_VALUE"""),19411.070659469995)</f>
        <v>19411.07066</v>
      </c>
      <c r="F89" s="136">
        <v>0.92</v>
      </c>
      <c r="G89" s="124">
        <v>536.0</v>
      </c>
      <c r="H89" s="125">
        <v>508.0</v>
      </c>
      <c r="I89" s="125">
        <v>16.0</v>
      </c>
      <c r="J89" s="125">
        <v>5.0</v>
      </c>
      <c r="K89" s="125">
        <v>3.0</v>
      </c>
      <c r="L89" s="125">
        <v>4.0</v>
      </c>
      <c r="M89" s="137">
        <v>98.0</v>
      </c>
      <c r="N89" s="138">
        <v>88.0</v>
      </c>
      <c r="O89" s="127"/>
      <c r="P89" s="127"/>
      <c r="Q89" s="135" t="b">
        <v>1</v>
      </c>
      <c r="R89" s="133"/>
      <c r="S89" s="133" t="s">
        <v>83</v>
      </c>
      <c r="T89" s="133"/>
      <c r="U89" s="133">
        <v>4.0</v>
      </c>
      <c r="V89" s="129"/>
      <c r="W89" s="130" t="s">
        <v>219</v>
      </c>
      <c r="X89" s="130" t="s">
        <v>445</v>
      </c>
      <c r="Y89" s="130" t="s">
        <v>221</v>
      </c>
      <c r="Z89" s="131" t="b">
        <v>1</v>
      </c>
      <c r="AA89" s="131">
        <v>0.04583333333333333</v>
      </c>
      <c r="AB89" s="130"/>
      <c r="AC89" s="130" t="s">
        <v>75</v>
      </c>
      <c r="AD89" s="130" t="s">
        <v>446</v>
      </c>
      <c r="AE89" s="130"/>
      <c r="AF89" s="132" t="s">
        <v>367</v>
      </c>
      <c r="AG89" s="133" t="b">
        <v>0</v>
      </c>
      <c r="AH89" s="133">
        <v>10.0</v>
      </c>
      <c r="AI89" s="133"/>
      <c r="AJ89" s="133"/>
      <c r="AK89" s="133"/>
      <c r="AL89" s="129" t="str">
        <f>IFERROR(__xludf.DUMMYFUNCTION("""COMPUTED_VALUE"""),"Family")</f>
        <v>Family</v>
      </c>
      <c r="AM89" s="129" t="str">
        <f>IFERROR(__xludf.DUMMYFUNCTION("""COMPUTED_VALUE"""),"2 Bedroom Suites, Babysitting, Beach, Diving, Family Suite, Hiking, Horseback Riding, Room Service, Snorkelling, Tennis, Wifi (Free)")</f>
        <v>2 Bedroom Suites, Babysitting, Beach, Diving, Family Suite, Hiking, Horseback Riding, Room Service, Snorkelling, Tennis, Wifi (Free)</v>
      </c>
      <c r="AN89" s="139"/>
    </row>
    <row r="90">
      <c r="A90" s="118" t="s">
        <v>447</v>
      </c>
      <c r="B90" s="119">
        <v>92.8</v>
      </c>
      <c r="C90" s="134" t="s">
        <v>75</v>
      </c>
      <c r="D90" s="121">
        <v>3766.0</v>
      </c>
      <c r="E90" s="135">
        <f>IFERROR(__xludf.DUMMYFUNCTION("""COMPUTED_VALUE"""),5201.033923399999)</f>
        <v>5201.033923</v>
      </c>
      <c r="F90" s="136">
        <v>3.4</v>
      </c>
      <c r="G90" s="124">
        <v>5299.0</v>
      </c>
      <c r="H90" s="125">
        <v>4134.0</v>
      </c>
      <c r="I90" s="125">
        <v>788.0</v>
      </c>
      <c r="J90" s="125">
        <v>214.0</v>
      </c>
      <c r="K90" s="125">
        <v>90.0</v>
      </c>
      <c r="L90" s="125">
        <v>74.0</v>
      </c>
      <c r="M90" s="137">
        <v>93.0</v>
      </c>
      <c r="N90" s="138">
        <v>92.0</v>
      </c>
      <c r="O90" s="138">
        <v>94.0</v>
      </c>
      <c r="P90" s="138">
        <v>92.0</v>
      </c>
      <c r="Q90" s="135" t="b">
        <v>1</v>
      </c>
      <c r="R90" s="133"/>
      <c r="S90" s="133">
        <v>7.0</v>
      </c>
      <c r="T90" s="133"/>
      <c r="U90" s="133">
        <v>4.5</v>
      </c>
      <c r="V90" s="130"/>
      <c r="W90" s="130" t="s">
        <v>84</v>
      </c>
      <c r="X90" s="130" t="s">
        <v>448</v>
      </c>
      <c r="Y90" s="130" t="s">
        <v>448</v>
      </c>
      <c r="Z90" s="131" t="b">
        <v>1</v>
      </c>
      <c r="AA90" s="131">
        <v>0.00625</v>
      </c>
      <c r="AB90" s="130" t="s">
        <v>255</v>
      </c>
      <c r="AC90" s="130" t="s">
        <v>203</v>
      </c>
      <c r="AD90" s="130" t="s">
        <v>449</v>
      </c>
      <c r="AE90" s="130"/>
      <c r="AF90" s="132" t="s">
        <v>373</v>
      </c>
      <c r="AG90" s="133" t="b">
        <v>0</v>
      </c>
      <c r="AH90" s="133">
        <v>175.0</v>
      </c>
      <c r="AI90" s="133">
        <v>1988.0</v>
      </c>
      <c r="AJ90" s="133">
        <v>2004.0</v>
      </c>
      <c r="AK90" s="133">
        <v>5.0</v>
      </c>
      <c r="AL90" s="129" t="str">
        <f>IFERROR(__xludf.DUMMYFUNCTION("""COMPUTED_VALUE"""),"Family, Great View")</f>
        <v>Family, Great View</v>
      </c>
      <c r="AM90" s="129" t="str">
        <f>IFERROR(__xludf.DUMMYFUNCTION("""COMPUTED_VALUE"""),"2 Bedroom Suites, Babysitting, Buffet, Diving, Evening Entertainment, Family Suite, Fishing, Gym, Heated Pool, Kids Club, Snorkelling, Spa, Swim Up Bar, Wifi (Free)")</f>
        <v>2 Bedroom Suites, Babysitting, Buffet, Diving, Evening Entertainment, Family Suite, Fishing, Gym, Heated Pool, Kids Club, Snorkelling, Spa, Swim Up Bar, Wifi (Free)</v>
      </c>
      <c r="AN90" s="139"/>
    </row>
    <row r="91">
      <c r="A91" s="118" t="s">
        <v>450</v>
      </c>
      <c r="B91" s="119">
        <v>92.8</v>
      </c>
      <c r="C91" s="120" t="s">
        <v>68</v>
      </c>
      <c r="D91" s="121">
        <v>5329.0</v>
      </c>
      <c r="E91" s="122">
        <f>IFERROR(__xludf.DUMMYFUNCTION("""COMPUTED_VALUE"""),7359.614917099999)</f>
        <v>7359.614917</v>
      </c>
      <c r="F91" s="136">
        <v>2.4</v>
      </c>
      <c r="G91" s="124">
        <v>11463.0</v>
      </c>
      <c r="H91" s="125">
        <v>9119.0</v>
      </c>
      <c r="I91" s="125">
        <v>1478.0</v>
      </c>
      <c r="J91" s="125">
        <v>494.0</v>
      </c>
      <c r="K91" s="125">
        <v>194.0</v>
      </c>
      <c r="L91" s="125">
        <v>179.0</v>
      </c>
      <c r="M91" s="126">
        <v>93.0</v>
      </c>
      <c r="N91" s="127">
        <v>92.0</v>
      </c>
      <c r="O91" s="127">
        <v>92.0</v>
      </c>
      <c r="P91" s="127">
        <v>94.0</v>
      </c>
      <c r="Q91" s="126" t="b">
        <v>1</v>
      </c>
      <c r="R91" s="133">
        <v>4.0</v>
      </c>
      <c r="S91" s="133" t="s">
        <v>83</v>
      </c>
      <c r="T91" s="133"/>
      <c r="U91" s="133">
        <v>5.0</v>
      </c>
      <c r="V91" s="129"/>
      <c r="W91" s="130" t="s">
        <v>193</v>
      </c>
      <c r="X91" s="130" t="s">
        <v>194</v>
      </c>
      <c r="Y91" s="130" t="s">
        <v>195</v>
      </c>
      <c r="Z91" s="131" t="b">
        <v>1</v>
      </c>
      <c r="AA91" s="131">
        <v>0.0125</v>
      </c>
      <c r="AB91" s="130" t="s">
        <v>451</v>
      </c>
      <c r="AC91" s="130" t="s">
        <v>273</v>
      </c>
      <c r="AD91" s="130" t="s">
        <v>452</v>
      </c>
      <c r="AE91" s="129"/>
      <c r="AF91" s="132"/>
      <c r="AG91" s="143" t="b">
        <v>1</v>
      </c>
      <c r="AH91" s="143">
        <v>324.0</v>
      </c>
      <c r="AI91" s="143">
        <v>2007.0</v>
      </c>
      <c r="AJ91" s="143">
        <v>2019.0</v>
      </c>
      <c r="AK91" s="143">
        <v>6.0</v>
      </c>
      <c r="AL91" s="129" t="str">
        <f>IFERROR(__xludf.DUMMYFUNCTION("""COMPUTED_VALUE"""),"Bay View, Great View")</f>
        <v>Bay View, Great View</v>
      </c>
      <c r="AM91" s="129" t="str">
        <f>IFERROR(__xludf.DUMMYFUNCTION("""COMPUTED_VALUE"""),"Beach, Buffet, Evening Entertainment, Gym, Nightclub, Spa, Swim Out/Plunge Pool Rooms, Swim Up Bar")</f>
        <v>Beach, Buffet, Evening Entertainment, Gym, Nightclub, Spa, Swim Out/Plunge Pool Rooms, Swim Up Bar</v>
      </c>
      <c r="AN91" s="128"/>
    </row>
    <row r="92">
      <c r="A92" s="118" t="s">
        <v>453</v>
      </c>
      <c r="B92" s="119">
        <v>92.8</v>
      </c>
      <c r="C92" s="134" t="s">
        <v>75</v>
      </c>
      <c r="D92" s="150">
        <v>11160.67</v>
      </c>
      <c r="E92" s="135">
        <f>IFERROR(__xludf.DUMMYFUNCTION("""COMPUTED_VALUE"""),15413.442187432998)</f>
        <v>15413.44219</v>
      </c>
      <c r="F92" s="136">
        <v>1.15</v>
      </c>
      <c r="G92" s="124">
        <v>9832.0</v>
      </c>
      <c r="H92" s="125">
        <v>7865.0</v>
      </c>
      <c r="I92" s="125">
        <v>1197.0</v>
      </c>
      <c r="J92" s="125">
        <v>382.0</v>
      </c>
      <c r="K92" s="125">
        <v>212.0</v>
      </c>
      <c r="L92" s="125">
        <v>181.0</v>
      </c>
      <c r="M92" s="126">
        <v>93.0</v>
      </c>
      <c r="N92" s="127">
        <v>92.0</v>
      </c>
      <c r="O92" s="127">
        <v>94.0</v>
      </c>
      <c r="P92" s="127">
        <v>92.0</v>
      </c>
      <c r="Q92" s="135" t="b">
        <v>1</v>
      </c>
      <c r="R92" s="133"/>
      <c r="S92" s="133">
        <v>9.0</v>
      </c>
      <c r="T92" s="133"/>
      <c r="U92" s="133">
        <v>5.0</v>
      </c>
      <c r="V92" s="130"/>
      <c r="W92" s="130" t="s">
        <v>84</v>
      </c>
      <c r="X92" s="130" t="s">
        <v>86</v>
      </c>
      <c r="Y92" s="130" t="s">
        <v>86</v>
      </c>
      <c r="Z92" s="131" t="b">
        <v>1</v>
      </c>
      <c r="AA92" s="131">
        <v>0.017361111111111112</v>
      </c>
      <c r="AB92" s="130" t="s">
        <v>371</v>
      </c>
      <c r="AC92" s="130" t="s">
        <v>454</v>
      </c>
      <c r="AD92" s="130" t="s">
        <v>455</v>
      </c>
      <c r="AE92" s="130"/>
      <c r="AF92" s="132" t="s">
        <v>318</v>
      </c>
      <c r="AG92" s="133" t="b">
        <v>1</v>
      </c>
      <c r="AH92" s="133">
        <v>602.0</v>
      </c>
      <c r="AI92" s="133">
        <v>1990.0</v>
      </c>
      <c r="AJ92" s="133">
        <v>2013.0</v>
      </c>
      <c r="AK92" s="133">
        <v>11.0</v>
      </c>
      <c r="AL92" s="129" t="str">
        <f>IFERROR(__xludf.DUMMYFUNCTION("""COMPUTED_VALUE"""),"Business, Classic")</f>
        <v>Business, Classic</v>
      </c>
      <c r="AM92" s="129" t="str">
        <f>IFERROR(__xludf.DUMMYFUNCTION("""COMPUTED_VALUE"""),"2 Bedroom Suites, Babysitting, Beach, Buffet, Diving, Evening Entertainment, Family Suite, Fishing, Gym, Heated Pool, Kids Club, Room Service, Snorkelling, Spa, Swim Up Bar, Watersports Equipment Rentals, Wifi (Paid)")</f>
        <v>2 Bedroom Suites, Babysitting, Beach, Buffet, Diving, Evening Entertainment, Family Suite, Fishing, Gym, Heated Pool, Kids Club, Room Service, Snorkelling, Spa, Swim Up Bar, Watersports Equipment Rentals, Wifi (Paid)</v>
      </c>
      <c r="AN92" s="139"/>
    </row>
    <row r="93">
      <c r="A93" s="118" t="s">
        <v>456</v>
      </c>
      <c r="B93" s="119">
        <v>92.7</v>
      </c>
      <c r="C93" s="120" t="s">
        <v>68</v>
      </c>
      <c r="D93" s="121">
        <v>4230.0</v>
      </c>
      <c r="E93" s="122">
        <f>IFERROR(__xludf.DUMMYFUNCTION("""COMPUTED_VALUE"""),5841.841076999999)</f>
        <v>5841.841077</v>
      </c>
      <c r="F93" s="136">
        <v>3.0</v>
      </c>
      <c r="G93" s="124">
        <v>7297.0</v>
      </c>
      <c r="H93" s="125">
        <v>5167.0</v>
      </c>
      <c r="I93" s="125">
        <v>1131.0</v>
      </c>
      <c r="J93" s="125">
        <v>550.0</v>
      </c>
      <c r="K93" s="125">
        <v>256.0</v>
      </c>
      <c r="L93" s="125">
        <v>196.0</v>
      </c>
      <c r="M93" s="126">
        <v>90.0</v>
      </c>
      <c r="N93" s="127">
        <v>98.0</v>
      </c>
      <c r="O93" s="127"/>
      <c r="P93" s="127">
        <v>90.0</v>
      </c>
      <c r="Q93" s="126" t="b">
        <v>1</v>
      </c>
      <c r="R93" s="133">
        <v>4.0</v>
      </c>
      <c r="S93" s="133">
        <v>8.0</v>
      </c>
      <c r="T93" s="133"/>
      <c r="U93" s="133">
        <v>5.0</v>
      </c>
      <c r="V93" s="129"/>
      <c r="W93" s="130" t="s">
        <v>219</v>
      </c>
      <c r="X93" s="130" t="s">
        <v>457</v>
      </c>
      <c r="Y93" s="144" t="s">
        <v>221</v>
      </c>
      <c r="Z93" s="131" t="b">
        <v>1</v>
      </c>
      <c r="AA93" s="131">
        <v>0.025</v>
      </c>
      <c r="AB93" s="130" t="s">
        <v>150</v>
      </c>
      <c r="AC93" s="130"/>
      <c r="AD93" s="130" t="s">
        <v>458</v>
      </c>
      <c r="AE93" s="129"/>
      <c r="AF93" s="132"/>
      <c r="AG93" s="133" t="b">
        <v>0</v>
      </c>
      <c r="AH93" s="133">
        <v>315.0</v>
      </c>
      <c r="AI93" s="133">
        <v>2018.0</v>
      </c>
      <c r="AJ93" s="143"/>
      <c r="AK93" s="133">
        <v>3.0</v>
      </c>
      <c r="AL93" s="129"/>
      <c r="AM93" s="129" t="str">
        <f>IFERROR(__xludf.DUMMYFUNCTION("""COMPUTED_VALUE"""),"Beach, Buffet, Evening Entertainment, Gym, Nightclub, Snorkelling, Spa, Swim Out/Plunge Pool Rooms, Swim Up Bar, Wifi (Free)")</f>
        <v>Beach, Buffet, Evening Entertainment, Gym, Nightclub, Snorkelling, Spa, Swim Out/Plunge Pool Rooms, Swim Up Bar, Wifi (Free)</v>
      </c>
      <c r="AN93" s="128"/>
    </row>
    <row r="94">
      <c r="A94" s="118" t="s">
        <v>459</v>
      </c>
      <c r="B94" s="119">
        <v>92.7</v>
      </c>
      <c r="C94" s="120" t="s">
        <v>68</v>
      </c>
      <c r="D94" s="121">
        <v>8015.0</v>
      </c>
      <c r="E94" s="122">
        <f>IFERROR(__xludf.DUMMYFUNCTION("""COMPUTED_VALUE"""),11069.114948499999)</f>
        <v>11069.11495</v>
      </c>
      <c r="F94" s="136">
        <v>1.58</v>
      </c>
      <c r="G94" s="124">
        <v>3534.0</v>
      </c>
      <c r="H94" s="125">
        <v>2622.0</v>
      </c>
      <c r="I94" s="125">
        <v>635.0</v>
      </c>
      <c r="J94" s="125">
        <v>161.0</v>
      </c>
      <c r="K94" s="125">
        <v>61.0</v>
      </c>
      <c r="L94" s="125">
        <v>55.0</v>
      </c>
      <c r="M94" s="126">
        <v>92.0</v>
      </c>
      <c r="N94" s="127">
        <v>92.0</v>
      </c>
      <c r="O94" s="127"/>
      <c r="P94" s="127">
        <v>94.0</v>
      </c>
      <c r="Q94" s="126" t="b">
        <v>1</v>
      </c>
      <c r="R94" s="128"/>
      <c r="S94" s="133">
        <v>7.0</v>
      </c>
      <c r="T94" s="133"/>
      <c r="U94" s="133"/>
      <c r="V94" s="129"/>
      <c r="W94" s="130" t="s">
        <v>96</v>
      </c>
      <c r="X94" s="130" t="s">
        <v>460</v>
      </c>
      <c r="Y94" s="130" t="s">
        <v>98</v>
      </c>
      <c r="Z94" s="131" t="b">
        <v>0</v>
      </c>
      <c r="AA94" s="131">
        <v>0.04791666666666667</v>
      </c>
      <c r="AB94" s="129"/>
      <c r="AC94" s="130" t="s">
        <v>461</v>
      </c>
      <c r="AD94" s="130" t="s">
        <v>462</v>
      </c>
      <c r="AE94" s="129"/>
      <c r="AF94" s="132"/>
      <c r="AG94" s="133" t="b">
        <v>0</v>
      </c>
      <c r="AH94" s="133">
        <v>100.0</v>
      </c>
      <c r="AI94" s="133">
        <v>1984.0</v>
      </c>
      <c r="AJ94" s="133">
        <v>2015.0</v>
      </c>
      <c r="AK94" s="133">
        <v>3.0</v>
      </c>
      <c r="AL94" s="129" t="str">
        <f>IFERROR(__xludf.DUMMYFUNCTION("""COMPUTED_VALUE"""),"Charming, Great View")</f>
        <v>Charming, Great View</v>
      </c>
      <c r="AM94" s="129" t="str">
        <f>IFERROR(__xludf.DUMMYFUNCTION("""COMPUTED_VALUE"""),"Archery, Beach, Buffet, Diving, Evening Entertainment, Fishing, Gym, Lazy River, Snorkelling, Spa, Swim Up Bar, Tennis, Wifi (Free), Windsurfing, Yoga Classes")</f>
        <v>Archery, Beach, Buffet, Diving, Evening Entertainment, Fishing, Gym, Lazy River, Snorkelling, Spa, Swim Up Bar, Tennis, Wifi (Free), Windsurfing, Yoga Classes</v>
      </c>
      <c r="AN94" s="128"/>
    </row>
    <row r="95">
      <c r="A95" s="118" t="s">
        <v>463</v>
      </c>
      <c r="B95" s="149">
        <v>92.7</v>
      </c>
      <c r="C95" s="120" t="s">
        <v>68</v>
      </c>
      <c r="D95" s="121">
        <v>8394.4</v>
      </c>
      <c r="E95" s="122">
        <f>IFERROR(__xludf.DUMMYFUNCTION("""COMPUTED_VALUE"""),11593.085280559999)</f>
        <v>11593.08528</v>
      </c>
      <c r="F95" s="136">
        <v>1.51</v>
      </c>
      <c r="G95" s="124">
        <v>675.0</v>
      </c>
      <c r="H95" s="125">
        <v>628.0</v>
      </c>
      <c r="I95" s="125">
        <v>31.0</v>
      </c>
      <c r="J95" s="125">
        <v>9.0</v>
      </c>
      <c r="K95" s="125">
        <v>4.0</v>
      </c>
      <c r="L95" s="125">
        <v>3.0</v>
      </c>
      <c r="M95" s="126">
        <v>98.0</v>
      </c>
      <c r="N95" s="127">
        <v>90.0</v>
      </c>
      <c r="O95" s="127"/>
      <c r="P95" s="138">
        <v>90.0</v>
      </c>
      <c r="Q95" s="122" t="b">
        <v>1</v>
      </c>
      <c r="R95" s="133"/>
      <c r="S95" s="133">
        <v>7.0</v>
      </c>
      <c r="T95" s="133"/>
      <c r="U95" s="133">
        <v>4.0</v>
      </c>
      <c r="V95" s="129"/>
      <c r="W95" s="130" t="s">
        <v>84</v>
      </c>
      <c r="X95" s="130" t="s">
        <v>122</v>
      </c>
      <c r="Y95" s="130" t="s">
        <v>123</v>
      </c>
      <c r="Z95" s="131" t="b">
        <v>1</v>
      </c>
      <c r="AA95" s="131">
        <v>0.03263888888888889</v>
      </c>
      <c r="AB95" s="130" t="s">
        <v>464</v>
      </c>
      <c r="AC95" s="130" t="s">
        <v>308</v>
      </c>
      <c r="AD95" s="130" t="s">
        <v>465</v>
      </c>
      <c r="AE95" s="129"/>
      <c r="AF95" s="132"/>
      <c r="AG95" s="133" t="b">
        <v>0</v>
      </c>
      <c r="AH95" s="133">
        <v>154.0</v>
      </c>
      <c r="AI95" s="133">
        <v>2005.0</v>
      </c>
      <c r="AJ95" s="143"/>
      <c r="AK95" s="133">
        <v>5.0</v>
      </c>
      <c r="AL95" s="129" t="str">
        <f>IFERROR(__xludf.DUMMYFUNCTION("""COMPUTED_VALUE"""),"Charming, Romantic")</f>
        <v>Charming, Romantic</v>
      </c>
      <c r="AM95" s="129" t="str">
        <f>IFERROR(__xludf.DUMMYFUNCTION("""COMPUTED_VALUE"""),"Beach, Buffet, Golf Course, Gym, Heated Pool, Hiking, Room Service, Spa, Swim Up Bar, Tennis, Wifi (Free), Yoga Classes")</f>
        <v>Beach, Buffet, Golf Course, Gym, Heated Pool, Hiking, Room Service, Spa, Swim Up Bar, Tennis, Wifi (Free), Yoga Classes</v>
      </c>
      <c r="AN95" s="128"/>
    </row>
    <row r="96">
      <c r="A96" s="118" t="s">
        <v>466</v>
      </c>
      <c r="B96" s="119">
        <v>92.7</v>
      </c>
      <c r="C96" s="134" t="s">
        <v>75</v>
      </c>
      <c r="D96" s="121">
        <v>9912.0</v>
      </c>
      <c r="E96" s="135">
        <f>IFERROR(__xludf.DUMMYFUNCTION("""COMPUTED_VALUE"""),13688.966608799998)</f>
        <v>13688.96661</v>
      </c>
      <c r="F96" s="136">
        <v>1.28</v>
      </c>
      <c r="G96" s="124">
        <v>325.0</v>
      </c>
      <c r="H96" s="125">
        <v>313.0</v>
      </c>
      <c r="I96" s="125">
        <v>7.0</v>
      </c>
      <c r="J96" s="125">
        <v>2.0</v>
      </c>
      <c r="K96" s="125">
        <v>1.0</v>
      </c>
      <c r="L96" s="125">
        <v>3.0</v>
      </c>
      <c r="M96" s="126">
        <v>98.0</v>
      </c>
      <c r="N96" s="138">
        <v>94.0</v>
      </c>
      <c r="O96" s="146"/>
      <c r="P96" s="138">
        <v>86.0</v>
      </c>
      <c r="Q96" s="135" t="b">
        <v>1</v>
      </c>
      <c r="R96" s="133"/>
      <c r="S96" s="133"/>
      <c r="T96" s="133"/>
      <c r="U96" s="133">
        <v>5.0</v>
      </c>
      <c r="V96" s="129"/>
      <c r="W96" s="130" t="s">
        <v>84</v>
      </c>
      <c r="X96" s="130" t="s">
        <v>467</v>
      </c>
      <c r="Y96" s="130" t="s">
        <v>468</v>
      </c>
      <c r="Z96" s="131" t="b">
        <v>0</v>
      </c>
      <c r="AA96" s="131">
        <v>0.025694444444444443</v>
      </c>
      <c r="AB96" s="130" t="s">
        <v>464</v>
      </c>
      <c r="AC96" s="130" t="s">
        <v>469</v>
      </c>
      <c r="AD96" s="130" t="s">
        <v>470</v>
      </c>
      <c r="AE96" s="130"/>
      <c r="AF96" s="132" t="s">
        <v>142</v>
      </c>
      <c r="AG96" s="128" t="b">
        <v>0</v>
      </c>
      <c r="AH96" s="128"/>
      <c r="AI96" s="128"/>
      <c r="AJ96" s="128"/>
      <c r="AK96" s="128"/>
      <c r="AL96" s="129" t="str">
        <f>IFERROR(__xludf.DUMMYFUNCTION("""COMPUTED_VALUE"""),"Charming")</f>
        <v>Charming</v>
      </c>
      <c r="AM96" s="129" t="str">
        <f>IFERROR(__xludf.DUMMYFUNCTION("""COMPUTED_VALUE"""),"2 Bedroom Suites, Adult Pool, Beach, Buffet, Family Suite, Gym, Heated Pool, Room Service, Spa, Swim Out/Plunge Pool Rooms, Swim Up Bar, Tennis, Wifi (Free), Yoga Classes")</f>
        <v>2 Bedroom Suites, Adult Pool, Beach, Buffet, Family Suite, Gym, Heated Pool, Room Service, Spa, Swim Out/Plunge Pool Rooms, Swim Up Bar, Tennis, Wifi (Free), Yoga Classes</v>
      </c>
      <c r="AN96" s="139"/>
    </row>
    <row r="97">
      <c r="A97" s="118" t="s">
        <v>471</v>
      </c>
      <c r="B97" s="119">
        <v>92.5</v>
      </c>
      <c r="C97" s="120" t="s">
        <v>68</v>
      </c>
      <c r="D97" s="121">
        <v>4287.0</v>
      </c>
      <c r="E97" s="122">
        <f>IFERROR(__xludf.DUMMYFUNCTION("""COMPUTED_VALUE"""),5920.560921299999)</f>
        <v>5920.560921</v>
      </c>
      <c r="F97" s="136">
        <v>2.92</v>
      </c>
      <c r="G97" s="124">
        <v>6957.0</v>
      </c>
      <c r="H97" s="125">
        <v>5713.0</v>
      </c>
      <c r="I97" s="125">
        <v>770.0</v>
      </c>
      <c r="J97" s="125">
        <v>246.0</v>
      </c>
      <c r="K97" s="125">
        <v>104.0</v>
      </c>
      <c r="L97" s="125">
        <v>128.0</v>
      </c>
      <c r="M97" s="126">
        <v>94.0</v>
      </c>
      <c r="N97" s="127">
        <v>92.0</v>
      </c>
      <c r="O97" s="127">
        <v>94.0</v>
      </c>
      <c r="P97" s="127">
        <v>90.0</v>
      </c>
      <c r="Q97" s="126" t="b">
        <v>1</v>
      </c>
      <c r="R97" s="133">
        <v>5.0</v>
      </c>
      <c r="S97" s="133">
        <v>9.0</v>
      </c>
      <c r="T97" s="133"/>
      <c r="U97" s="133">
        <v>5.0</v>
      </c>
      <c r="V97" s="129"/>
      <c r="W97" s="130" t="s">
        <v>84</v>
      </c>
      <c r="X97" s="130" t="s">
        <v>336</v>
      </c>
      <c r="Y97" s="130" t="s">
        <v>86</v>
      </c>
      <c r="Z97" s="131" t="b">
        <v>1</v>
      </c>
      <c r="AA97" s="131">
        <v>0.04513888888888889</v>
      </c>
      <c r="AB97" s="130" t="s">
        <v>472</v>
      </c>
      <c r="AC97" s="130" t="s">
        <v>473</v>
      </c>
      <c r="AD97" s="130" t="s">
        <v>474</v>
      </c>
      <c r="AE97" s="129"/>
      <c r="AF97" s="132"/>
      <c r="AG97" s="133" t="b">
        <v>0</v>
      </c>
      <c r="AH97" s="133">
        <v>448.0</v>
      </c>
      <c r="AI97" s="133">
        <v>2017.0</v>
      </c>
      <c r="AJ97" s="143"/>
      <c r="AK97" s="133">
        <v>5.0</v>
      </c>
      <c r="AL97" s="129" t="str">
        <f>IFERROR(__xludf.DUMMYFUNCTION("""COMPUTED_VALUE"""),"Great View, Trendy")</f>
        <v>Great View, Trendy</v>
      </c>
      <c r="AM97" s="129" t="str">
        <f>IFERROR(__xludf.DUMMYFUNCTION("""COMPUTED_VALUE"""),"Beach, Buffet, Evening Entertainment, Great Food, Gym, Heated Pool, Nightclub, Room Service, Spa, Swim Out/Plunge Pool Rooms, Swim Up Bar, Wifi (Free)")</f>
        <v>Beach, Buffet, Evening Entertainment, Great Food, Gym, Heated Pool, Nightclub, Room Service, Spa, Swim Out/Plunge Pool Rooms, Swim Up Bar, Wifi (Free)</v>
      </c>
      <c r="AN97" s="128"/>
    </row>
    <row r="98">
      <c r="A98" s="118" t="s">
        <v>475</v>
      </c>
      <c r="B98" s="119">
        <v>92.5</v>
      </c>
      <c r="C98" s="120" t="s">
        <v>68</v>
      </c>
      <c r="D98" s="121">
        <v>4571.0</v>
      </c>
      <c r="E98" s="135">
        <f>IFERROR(__xludf.DUMMYFUNCTION("""COMPUTED_VALUE"""),6312.779092899999)</f>
        <v>6312.779093</v>
      </c>
      <c r="F98" s="136">
        <v>2.73</v>
      </c>
      <c r="G98" s="124">
        <v>9480.0</v>
      </c>
      <c r="H98" s="125">
        <v>7413.0</v>
      </c>
      <c r="I98" s="125">
        <v>1445.0</v>
      </c>
      <c r="J98" s="125">
        <v>421.0</v>
      </c>
      <c r="K98" s="125">
        <v>125.0</v>
      </c>
      <c r="L98" s="125">
        <v>77.0</v>
      </c>
      <c r="M98" s="126">
        <v>94.0</v>
      </c>
      <c r="N98" s="127">
        <v>92.0</v>
      </c>
      <c r="O98" s="127">
        <v>92.0</v>
      </c>
      <c r="P98" s="127">
        <v>92.0</v>
      </c>
      <c r="Q98" s="122" t="b">
        <v>1</v>
      </c>
      <c r="R98" s="133">
        <v>4.0</v>
      </c>
      <c r="S98" s="133">
        <v>7.0</v>
      </c>
      <c r="T98" s="133"/>
      <c r="U98" s="133">
        <v>4.5</v>
      </c>
      <c r="V98" s="129"/>
      <c r="W98" s="130" t="s">
        <v>84</v>
      </c>
      <c r="X98" s="130" t="s">
        <v>86</v>
      </c>
      <c r="Y98" s="130" t="s">
        <v>86</v>
      </c>
      <c r="Z98" s="131" t="b">
        <v>1</v>
      </c>
      <c r="AA98" s="131">
        <v>0.009722222222222222</v>
      </c>
      <c r="AB98" s="130" t="s">
        <v>255</v>
      </c>
      <c r="AC98" s="130" t="s">
        <v>476</v>
      </c>
      <c r="AD98" s="130" t="s">
        <v>477</v>
      </c>
      <c r="AE98" s="129"/>
      <c r="AF98" s="132"/>
      <c r="AG98" s="133" t="b">
        <v>1</v>
      </c>
      <c r="AH98" s="133">
        <v>252.0</v>
      </c>
      <c r="AI98" s="133">
        <v>1986.0</v>
      </c>
      <c r="AJ98" s="133">
        <v>2006.0</v>
      </c>
      <c r="AK98" s="133">
        <v>5.0</v>
      </c>
      <c r="AL98" s="129" t="str">
        <f>IFERROR(__xludf.DUMMYFUNCTION("""COMPUTED_VALUE"""),"Quiet, Romantic")</f>
        <v>Quiet, Romantic</v>
      </c>
      <c r="AM98" s="129" t="str">
        <f>IFERROR(__xludf.DUMMYFUNCTION("""COMPUTED_VALUE"""),"Beach, Buffet, Diving, Evening Entertainment, Fishing, Gym, Heated Pool, Room Service, Snorkelling, Spa, Swim Up Bar, Wifi (Free)")</f>
        <v>Beach, Buffet, Diving, Evening Entertainment, Fishing, Gym, Heated Pool, Room Service, Snorkelling, Spa, Swim Up Bar, Wifi (Free)</v>
      </c>
      <c r="AN98" s="128"/>
    </row>
    <row r="99">
      <c r="A99" s="118" t="s">
        <v>478</v>
      </c>
      <c r="B99" s="119">
        <v>92.5</v>
      </c>
      <c r="C99" s="120" t="s">
        <v>68</v>
      </c>
      <c r="D99" s="142"/>
      <c r="E99" s="122"/>
      <c r="F99" s="136"/>
      <c r="G99" s="124">
        <v>1250.0</v>
      </c>
      <c r="H99" s="125">
        <v>992.0</v>
      </c>
      <c r="I99" s="125">
        <v>168.0</v>
      </c>
      <c r="J99" s="125">
        <v>43.0</v>
      </c>
      <c r="K99" s="125">
        <v>26.0</v>
      </c>
      <c r="L99" s="125">
        <v>21.0</v>
      </c>
      <c r="M99" s="137">
        <v>93.0</v>
      </c>
      <c r="N99" s="138">
        <v>92.0</v>
      </c>
      <c r="O99" s="127"/>
      <c r="P99" s="127"/>
      <c r="Q99" s="126" t="b">
        <v>1</v>
      </c>
      <c r="R99" s="128"/>
      <c r="S99" s="128"/>
      <c r="T99" s="128"/>
      <c r="U99" s="133">
        <v>4.0</v>
      </c>
      <c r="V99" s="130" t="s">
        <v>479</v>
      </c>
      <c r="W99" s="130" t="s">
        <v>137</v>
      </c>
      <c r="X99" s="130" t="s">
        <v>480</v>
      </c>
      <c r="Y99" s="130" t="s">
        <v>139</v>
      </c>
      <c r="Z99" s="133" t="b">
        <v>1</v>
      </c>
      <c r="AA99" s="145"/>
      <c r="AB99" s="130"/>
      <c r="AC99" s="130"/>
      <c r="AD99" s="130" t="s">
        <v>481</v>
      </c>
      <c r="AE99" s="129"/>
      <c r="AF99" s="132"/>
      <c r="AG99" s="133" t="b">
        <v>0</v>
      </c>
      <c r="AH99" s="133"/>
      <c r="AI99" s="133"/>
      <c r="AJ99" s="133"/>
      <c r="AK99" s="133"/>
      <c r="AL99" s="129"/>
      <c r="AM99" s="129" t="str">
        <f>IFERROR(__xludf.DUMMYFUNCTION("""COMPUTED_VALUE"""),"Bicycles Available, Buffet, Gym, Wifi (Free)")</f>
        <v>Bicycles Available, Buffet, Gym, Wifi (Free)</v>
      </c>
      <c r="AN99" s="128"/>
    </row>
    <row r="100">
      <c r="A100" s="118" t="s">
        <v>482</v>
      </c>
      <c r="B100" s="119">
        <v>92.3</v>
      </c>
      <c r="C100" s="134" t="s">
        <v>75</v>
      </c>
      <c r="D100" s="121">
        <v>3431.4</v>
      </c>
      <c r="E100" s="135">
        <f>IFERROR(__xludf.DUMMYFUNCTION("""COMPUTED_VALUE"""),4738.934626859999)</f>
        <v>4738.934627</v>
      </c>
      <c r="F100" s="136">
        <v>3.58</v>
      </c>
      <c r="G100" s="124">
        <v>5045.0</v>
      </c>
      <c r="H100" s="125">
        <v>3857.0</v>
      </c>
      <c r="I100" s="125">
        <v>852.0</v>
      </c>
      <c r="J100" s="125">
        <v>213.0</v>
      </c>
      <c r="K100" s="125">
        <v>70.0</v>
      </c>
      <c r="L100" s="125">
        <v>53.0</v>
      </c>
      <c r="M100" s="126">
        <v>93.0</v>
      </c>
      <c r="N100" s="138">
        <v>92.0</v>
      </c>
      <c r="O100" s="138">
        <v>92.0</v>
      </c>
      <c r="P100" s="127">
        <v>92.0</v>
      </c>
      <c r="Q100" s="135" t="b">
        <v>1</v>
      </c>
      <c r="R100" s="133"/>
      <c r="S100" s="133">
        <v>7.0</v>
      </c>
      <c r="T100" s="133"/>
      <c r="U100" s="133">
        <v>4.0</v>
      </c>
      <c r="V100" s="129"/>
      <c r="W100" s="130" t="s">
        <v>84</v>
      </c>
      <c r="X100" s="130" t="s">
        <v>119</v>
      </c>
      <c r="Y100" s="130" t="s">
        <v>120</v>
      </c>
      <c r="Z100" s="131" t="b">
        <v>1</v>
      </c>
      <c r="AA100" s="131">
        <v>0.004166666666666667</v>
      </c>
      <c r="AB100" s="130" t="s">
        <v>124</v>
      </c>
      <c r="AC100" s="130" t="s">
        <v>211</v>
      </c>
      <c r="AD100" s="130" t="s">
        <v>483</v>
      </c>
      <c r="AE100" s="130"/>
      <c r="AF100" s="132" t="s">
        <v>484</v>
      </c>
      <c r="AG100" s="133" t="b">
        <v>1</v>
      </c>
      <c r="AH100" s="133">
        <v>345.0</v>
      </c>
      <c r="AI100" s="133">
        <v>1990.0</v>
      </c>
      <c r="AJ100" s="133">
        <v>2005.0</v>
      </c>
      <c r="AK100" s="133">
        <v>9.0</v>
      </c>
      <c r="AL100" s="129" t="str">
        <f>IFERROR(__xludf.DUMMYFUNCTION("""COMPUTED_VALUE"""),"Green, Quiet")</f>
        <v>Green, Quiet</v>
      </c>
      <c r="AM100" s="129" t="str">
        <f>IFERROR(__xludf.DUMMYFUNCTION("""COMPUTED_VALUE"""),"2 Bedroom Suites, Babysitting, Beach, Buffet, Diving, Evening Entertainment, Family Suite, Fishing, Gym, Heated Pool, Kids Club, Lazy River, Spa, Swim Up Bar, Teen Club, Tennis, Wifi (Paid)")</f>
        <v>2 Bedroom Suites, Babysitting, Beach, Buffet, Diving, Evening Entertainment, Family Suite, Fishing, Gym, Heated Pool, Kids Club, Lazy River, Spa, Swim Up Bar, Teen Club, Tennis, Wifi (Paid)</v>
      </c>
      <c r="AN100" s="139"/>
    </row>
    <row r="101">
      <c r="A101" s="118" t="s">
        <v>485</v>
      </c>
      <c r="B101" s="149">
        <v>92.3</v>
      </c>
      <c r="C101" s="120" t="s">
        <v>68</v>
      </c>
      <c r="D101" s="121">
        <v>3690.27</v>
      </c>
      <c r="E101" s="122">
        <f>IFERROR(__xludf.DUMMYFUNCTION("""COMPUTED_VALUE"""),5096.447014472999)</f>
        <v>5096.447014</v>
      </c>
      <c r="F101" s="136">
        <v>3.33</v>
      </c>
      <c r="G101" s="124">
        <v>18456.0</v>
      </c>
      <c r="H101" s="125">
        <v>13539.0</v>
      </c>
      <c r="I101" s="125">
        <v>2715.0</v>
      </c>
      <c r="J101" s="125">
        <v>1161.0</v>
      </c>
      <c r="K101" s="125">
        <v>605.0</v>
      </c>
      <c r="L101" s="125">
        <v>437.0</v>
      </c>
      <c r="M101" s="126">
        <v>91.0</v>
      </c>
      <c r="N101" s="127">
        <v>96.0</v>
      </c>
      <c r="O101" s="127"/>
      <c r="P101" s="138">
        <v>90.0</v>
      </c>
      <c r="Q101" s="122" t="b">
        <v>1</v>
      </c>
      <c r="R101" s="133"/>
      <c r="S101" s="143">
        <v>7.0</v>
      </c>
      <c r="T101" s="133"/>
      <c r="U101" s="133"/>
      <c r="V101" s="129"/>
      <c r="W101" s="130" t="s">
        <v>193</v>
      </c>
      <c r="X101" s="130" t="s">
        <v>225</v>
      </c>
      <c r="Y101" s="130" t="s">
        <v>195</v>
      </c>
      <c r="Z101" s="131" t="b">
        <v>1</v>
      </c>
      <c r="AA101" s="131">
        <v>0.01875</v>
      </c>
      <c r="AB101" s="130" t="s">
        <v>412</v>
      </c>
      <c r="AC101" s="130" t="s">
        <v>486</v>
      </c>
      <c r="AD101" s="130" t="s">
        <v>487</v>
      </c>
      <c r="AE101" s="129"/>
      <c r="AF101" s="132"/>
      <c r="AG101" s="143" t="b">
        <v>0</v>
      </c>
      <c r="AH101" s="143">
        <v>372.0</v>
      </c>
      <c r="AI101" s="143">
        <v>2004.0</v>
      </c>
      <c r="AJ101" s="143">
        <v>2014.0</v>
      </c>
      <c r="AK101" s="143">
        <v>3.0</v>
      </c>
      <c r="AL101" s="129" t="str">
        <f>IFERROR(__xludf.DUMMYFUNCTION("""COMPUTED_VALUE"""),"Quiet, Value")</f>
        <v>Quiet, Value</v>
      </c>
      <c r="AM101" s="129" t="str">
        <f>IFERROR(__xludf.DUMMYFUNCTION("""COMPUTED_VALUE"""),"Beach, Buffet, Casino, Diving, Evening Entertainment, Fishing, Gym, Nightclub, Room Service, Snorkelling, Spa, Swim Out/Plunge Pool Rooms, Swim Up Bar, Tennis")</f>
        <v>Beach, Buffet, Casino, Diving, Evening Entertainment, Fishing, Gym, Nightclub, Room Service, Snorkelling, Spa, Swim Out/Plunge Pool Rooms, Swim Up Bar, Tennis</v>
      </c>
      <c r="AN101" s="128"/>
    </row>
    <row r="102">
      <c r="A102" s="118" t="s">
        <v>488</v>
      </c>
      <c r="B102" s="119">
        <v>92.3</v>
      </c>
      <c r="C102" s="134" t="s">
        <v>75</v>
      </c>
      <c r="D102" s="121">
        <v>4468.33</v>
      </c>
      <c r="E102" s="135">
        <f>IFERROR(__xludf.DUMMYFUNCTION("""COMPUTED_VALUE"""),6170.986699666999)</f>
        <v>6170.9867</v>
      </c>
      <c r="F102" s="136">
        <v>2.75</v>
      </c>
      <c r="G102" s="124">
        <v>10999.0</v>
      </c>
      <c r="H102" s="125">
        <v>9027.0</v>
      </c>
      <c r="I102" s="125">
        <v>1549.0</v>
      </c>
      <c r="J102" s="125">
        <v>321.0</v>
      </c>
      <c r="K102" s="125">
        <v>66.0</v>
      </c>
      <c r="L102" s="125">
        <v>39.0</v>
      </c>
      <c r="M102" s="126">
        <v>95.0</v>
      </c>
      <c r="N102" s="127">
        <v>92.0</v>
      </c>
      <c r="O102" s="146"/>
      <c r="P102" s="127">
        <v>90.0</v>
      </c>
      <c r="Q102" s="135" t="b">
        <v>1</v>
      </c>
      <c r="R102" s="133"/>
      <c r="S102" s="133" t="s">
        <v>83</v>
      </c>
      <c r="T102" s="133"/>
      <c r="U102" s="133">
        <v>5.0</v>
      </c>
      <c r="V102" s="130"/>
      <c r="W102" s="130" t="s">
        <v>84</v>
      </c>
      <c r="X102" s="130" t="s">
        <v>336</v>
      </c>
      <c r="Y102" s="144" t="s">
        <v>337</v>
      </c>
      <c r="Z102" s="133" t="b">
        <v>1</v>
      </c>
      <c r="AA102" s="145">
        <v>0.04583333333333333</v>
      </c>
      <c r="AB102" s="144"/>
      <c r="AC102" s="144" t="s">
        <v>316</v>
      </c>
      <c r="AD102" s="130" t="s">
        <v>489</v>
      </c>
      <c r="AE102" s="130" t="s">
        <v>94</v>
      </c>
      <c r="AF102" s="132" t="s">
        <v>135</v>
      </c>
      <c r="AG102" s="133" t="b">
        <v>0</v>
      </c>
      <c r="AH102" s="133">
        <v>310.0</v>
      </c>
      <c r="AI102" s="133"/>
      <c r="AJ102" s="133">
        <v>2014.0</v>
      </c>
      <c r="AK102" s="133">
        <v>4.0</v>
      </c>
      <c r="AL102" s="129" t="str">
        <f>IFERROR(__xludf.DUMMYFUNCTION("""COMPUTED_VALUE"""),"Bay View, Quiet")</f>
        <v>Bay View, Quiet</v>
      </c>
      <c r="AM102" s="129" t="str">
        <f>IFERROR(__xludf.DUMMYFUNCTION("""COMPUTED_VALUE"""),"Adults Only Rooms, Babysitting, Beach, Buffet, Diving, Evening Entertainment, Gym, Kids Club, Snorkelling, Spa, Tennis, Yoga Classes")</f>
        <v>Adults Only Rooms, Babysitting, Beach, Buffet, Diving, Evening Entertainment, Gym, Kids Club, Snorkelling, Spa, Tennis, Yoga Classes</v>
      </c>
      <c r="AN102" s="139"/>
    </row>
    <row r="103">
      <c r="A103" s="140" t="s">
        <v>490</v>
      </c>
      <c r="B103" s="119">
        <v>92.3</v>
      </c>
      <c r="C103" s="141" t="s">
        <v>68</v>
      </c>
      <c r="D103" s="142">
        <v>5180.0</v>
      </c>
      <c r="E103" s="135">
        <f>IFERROR(__xludf.DUMMYFUNCTION("""COMPUTED_VALUE"""),7153.838481999999)</f>
        <v>7153.838482</v>
      </c>
      <c r="F103" s="136">
        <v>2.37</v>
      </c>
      <c r="G103" s="124">
        <v>1007.0</v>
      </c>
      <c r="H103" s="125">
        <v>802.0</v>
      </c>
      <c r="I103" s="125">
        <v>100.0</v>
      </c>
      <c r="J103" s="125">
        <v>68.0</v>
      </c>
      <c r="K103" s="125">
        <v>26.0</v>
      </c>
      <c r="L103" s="125">
        <v>14.0</v>
      </c>
      <c r="M103" s="126">
        <v>93.0</v>
      </c>
      <c r="N103" s="127">
        <v>90.0</v>
      </c>
      <c r="O103" s="127" t="s">
        <v>491</v>
      </c>
      <c r="P103" s="127">
        <v>94.0</v>
      </c>
      <c r="Q103" s="122" t="b">
        <v>1</v>
      </c>
      <c r="R103" s="128"/>
      <c r="S103" s="133" t="s">
        <v>83</v>
      </c>
      <c r="T103" s="133" t="s">
        <v>492</v>
      </c>
      <c r="U103" s="143">
        <v>5.0</v>
      </c>
      <c r="V103" s="144"/>
      <c r="W103" s="144" t="s">
        <v>193</v>
      </c>
      <c r="X103" s="144" t="s">
        <v>195</v>
      </c>
      <c r="Y103" s="144" t="s">
        <v>195</v>
      </c>
      <c r="Z103" s="145" t="b">
        <v>1</v>
      </c>
      <c r="AA103" s="145">
        <v>0.02847222222222222</v>
      </c>
      <c r="AB103" s="130" t="s">
        <v>50</v>
      </c>
      <c r="AC103" s="144"/>
      <c r="AD103" s="130" t="s">
        <v>493</v>
      </c>
      <c r="AE103" s="129"/>
      <c r="AF103" s="132"/>
      <c r="AG103" s="143" t="b">
        <v>0</v>
      </c>
      <c r="AH103" s="143">
        <v>668.0</v>
      </c>
      <c r="AI103" s="143">
        <v>2023.0</v>
      </c>
      <c r="AJ103" s="143"/>
      <c r="AK103" s="143"/>
      <c r="AL103" s="129"/>
      <c r="AM103" s="129" t="str">
        <f>IFERROR(__xludf.DUMMYFUNCTION("""COMPUTED_VALUE"""),"Beach, Buffet, Diving, Evening Entertainment, Great Food, Gym, Nightclub, Room Service, Snorkelling, Spa, Swim Out/Plunge Pool Rooms, Swim Up Bar, Wifi (Free)")</f>
        <v>Beach, Buffet, Diving, Evening Entertainment, Great Food, Gym, Nightclub, Room Service, Snorkelling, Spa, Swim Out/Plunge Pool Rooms, Swim Up Bar, Wifi (Free)</v>
      </c>
      <c r="AN103" s="128"/>
    </row>
    <row r="104">
      <c r="A104" s="118" t="s">
        <v>494</v>
      </c>
      <c r="B104" s="119">
        <v>92.3</v>
      </c>
      <c r="C104" s="120" t="s">
        <v>68</v>
      </c>
      <c r="D104" s="121">
        <v>5489.9</v>
      </c>
      <c r="E104" s="135">
        <f>IFERROR(__xludf.DUMMYFUNCTION("""COMPUTED_VALUE"""),7581.825846009999)</f>
        <v>7581.825846</v>
      </c>
      <c r="F104" s="136">
        <v>2.24</v>
      </c>
      <c r="G104" s="124">
        <v>1951.0</v>
      </c>
      <c r="H104" s="125">
        <v>1776.0</v>
      </c>
      <c r="I104" s="125">
        <v>111.0</v>
      </c>
      <c r="J104" s="125">
        <v>35.0</v>
      </c>
      <c r="K104" s="125">
        <v>9.0</v>
      </c>
      <c r="L104" s="125">
        <v>20.0</v>
      </c>
      <c r="M104" s="126">
        <v>97.0</v>
      </c>
      <c r="N104" s="138">
        <v>90.0</v>
      </c>
      <c r="O104" s="127"/>
      <c r="P104" s="127">
        <v>90.0</v>
      </c>
      <c r="Q104" s="126" t="b">
        <v>1</v>
      </c>
      <c r="R104" s="133"/>
      <c r="S104" s="133">
        <v>7.0</v>
      </c>
      <c r="T104" s="133"/>
      <c r="U104" s="133">
        <v>4.0</v>
      </c>
      <c r="V104" s="129"/>
      <c r="W104" s="130" t="s">
        <v>84</v>
      </c>
      <c r="X104" s="130" t="s">
        <v>86</v>
      </c>
      <c r="Y104" s="130" t="s">
        <v>86</v>
      </c>
      <c r="Z104" s="131" t="b">
        <v>1</v>
      </c>
      <c r="AA104" s="131">
        <v>0.017361111111111112</v>
      </c>
      <c r="AB104" s="130" t="s">
        <v>307</v>
      </c>
      <c r="AC104" s="130" t="s">
        <v>495</v>
      </c>
      <c r="AD104" s="130" t="s">
        <v>496</v>
      </c>
      <c r="AE104" s="129"/>
      <c r="AF104" s="132"/>
      <c r="AG104" s="133" t="b">
        <v>1</v>
      </c>
      <c r="AH104" s="133">
        <v>430.0</v>
      </c>
      <c r="AI104" s="133">
        <v>1974.0</v>
      </c>
      <c r="AJ104" s="133">
        <v>2017.0</v>
      </c>
      <c r="AK104" s="133">
        <v>3.0</v>
      </c>
      <c r="AL104" s="129" t="str">
        <f>IFERROR(__xludf.DUMMYFUNCTION("""COMPUTED_VALUE"""),"Charming, Trendy")</f>
        <v>Charming, Trendy</v>
      </c>
      <c r="AM104" s="129" t="str">
        <f>IFERROR(__xludf.DUMMYFUNCTION("""COMPUTED_VALUE"""),"Beach, Buffet, Evening Entertainment, Gym, Nightclub, Room Service, Spa, Swim Up Bar, Wifi (Free), Windsurfing, Yoga Classes")</f>
        <v>Beach, Buffet, Evening Entertainment, Gym, Nightclub, Room Service, Spa, Swim Up Bar, Wifi (Free), Windsurfing, Yoga Classes</v>
      </c>
      <c r="AN104" s="128"/>
    </row>
    <row r="105">
      <c r="A105" s="118" t="s">
        <v>497</v>
      </c>
      <c r="B105" s="119">
        <v>92.3</v>
      </c>
      <c r="C105" s="134" t="s">
        <v>75</v>
      </c>
      <c r="D105" s="121">
        <v>6733.0</v>
      </c>
      <c r="E105" s="135">
        <f>IFERROR(__xludf.DUMMYFUNCTION("""COMPUTED_VALUE"""),9298.6089767)</f>
        <v>9298.608977</v>
      </c>
      <c r="F105" s="136">
        <v>1.83</v>
      </c>
      <c r="G105" s="124">
        <v>3197.0</v>
      </c>
      <c r="H105" s="125">
        <v>2637.0</v>
      </c>
      <c r="I105" s="125">
        <v>367.0</v>
      </c>
      <c r="J105" s="125">
        <v>125.0</v>
      </c>
      <c r="K105" s="125">
        <v>35.0</v>
      </c>
      <c r="L105" s="125">
        <v>33.0</v>
      </c>
      <c r="M105" s="126">
        <v>95.0</v>
      </c>
      <c r="N105" s="127">
        <v>92.0</v>
      </c>
      <c r="O105" s="146"/>
      <c r="P105" s="127">
        <v>90.0</v>
      </c>
      <c r="Q105" s="137" t="b">
        <v>1</v>
      </c>
      <c r="R105" s="133"/>
      <c r="S105" s="133">
        <v>8.0</v>
      </c>
      <c r="T105" s="133"/>
      <c r="U105" s="133">
        <v>4.0</v>
      </c>
      <c r="V105" s="129"/>
      <c r="W105" s="130" t="s">
        <v>84</v>
      </c>
      <c r="X105" s="130" t="s">
        <v>498</v>
      </c>
      <c r="Y105" s="130" t="s">
        <v>498</v>
      </c>
      <c r="Z105" s="131" t="b">
        <v>0</v>
      </c>
      <c r="AA105" s="131">
        <v>0.027777777777777776</v>
      </c>
      <c r="AB105" s="130" t="s">
        <v>499</v>
      </c>
      <c r="AC105" s="130" t="s">
        <v>375</v>
      </c>
      <c r="AD105" s="130" t="s">
        <v>500</v>
      </c>
      <c r="AE105" s="130"/>
      <c r="AF105" s="132" t="s">
        <v>126</v>
      </c>
      <c r="AG105" s="133" t="b">
        <v>1</v>
      </c>
      <c r="AH105" s="133">
        <v>338.0</v>
      </c>
      <c r="AI105" s="133">
        <v>2011.0</v>
      </c>
      <c r="AJ105" s="133">
        <v>2021.0</v>
      </c>
      <c r="AK105" s="133">
        <v>7.0</v>
      </c>
      <c r="AL105" s="129" t="str">
        <f>IFERROR(__xludf.DUMMYFUNCTION("""COMPUTED_VALUE"""),"Green, Ocean View")</f>
        <v>Green, Ocean View</v>
      </c>
      <c r="AM105" s="129" t="str">
        <f>IFERROR(__xludf.DUMMYFUNCTION("""COMPUTED_VALUE"""),"2 Bedroom Suites, Babysitting, Beach, Buffet, Diving, Evening Entertainment, Family Suite, Fishing, Gym, Heated Pool, Hiking, Horseback Riding, Kids Club, Nightclub, Room Service, Snorkelling, Spa, Swim Out/Plunge Pool Rooms, Tennis, Watersports Equipment"&amp;" Rentals, Yoga Classes")</f>
        <v>2 Bedroom Suites, Babysitting, Beach, Buffet, Diving, Evening Entertainment, Family Suite, Fishing, Gym, Heated Pool, Hiking, Horseback Riding, Kids Club, Nightclub, Room Service, Snorkelling, Spa, Swim Out/Plunge Pool Rooms, Tennis, Watersports Equipment Rentals, Yoga Classes</v>
      </c>
      <c r="AN105" s="139"/>
    </row>
    <row r="106">
      <c r="A106" s="118" t="s">
        <v>501</v>
      </c>
      <c r="B106" s="119">
        <v>92.3</v>
      </c>
      <c r="C106" s="134" t="s">
        <v>75</v>
      </c>
      <c r="D106" s="150">
        <v>6997.73</v>
      </c>
      <c r="E106" s="135">
        <f>IFERROR(__xludf.DUMMYFUNCTION("""COMPUTED_VALUE"""),9664.214316726999)</f>
        <v>9664.214317</v>
      </c>
      <c r="F106" s="136">
        <v>1.76</v>
      </c>
      <c r="G106" s="124">
        <v>13881.0</v>
      </c>
      <c r="H106" s="125">
        <v>11177.0</v>
      </c>
      <c r="I106" s="125">
        <v>1556.0</v>
      </c>
      <c r="J106" s="125">
        <v>553.0</v>
      </c>
      <c r="K106" s="125">
        <v>240.0</v>
      </c>
      <c r="L106" s="125">
        <v>359.0</v>
      </c>
      <c r="M106" s="126">
        <v>93.0</v>
      </c>
      <c r="N106" s="127">
        <v>90.0</v>
      </c>
      <c r="O106" s="127">
        <v>92.0</v>
      </c>
      <c r="P106" s="127">
        <v>94.0</v>
      </c>
      <c r="Q106" s="135" t="b">
        <v>1</v>
      </c>
      <c r="R106" s="133">
        <v>4.0</v>
      </c>
      <c r="S106" s="133">
        <v>8.0</v>
      </c>
      <c r="T106" s="133" t="s">
        <v>192</v>
      </c>
      <c r="U106" s="133">
        <v>3.5</v>
      </c>
      <c r="V106" s="130"/>
      <c r="W106" s="130" t="s">
        <v>84</v>
      </c>
      <c r="X106" s="130" t="s">
        <v>86</v>
      </c>
      <c r="Y106" s="130" t="s">
        <v>86</v>
      </c>
      <c r="Z106" s="131" t="b">
        <v>1</v>
      </c>
      <c r="AA106" s="131">
        <v>0.020833333333333332</v>
      </c>
      <c r="AB106" s="130" t="s">
        <v>50</v>
      </c>
      <c r="AC106" s="130" t="s">
        <v>502</v>
      </c>
      <c r="AD106" s="130" t="s">
        <v>503</v>
      </c>
      <c r="AE106" s="130" t="s">
        <v>134</v>
      </c>
      <c r="AF106" s="132" t="s">
        <v>318</v>
      </c>
      <c r="AG106" s="133" t="b">
        <v>1</v>
      </c>
      <c r="AH106" s="133">
        <v>547.0</v>
      </c>
      <c r="AI106" s="133">
        <v>2015.0</v>
      </c>
      <c r="AJ106" s="143"/>
      <c r="AK106" s="133">
        <v>16.0</v>
      </c>
      <c r="AL106" s="129" t="str">
        <f>IFERROR(__xludf.DUMMYFUNCTION("""COMPUTED_VALUE"""),"Modern, Romantic")</f>
        <v>Modern, Romantic</v>
      </c>
      <c r="AM106" s="129" t="str">
        <f>IFERROR(__xludf.DUMMYFUNCTION("""COMPUTED_VALUE"""),"2 Bedroom Suites, Adult Pool, Adults Only Rooms, Babysitting, Beach, Buffet, Evening Entertainment, Family Suite, Gym, Heated Pool, Kids Club, Kids Waterpark, Nightclub, Pool Slide, Spa, Swim Out/Plunge Pool Rooms, Swim Up Bar, Teen Club, Water Feature, W"&amp;"ifi (Free)")</f>
        <v>2 Bedroom Suites, Adult Pool, Adults Only Rooms, Babysitting, Beach, Buffet, Evening Entertainment, Family Suite, Gym, Heated Pool, Kids Club, Kids Waterpark, Nightclub, Pool Slide, Spa, Swim Out/Plunge Pool Rooms, Swim Up Bar, Teen Club, Water Feature, Wifi (Free)</v>
      </c>
      <c r="AN106" s="139"/>
    </row>
    <row r="107">
      <c r="A107" s="118" t="s">
        <v>504</v>
      </c>
      <c r="B107" s="119">
        <v>92.3</v>
      </c>
      <c r="C107" s="134" t="s">
        <v>75</v>
      </c>
      <c r="D107" s="121">
        <v>9588.6</v>
      </c>
      <c r="E107" s="135">
        <f>IFERROR(__xludf.DUMMYFUNCTION("""COMPUTED_VALUE"""),13242.335071139998)</f>
        <v>13242.33507</v>
      </c>
      <c r="F107" s="136">
        <v>1.28</v>
      </c>
      <c r="G107" s="124">
        <v>2553.0</v>
      </c>
      <c r="H107" s="125">
        <v>1978.0</v>
      </c>
      <c r="I107" s="125">
        <v>388.0</v>
      </c>
      <c r="J107" s="125">
        <v>107.0</v>
      </c>
      <c r="K107" s="125">
        <v>55.0</v>
      </c>
      <c r="L107" s="125">
        <v>25.0</v>
      </c>
      <c r="M107" s="137">
        <v>93.0</v>
      </c>
      <c r="N107" s="138">
        <v>92.0</v>
      </c>
      <c r="O107" s="138"/>
      <c r="P107" s="138">
        <v>92.0</v>
      </c>
      <c r="Q107" s="135" t="b">
        <v>1</v>
      </c>
      <c r="R107" s="133"/>
      <c r="S107" s="133">
        <v>7.0</v>
      </c>
      <c r="T107" s="133"/>
      <c r="U107" s="133"/>
      <c r="V107" s="130"/>
      <c r="W107" s="130" t="s">
        <v>113</v>
      </c>
      <c r="X107" s="130" t="s">
        <v>505</v>
      </c>
      <c r="Y107" s="130" t="s">
        <v>114</v>
      </c>
      <c r="Z107" s="131" t="b">
        <v>1</v>
      </c>
      <c r="AA107" s="131">
        <v>0.011111111111111112</v>
      </c>
      <c r="AB107" s="130"/>
      <c r="AC107" s="130" t="s">
        <v>196</v>
      </c>
      <c r="AD107" s="130" t="s">
        <v>506</v>
      </c>
      <c r="AE107" s="130"/>
      <c r="AF107" s="132" t="s">
        <v>81</v>
      </c>
      <c r="AG107" s="133" t="b">
        <v>0</v>
      </c>
      <c r="AH107" s="133">
        <v>116.0</v>
      </c>
      <c r="AI107" s="133">
        <v>1960.0</v>
      </c>
      <c r="AJ107" s="133">
        <v>2016.0</v>
      </c>
      <c r="AK107" s="133">
        <v>2.0</v>
      </c>
      <c r="AL107" s="129" t="str">
        <f>IFERROR(__xludf.DUMMYFUNCTION("""COMPUTED_VALUE"""),"Ocean View, Romantic")</f>
        <v>Ocean View, Romantic</v>
      </c>
      <c r="AM107" s="129" t="str">
        <f>IFERROR(__xludf.DUMMYFUNCTION("""COMPUTED_VALUE"""),"Adult Pool, Babysitting, Beach, Evening Entertainment, Fishing, Gym, Kids Club, Snorkelling, Spa, Swim Out/Plunge Pool Rooms, Tennis, Watersports Equipment Rentals, Wifi (Free)")</f>
        <v>Adult Pool, Babysitting, Beach, Evening Entertainment, Fishing, Gym, Kids Club, Snorkelling, Spa, Swim Out/Plunge Pool Rooms, Tennis, Watersports Equipment Rentals, Wifi (Free)</v>
      </c>
      <c r="AN107" s="139"/>
    </row>
    <row r="108">
      <c r="A108" s="140" t="s">
        <v>507</v>
      </c>
      <c r="B108" s="119">
        <v>92.3</v>
      </c>
      <c r="C108" s="133" t="s">
        <v>75</v>
      </c>
      <c r="D108" s="121">
        <v>12053.72</v>
      </c>
      <c r="E108" s="122">
        <f>IFERROR(__xludf.DUMMYFUNCTION("""COMPUTED_VALUE"""),16646.788800627997)</f>
        <v>16646.7888</v>
      </c>
      <c r="F108" s="136">
        <v>1.02</v>
      </c>
      <c r="G108" s="124">
        <v>1458.0</v>
      </c>
      <c r="H108" s="125">
        <v>1057.0</v>
      </c>
      <c r="I108" s="125">
        <v>261.0</v>
      </c>
      <c r="J108" s="125">
        <v>83.0</v>
      </c>
      <c r="K108" s="125">
        <v>26.0</v>
      </c>
      <c r="L108" s="125">
        <v>31.0</v>
      </c>
      <c r="M108" s="126">
        <v>91.0</v>
      </c>
      <c r="N108" s="127">
        <v>90.0</v>
      </c>
      <c r="O108" s="127">
        <v>94.0</v>
      </c>
      <c r="P108" s="127">
        <v>94.0</v>
      </c>
      <c r="Q108" s="122" t="b">
        <v>1</v>
      </c>
      <c r="R108" s="128"/>
      <c r="S108" s="128">
        <v>9.0</v>
      </c>
      <c r="T108" s="128"/>
      <c r="U108" s="128">
        <v>4.5</v>
      </c>
      <c r="V108" s="129"/>
      <c r="W108" s="144" t="s">
        <v>96</v>
      </c>
      <c r="X108" s="144" t="s">
        <v>508</v>
      </c>
      <c r="Y108" s="144" t="s">
        <v>98</v>
      </c>
      <c r="Z108" s="133" t="b">
        <v>0</v>
      </c>
      <c r="AA108" s="145">
        <v>0.06180555555555556</v>
      </c>
      <c r="AB108" s="129"/>
      <c r="AC108" s="130" t="s">
        <v>509</v>
      </c>
      <c r="AD108" s="130" t="s">
        <v>510</v>
      </c>
      <c r="AE108" s="129"/>
      <c r="AF108" s="132" t="s">
        <v>511</v>
      </c>
      <c r="AG108" s="143" t="b">
        <v>0</v>
      </c>
      <c r="AH108" s="143">
        <v>85.0</v>
      </c>
      <c r="AI108" s="143">
        <v>2007.0</v>
      </c>
      <c r="AJ108" s="143">
        <v>2016.0</v>
      </c>
      <c r="AK108" s="143">
        <v>4.0</v>
      </c>
      <c r="AL108" s="129" t="str">
        <f>IFERROR(__xludf.DUMMYFUNCTION("""COMPUTED_VALUE"""),"Family, Marina View")</f>
        <v>Family, Marina View</v>
      </c>
      <c r="AM108" s="129" t="str">
        <f>IFERROR(__xludf.DUMMYFUNCTION("""COMPUTED_VALUE"""),"2 Bedroom Suites, Babysitting, Beach, Buffet, Diving, Evening Entertainment, Family Suite, Fishing, Gym, Kids Club, Spa, Swim Out/Plunge Pool Rooms, Tennis, Watersports Equipment Rentals, Wifi (Free)")</f>
        <v>2 Bedroom Suites, Babysitting, Beach, Buffet, Diving, Evening Entertainment, Family Suite, Fishing, Gym, Kids Club, Spa, Swim Out/Plunge Pool Rooms, Tennis, Watersports Equipment Rentals, Wifi (Free)</v>
      </c>
      <c r="AN108" s="139"/>
    </row>
    <row r="109">
      <c r="A109" s="118" t="s">
        <v>512</v>
      </c>
      <c r="B109" s="119">
        <v>92.3</v>
      </c>
      <c r="C109" s="134" t="s">
        <v>75</v>
      </c>
      <c r="D109" s="121">
        <v>14700.0</v>
      </c>
      <c r="E109" s="135">
        <f>IFERROR(__xludf.DUMMYFUNCTION("""COMPUTED_VALUE"""),20301.43353)</f>
        <v>20301.43353</v>
      </c>
      <c r="F109" s="136">
        <v>0.84</v>
      </c>
      <c r="G109" s="124">
        <v>13685.0</v>
      </c>
      <c r="H109" s="125">
        <v>11645.0</v>
      </c>
      <c r="I109" s="125">
        <v>883.0</v>
      </c>
      <c r="J109" s="125">
        <v>407.0</v>
      </c>
      <c r="K109" s="125">
        <v>239.0</v>
      </c>
      <c r="L109" s="125">
        <v>512.0</v>
      </c>
      <c r="M109" s="126">
        <v>93.0</v>
      </c>
      <c r="N109" s="127">
        <v>94.0</v>
      </c>
      <c r="O109" s="127">
        <v>94.0</v>
      </c>
      <c r="P109" s="127">
        <v>88.0</v>
      </c>
      <c r="Q109" s="135" t="b">
        <v>1</v>
      </c>
      <c r="R109" s="133">
        <v>5.0</v>
      </c>
      <c r="S109" s="133">
        <v>7.0</v>
      </c>
      <c r="T109" s="133"/>
      <c r="U109" s="133"/>
      <c r="V109" s="130"/>
      <c r="W109" s="130" t="s">
        <v>84</v>
      </c>
      <c r="X109" s="130" t="s">
        <v>85</v>
      </c>
      <c r="Y109" s="130" t="s">
        <v>86</v>
      </c>
      <c r="Z109" s="131" t="b">
        <v>1</v>
      </c>
      <c r="AA109" s="131">
        <v>0.035416666666666666</v>
      </c>
      <c r="AB109" s="130" t="s">
        <v>145</v>
      </c>
      <c r="AC109" s="130" t="s">
        <v>513</v>
      </c>
      <c r="AD109" s="130" t="s">
        <v>514</v>
      </c>
      <c r="AE109" s="130"/>
      <c r="AF109" s="132" t="s">
        <v>297</v>
      </c>
      <c r="AG109" s="133" t="b">
        <v>0</v>
      </c>
      <c r="AH109" s="133">
        <v>900.0</v>
      </c>
      <c r="AI109" s="133">
        <v>2017.0</v>
      </c>
      <c r="AJ109" s="143"/>
      <c r="AK109" s="133">
        <v>6.0</v>
      </c>
      <c r="AL109" s="129" t="str">
        <f>IFERROR(__xludf.DUMMYFUNCTION("""COMPUTED_VALUE"""),"River View, Trendy")</f>
        <v>River View, Trendy</v>
      </c>
      <c r="AM109" s="129" t="str">
        <f>IFERROR(__xludf.DUMMYFUNCTION("""COMPUTED_VALUE"""),"Adult Pool, Adults Only Rooms, Babysitting, Beach, Bicycles Available, Buffet, Evening Entertainment, Gym, Heated Pool, Kids Club, Kids Waterpark, Lazy River, Nightclub, Pool Slide, Room Service, Spa, Swim Out/Plunge Pool Rooms, Swim Up Bar, Teen Club, Te"&amp;"nnis, Water Feature, Wifi (Free), Yoga Classes")</f>
        <v>Adult Pool, Adults Only Rooms, Babysitting, Beach, Bicycles Available, Buffet, Evening Entertainment, Gym, Heated Pool, Kids Club, Kids Waterpark, Lazy River, Nightclub, Pool Slide, Room Service, Spa, Swim Out/Plunge Pool Rooms, Swim Up Bar, Teen Club, Tennis, Water Feature, Wifi (Free), Yoga Classes</v>
      </c>
      <c r="AN109" s="139"/>
    </row>
    <row r="110">
      <c r="A110" s="118" t="s">
        <v>515</v>
      </c>
      <c r="B110" s="119">
        <v>92.0</v>
      </c>
      <c r="C110" s="120" t="s">
        <v>68</v>
      </c>
      <c r="D110" s="121">
        <v>2835.0</v>
      </c>
      <c r="E110" s="135">
        <f>IFERROR(__xludf.DUMMYFUNCTION("""COMPUTED_VALUE"""),3915.2764664999995)</f>
        <v>3915.276467</v>
      </c>
      <c r="F110" s="136">
        <v>4.23</v>
      </c>
      <c r="G110" s="124">
        <v>788.0</v>
      </c>
      <c r="H110" s="125">
        <v>598.0</v>
      </c>
      <c r="I110" s="125">
        <v>112.0</v>
      </c>
      <c r="J110" s="125">
        <v>49.0</v>
      </c>
      <c r="K110" s="125">
        <v>17.0</v>
      </c>
      <c r="L110" s="125">
        <v>11.0</v>
      </c>
      <c r="M110" s="126">
        <v>92.0</v>
      </c>
      <c r="N110" s="127">
        <v>94.0</v>
      </c>
      <c r="O110" s="127"/>
      <c r="P110" s="127">
        <v>90.0</v>
      </c>
      <c r="Q110" s="122" t="b">
        <v>1</v>
      </c>
      <c r="R110" s="128"/>
      <c r="S110" s="133" t="s">
        <v>83</v>
      </c>
      <c r="T110" s="133"/>
      <c r="U110" s="133">
        <v>5.0</v>
      </c>
      <c r="V110" s="129"/>
      <c r="W110" s="130" t="s">
        <v>193</v>
      </c>
      <c r="X110" s="130" t="s">
        <v>516</v>
      </c>
      <c r="Y110" s="130" t="s">
        <v>195</v>
      </c>
      <c r="Z110" s="131" t="b">
        <v>1</v>
      </c>
      <c r="AA110" s="131">
        <v>0.011805555555555555</v>
      </c>
      <c r="AB110" s="130" t="s">
        <v>517</v>
      </c>
      <c r="AC110" s="129"/>
      <c r="AD110" s="130" t="s">
        <v>518</v>
      </c>
      <c r="AE110" s="129"/>
      <c r="AF110" s="132"/>
      <c r="AG110" s="143" t="b">
        <v>0</v>
      </c>
      <c r="AH110" s="133">
        <v>625.0</v>
      </c>
      <c r="AI110" s="133">
        <v>2020.0</v>
      </c>
      <c r="AJ110" s="143"/>
      <c r="AK110" s="143"/>
      <c r="AL110" s="129"/>
      <c r="AM110" s="129" t="str">
        <f>IFERROR(__xludf.DUMMYFUNCTION("""COMPUTED_VALUE"""),"Beach, Buffet, Evening Entertainment, Gym, Nightclub, Snorkelling, Spa, Swim Out/Plunge Pool Rooms, Swim Up Bar, Wifi (Free), Windsurfing")</f>
        <v>Beach, Buffet, Evening Entertainment, Gym, Nightclub, Snorkelling, Spa, Swim Out/Plunge Pool Rooms, Swim Up Bar, Wifi (Free), Windsurfing</v>
      </c>
      <c r="AN110" s="128"/>
    </row>
    <row r="111">
      <c r="A111" s="118" t="s">
        <v>519</v>
      </c>
      <c r="B111" s="119">
        <v>92.0</v>
      </c>
      <c r="C111" s="120" t="s">
        <v>68</v>
      </c>
      <c r="D111" s="121">
        <v>3353.0</v>
      </c>
      <c r="E111" s="122">
        <f>IFERROR(__xludf.DUMMYFUNCTION("""COMPUTED_VALUE"""),4630.6603147)</f>
        <v>4630.660315</v>
      </c>
      <c r="F111" s="136">
        <v>3.58</v>
      </c>
      <c r="G111" s="124">
        <v>2777.0</v>
      </c>
      <c r="H111" s="125">
        <v>2290.0</v>
      </c>
      <c r="I111" s="125">
        <v>270.0</v>
      </c>
      <c r="J111" s="125">
        <v>110.0</v>
      </c>
      <c r="K111" s="125">
        <v>53.0</v>
      </c>
      <c r="L111" s="125">
        <v>58.0</v>
      </c>
      <c r="M111" s="126">
        <v>94.0</v>
      </c>
      <c r="N111" s="127">
        <v>94.0</v>
      </c>
      <c r="O111" s="127">
        <v>94.0</v>
      </c>
      <c r="P111" s="127">
        <v>86.0</v>
      </c>
      <c r="Q111" s="122" t="b">
        <v>1</v>
      </c>
      <c r="R111" s="133"/>
      <c r="S111" s="133">
        <v>9.0</v>
      </c>
      <c r="T111" s="133"/>
      <c r="U111" s="133">
        <v>5.0</v>
      </c>
      <c r="V111" s="129"/>
      <c r="W111" s="130" t="s">
        <v>84</v>
      </c>
      <c r="X111" s="130" t="s">
        <v>85</v>
      </c>
      <c r="Y111" s="130" t="s">
        <v>86</v>
      </c>
      <c r="Z111" s="131" t="b">
        <v>1</v>
      </c>
      <c r="AA111" s="131">
        <v>0.029861111111111113</v>
      </c>
      <c r="AB111" s="130" t="s">
        <v>328</v>
      </c>
      <c r="AC111" s="130" t="s">
        <v>140</v>
      </c>
      <c r="AD111" s="130" t="s">
        <v>520</v>
      </c>
      <c r="AE111" s="129"/>
      <c r="AF111" s="132"/>
      <c r="AG111" s="133" t="b">
        <v>0</v>
      </c>
      <c r="AH111" s="133">
        <v>394.0</v>
      </c>
      <c r="AI111" s="133">
        <v>2011.0</v>
      </c>
      <c r="AJ111" s="143"/>
      <c r="AK111" s="143"/>
      <c r="AL111" s="129" t="str">
        <f>IFERROR(__xludf.DUMMYFUNCTION("""COMPUTED_VALUE"""),"Business, Romantic")</f>
        <v>Business, Romantic</v>
      </c>
      <c r="AM111" s="129" t="str">
        <f>IFERROR(__xludf.DUMMYFUNCTION("""COMPUTED_VALUE"""),"Beach, Buffet, Diving, Evening Entertainment, Gym, Nightclub, Room Service, Spa, Swim Out/Plunge Pool Rooms, Swim Up Bar, Watersports Equipment Rentals, Wifi (Free)")</f>
        <v>Beach, Buffet, Diving, Evening Entertainment, Gym, Nightclub, Room Service, Spa, Swim Out/Plunge Pool Rooms, Swim Up Bar, Watersports Equipment Rentals, Wifi (Free)</v>
      </c>
      <c r="AN111" s="128"/>
    </row>
    <row r="112">
      <c r="A112" s="118" t="s">
        <v>521</v>
      </c>
      <c r="B112" s="119">
        <v>92.0</v>
      </c>
      <c r="C112" s="120" t="s">
        <v>68</v>
      </c>
      <c r="D112" s="121">
        <v>4200.27</v>
      </c>
      <c r="E112" s="122">
        <f>IFERROR(__xludf.DUMMYFUNCTION("""COMPUTED_VALUE"""),5800.782463473)</f>
        <v>5800.782463</v>
      </c>
      <c r="F112" s="136">
        <v>2.86</v>
      </c>
      <c r="G112" s="124">
        <v>6924.0</v>
      </c>
      <c r="H112" s="125">
        <v>5222.0</v>
      </c>
      <c r="I112" s="125">
        <v>975.0</v>
      </c>
      <c r="J112" s="125">
        <v>395.0</v>
      </c>
      <c r="K112" s="125">
        <v>171.0</v>
      </c>
      <c r="L112" s="125">
        <v>162.0</v>
      </c>
      <c r="M112" s="126">
        <v>92.0</v>
      </c>
      <c r="N112" s="127">
        <v>92.0</v>
      </c>
      <c r="O112" s="127"/>
      <c r="P112" s="127">
        <v>92.0</v>
      </c>
      <c r="Q112" s="122" t="b">
        <v>1</v>
      </c>
      <c r="R112" s="133"/>
      <c r="S112" s="133">
        <v>7.0</v>
      </c>
      <c r="T112" s="133"/>
      <c r="U112" s="133">
        <v>5.0</v>
      </c>
      <c r="V112" s="129"/>
      <c r="W112" s="130" t="s">
        <v>84</v>
      </c>
      <c r="X112" s="130" t="s">
        <v>86</v>
      </c>
      <c r="Y112" s="130" t="s">
        <v>86</v>
      </c>
      <c r="Z112" s="131" t="b">
        <v>1</v>
      </c>
      <c r="AA112" s="131">
        <v>0.013888888888888888</v>
      </c>
      <c r="AB112" s="129"/>
      <c r="AC112" s="130" t="s">
        <v>522</v>
      </c>
      <c r="AD112" s="130" t="s">
        <v>523</v>
      </c>
      <c r="AE112" s="129"/>
      <c r="AF112" s="132"/>
      <c r="AG112" s="133" t="b">
        <v>0</v>
      </c>
      <c r="AH112" s="133">
        <v>333.0</v>
      </c>
      <c r="AI112" s="133">
        <v>2018.0</v>
      </c>
      <c r="AJ112" s="143"/>
      <c r="AK112" s="143"/>
      <c r="AL112" s="129" t="str">
        <f>IFERROR(__xludf.DUMMYFUNCTION("""COMPUTED_VALUE"""),"Romantic, Trendy")</f>
        <v>Romantic, Trendy</v>
      </c>
      <c r="AM112" s="129" t="str">
        <f>IFERROR(__xludf.DUMMYFUNCTION("""COMPUTED_VALUE"""),"Beach, Buffet, Evening Entertainment, Gym, Heated Pool, Nightclub, Spa, Swim Out/Plunge Pool Rooms, Swim Up Bar, Tennis, Wifi (Free)")</f>
        <v>Beach, Buffet, Evening Entertainment, Gym, Heated Pool, Nightclub, Spa, Swim Out/Plunge Pool Rooms, Swim Up Bar, Tennis, Wifi (Free)</v>
      </c>
      <c r="AN112" s="128"/>
    </row>
    <row r="113">
      <c r="A113" s="118" t="s">
        <v>524</v>
      </c>
      <c r="B113" s="119">
        <v>92.0</v>
      </c>
      <c r="C113" s="134" t="s">
        <v>75</v>
      </c>
      <c r="D113" s="121">
        <v>4476.22</v>
      </c>
      <c r="E113" s="135">
        <f>IFERROR(__xludf.DUMMYFUNCTION("""COMPUTED_VALUE"""),6181.883183378)</f>
        <v>6181.883183</v>
      </c>
      <c r="F113" s="136">
        <v>2.68</v>
      </c>
      <c r="G113" s="124">
        <v>14829.0</v>
      </c>
      <c r="H113" s="125">
        <v>12102.0</v>
      </c>
      <c r="I113" s="125">
        <v>1638.0</v>
      </c>
      <c r="J113" s="125">
        <v>531.0</v>
      </c>
      <c r="K113" s="125">
        <v>250.0</v>
      </c>
      <c r="L113" s="125">
        <v>313.0</v>
      </c>
      <c r="M113" s="126">
        <v>94.0</v>
      </c>
      <c r="N113" s="127">
        <v>96.0</v>
      </c>
      <c r="O113" s="127">
        <v>88.0</v>
      </c>
      <c r="P113" s="127">
        <v>90.0</v>
      </c>
      <c r="Q113" s="135" t="b">
        <v>1</v>
      </c>
      <c r="R113" s="133"/>
      <c r="S113" s="143">
        <v>7.0</v>
      </c>
      <c r="T113" s="133"/>
      <c r="U113" s="133"/>
      <c r="V113" s="130"/>
      <c r="W113" s="130" t="s">
        <v>193</v>
      </c>
      <c r="X113" s="130" t="s">
        <v>225</v>
      </c>
      <c r="Y113" s="130" t="s">
        <v>195</v>
      </c>
      <c r="Z113" s="131" t="b">
        <v>1</v>
      </c>
      <c r="AA113" s="131">
        <v>0.02013888888888889</v>
      </c>
      <c r="AB113" s="130" t="s">
        <v>525</v>
      </c>
      <c r="AC113" s="130" t="s">
        <v>502</v>
      </c>
      <c r="AD113" s="130" t="s">
        <v>526</v>
      </c>
      <c r="AE113" s="130"/>
      <c r="AF113" s="132" t="s">
        <v>126</v>
      </c>
      <c r="AG113" s="143" t="b">
        <v>0</v>
      </c>
      <c r="AH113" s="143">
        <v>510.0</v>
      </c>
      <c r="AI113" s="143">
        <v>2016.0</v>
      </c>
      <c r="AJ113" s="143"/>
      <c r="AK113" s="143"/>
      <c r="AL113" s="129" t="str">
        <f>IFERROR(__xludf.DUMMYFUNCTION("""COMPUTED_VALUE"""),"Modern, Romantic")</f>
        <v>Modern, Romantic</v>
      </c>
      <c r="AM113" s="129" t="str">
        <f>IFERROR(__xludf.DUMMYFUNCTION("""COMPUTED_VALUE"""),"Adult Pool, Adults Only Rooms, Babysitting, Beach, Buffet, Evening Entertainment, Great Food, Gym, Kids Club, Nightclub, Room Service, Spa, Swim Out/Plunge Pool Rooms, Swim Up Bar, Tennis, Wifi (Free)")</f>
        <v>Adult Pool, Adults Only Rooms, Babysitting, Beach, Buffet, Evening Entertainment, Great Food, Gym, Kids Club, Nightclub, Room Service, Spa, Swim Out/Plunge Pool Rooms, Swim Up Bar, Tennis, Wifi (Free)</v>
      </c>
      <c r="AN113" s="139"/>
    </row>
    <row r="114">
      <c r="A114" s="118" t="s">
        <v>527</v>
      </c>
      <c r="B114" s="119">
        <v>92.0</v>
      </c>
      <c r="C114" s="134" t="s">
        <v>75</v>
      </c>
      <c r="D114" s="121">
        <v>4865.21</v>
      </c>
      <c r="E114" s="135">
        <f>IFERROR(__xludf.DUMMYFUNCTION("""COMPUTED_VALUE"""),6719.097783978999)</f>
        <v>6719.097784</v>
      </c>
      <c r="F114" s="136">
        <v>2.47</v>
      </c>
      <c r="G114" s="124">
        <v>429.0</v>
      </c>
      <c r="H114" s="125">
        <v>323.0</v>
      </c>
      <c r="I114" s="125">
        <v>49.0</v>
      </c>
      <c r="J114" s="125">
        <v>24.0</v>
      </c>
      <c r="K114" s="125">
        <v>13.0</v>
      </c>
      <c r="L114" s="125">
        <v>20.0</v>
      </c>
      <c r="M114" s="137">
        <v>90.0</v>
      </c>
      <c r="N114" s="138">
        <v>98.0</v>
      </c>
      <c r="O114" s="127"/>
      <c r="P114" s="138">
        <v>88.0</v>
      </c>
      <c r="Q114" s="137" t="b">
        <v>1</v>
      </c>
      <c r="R114" s="133"/>
      <c r="S114" s="133">
        <v>8.0</v>
      </c>
      <c r="T114" s="133"/>
      <c r="U114" s="133">
        <v>1.0</v>
      </c>
      <c r="V114" s="130"/>
      <c r="W114" s="130" t="s">
        <v>84</v>
      </c>
      <c r="X114" s="130" t="s">
        <v>528</v>
      </c>
      <c r="Y114" s="130" t="s">
        <v>86</v>
      </c>
      <c r="Z114" s="131" t="b">
        <v>1</v>
      </c>
      <c r="AA114" s="131">
        <v>0.04236111111111111</v>
      </c>
      <c r="AB114" s="130" t="s">
        <v>362</v>
      </c>
      <c r="AC114" s="130" t="s">
        <v>495</v>
      </c>
      <c r="AD114" s="130" t="s">
        <v>529</v>
      </c>
      <c r="AE114" s="130" t="s">
        <v>94</v>
      </c>
      <c r="AF114" s="132" t="s">
        <v>373</v>
      </c>
      <c r="AG114" s="133" t="b">
        <v>0</v>
      </c>
      <c r="AH114" s="133">
        <v>756.0</v>
      </c>
      <c r="AI114" s="133">
        <v>2007.0</v>
      </c>
      <c r="AJ114" s="143"/>
      <c r="AK114" s="133">
        <v>3.0</v>
      </c>
      <c r="AL114" s="129" t="str">
        <f>IFERROR(__xludf.DUMMYFUNCTION("""COMPUTED_VALUE"""),"Charming, Trendy")</f>
        <v>Charming, Trendy</v>
      </c>
      <c r="AM114" s="129" t="str">
        <f>IFERROR(__xludf.DUMMYFUNCTION("""COMPUTED_VALUE"""),"Adult Pool, Babysitting, Beach, Buffet, Diving, Evening Entertainment, Gym, Heated Pool, Kids Club, Kids Waterpark, Lazy River, Nightclub, Pool Slide, Snorkelling, Spa, Swim Up Bar, Teen Club, Tennis, Water Feature, Wifi (Paid)")</f>
        <v>Adult Pool, Babysitting, Beach, Buffet, Diving, Evening Entertainment, Gym, Heated Pool, Kids Club, Kids Waterpark, Lazy River, Nightclub, Pool Slide, Snorkelling, Spa, Swim Up Bar, Teen Club, Tennis, Water Feature, Wifi (Paid)</v>
      </c>
      <c r="AN114" s="139"/>
    </row>
    <row r="115" hidden="1">
      <c r="A115" s="118" t="s">
        <v>530</v>
      </c>
      <c r="B115" s="119">
        <v>91.0</v>
      </c>
      <c r="C115" s="120" t="s">
        <v>68</v>
      </c>
      <c r="D115" s="121">
        <v>6000.03</v>
      </c>
      <c r="E115" s="122">
        <f>IFERROR(__xludf.DUMMYFUNCTION("""COMPUTED_VALUE"""),8286.340831496998)</f>
        <v>8286.340831</v>
      </c>
      <c r="F115" s="136">
        <v>1.83</v>
      </c>
      <c r="G115" s="124"/>
      <c r="H115" s="133"/>
      <c r="I115" s="133"/>
      <c r="J115" s="133"/>
      <c r="K115" s="133"/>
      <c r="L115" s="133"/>
      <c r="M115" s="137"/>
      <c r="N115" s="138">
        <v>92.0</v>
      </c>
      <c r="O115" s="127"/>
      <c r="P115" s="138">
        <v>90.0</v>
      </c>
      <c r="Q115" s="122" t="b">
        <v>1</v>
      </c>
      <c r="R115" s="133"/>
      <c r="S115" s="133"/>
      <c r="T115" s="133"/>
      <c r="U115" s="133"/>
      <c r="V115" s="130" t="s">
        <v>531</v>
      </c>
      <c r="W115" s="130" t="s">
        <v>84</v>
      </c>
      <c r="X115" s="130" t="s">
        <v>210</v>
      </c>
      <c r="Y115" s="130" t="s">
        <v>86</v>
      </c>
      <c r="Z115" s="131" t="b">
        <v>1</v>
      </c>
      <c r="AA115" s="131">
        <v>0.013194444444444444</v>
      </c>
      <c r="AB115" s="130"/>
      <c r="AC115" s="130"/>
      <c r="AD115" s="130" t="s">
        <v>241</v>
      </c>
      <c r="AE115" s="129"/>
      <c r="AF115" s="132"/>
      <c r="AG115" s="133" t="b">
        <v>0</v>
      </c>
      <c r="AH115" s="133"/>
      <c r="AI115" s="133"/>
      <c r="AJ115" s="133"/>
      <c r="AK115" s="133"/>
      <c r="AL115" s="129"/>
      <c r="AM115" s="129" t="str">
        <f>IFERROR(__xludf.DUMMYFUNCTION("""COMPUTED_VALUE"""),"Beach")</f>
        <v>Beach</v>
      </c>
      <c r="AN115" s="128"/>
    </row>
    <row r="116" hidden="1">
      <c r="A116" s="118" t="s">
        <v>530</v>
      </c>
      <c r="B116" s="119">
        <v>91.0</v>
      </c>
      <c r="C116" s="134" t="s">
        <v>75</v>
      </c>
      <c r="D116" s="121">
        <v>6000.03</v>
      </c>
      <c r="E116" s="135">
        <f>IFERROR(__xludf.DUMMYFUNCTION("""COMPUTED_VALUE"""),8286.340831496998)</f>
        <v>8286.340831</v>
      </c>
      <c r="F116" s="123">
        <v>1.83</v>
      </c>
      <c r="G116" s="124"/>
      <c r="H116" s="133"/>
      <c r="I116" s="133"/>
      <c r="J116" s="133"/>
      <c r="K116" s="133"/>
      <c r="L116" s="133"/>
      <c r="M116" s="137"/>
      <c r="N116" s="138">
        <v>92.0</v>
      </c>
      <c r="O116" s="127"/>
      <c r="P116" s="138">
        <v>90.0</v>
      </c>
      <c r="Q116" s="135" t="b">
        <v>1</v>
      </c>
      <c r="R116" s="133"/>
      <c r="S116" s="133"/>
      <c r="T116" s="133"/>
      <c r="U116" s="133"/>
      <c r="V116" s="130" t="s">
        <v>531</v>
      </c>
      <c r="W116" s="130" t="s">
        <v>84</v>
      </c>
      <c r="X116" s="130" t="s">
        <v>210</v>
      </c>
      <c r="Y116" s="130" t="s">
        <v>86</v>
      </c>
      <c r="Z116" s="131" t="b">
        <v>1</v>
      </c>
      <c r="AA116" s="131">
        <v>0.013194444444444444</v>
      </c>
      <c r="AB116" s="130"/>
      <c r="AC116" s="130"/>
      <c r="AD116" s="129" t="s">
        <v>241</v>
      </c>
      <c r="AE116" s="129"/>
      <c r="AF116" s="132"/>
      <c r="AG116" s="133" t="b">
        <v>0</v>
      </c>
      <c r="AH116" s="133"/>
      <c r="AI116" s="133"/>
      <c r="AJ116" s="133"/>
      <c r="AK116" s="133"/>
      <c r="AL116" s="129"/>
      <c r="AM116" s="129" t="str">
        <f>IFERROR(__xludf.DUMMYFUNCTION("""COMPUTED_VALUE"""),"Beach")</f>
        <v>Beach</v>
      </c>
      <c r="AN116" s="139"/>
    </row>
    <row r="117">
      <c r="A117" s="118" t="s">
        <v>532</v>
      </c>
      <c r="B117" s="119">
        <v>92.0</v>
      </c>
      <c r="C117" s="120" t="s">
        <v>68</v>
      </c>
      <c r="D117" s="121">
        <v>6326.0</v>
      </c>
      <c r="E117" s="122">
        <f>IFERROR(__xludf.DUMMYFUNCTION("""COMPUTED_VALUE"""),8736.521667399998)</f>
        <v>8736.521667</v>
      </c>
      <c r="F117" s="136">
        <v>1.9</v>
      </c>
      <c r="G117" s="124">
        <v>5832.0</v>
      </c>
      <c r="H117" s="125">
        <v>4643.0</v>
      </c>
      <c r="I117" s="125">
        <v>767.0</v>
      </c>
      <c r="J117" s="125">
        <v>254.0</v>
      </c>
      <c r="K117" s="125">
        <v>95.0</v>
      </c>
      <c r="L117" s="125">
        <v>77.0</v>
      </c>
      <c r="M117" s="126">
        <v>94.0</v>
      </c>
      <c r="N117" s="127">
        <v>90.0</v>
      </c>
      <c r="O117" s="127">
        <v>92.0</v>
      </c>
      <c r="P117" s="127">
        <v>92.0</v>
      </c>
      <c r="Q117" s="122" t="b">
        <v>1</v>
      </c>
      <c r="R117" s="133">
        <v>4.0</v>
      </c>
      <c r="S117" s="133">
        <v>8.0</v>
      </c>
      <c r="T117" s="133"/>
      <c r="U117" s="133">
        <v>5.0</v>
      </c>
      <c r="V117" s="129"/>
      <c r="W117" s="130" t="s">
        <v>84</v>
      </c>
      <c r="X117" s="129" t="s">
        <v>315</v>
      </c>
      <c r="Y117" s="130" t="s">
        <v>123</v>
      </c>
      <c r="Z117" s="131" t="b">
        <v>1</v>
      </c>
      <c r="AA117" s="131">
        <v>0.01875</v>
      </c>
      <c r="AB117" s="129"/>
      <c r="AC117" s="130" t="s">
        <v>533</v>
      </c>
      <c r="AD117" s="130" t="s">
        <v>534</v>
      </c>
      <c r="AE117" s="129"/>
      <c r="AF117" s="132"/>
      <c r="AG117" s="133" t="b">
        <v>1</v>
      </c>
      <c r="AH117" s="133">
        <v>235.0</v>
      </c>
      <c r="AI117" s="133">
        <v>2003.0</v>
      </c>
      <c r="AJ117" s="133">
        <v>2015.0</v>
      </c>
      <c r="AK117" s="133">
        <v>5.0</v>
      </c>
      <c r="AL117" s="129" t="str">
        <f>IFERROR(__xludf.DUMMYFUNCTION("""COMPUTED_VALUE"""),"Great View, Green")</f>
        <v>Great View, Green</v>
      </c>
      <c r="AM117" s="129" t="str">
        <f>IFERROR(__xludf.DUMMYFUNCTION("""COMPUTED_VALUE"""),"Beach, Buffet, Casino, Diving, Evening Entertainment, Fishing, Golf Course, Gym, Heated Pool, Horseback Riding, Nightclub, Pets Allowed, Room Service, Spa, Swim Out/Plunge Pool Rooms, Tennis, Wifi (Free)")</f>
        <v>Beach, Buffet, Casino, Diving, Evening Entertainment, Fishing, Golf Course, Gym, Heated Pool, Horseback Riding, Nightclub, Pets Allowed, Room Service, Spa, Swim Out/Plunge Pool Rooms, Tennis, Wifi (Free)</v>
      </c>
      <c r="AN117" s="128"/>
    </row>
    <row r="118">
      <c r="A118" s="118" t="s">
        <v>535</v>
      </c>
      <c r="B118" s="149">
        <v>92.0</v>
      </c>
      <c r="C118" s="120" t="s">
        <v>68</v>
      </c>
      <c r="D118" s="121">
        <v>7266.0</v>
      </c>
      <c r="E118" s="122">
        <f>IFERROR(__xludf.DUMMYFUNCTION("""COMPUTED_VALUE"""),10034.7085734)</f>
        <v>10034.70857</v>
      </c>
      <c r="F118" s="136">
        <v>1.65</v>
      </c>
      <c r="G118" s="124">
        <v>2270.0</v>
      </c>
      <c r="H118" s="125">
        <v>1716.0</v>
      </c>
      <c r="I118" s="125">
        <v>339.0</v>
      </c>
      <c r="J118" s="125">
        <v>126.0</v>
      </c>
      <c r="K118" s="125">
        <v>52.0</v>
      </c>
      <c r="L118" s="125">
        <v>37.0</v>
      </c>
      <c r="M118" s="126">
        <v>92.0</v>
      </c>
      <c r="N118" s="127">
        <v>92.0</v>
      </c>
      <c r="O118" s="127"/>
      <c r="P118" s="127">
        <v>92.0</v>
      </c>
      <c r="Q118" s="122" t="b">
        <v>1</v>
      </c>
      <c r="R118" s="133"/>
      <c r="S118" s="133">
        <v>8.0</v>
      </c>
      <c r="T118" s="133" t="s">
        <v>247</v>
      </c>
      <c r="U118" s="133">
        <v>5.0</v>
      </c>
      <c r="V118" s="130"/>
      <c r="W118" s="130" t="s">
        <v>84</v>
      </c>
      <c r="X118" s="130" t="s">
        <v>536</v>
      </c>
      <c r="Y118" s="130" t="s">
        <v>86</v>
      </c>
      <c r="Z118" s="131" t="b">
        <v>1</v>
      </c>
      <c r="AA118" s="131">
        <v>0.05763888888888889</v>
      </c>
      <c r="AB118" s="130" t="s">
        <v>50</v>
      </c>
      <c r="AC118" s="130" t="s">
        <v>537</v>
      </c>
      <c r="AD118" s="130" t="s">
        <v>538</v>
      </c>
      <c r="AE118" s="129"/>
      <c r="AF118" s="132"/>
      <c r="AG118" s="133" t="b">
        <v>0</v>
      </c>
      <c r="AH118" s="133">
        <v>35.0</v>
      </c>
      <c r="AI118" s="133">
        <v>1999.0</v>
      </c>
      <c r="AJ118" s="133">
        <v>2015.0</v>
      </c>
      <c r="AK118" s="133">
        <v>3.0</v>
      </c>
      <c r="AL118" s="129" t="str">
        <f>IFERROR(__xludf.DUMMYFUNCTION("""COMPUTED_VALUE"""),"Great View, Quiet")</f>
        <v>Great View, Quiet</v>
      </c>
      <c r="AM118" s="129" t="str">
        <f>IFERROR(__xludf.DUMMYFUNCTION("""COMPUTED_VALUE"""),"Beach, Diving, Fishing, Gym, Heated Pool, Room Service, Snorkelling, Spa, Wifi (Free), Yoga Classes")</f>
        <v>Beach, Diving, Fishing, Gym, Heated Pool, Room Service, Snorkelling, Spa, Wifi (Free), Yoga Classes</v>
      </c>
      <c r="AN118" s="128"/>
    </row>
    <row r="119">
      <c r="A119" s="118" t="s">
        <v>539</v>
      </c>
      <c r="B119" s="149">
        <v>92.0</v>
      </c>
      <c r="C119" s="120" t="s">
        <v>68</v>
      </c>
      <c r="D119" s="121">
        <v>8936.08</v>
      </c>
      <c r="E119" s="122">
        <f>IFERROR(__xludf.DUMMYFUNCTION("""COMPUTED_VALUE"""),12341.172390392)</f>
        <v>12341.17239</v>
      </c>
      <c r="F119" s="136">
        <v>1.34</v>
      </c>
      <c r="G119" s="124">
        <v>4123.0</v>
      </c>
      <c r="H119" s="125">
        <v>2985.0</v>
      </c>
      <c r="I119" s="125">
        <v>771.0</v>
      </c>
      <c r="J119" s="125">
        <v>223.0</v>
      </c>
      <c r="K119" s="125">
        <v>90.0</v>
      </c>
      <c r="L119" s="125">
        <v>54.0</v>
      </c>
      <c r="M119" s="126">
        <v>92.0</v>
      </c>
      <c r="N119" s="127">
        <v>92.0</v>
      </c>
      <c r="O119" s="127"/>
      <c r="P119" s="127">
        <v>92.0</v>
      </c>
      <c r="Q119" s="122" t="b">
        <v>1</v>
      </c>
      <c r="R119" s="133"/>
      <c r="S119" s="133">
        <v>7.0</v>
      </c>
      <c r="T119" s="133"/>
      <c r="U119" s="133">
        <v>4.0</v>
      </c>
      <c r="V119" s="129"/>
      <c r="W119" s="130" t="s">
        <v>219</v>
      </c>
      <c r="X119" s="130" t="s">
        <v>220</v>
      </c>
      <c r="Y119" s="144" t="s">
        <v>221</v>
      </c>
      <c r="Z119" s="131" t="b">
        <v>1</v>
      </c>
      <c r="AA119" s="131">
        <v>0.052083333333333336</v>
      </c>
      <c r="AB119" s="129"/>
      <c r="AC119" s="130" t="s">
        <v>236</v>
      </c>
      <c r="AD119" s="130" t="s">
        <v>540</v>
      </c>
      <c r="AE119" s="129"/>
      <c r="AF119" s="132"/>
      <c r="AG119" s="133" t="b">
        <v>0</v>
      </c>
      <c r="AH119" s="133">
        <v>85.0</v>
      </c>
      <c r="AI119" s="133">
        <v>1986.0</v>
      </c>
      <c r="AJ119" s="133">
        <v>2007.0</v>
      </c>
      <c r="AK119" s="133">
        <v>1.0</v>
      </c>
      <c r="AL119" s="129" t="str">
        <f>IFERROR(__xludf.DUMMYFUNCTION("""COMPUTED_VALUE"""),"Charming, Romantic")</f>
        <v>Charming, Romantic</v>
      </c>
      <c r="AM119" s="129" t="str">
        <f>IFERROR(__xludf.DUMMYFUNCTION("""COMPUTED_VALUE"""),"Beach, Buffet, Diving, Evening Entertainment, Great Beach, Gym, Room Service, Snorkelling, Spa, Swim Up Bar, Watersports Equipment Rentals")</f>
        <v>Beach, Buffet, Diving, Evening Entertainment, Great Beach, Gym, Room Service, Snorkelling, Spa, Swim Up Bar, Watersports Equipment Rentals</v>
      </c>
      <c r="AN119" s="128"/>
    </row>
    <row r="120">
      <c r="A120" s="118" t="s">
        <v>541</v>
      </c>
      <c r="B120" s="119">
        <v>91.8</v>
      </c>
      <c r="C120" s="120" t="s">
        <v>68</v>
      </c>
      <c r="D120" s="121">
        <v>3821.67</v>
      </c>
      <c r="E120" s="122">
        <f>IFERROR(__xludf.DUMMYFUNCTION("""COMPUTED_VALUE"""),5277.916971332999)</f>
        <v>5277.916971</v>
      </c>
      <c r="F120" s="136">
        <v>3.09</v>
      </c>
      <c r="G120" s="124">
        <v>4928.0</v>
      </c>
      <c r="H120" s="125">
        <v>3861.0</v>
      </c>
      <c r="I120" s="125">
        <v>692.0</v>
      </c>
      <c r="J120" s="125">
        <v>228.0</v>
      </c>
      <c r="K120" s="125">
        <v>89.0</v>
      </c>
      <c r="L120" s="125">
        <v>58.0</v>
      </c>
      <c r="M120" s="126">
        <v>93.0</v>
      </c>
      <c r="N120" s="138">
        <v>92.0</v>
      </c>
      <c r="O120" s="127">
        <v>92.0</v>
      </c>
      <c r="P120" s="127">
        <v>90.0</v>
      </c>
      <c r="Q120" s="126" t="b">
        <v>1</v>
      </c>
      <c r="R120" s="133">
        <v>4.0</v>
      </c>
      <c r="S120" s="133">
        <v>7.0</v>
      </c>
      <c r="T120" s="133"/>
      <c r="U120" s="133">
        <v>5.0</v>
      </c>
      <c r="V120" s="129"/>
      <c r="W120" s="130" t="s">
        <v>84</v>
      </c>
      <c r="X120" s="130" t="s">
        <v>119</v>
      </c>
      <c r="Y120" s="130" t="s">
        <v>120</v>
      </c>
      <c r="Z120" s="131" t="b">
        <v>1</v>
      </c>
      <c r="AA120" s="131">
        <v>0.013194444444444444</v>
      </c>
      <c r="AB120" s="130" t="s">
        <v>542</v>
      </c>
      <c r="AC120" s="130" t="s">
        <v>236</v>
      </c>
      <c r="AD120" s="130" t="s">
        <v>543</v>
      </c>
      <c r="AE120" s="129"/>
      <c r="AF120" s="132"/>
      <c r="AG120" s="133" t="b">
        <v>1</v>
      </c>
      <c r="AH120" s="133">
        <v>80.0</v>
      </c>
      <c r="AI120" s="133">
        <v>1999.0</v>
      </c>
      <c r="AJ120" s="133">
        <v>2017.0</v>
      </c>
      <c r="AK120" s="133">
        <v>8.0</v>
      </c>
      <c r="AL120" s="129" t="str">
        <f>IFERROR(__xludf.DUMMYFUNCTION("""COMPUTED_VALUE"""),"Charming, Romantic")</f>
        <v>Charming, Romantic</v>
      </c>
      <c r="AM120" s="129" t="str">
        <f>IFERROR(__xludf.DUMMYFUNCTION("""COMPUTED_VALUE"""),"Beach, Bicycles Available, Diving, Evening Entertainment, Fishing, Gym, Heated Pool, Hiking, Horseback Riding, Room Service, Snorkelling, Spa, Swim Up Bar, Wifi (Free), Yoga Classes")</f>
        <v>Beach, Bicycles Available, Diving, Evening Entertainment, Fishing, Gym, Heated Pool, Hiking, Horseback Riding, Room Service, Snorkelling, Spa, Swim Up Bar, Wifi (Free), Yoga Classes</v>
      </c>
      <c r="AN120" s="128"/>
    </row>
    <row r="121">
      <c r="A121" s="118" t="s">
        <v>544</v>
      </c>
      <c r="B121" s="119">
        <v>91.8</v>
      </c>
      <c r="C121" s="134" t="s">
        <v>75</v>
      </c>
      <c r="D121" s="121">
        <v>4840.32</v>
      </c>
      <c r="E121" s="135">
        <f>IFERROR(__xludf.DUMMYFUNCTION("""COMPUTED_VALUE"""),6684.723451967999)</f>
        <v>6684.723452</v>
      </c>
      <c r="F121" s="136">
        <v>2.44</v>
      </c>
      <c r="G121" s="124">
        <v>5896.0</v>
      </c>
      <c r="H121" s="125">
        <v>4485.0</v>
      </c>
      <c r="I121" s="125">
        <v>991.0</v>
      </c>
      <c r="J121" s="125">
        <v>264.0</v>
      </c>
      <c r="K121" s="125">
        <v>95.0</v>
      </c>
      <c r="L121" s="125">
        <v>61.0</v>
      </c>
      <c r="M121" s="126">
        <v>93.0</v>
      </c>
      <c r="N121" s="127">
        <v>94.0</v>
      </c>
      <c r="O121" s="127">
        <v>88.0</v>
      </c>
      <c r="P121" s="138">
        <v>92.0</v>
      </c>
      <c r="Q121" s="135" t="b">
        <v>1</v>
      </c>
      <c r="R121" s="133">
        <v>3.0</v>
      </c>
      <c r="S121" s="133">
        <v>6.0</v>
      </c>
      <c r="T121" s="133"/>
      <c r="U121" s="133">
        <v>4.5</v>
      </c>
      <c r="V121" s="129"/>
      <c r="W121" s="130" t="s">
        <v>84</v>
      </c>
      <c r="X121" s="130" t="s">
        <v>467</v>
      </c>
      <c r="Y121" s="130" t="s">
        <v>468</v>
      </c>
      <c r="Z121" s="131" t="b">
        <v>0</v>
      </c>
      <c r="AA121" s="131">
        <v>0.020833333333333332</v>
      </c>
      <c r="AB121" s="130" t="s">
        <v>545</v>
      </c>
      <c r="AC121" s="130" t="s">
        <v>546</v>
      </c>
      <c r="AD121" s="130" t="s">
        <v>547</v>
      </c>
      <c r="AE121" s="130"/>
      <c r="AF121" s="132" t="s">
        <v>318</v>
      </c>
      <c r="AG121" s="133" t="b">
        <v>0</v>
      </c>
      <c r="AH121" s="133">
        <v>294.0</v>
      </c>
      <c r="AI121" s="133">
        <v>1987.0</v>
      </c>
      <c r="AJ121" s="133">
        <v>2000.0</v>
      </c>
      <c r="AK121" s="133">
        <v>27.0</v>
      </c>
      <c r="AL121" s="129" t="str">
        <f>IFERROR(__xludf.DUMMYFUNCTION("""COMPUTED_VALUE"""),"Harbour View, Marina View")</f>
        <v>Harbour View, Marina View</v>
      </c>
      <c r="AM121" s="129" t="str">
        <f>IFERROR(__xludf.DUMMYFUNCTION("""COMPUTED_VALUE"""),"Babysitting, Beach, Buffet, Evening Entertainment, Fishing, Golf Course, Gym, Heated Pool, Kids Club, Pool Slide, Spa, Swim Up Bar, Tennis, Water Feature, Wifi (Paid)")</f>
        <v>Babysitting, Beach, Buffet, Evening Entertainment, Fishing, Golf Course, Gym, Heated Pool, Kids Club, Pool Slide, Spa, Swim Up Bar, Tennis, Water Feature, Wifi (Paid)</v>
      </c>
      <c r="AN121" s="139"/>
    </row>
    <row r="122">
      <c r="A122" s="118" t="s">
        <v>548</v>
      </c>
      <c r="B122" s="119">
        <v>91.7</v>
      </c>
      <c r="C122" s="120" t="s">
        <v>68</v>
      </c>
      <c r="D122" s="121">
        <v>2694.0</v>
      </c>
      <c r="E122" s="122">
        <f>IFERROR(__xludf.DUMMYFUNCTION("""COMPUTED_VALUE"""),3720.5484305999994)</f>
        <v>3720.548431</v>
      </c>
      <c r="F122" s="136">
        <v>4.34</v>
      </c>
      <c r="G122" s="124">
        <v>4821.0</v>
      </c>
      <c r="H122" s="125">
        <v>3335.0</v>
      </c>
      <c r="I122" s="125">
        <v>964.0</v>
      </c>
      <c r="J122" s="125">
        <v>318.0</v>
      </c>
      <c r="K122" s="125">
        <v>138.0</v>
      </c>
      <c r="L122" s="125">
        <v>67.0</v>
      </c>
      <c r="M122" s="126">
        <v>91.0</v>
      </c>
      <c r="N122" s="127">
        <v>92.0</v>
      </c>
      <c r="O122" s="127"/>
      <c r="P122" s="127">
        <v>92.0</v>
      </c>
      <c r="Q122" s="122" t="b">
        <v>1</v>
      </c>
      <c r="R122" s="133"/>
      <c r="S122" s="133">
        <v>7.0</v>
      </c>
      <c r="T122" s="133"/>
      <c r="U122" s="133">
        <v>5.0</v>
      </c>
      <c r="V122" s="130" t="s">
        <v>549</v>
      </c>
      <c r="W122" s="130" t="s">
        <v>219</v>
      </c>
      <c r="X122" s="130" t="s">
        <v>385</v>
      </c>
      <c r="Y122" s="144" t="s">
        <v>221</v>
      </c>
      <c r="Z122" s="131" t="b">
        <v>1</v>
      </c>
      <c r="AA122" s="131">
        <v>0.06666666666666667</v>
      </c>
      <c r="AB122" s="130" t="s">
        <v>550</v>
      </c>
      <c r="AC122" s="129"/>
      <c r="AD122" s="130" t="s">
        <v>551</v>
      </c>
      <c r="AE122" s="129"/>
      <c r="AF122" s="132"/>
      <c r="AG122" s="133" t="b">
        <v>0</v>
      </c>
      <c r="AH122" s="133">
        <v>218.0</v>
      </c>
      <c r="AI122" s="133">
        <v>1949.0</v>
      </c>
      <c r="AJ122" s="133">
        <v>2009.0</v>
      </c>
      <c r="AK122" s="133">
        <v>5.0</v>
      </c>
      <c r="AL122" s="129"/>
      <c r="AM122" s="129" t="str">
        <f>IFERROR(__xludf.DUMMYFUNCTION("""COMPUTED_VALUE"""),"Beach, Buffet, Diving, Evening Entertainment, Gym, Nightclub, Room Service, Snorkelling, Spa, Swim Out/Plunge Pool Rooms, Swim Up Bar, Tennis, Watersports Equipment Rentals, Windsurfing")</f>
        <v>Beach, Buffet, Diving, Evening Entertainment, Gym, Nightclub, Room Service, Snorkelling, Spa, Swim Out/Plunge Pool Rooms, Swim Up Bar, Tennis, Watersports Equipment Rentals, Windsurfing</v>
      </c>
      <c r="AN122" s="128"/>
    </row>
    <row r="123">
      <c r="A123" s="118" t="s">
        <v>552</v>
      </c>
      <c r="B123" s="119">
        <v>91.7</v>
      </c>
      <c r="C123" s="134" t="s">
        <v>75</v>
      </c>
      <c r="D123" s="121">
        <v>5144.02</v>
      </c>
      <c r="E123" s="135">
        <f>IFERROR(__xludf.DUMMYFUNCTION("""COMPUTED_VALUE"""),7104.148306598)</f>
        <v>7104.148307</v>
      </c>
      <c r="F123" s="136">
        <v>2.27</v>
      </c>
      <c r="G123" s="124">
        <v>8317.0</v>
      </c>
      <c r="H123" s="125">
        <v>5961.0</v>
      </c>
      <c r="I123" s="125">
        <v>1486.0</v>
      </c>
      <c r="J123" s="125">
        <v>498.0</v>
      </c>
      <c r="K123" s="125">
        <v>185.0</v>
      </c>
      <c r="L123" s="125">
        <v>188.0</v>
      </c>
      <c r="M123" s="126">
        <v>91.0</v>
      </c>
      <c r="N123" s="127">
        <v>96.0</v>
      </c>
      <c r="O123" s="146"/>
      <c r="P123" s="127">
        <v>88.0</v>
      </c>
      <c r="Q123" s="135" t="b">
        <v>1</v>
      </c>
      <c r="R123" s="133"/>
      <c r="S123" s="133">
        <v>6.0</v>
      </c>
      <c r="T123" s="133"/>
      <c r="U123" s="133">
        <v>5.0</v>
      </c>
      <c r="V123" s="130"/>
      <c r="W123" s="130" t="s">
        <v>84</v>
      </c>
      <c r="X123" s="130" t="s">
        <v>123</v>
      </c>
      <c r="Y123" s="130" t="s">
        <v>123</v>
      </c>
      <c r="Z123" s="131" t="b">
        <v>1</v>
      </c>
      <c r="AA123" s="131">
        <v>0.027083333333333334</v>
      </c>
      <c r="AB123" s="130" t="s">
        <v>553</v>
      </c>
      <c r="AC123" s="130" t="s">
        <v>554</v>
      </c>
      <c r="AD123" s="130" t="s">
        <v>555</v>
      </c>
      <c r="AE123" s="130"/>
      <c r="AF123" s="132" t="s">
        <v>373</v>
      </c>
      <c r="AG123" s="133" t="b">
        <v>0</v>
      </c>
      <c r="AH123" s="133">
        <v>272.0</v>
      </c>
      <c r="AI123" s="133">
        <v>1969.0</v>
      </c>
      <c r="AJ123" s="133">
        <v>2016.0</v>
      </c>
      <c r="AK123" s="133">
        <v>8.0</v>
      </c>
      <c r="AL123" s="129" t="str">
        <f>IFERROR(__xludf.DUMMYFUNCTION("""COMPUTED_VALUE"""),"Bay View, Business")</f>
        <v>Bay View, Business</v>
      </c>
      <c r="AM123" s="129" t="str">
        <f>IFERROR(__xludf.DUMMYFUNCTION("""COMPUTED_VALUE"""),"Adult Pool, Babysitting, Beach, Buffet, Diving, Evening Entertainment, Fishing, Gym, Heated Pool, Kids Club, Nightclub, Room Service, Snorkelling, Spa, Swim Up Bar, Tennis")</f>
        <v>Adult Pool, Babysitting, Beach, Buffet, Diving, Evening Entertainment, Fishing, Gym, Heated Pool, Kids Club, Nightclub, Room Service, Snorkelling, Spa, Swim Up Bar, Tennis</v>
      </c>
      <c r="AN123" s="139"/>
    </row>
    <row r="124">
      <c r="A124" s="118" t="s">
        <v>556</v>
      </c>
      <c r="B124" s="119">
        <v>91.7</v>
      </c>
      <c r="C124" s="134" t="s">
        <v>75</v>
      </c>
      <c r="D124" s="121">
        <v>5436.82</v>
      </c>
      <c r="E124" s="135">
        <f>IFERROR(__xludf.DUMMYFUNCTION("""COMPUTED_VALUE"""),7508.519717317999)</f>
        <v>7508.519717</v>
      </c>
      <c r="F124" s="136">
        <v>2.15</v>
      </c>
      <c r="G124" s="124">
        <v>13318.0</v>
      </c>
      <c r="H124" s="125">
        <v>9264.0</v>
      </c>
      <c r="I124" s="125">
        <v>2871.0</v>
      </c>
      <c r="J124" s="125">
        <v>700.0</v>
      </c>
      <c r="K124" s="125">
        <v>276.0</v>
      </c>
      <c r="L124" s="125">
        <v>209.0</v>
      </c>
      <c r="M124" s="126">
        <v>91.0</v>
      </c>
      <c r="N124" s="127">
        <v>96.0</v>
      </c>
      <c r="O124" s="146"/>
      <c r="P124" s="127">
        <v>88.0</v>
      </c>
      <c r="Q124" s="135" t="b">
        <v>1</v>
      </c>
      <c r="R124" s="133"/>
      <c r="S124" s="143">
        <v>8.0</v>
      </c>
      <c r="T124" s="133"/>
      <c r="U124" s="133">
        <v>5.0</v>
      </c>
      <c r="V124" s="130"/>
      <c r="W124" s="130" t="s">
        <v>193</v>
      </c>
      <c r="X124" s="130" t="s">
        <v>557</v>
      </c>
      <c r="Y124" s="130" t="s">
        <v>195</v>
      </c>
      <c r="Z124" s="131" t="b">
        <v>1</v>
      </c>
      <c r="AA124" s="131">
        <v>0.034722222222222224</v>
      </c>
      <c r="AB124" s="130" t="s">
        <v>215</v>
      </c>
      <c r="AC124" s="130" t="s">
        <v>558</v>
      </c>
      <c r="AD124" s="130" t="s">
        <v>559</v>
      </c>
      <c r="AE124" s="130" t="s">
        <v>396</v>
      </c>
      <c r="AF124" s="132" t="s">
        <v>373</v>
      </c>
      <c r="AG124" s="143" t="b">
        <v>0</v>
      </c>
      <c r="AH124" s="143">
        <v>504.0</v>
      </c>
      <c r="AI124" s="143"/>
      <c r="AJ124" s="143"/>
      <c r="AK124" s="143"/>
      <c r="AL124" s="129" t="str">
        <f>IFERROR(__xludf.DUMMYFUNCTION("""COMPUTED_VALUE"""),"Great View, Park View")</f>
        <v>Great View, Park View</v>
      </c>
      <c r="AM124" s="129" t="str">
        <f>IFERROR(__xludf.DUMMYFUNCTION("""COMPUTED_VALUE"""),"2 Bedroom Suites, Babysitting, Beach, Buffet, Diving, Evening Entertainment, Family Suite, Gym, Kids Club, Nightclub, Snorkelling, Spa, Swim Out/Plunge Pool Rooms, Swim Up Bar, Tennis, Yoga Classes")</f>
        <v>2 Bedroom Suites, Babysitting, Beach, Buffet, Diving, Evening Entertainment, Family Suite, Gym, Kids Club, Nightclub, Snorkelling, Spa, Swim Out/Plunge Pool Rooms, Swim Up Bar, Tennis, Yoga Classes</v>
      </c>
      <c r="AN124" s="139"/>
    </row>
    <row r="125">
      <c r="A125" s="118" t="s">
        <v>560</v>
      </c>
      <c r="B125" s="119">
        <v>91.7</v>
      </c>
      <c r="C125" s="120" t="s">
        <v>68</v>
      </c>
      <c r="D125" s="121">
        <v>5935.93</v>
      </c>
      <c r="E125" s="122">
        <f>IFERROR(__xludf.DUMMYFUNCTION("""COMPUTED_VALUE"""),8197.815532907)</f>
        <v>8197.815533</v>
      </c>
      <c r="F125" s="136">
        <v>1.97</v>
      </c>
      <c r="G125" s="124">
        <v>774.0</v>
      </c>
      <c r="H125" s="125">
        <v>670.0</v>
      </c>
      <c r="I125" s="125">
        <v>51.0</v>
      </c>
      <c r="J125" s="125">
        <v>25.0</v>
      </c>
      <c r="K125" s="125">
        <v>18.0</v>
      </c>
      <c r="L125" s="125">
        <v>11.0</v>
      </c>
      <c r="M125" s="126">
        <v>95.0</v>
      </c>
      <c r="N125" s="138">
        <v>90.0</v>
      </c>
      <c r="O125" s="127"/>
      <c r="P125" s="127">
        <v>90.0</v>
      </c>
      <c r="Q125" s="126" t="b">
        <v>1</v>
      </c>
      <c r="R125" s="133"/>
      <c r="S125" s="133">
        <v>7.0</v>
      </c>
      <c r="T125" s="133"/>
      <c r="U125" s="133">
        <v>4.0</v>
      </c>
      <c r="V125" s="130" t="s">
        <v>561</v>
      </c>
      <c r="W125" s="130" t="s">
        <v>219</v>
      </c>
      <c r="X125" s="130" t="s">
        <v>220</v>
      </c>
      <c r="Y125" s="144" t="s">
        <v>221</v>
      </c>
      <c r="Z125" s="131" t="b">
        <v>1</v>
      </c>
      <c r="AA125" s="131">
        <v>0.05416666666666667</v>
      </c>
      <c r="AB125" s="130" t="s">
        <v>451</v>
      </c>
      <c r="AC125" s="130" t="s">
        <v>562</v>
      </c>
      <c r="AD125" s="130" t="s">
        <v>563</v>
      </c>
      <c r="AE125" s="129"/>
      <c r="AF125" s="132"/>
      <c r="AG125" s="133" t="b">
        <v>0</v>
      </c>
      <c r="AH125" s="133">
        <v>26.0</v>
      </c>
      <c r="AI125" s="143"/>
      <c r="AJ125" s="143"/>
      <c r="AK125" s="143"/>
      <c r="AL125" s="129" t="str">
        <f>IFERROR(__xludf.DUMMYFUNCTION("""COMPUTED_VALUE"""),"Magnificent View, Ocean View")</f>
        <v>Magnificent View, Ocean View</v>
      </c>
      <c r="AM125" s="129" t="str">
        <f>IFERROR(__xludf.DUMMYFUNCTION("""COMPUTED_VALUE"""),"Beach, Buffet, Evening Entertainment, Great Beach, Gym, Heated Pool, Nightclub, Room Service, Snorkelling, Spa, Swim Out/Plunge Pool Rooms, Swim Up Bar, Tennis, Wifi (Free)")</f>
        <v>Beach, Buffet, Evening Entertainment, Great Beach, Gym, Heated Pool, Nightclub, Room Service, Snorkelling, Spa, Swim Out/Plunge Pool Rooms, Swim Up Bar, Tennis, Wifi (Free)</v>
      </c>
      <c r="AN125" s="128"/>
    </row>
    <row r="126">
      <c r="A126" s="140" t="s">
        <v>564</v>
      </c>
      <c r="B126" s="119">
        <v>91.7</v>
      </c>
      <c r="C126" s="133" t="s">
        <v>75</v>
      </c>
      <c r="D126" s="142">
        <v>6479.1</v>
      </c>
      <c r="E126" s="122">
        <f>IFERROR(__xludf.DUMMYFUNCTION("""COMPUTED_VALUE"""),8947.960407089999)</f>
        <v>8947.960407</v>
      </c>
      <c r="F126" s="136">
        <v>1.81</v>
      </c>
      <c r="G126" s="124">
        <v>768.0</v>
      </c>
      <c r="H126" s="125">
        <v>594.0</v>
      </c>
      <c r="I126" s="125">
        <v>75.0</v>
      </c>
      <c r="J126" s="125">
        <v>45.0</v>
      </c>
      <c r="K126" s="125">
        <v>27.0</v>
      </c>
      <c r="L126" s="125">
        <v>27.0</v>
      </c>
      <c r="M126" s="126">
        <v>91.0</v>
      </c>
      <c r="N126" s="127">
        <v>98.0</v>
      </c>
      <c r="O126" s="146"/>
      <c r="P126" s="127">
        <v>86.0</v>
      </c>
      <c r="Q126" s="122" t="b">
        <v>1</v>
      </c>
      <c r="R126" s="143"/>
      <c r="S126" s="143">
        <v>7.0</v>
      </c>
      <c r="T126" s="143"/>
      <c r="U126" s="143">
        <v>5.0</v>
      </c>
      <c r="V126" s="130"/>
      <c r="W126" s="130" t="s">
        <v>193</v>
      </c>
      <c r="X126" s="130" t="s">
        <v>225</v>
      </c>
      <c r="Y126" s="130" t="s">
        <v>195</v>
      </c>
      <c r="Z126" s="131" t="b">
        <v>1</v>
      </c>
      <c r="AA126" s="131">
        <v>0.02013888888888889</v>
      </c>
      <c r="AB126" s="130" t="s">
        <v>215</v>
      </c>
      <c r="AC126" s="130" t="s">
        <v>565</v>
      </c>
      <c r="AD126" s="130" t="s">
        <v>566</v>
      </c>
      <c r="AE126" s="130" t="s">
        <v>396</v>
      </c>
      <c r="AF126" s="132" t="s">
        <v>567</v>
      </c>
      <c r="AG126" s="143" t="b">
        <v>0</v>
      </c>
      <c r="AH126" s="143">
        <v>162.0</v>
      </c>
      <c r="AI126" s="143">
        <v>2019.0</v>
      </c>
      <c r="AJ126" s="143"/>
      <c r="AK126" s="143"/>
      <c r="AL126" s="129" t="str">
        <f>IFERROR(__xludf.DUMMYFUNCTION("""COMPUTED_VALUE"""),"Charming, Ocean View")</f>
        <v>Charming, Ocean View</v>
      </c>
      <c r="AM126" s="129" t="str">
        <f>IFERROR(__xludf.DUMMYFUNCTION("""COMPUTED_VALUE"""),"2 Bedroom Suites, Babysitting, Beach, Buffet, Casino, Evening Entertainment, Family Suite, Gym, Kids Club, Kids Waterpark, Nightclub, Snorkelling, Spa, Tennis, Wifi (Free)")</f>
        <v>2 Bedroom Suites, Babysitting, Beach, Buffet, Casino, Evening Entertainment, Family Suite, Gym, Kids Club, Kids Waterpark, Nightclub, Snorkelling, Spa, Tennis, Wifi (Free)</v>
      </c>
      <c r="AN126" s="139"/>
    </row>
    <row r="127">
      <c r="A127" s="118" t="s">
        <v>568</v>
      </c>
      <c r="B127" s="119">
        <v>91.5</v>
      </c>
      <c r="C127" s="134" t="s">
        <v>75</v>
      </c>
      <c r="D127" s="121">
        <v>1396.5</v>
      </c>
      <c r="E127" s="135">
        <f>IFERROR(__xludf.DUMMYFUNCTION("""COMPUTED_VALUE"""),1928.6361853499998)</f>
        <v>1928.636185</v>
      </c>
      <c r="F127" s="136">
        <v>8.23</v>
      </c>
      <c r="G127" s="124">
        <v>1053.0</v>
      </c>
      <c r="H127" s="125">
        <v>852.0</v>
      </c>
      <c r="I127" s="125">
        <v>115.0</v>
      </c>
      <c r="J127" s="125">
        <v>42.0</v>
      </c>
      <c r="K127" s="125">
        <v>24.0</v>
      </c>
      <c r="L127" s="125">
        <v>22.0</v>
      </c>
      <c r="M127" s="126">
        <v>93.0</v>
      </c>
      <c r="N127" s="138">
        <v>90.0</v>
      </c>
      <c r="O127" s="146"/>
      <c r="P127" s="146"/>
      <c r="Q127" s="137" t="b">
        <v>1</v>
      </c>
      <c r="R127" s="128"/>
      <c r="S127" s="128"/>
      <c r="T127" s="128"/>
      <c r="U127" s="133">
        <v>4.0</v>
      </c>
      <c r="V127" s="129"/>
      <c r="W127" s="130" t="s">
        <v>276</v>
      </c>
      <c r="X127" s="130" t="s">
        <v>569</v>
      </c>
      <c r="Y127" s="130" t="s">
        <v>570</v>
      </c>
      <c r="Z127" s="131" t="b">
        <v>1</v>
      </c>
      <c r="AA127" s="131">
        <v>0.04375</v>
      </c>
      <c r="AB127" s="129"/>
      <c r="AC127" s="129"/>
      <c r="AD127" s="130" t="s">
        <v>571</v>
      </c>
      <c r="AE127" s="130"/>
      <c r="AF127" s="132" t="s">
        <v>135</v>
      </c>
      <c r="AG127" s="128" t="b">
        <v>0</v>
      </c>
      <c r="AH127" s="128"/>
      <c r="AI127" s="128"/>
      <c r="AJ127" s="128"/>
      <c r="AK127" s="128"/>
      <c r="AL127" s="129"/>
      <c r="AM127" s="129" t="str">
        <f>IFERROR(__xludf.DUMMYFUNCTION("""COMPUTED_VALUE"""),"Babysitting, Beach, Buffet, Evening Entertainment, Gym, Kids Club, Nightclub, Teen Club, Tennis")</f>
        <v>Babysitting, Beach, Buffet, Evening Entertainment, Gym, Kids Club, Nightclub, Teen Club, Tennis</v>
      </c>
      <c r="AN127" s="139"/>
    </row>
    <row r="128">
      <c r="A128" s="118" t="s">
        <v>572</v>
      </c>
      <c r="B128" s="119">
        <v>91.5</v>
      </c>
      <c r="C128" s="133" t="s">
        <v>75</v>
      </c>
      <c r="D128" s="121">
        <v>2100.0</v>
      </c>
      <c r="E128" s="122">
        <f>IFERROR(__xludf.DUMMYFUNCTION("""COMPUTED_VALUE"""),2900.20479)</f>
        <v>2900.20479</v>
      </c>
      <c r="F128" s="136">
        <v>5.48</v>
      </c>
      <c r="G128" s="124">
        <v>6360.0</v>
      </c>
      <c r="H128" s="125">
        <v>3926.0</v>
      </c>
      <c r="I128" s="125">
        <v>1451.0</v>
      </c>
      <c r="J128" s="125">
        <v>580.0</v>
      </c>
      <c r="K128" s="125">
        <v>213.0</v>
      </c>
      <c r="L128" s="125">
        <v>190.0</v>
      </c>
      <c r="M128" s="126">
        <v>87.0</v>
      </c>
      <c r="N128" s="138">
        <v>96.0</v>
      </c>
      <c r="O128" s="127"/>
      <c r="P128" s="127"/>
      <c r="Q128" s="126" t="b">
        <v>1</v>
      </c>
      <c r="R128" s="128"/>
      <c r="S128" s="133" t="s">
        <v>83</v>
      </c>
      <c r="T128" s="128"/>
      <c r="U128" s="133">
        <v>5.0</v>
      </c>
      <c r="V128" s="129"/>
      <c r="W128" s="130" t="s">
        <v>276</v>
      </c>
      <c r="X128" s="130" t="s">
        <v>327</v>
      </c>
      <c r="Y128" s="130" t="s">
        <v>327</v>
      </c>
      <c r="Z128" s="133" t="b">
        <v>1</v>
      </c>
      <c r="AA128" s="131">
        <v>0.011111111111111112</v>
      </c>
      <c r="AB128" s="130" t="s">
        <v>328</v>
      </c>
      <c r="AC128" s="147" t="s">
        <v>573</v>
      </c>
      <c r="AD128" s="147" t="s">
        <v>574</v>
      </c>
      <c r="AE128" s="129"/>
      <c r="AF128" s="148" t="s">
        <v>297</v>
      </c>
      <c r="AG128" s="128" t="b">
        <v>0</v>
      </c>
      <c r="AH128" s="133">
        <v>566.0</v>
      </c>
      <c r="AI128" s="133">
        <v>2015.0</v>
      </c>
      <c r="AJ128" s="128"/>
      <c r="AK128" s="133">
        <v>3.0</v>
      </c>
      <c r="AL128" s="129" t="str">
        <f>IFERROR(__xludf.DUMMYFUNCTION("""COMPUTED_VALUE"""),"Family, Modern")</f>
        <v>Family, Modern</v>
      </c>
      <c r="AM128" s="129" t="str">
        <f>IFERROR(__xludf.DUMMYFUNCTION("""COMPUTED_VALUE"""),"Adult Pool, Babysitting, Beach, Buffet, Diving, Evening Entertainment, Gym, Kids Club, Nightclub, Spa, Swim Up Bar, Watersports Equipment Rentals")</f>
        <v>Adult Pool, Babysitting, Beach, Buffet, Diving, Evening Entertainment, Gym, Kids Club, Nightclub, Spa, Swim Up Bar, Watersports Equipment Rentals</v>
      </c>
      <c r="AN128" s="139"/>
    </row>
    <row r="129">
      <c r="A129" s="118" t="s">
        <v>575</v>
      </c>
      <c r="B129" s="119">
        <v>91.5</v>
      </c>
      <c r="C129" s="120" t="s">
        <v>68</v>
      </c>
      <c r="D129" s="121">
        <v>2177.0</v>
      </c>
      <c r="E129" s="122">
        <f>IFERROR(__xludf.DUMMYFUNCTION("""COMPUTED_VALUE"""),3006.5456323)</f>
        <v>3006.545632</v>
      </c>
      <c r="F129" s="136">
        <v>5.28</v>
      </c>
      <c r="G129" s="124">
        <v>4826.0</v>
      </c>
      <c r="H129" s="125">
        <v>3574.0</v>
      </c>
      <c r="I129" s="125">
        <v>746.0</v>
      </c>
      <c r="J129" s="125">
        <v>284.0</v>
      </c>
      <c r="K129" s="125">
        <v>131.0</v>
      </c>
      <c r="L129" s="125">
        <v>91.0</v>
      </c>
      <c r="M129" s="126">
        <v>91.0</v>
      </c>
      <c r="N129" s="127">
        <v>92.0</v>
      </c>
      <c r="O129" s="127"/>
      <c r="P129" s="127"/>
      <c r="Q129" s="122" t="b">
        <v>1</v>
      </c>
      <c r="R129" s="128"/>
      <c r="S129" s="133">
        <v>7.0</v>
      </c>
      <c r="T129" s="128"/>
      <c r="U129" s="133">
        <v>5.0</v>
      </c>
      <c r="V129" s="129"/>
      <c r="W129" s="130" t="s">
        <v>276</v>
      </c>
      <c r="X129" s="130" t="s">
        <v>576</v>
      </c>
      <c r="Y129" s="130" t="s">
        <v>327</v>
      </c>
      <c r="Z129" s="131" t="b">
        <v>1</v>
      </c>
      <c r="AA129" s="131">
        <v>0.06875</v>
      </c>
      <c r="AB129" s="130" t="s">
        <v>328</v>
      </c>
      <c r="AC129" s="130" t="s">
        <v>311</v>
      </c>
      <c r="AD129" s="130" t="s">
        <v>577</v>
      </c>
      <c r="AE129" s="129"/>
      <c r="AF129" s="132"/>
      <c r="AG129" s="133" t="b">
        <v>0</v>
      </c>
      <c r="AH129" s="133">
        <v>105.0</v>
      </c>
      <c r="AI129" s="128"/>
      <c r="AJ129" s="128"/>
      <c r="AK129" s="133">
        <v>2.0</v>
      </c>
      <c r="AL129" s="129" t="str">
        <f>IFERROR(__xludf.DUMMYFUNCTION("""COMPUTED_VALUE"""),"Ocean View, Romantic")</f>
        <v>Ocean View, Romantic</v>
      </c>
      <c r="AM129" s="129" t="str">
        <f>IFERROR(__xludf.DUMMYFUNCTION("""COMPUTED_VALUE"""),"Beach, Buffet, Diving, Evening Entertainment, Fishing, Gym, Room Service, Snorkelling, Tennis")</f>
        <v>Beach, Buffet, Diving, Evening Entertainment, Fishing, Gym, Room Service, Snorkelling, Tennis</v>
      </c>
      <c r="AN129" s="128"/>
    </row>
    <row r="130">
      <c r="A130" s="118" t="s">
        <v>578</v>
      </c>
      <c r="B130" s="119">
        <v>91.5</v>
      </c>
      <c r="C130" s="134" t="s">
        <v>75</v>
      </c>
      <c r="D130" s="121">
        <v>6030.0</v>
      </c>
      <c r="E130" s="135">
        <f>IFERROR(__xludf.DUMMYFUNCTION("""COMPUTED_VALUE"""),8327.730897)</f>
        <v>8327.730897</v>
      </c>
      <c r="F130" s="136">
        <v>1.91</v>
      </c>
      <c r="G130" s="124">
        <v>3135.0</v>
      </c>
      <c r="H130" s="125">
        <v>2730.0</v>
      </c>
      <c r="I130" s="125">
        <v>250.0</v>
      </c>
      <c r="J130" s="125">
        <v>76.0</v>
      </c>
      <c r="K130" s="125">
        <v>44.0</v>
      </c>
      <c r="L130" s="125">
        <v>35.0</v>
      </c>
      <c r="M130" s="137">
        <v>96.0</v>
      </c>
      <c r="N130" s="138">
        <v>90.0</v>
      </c>
      <c r="O130" s="138">
        <v>92.0</v>
      </c>
      <c r="P130" s="138">
        <v>88.0</v>
      </c>
      <c r="Q130" s="135" t="b">
        <v>1</v>
      </c>
      <c r="R130" s="133"/>
      <c r="S130" s="133">
        <v>7.0</v>
      </c>
      <c r="T130" s="133"/>
      <c r="U130" s="133">
        <v>4.0</v>
      </c>
      <c r="V130" s="129"/>
      <c r="W130" s="130" t="s">
        <v>84</v>
      </c>
      <c r="X130" s="130" t="s">
        <v>122</v>
      </c>
      <c r="Y130" s="130" t="s">
        <v>123</v>
      </c>
      <c r="Z130" s="131" t="b">
        <v>1</v>
      </c>
      <c r="AA130" s="131">
        <v>0.024305555555555556</v>
      </c>
      <c r="AB130" s="130" t="s">
        <v>499</v>
      </c>
      <c r="AC130" s="130" t="s">
        <v>579</v>
      </c>
      <c r="AD130" s="130" t="s">
        <v>580</v>
      </c>
      <c r="AE130" s="130"/>
      <c r="AF130" s="132" t="s">
        <v>318</v>
      </c>
      <c r="AG130" s="133" t="b">
        <v>1</v>
      </c>
      <c r="AH130" s="133">
        <v>156.0</v>
      </c>
      <c r="AI130" s="133">
        <v>2001.0</v>
      </c>
      <c r="AJ130" s="143"/>
      <c r="AK130" s="133">
        <v>8.0</v>
      </c>
      <c r="AL130" s="129" t="str">
        <f>IFERROR(__xludf.DUMMYFUNCTION("""COMPUTED_VALUE"""),"Family, Value")</f>
        <v>Family, Value</v>
      </c>
      <c r="AM130" s="129" t="str">
        <f>IFERROR(__xludf.DUMMYFUNCTION("""COMPUTED_VALUE"""),"2 Bedroom Suites, Babysitting, Beach, Family Suite, Fishing, Gym, Heated Pool, Kids Club, Lazy River, Room Service, Snorkelling, Spa, Swim Up Bar, Tennis")</f>
        <v>2 Bedroom Suites, Babysitting, Beach, Family Suite, Fishing, Gym, Heated Pool, Kids Club, Lazy River, Room Service, Snorkelling, Spa, Swim Up Bar, Tennis</v>
      </c>
      <c r="AN130" s="139"/>
    </row>
    <row r="131">
      <c r="A131" s="118" t="s">
        <v>581</v>
      </c>
      <c r="B131" s="149">
        <v>91.5</v>
      </c>
      <c r="C131" s="120" t="s">
        <v>68</v>
      </c>
      <c r="D131" s="121">
        <v>8198.2</v>
      </c>
      <c r="E131" s="122">
        <f>IFERROR(__xludf.DUMMYFUNCTION("""COMPUTED_VALUE"""),11322.12329018)</f>
        <v>11322.12329</v>
      </c>
      <c r="F131" s="136">
        <v>1.4</v>
      </c>
      <c r="G131" s="124">
        <v>517.0</v>
      </c>
      <c r="H131" s="125">
        <v>407.0</v>
      </c>
      <c r="I131" s="125">
        <v>72.0</v>
      </c>
      <c r="J131" s="125">
        <v>21.0</v>
      </c>
      <c r="K131" s="125">
        <v>11.0</v>
      </c>
      <c r="L131" s="125">
        <v>9.0</v>
      </c>
      <c r="M131" s="126">
        <v>93.0</v>
      </c>
      <c r="N131" s="127">
        <v>90.0</v>
      </c>
      <c r="O131" s="127"/>
      <c r="P131" s="127"/>
      <c r="Q131" s="122" t="b">
        <v>1</v>
      </c>
      <c r="R131" s="128"/>
      <c r="S131" s="133" t="s">
        <v>83</v>
      </c>
      <c r="T131" s="128"/>
      <c r="U131" s="128"/>
      <c r="V131" s="130" t="s">
        <v>148</v>
      </c>
      <c r="W131" s="130" t="s">
        <v>582</v>
      </c>
      <c r="X131" s="130" t="s">
        <v>583</v>
      </c>
      <c r="Y131" s="130" t="s">
        <v>584</v>
      </c>
      <c r="Z131" s="131" t="b">
        <v>0</v>
      </c>
      <c r="AA131" s="131">
        <v>0.03194444444444444</v>
      </c>
      <c r="AB131" s="130" t="s">
        <v>386</v>
      </c>
      <c r="AC131" s="130"/>
      <c r="AD131" s="130" t="s">
        <v>585</v>
      </c>
      <c r="AE131" s="129"/>
      <c r="AF131" s="132"/>
      <c r="AG131" s="133" t="b">
        <v>0</v>
      </c>
      <c r="AH131" s="133">
        <v>301.0</v>
      </c>
      <c r="AI131" s="143"/>
      <c r="AJ131" s="133">
        <v>2023.0</v>
      </c>
      <c r="AK131" s="143"/>
      <c r="AL131" s="129"/>
      <c r="AM131" s="129" t="str">
        <f>IFERROR(__xludf.DUMMYFUNCTION("""COMPUTED_VALUE"""),"Beach, Buffet, Diving, Evening Entertainment, Gym, Spa, Swim Out/Plunge Pool Rooms, Swim Up Bar, Wifi (Free)")</f>
        <v>Beach, Buffet, Diving, Evening Entertainment, Gym, Spa, Swim Out/Plunge Pool Rooms, Swim Up Bar, Wifi (Free)</v>
      </c>
      <c r="AN131" s="128"/>
    </row>
    <row r="132">
      <c r="A132" s="118" t="s">
        <v>586</v>
      </c>
      <c r="B132" s="119">
        <v>91.5</v>
      </c>
      <c r="C132" s="134" t="s">
        <v>75</v>
      </c>
      <c r="D132" s="121">
        <v>11703.34</v>
      </c>
      <c r="E132" s="135">
        <f>IFERROR(__xludf.DUMMYFUNCTION("""COMPUTED_VALUE"""),16162.896536665998)</f>
        <v>16162.89654</v>
      </c>
      <c r="F132" s="136">
        <v>0.98</v>
      </c>
      <c r="G132" s="124">
        <v>17615.0</v>
      </c>
      <c r="H132" s="125">
        <v>12510.0</v>
      </c>
      <c r="I132" s="125">
        <v>3208.0</v>
      </c>
      <c r="J132" s="125">
        <v>1097.0</v>
      </c>
      <c r="K132" s="125">
        <v>474.0</v>
      </c>
      <c r="L132" s="125">
        <v>335.0</v>
      </c>
      <c r="M132" s="126">
        <v>91.0</v>
      </c>
      <c r="N132" s="127">
        <v>92.0</v>
      </c>
      <c r="O132" s="146"/>
      <c r="P132" s="146"/>
      <c r="Q132" s="135" t="b">
        <v>1</v>
      </c>
      <c r="R132" s="133"/>
      <c r="S132" s="133">
        <v>7.0</v>
      </c>
      <c r="T132" s="133"/>
      <c r="U132" s="133">
        <v>4.5</v>
      </c>
      <c r="V132" s="130"/>
      <c r="W132" s="130" t="s">
        <v>84</v>
      </c>
      <c r="X132" s="130" t="s">
        <v>86</v>
      </c>
      <c r="Y132" s="130" t="s">
        <v>86</v>
      </c>
      <c r="Z132" s="131" t="b">
        <v>1</v>
      </c>
      <c r="AA132" s="131">
        <v>0.011111111111111112</v>
      </c>
      <c r="AB132" s="130" t="s">
        <v>441</v>
      </c>
      <c r="AC132" s="130" t="s">
        <v>587</v>
      </c>
      <c r="AD132" s="130" t="s">
        <v>588</v>
      </c>
      <c r="AE132" s="130" t="s">
        <v>396</v>
      </c>
      <c r="AF132" s="132" t="s">
        <v>589</v>
      </c>
      <c r="AG132" s="133" t="b">
        <v>0</v>
      </c>
      <c r="AH132" s="133">
        <v>376.0</v>
      </c>
      <c r="AI132" s="133">
        <v>1976.0</v>
      </c>
      <c r="AJ132" s="133">
        <v>2024.0</v>
      </c>
      <c r="AK132" s="133">
        <v>3.0</v>
      </c>
      <c r="AL132" s="129" t="str">
        <f>IFERROR(__xludf.DUMMYFUNCTION("""COMPUTED_VALUE"""),"Bay View, Family")</f>
        <v>Bay View, Family</v>
      </c>
      <c r="AM132" s="129" t="str">
        <f>IFERROR(__xludf.DUMMYFUNCTION("""COMPUTED_VALUE"""),"2 Bedroom Suites, Babysitting, Beach, Buffet, Diving, Evening Entertainment, Family Suite, Gym, Kids Club, Kids Club for Under 4, Kids Waterpark, Nightclub, Pool Slide, Spa, Teen Club, Tennis, Water Feature")</f>
        <v>2 Bedroom Suites, Babysitting, Beach, Buffet, Diving, Evening Entertainment, Family Suite, Gym, Kids Club, Kids Club for Under 4, Kids Waterpark, Nightclub, Pool Slide, Spa, Teen Club, Tennis, Water Feature</v>
      </c>
      <c r="AN132" s="139"/>
    </row>
    <row r="133">
      <c r="A133" s="118" t="s">
        <v>590</v>
      </c>
      <c r="B133" s="119">
        <v>91.5</v>
      </c>
      <c r="C133" s="134" t="s">
        <v>75</v>
      </c>
      <c r="D133" s="121">
        <v>13392.0</v>
      </c>
      <c r="E133" s="135">
        <f>IFERROR(__xludf.DUMMYFUNCTION("""COMPUTED_VALUE"""),18495.020260799996)</f>
        <v>18495.02026</v>
      </c>
      <c r="F133" s="136">
        <v>0.86</v>
      </c>
      <c r="G133" s="124">
        <v>6966.0</v>
      </c>
      <c r="H133" s="125">
        <v>5654.0</v>
      </c>
      <c r="I133" s="125">
        <v>764.0</v>
      </c>
      <c r="J133" s="125">
        <v>308.0</v>
      </c>
      <c r="K133" s="125">
        <v>130.0</v>
      </c>
      <c r="L133" s="125">
        <v>112.0</v>
      </c>
      <c r="M133" s="126">
        <v>94.0</v>
      </c>
      <c r="N133" s="127">
        <v>92.0</v>
      </c>
      <c r="O133" s="127">
        <v>92.0</v>
      </c>
      <c r="P133" s="127">
        <v>88.0</v>
      </c>
      <c r="Q133" s="135" t="b">
        <v>1</v>
      </c>
      <c r="R133" s="133">
        <v>4.0</v>
      </c>
      <c r="S133" s="143">
        <v>9.0</v>
      </c>
      <c r="T133" s="133" t="s">
        <v>314</v>
      </c>
      <c r="U133" s="133">
        <v>5.0</v>
      </c>
      <c r="V133" s="130"/>
      <c r="W133" s="130" t="s">
        <v>193</v>
      </c>
      <c r="X133" s="130" t="s">
        <v>357</v>
      </c>
      <c r="Y133" s="130" t="s">
        <v>195</v>
      </c>
      <c r="Z133" s="131" t="b">
        <v>1</v>
      </c>
      <c r="AA133" s="131">
        <v>0.03194444444444444</v>
      </c>
      <c r="AB133" s="130" t="s">
        <v>50</v>
      </c>
      <c r="AC133" s="130"/>
      <c r="AD133" s="130" t="s">
        <v>591</v>
      </c>
      <c r="AE133" s="130" t="s">
        <v>94</v>
      </c>
      <c r="AF133" s="132" t="s">
        <v>126</v>
      </c>
      <c r="AG133" s="133" t="b">
        <v>0</v>
      </c>
      <c r="AH133" s="133">
        <v>96.0</v>
      </c>
      <c r="AI133" s="133">
        <v>2006.0</v>
      </c>
      <c r="AJ133" s="133">
        <v>2013.0</v>
      </c>
      <c r="AK133" s="133">
        <v>3.0</v>
      </c>
      <c r="AL133" s="129"/>
      <c r="AM133" s="129" t="str">
        <f>IFERROR(__xludf.DUMMYFUNCTION("""COMPUTED_VALUE"""),"2 Bedroom Suites, Adult Pool, Beach, Diving, Evening Entertainment, Family Suite, Fishing, Gym, Lazy River, Room Service, Spa, Swim Out/Plunge Pool Rooms, Swim Up Bar, Wifi (Free)")</f>
        <v>2 Bedroom Suites, Adult Pool, Beach, Diving, Evening Entertainment, Family Suite, Fishing, Gym, Lazy River, Room Service, Spa, Swim Out/Plunge Pool Rooms, Swim Up Bar, Wifi (Free)</v>
      </c>
      <c r="AN133" s="139"/>
    </row>
    <row r="134">
      <c r="A134" s="118" t="s">
        <v>592</v>
      </c>
      <c r="B134" s="149">
        <v>91.3</v>
      </c>
      <c r="C134" s="120" t="s">
        <v>68</v>
      </c>
      <c r="D134" s="121">
        <v>3450.0</v>
      </c>
      <c r="E134" s="122">
        <f>IFERROR(__xludf.DUMMYFUNCTION("""COMPUTED_VALUE"""),4764.622154999999)</f>
        <v>4764.622155</v>
      </c>
      <c r="F134" s="136">
        <v>3.28</v>
      </c>
      <c r="G134" s="124">
        <v>5261.0</v>
      </c>
      <c r="H134" s="125">
        <v>3810.0</v>
      </c>
      <c r="I134" s="125">
        <v>989.0</v>
      </c>
      <c r="J134" s="125">
        <v>303.0</v>
      </c>
      <c r="K134" s="125">
        <v>97.0</v>
      </c>
      <c r="L134" s="125">
        <v>63.0</v>
      </c>
      <c r="M134" s="126">
        <v>92.0</v>
      </c>
      <c r="N134" s="127">
        <v>90.0</v>
      </c>
      <c r="O134" s="127"/>
      <c r="P134" s="127">
        <v>92.0</v>
      </c>
      <c r="Q134" s="122" t="b">
        <v>1</v>
      </c>
      <c r="R134" s="133"/>
      <c r="S134" s="133">
        <v>8.0</v>
      </c>
      <c r="T134" s="133"/>
      <c r="U134" s="133">
        <v>5.0</v>
      </c>
      <c r="V134" s="130" t="s">
        <v>549</v>
      </c>
      <c r="W134" s="130" t="s">
        <v>219</v>
      </c>
      <c r="X134" s="130" t="s">
        <v>385</v>
      </c>
      <c r="Y134" s="144" t="s">
        <v>221</v>
      </c>
      <c r="Z134" s="131" t="b">
        <v>1</v>
      </c>
      <c r="AA134" s="131">
        <v>0.06458333333333334</v>
      </c>
      <c r="AB134" s="130" t="s">
        <v>550</v>
      </c>
      <c r="AC134" s="130" t="s">
        <v>211</v>
      </c>
      <c r="AD134" s="130" t="s">
        <v>593</v>
      </c>
      <c r="AE134" s="129"/>
      <c r="AF134" s="132"/>
      <c r="AG134" s="133" t="b">
        <v>0</v>
      </c>
      <c r="AH134" s="133">
        <v>150.0</v>
      </c>
      <c r="AI134" s="133">
        <v>1952.0</v>
      </c>
      <c r="AJ134" s="133">
        <v>2022.0</v>
      </c>
      <c r="AK134" s="133">
        <v>3.0</v>
      </c>
      <c r="AL134" s="129" t="str">
        <f>IFERROR(__xludf.DUMMYFUNCTION("""COMPUTED_VALUE"""),"Green, Quiet")</f>
        <v>Green, Quiet</v>
      </c>
      <c r="AM134" s="129" t="str">
        <f>IFERROR(__xludf.DUMMYFUNCTION("""COMPUTED_VALUE"""),"Beach, Bicycles Available, Buffet, Diving, Evening Entertainment, Gym, Room Service, Snorkelling, Spa, Swim Up Bar, Tennis, Watersports Equipment Rentals, Wifi (Free), Yoga Classes")</f>
        <v>Beach, Bicycles Available, Buffet, Diving, Evening Entertainment, Gym, Room Service, Snorkelling, Spa, Swim Up Bar, Tennis, Watersports Equipment Rentals, Wifi (Free), Yoga Classes</v>
      </c>
      <c r="AN134" s="128"/>
    </row>
    <row r="135">
      <c r="A135" s="118" t="s">
        <v>594</v>
      </c>
      <c r="B135" s="119">
        <v>91.3</v>
      </c>
      <c r="C135" s="120" t="s">
        <v>68</v>
      </c>
      <c r="D135" s="121">
        <v>3750.0</v>
      </c>
      <c r="E135" s="122">
        <f>IFERROR(__xludf.DUMMYFUNCTION("""COMPUTED_VALUE"""),5178.9371249999995)</f>
        <v>5178.937125</v>
      </c>
      <c r="F135" s="136">
        <v>3.01</v>
      </c>
      <c r="G135" s="124">
        <v>5613.0</v>
      </c>
      <c r="H135" s="125">
        <v>3786.0</v>
      </c>
      <c r="I135" s="125">
        <v>1235.0</v>
      </c>
      <c r="J135" s="125">
        <v>339.0</v>
      </c>
      <c r="K135" s="125">
        <v>185.0</v>
      </c>
      <c r="L135" s="125">
        <v>68.0</v>
      </c>
      <c r="M135" s="126">
        <v>90.0</v>
      </c>
      <c r="N135" s="127">
        <v>92.0</v>
      </c>
      <c r="O135" s="127"/>
      <c r="P135" s="127">
        <v>92.0</v>
      </c>
      <c r="Q135" s="122" t="b">
        <v>1</v>
      </c>
      <c r="R135" s="133"/>
      <c r="S135" s="133">
        <v>9.0</v>
      </c>
      <c r="T135" s="133"/>
      <c r="U135" s="133">
        <v>5.0</v>
      </c>
      <c r="V135" s="130" t="s">
        <v>549</v>
      </c>
      <c r="W135" s="130" t="s">
        <v>219</v>
      </c>
      <c r="X135" s="130" t="s">
        <v>220</v>
      </c>
      <c r="Y135" s="144" t="s">
        <v>221</v>
      </c>
      <c r="Z135" s="131" t="b">
        <v>1</v>
      </c>
      <c r="AA135" s="131">
        <v>0.05277777777777778</v>
      </c>
      <c r="AB135" s="130" t="s">
        <v>550</v>
      </c>
      <c r="AC135" s="130" t="s">
        <v>595</v>
      </c>
      <c r="AD135" s="130" t="s">
        <v>596</v>
      </c>
      <c r="AE135" s="129"/>
      <c r="AF135" s="132"/>
      <c r="AG135" s="133" t="b">
        <v>0</v>
      </c>
      <c r="AH135" s="133">
        <v>234.0</v>
      </c>
      <c r="AI135" s="133">
        <v>1999.0</v>
      </c>
      <c r="AJ135" s="133">
        <v>2013.0</v>
      </c>
      <c r="AK135" s="133">
        <v>3.0</v>
      </c>
      <c r="AL135" s="129" t="str">
        <f>IFERROR(__xludf.DUMMYFUNCTION("""COMPUTED_VALUE"""),"Green, Ocean View")</f>
        <v>Green, Ocean View</v>
      </c>
      <c r="AM135" s="129" t="str">
        <f>IFERROR(__xludf.DUMMYFUNCTION("""COMPUTED_VALUE"""),"Beach, Buffet, Diving, Evening Entertainment, Great Beach, Gym, Nightclub, Room Service, Snorkelling, Spa, Swim Up Bar, Tennis, Watersports Equipment Rentals, Windsurfing, Yoga Classes")</f>
        <v>Beach, Buffet, Diving, Evening Entertainment, Great Beach, Gym, Nightclub, Room Service, Snorkelling, Spa, Swim Up Bar, Tennis, Watersports Equipment Rentals, Windsurfing, Yoga Classes</v>
      </c>
      <c r="AN135" s="128"/>
    </row>
    <row r="136">
      <c r="A136" s="118" t="s">
        <v>597</v>
      </c>
      <c r="B136" s="119">
        <v>91.3</v>
      </c>
      <c r="C136" s="134" t="s">
        <v>75</v>
      </c>
      <c r="D136" s="150">
        <v>4088.0</v>
      </c>
      <c r="E136" s="135">
        <f>IFERROR(__xludf.DUMMYFUNCTION("""COMPUTED_VALUE"""),5645.731991199999)</f>
        <v>5645.731991</v>
      </c>
      <c r="F136" s="136">
        <v>2.76</v>
      </c>
      <c r="G136" s="124">
        <v>2393.0</v>
      </c>
      <c r="H136" s="125">
        <v>2032.0</v>
      </c>
      <c r="I136" s="125">
        <v>218.0</v>
      </c>
      <c r="J136" s="125">
        <v>73.0</v>
      </c>
      <c r="K136" s="125">
        <v>41.0</v>
      </c>
      <c r="L136" s="125">
        <v>29.0</v>
      </c>
      <c r="M136" s="137">
        <v>95.0</v>
      </c>
      <c r="N136" s="138">
        <v>92.0</v>
      </c>
      <c r="O136" s="138">
        <v>90.0</v>
      </c>
      <c r="P136" s="138">
        <v>88.0</v>
      </c>
      <c r="Q136" s="135" t="b">
        <v>1</v>
      </c>
      <c r="R136" s="133">
        <v>4.0</v>
      </c>
      <c r="S136" s="133">
        <v>7.0</v>
      </c>
      <c r="T136" s="133"/>
      <c r="U136" s="133">
        <v>5.0</v>
      </c>
      <c r="V136" s="130"/>
      <c r="W136" s="130" t="s">
        <v>84</v>
      </c>
      <c r="X136" s="130" t="s">
        <v>85</v>
      </c>
      <c r="Y136" s="147" t="s">
        <v>86</v>
      </c>
      <c r="Z136" s="131" t="b">
        <v>1</v>
      </c>
      <c r="AA136" s="131">
        <v>0.03263888888888889</v>
      </c>
      <c r="AB136" s="130" t="s">
        <v>255</v>
      </c>
      <c r="AC136" s="130" t="s">
        <v>598</v>
      </c>
      <c r="AD136" s="130" t="s">
        <v>599</v>
      </c>
      <c r="AE136" s="130"/>
      <c r="AF136" s="132" t="s">
        <v>373</v>
      </c>
      <c r="AG136" s="133" t="b">
        <v>0</v>
      </c>
      <c r="AH136" s="133">
        <v>201.0</v>
      </c>
      <c r="AI136" s="133">
        <v>1991.0</v>
      </c>
      <c r="AJ136" s="133">
        <v>2018.0</v>
      </c>
      <c r="AK136" s="133">
        <v>6.0</v>
      </c>
      <c r="AL136" s="129" t="str">
        <f>IFERROR(__xludf.DUMMYFUNCTION("""COMPUTED_VALUE"""),"Ocean View, Value")</f>
        <v>Ocean View, Value</v>
      </c>
      <c r="AM136" s="129" t="str">
        <f>IFERROR(__xludf.DUMMYFUNCTION("""COMPUTED_VALUE"""),"Babysitting, Beach, Bicycles Available, Buffet, Diving, Evening Entertainment, Fishing, Gym, Kids Club, Room Service, Snorkelling, Spa, Swim Up Bar, Wifi (Free)")</f>
        <v>Babysitting, Beach, Bicycles Available, Buffet, Diving, Evening Entertainment, Fishing, Gym, Kids Club, Room Service, Snorkelling, Spa, Swim Up Bar, Wifi (Free)</v>
      </c>
      <c r="AN136" s="139"/>
    </row>
    <row r="137">
      <c r="A137" s="118" t="s">
        <v>600</v>
      </c>
      <c r="B137" s="119">
        <v>91.3</v>
      </c>
      <c r="C137" s="134" t="s">
        <v>75</v>
      </c>
      <c r="D137" s="121">
        <v>5325.6</v>
      </c>
      <c r="E137" s="135">
        <f>IFERROR(__xludf.DUMMYFUNCTION("""COMPUTED_VALUE"""),7354.91934744)</f>
        <v>7354.919347</v>
      </c>
      <c r="F137" s="136">
        <v>2.12</v>
      </c>
      <c r="G137" s="124">
        <v>3302.0</v>
      </c>
      <c r="H137" s="125">
        <v>2348.0</v>
      </c>
      <c r="I137" s="125">
        <v>569.0</v>
      </c>
      <c r="J137" s="125">
        <v>187.0</v>
      </c>
      <c r="K137" s="125">
        <v>95.0</v>
      </c>
      <c r="L137" s="125">
        <v>106.0</v>
      </c>
      <c r="M137" s="126">
        <v>90.0</v>
      </c>
      <c r="N137" s="127">
        <v>92.0</v>
      </c>
      <c r="O137" s="146"/>
      <c r="P137" s="138">
        <v>92.0</v>
      </c>
      <c r="Q137" s="135" t="b">
        <v>1</v>
      </c>
      <c r="R137" s="133">
        <v>4.0</v>
      </c>
      <c r="S137" s="133">
        <v>8.0</v>
      </c>
      <c r="T137" s="133"/>
      <c r="U137" s="133">
        <v>5.0</v>
      </c>
      <c r="V137" s="130"/>
      <c r="W137" s="130" t="s">
        <v>84</v>
      </c>
      <c r="X137" s="130" t="s">
        <v>122</v>
      </c>
      <c r="Y137" s="130" t="s">
        <v>123</v>
      </c>
      <c r="Z137" s="131" t="b">
        <v>1</v>
      </c>
      <c r="AA137" s="131">
        <v>0.025</v>
      </c>
      <c r="AB137" s="130"/>
      <c r="AC137" s="130" t="s">
        <v>601</v>
      </c>
      <c r="AD137" s="130" t="s">
        <v>602</v>
      </c>
      <c r="AE137" s="130"/>
      <c r="AF137" s="132" t="s">
        <v>297</v>
      </c>
      <c r="AG137" s="133" t="b">
        <v>0</v>
      </c>
      <c r="AH137" s="133">
        <v>181.0</v>
      </c>
      <c r="AI137" s="133">
        <v>2008.0</v>
      </c>
      <c r="AJ137" s="133">
        <v>2015.0</v>
      </c>
      <c r="AK137" s="133">
        <v>7.0</v>
      </c>
      <c r="AL137" s="129" t="str">
        <f>IFERROR(__xludf.DUMMYFUNCTION("""COMPUTED_VALUE"""),"Harbour View, Ocean View")</f>
        <v>Harbour View, Ocean View</v>
      </c>
      <c r="AM137" s="129" t="str">
        <f>IFERROR(__xludf.DUMMYFUNCTION("""COMPUTED_VALUE"""),"2 Bedroom Suites, Beach, Buffet, Diving, Family Suite, Fishing, Gym, Heated Pool, Hiking, Horseback Riding, Kids Club, Room Service, Snorkelling, Spa, Swim Up Bar, Yoga Classes")</f>
        <v>2 Bedroom Suites, Beach, Buffet, Diving, Family Suite, Fishing, Gym, Heated Pool, Hiking, Horseback Riding, Kids Club, Room Service, Snorkelling, Spa, Swim Up Bar, Yoga Classes</v>
      </c>
      <c r="AN137" s="139"/>
    </row>
    <row r="138">
      <c r="A138" s="118" t="s">
        <v>603</v>
      </c>
      <c r="B138" s="119">
        <v>91.3</v>
      </c>
      <c r="C138" s="134" t="s">
        <v>75</v>
      </c>
      <c r="D138" s="121">
        <v>5343.0</v>
      </c>
      <c r="E138" s="135">
        <f>IFERROR(__xludf.DUMMYFUNCTION("""COMPUTED_VALUE"""),7378.949615699999)</f>
        <v>7378.949616</v>
      </c>
      <c r="F138" s="136">
        <v>2.11</v>
      </c>
      <c r="G138" s="124">
        <v>4371.0</v>
      </c>
      <c r="H138" s="125">
        <v>3342.0</v>
      </c>
      <c r="I138" s="125">
        <v>522.0</v>
      </c>
      <c r="J138" s="125">
        <v>227.0</v>
      </c>
      <c r="K138" s="125">
        <v>120.0</v>
      </c>
      <c r="L138" s="125">
        <v>160.0</v>
      </c>
      <c r="M138" s="126">
        <v>91.0</v>
      </c>
      <c r="N138" s="127">
        <v>90.0</v>
      </c>
      <c r="O138" s="127">
        <v>92.0</v>
      </c>
      <c r="P138" s="127">
        <v>92.0</v>
      </c>
      <c r="Q138" s="135" t="b">
        <v>1</v>
      </c>
      <c r="R138" s="133">
        <v>4.0</v>
      </c>
      <c r="S138" s="133">
        <v>8.0</v>
      </c>
      <c r="T138" s="133"/>
      <c r="U138" s="133">
        <v>5.0</v>
      </c>
      <c r="V138" s="129"/>
      <c r="W138" s="130" t="s">
        <v>84</v>
      </c>
      <c r="X138" s="130" t="s">
        <v>119</v>
      </c>
      <c r="Y138" s="130" t="s">
        <v>120</v>
      </c>
      <c r="Z138" s="131" t="b">
        <v>1</v>
      </c>
      <c r="AA138" s="131">
        <v>0.024305555555555556</v>
      </c>
      <c r="AB138" s="130" t="s">
        <v>407</v>
      </c>
      <c r="AC138" s="130" t="s">
        <v>604</v>
      </c>
      <c r="AD138" s="130" t="s">
        <v>605</v>
      </c>
      <c r="AE138" s="130"/>
      <c r="AF138" s="132" t="s">
        <v>126</v>
      </c>
      <c r="AG138" s="133" t="b">
        <v>1</v>
      </c>
      <c r="AH138" s="133">
        <v>164.0</v>
      </c>
      <c r="AI138" s="133">
        <v>2009.0</v>
      </c>
      <c r="AJ138" s="143"/>
      <c r="AK138" s="133">
        <v>7.0</v>
      </c>
      <c r="AL138" s="129" t="str">
        <f>IFERROR(__xludf.DUMMYFUNCTION("""COMPUTED_VALUE"""),"Great View, Mountain View")</f>
        <v>Great View, Mountain View</v>
      </c>
      <c r="AM138" s="129" t="str">
        <f>IFERROR(__xludf.DUMMYFUNCTION("""COMPUTED_VALUE"""),"2 Bedroom Suites, Adult Pool, Babysitting, Beach, Buffet, Diving, Evening Entertainment, Family Suite, Gym, Heated Pool, Kids Club, Pets Allowed, Room Service, Snorkelling, Spa, Wifi (Paid), Yoga Classes")</f>
        <v>2 Bedroom Suites, Adult Pool, Babysitting, Beach, Buffet, Diving, Evening Entertainment, Family Suite, Gym, Heated Pool, Kids Club, Pets Allowed, Room Service, Snorkelling, Spa, Wifi (Paid), Yoga Classes</v>
      </c>
      <c r="AN138" s="139"/>
    </row>
    <row r="139">
      <c r="A139" s="118" t="s">
        <v>606</v>
      </c>
      <c r="B139" s="119">
        <v>91.3</v>
      </c>
      <c r="C139" s="134" t="s">
        <v>75</v>
      </c>
      <c r="D139" s="121">
        <v>5881.03</v>
      </c>
      <c r="E139" s="135">
        <f>IFERROR(__xludf.DUMMYFUNCTION("""COMPUTED_VALUE"""),8121.995893396998)</f>
        <v>8121.995893</v>
      </c>
      <c r="F139" s="136">
        <v>1.92</v>
      </c>
      <c r="G139" s="124">
        <v>1424.0</v>
      </c>
      <c r="H139" s="125">
        <v>1132.0</v>
      </c>
      <c r="I139" s="125">
        <v>147.0</v>
      </c>
      <c r="J139" s="125">
        <v>66.0</v>
      </c>
      <c r="K139" s="125">
        <v>36.0</v>
      </c>
      <c r="L139" s="125">
        <v>43.0</v>
      </c>
      <c r="M139" s="126">
        <v>92.0</v>
      </c>
      <c r="N139" s="138">
        <v>94.0</v>
      </c>
      <c r="O139" s="146"/>
      <c r="P139" s="138">
        <v>88.0</v>
      </c>
      <c r="Q139" s="137" t="b">
        <v>1</v>
      </c>
      <c r="R139" s="133"/>
      <c r="S139" s="133" t="s">
        <v>83</v>
      </c>
      <c r="T139" s="133"/>
      <c r="U139" s="133">
        <v>5.0</v>
      </c>
      <c r="V139" s="129"/>
      <c r="W139" s="130" t="s">
        <v>84</v>
      </c>
      <c r="X139" s="130" t="s">
        <v>210</v>
      </c>
      <c r="Y139" s="130" t="s">
        <v>86</v>
      </c>
      <c r="Z139" s="131" t="b">
        <v>1</v>
      </c>
      <c r="AA139" s="131">
        <v>0.015277777777777777</v>
      </c>
      <c r="AB139" s="130" t="s">
        <v>607</v>
      </c>
      <c r="AC139" s="130" t="s">
        <v>442</v>
      </c>
      <c r="AD139" s="130" t="s">
        <v>608</v>
      </c>
      <c r="AE139" s="130" t="s">
        <v>94</v>
      </c>
      <c r="AF139" s="132" t="s">
        <v>318</v>
      </c>
      <c r="AG139" s="133" t="b">
        <v>0</v>
      </c>
      <c r="AH139" s="133">
        <v>148.0</v>
      </c>
      <c r="AI139" s="133">
        <v>2008.0</v>
      </c>
      <c r="AJ139" s="143"/>
      <c r="AK139" s="133">
        <v>3.0</v>
      </c>
      <c r="AL139" s="129" t="str">
        <f>IFERROR(__xludf.DUMMYFUNCTION("""COMPUTED_VALUE"""),"Ocean View")</f>
        <v>Ocean View</v>
      </c>
      <c r="AM139" s="129" t="str">
        <f>IFERROR(__xludf.DUMMYFUNCTION("""COMPUTED_VALUE"""),"Beach, Diving, Evening Entertainment, Gym, Kids Club, Room Service, Snorkelling, Spa, Swim Out/Plunge Pool Rooms, Swim Up Bar, Watersports Equipment Rentals, Wifi (Free), Windsurfing, Yoga Classes")</f>
        <v>Beach, Diving, Evening Entertainment, Gym, Kids Club, Room Service, Snorkelling, Spa, Swim Out/Plunge Pool Rooms, Swim Up Bar, Watersports Equipment Rentals, Wifi (Free), Windsurfing, Yoga Classes</v>
      </c>
      <c r="AN139" s="139"/>
    </row>
    <row r="140">
      <c r="A140" s="118" t="s">
        <v>609</v>
      </c>
      <c r="B140" s="119">
        <v>91.3</v>
      </c>
      <c r="C140" s="120" t="s">
        <v>68</v>
      </c>
      <c r="D140" s="121">
        <v>6120.8</v>
      </c>
      <c r="E140" s="122">
        <f>IFERROR(__xludf.DUMMYFUNCTION("""COMPUTED_VALUE"""),8453.130227919999)</f>
        <v>8453.130228</v>
      </c>
      <c r="F140" s="136">
        <v>1.85</v>
      </c>
      <c r="G140" s="124">
        <v>8407.0</v>
      </c>
      <c r="H140" s="125">
        <v>6296.0</v>
      </c>
      <c r="I140" s="125">
        <v>1246.0</v>
      </c>
      <c r="J140" s="125">
        <v>483.0</v>
      </c>
      <c r="K140" s="125">
        <v>214.0</v>
      </c>
      <c r="L140" s="125">
        <v>168.0</v>
      </c>
      <c r="M140" s="126">
        <v>92.0</v>
      </c>
      <c r="N140" s="127">
        <v>90.0</v>
      </c>
      <c r="O140" s="127"/>
      <c r="P140" s="127">
        <v>92.0</v>
      </c>
      <c r="Q140" s="122" t="b">
        <v>1</v>
      </c>
      <c r="R140" s="133">
        <v>4.0</v>
      </c>
      <c r="S140" s="133">
        <v>7.0</v>
      </c>
      <c r="T140" s="133"/>
      <c r="U140" s="133">
        <v>5.0</v>
      </c>
      <c r="V140" s="129"/>
      <c r="W140" s="130" t="s">
        <v>84</v>
      </c>
      <c r="X140" s="130" t="s">
        <v>122</v>
      </c>
      <c r="Y140" s="130" t="s">
        <v>123</v>
      </c>
      <c r="Z140" s="131" t="b">
        <v>1</v>
      </c>
      <c r="AA140" s="131">
        <v>0.03333333333333333</v>
      </c>
      <c r="AB140" s="130" t="s">
        <v>464</v>
      </c>
      <c r="AC140" s="130" t="s">
        <v>211</v>
      </c>
      <c r="AD140" s="130" t="s">
        <v>610</v>
      </c>
      <c r="AE140" s="129"/>
      <c r="AF140" s="132"/>
      <c r="AG140" s="133" t="b">
        <v>0</v>
      </c>
      <c r="AH140" s="133">
        <v>154.0</v>
      </c>
      <c r="AI140" s="133">
        <v>2005.0</v>
      </c>
      <c r="AJ140" s="143"/>
      <c r="AK140" s="133">
        <v>5.0</v>
      </c>
      <c r="AL140" s="129" t="str">
        <f>IFERROR(__xludf.DUMMYFUNCTION("""COMPUTED_VALUE"""),"Green, Quiet")</f>
        <v>Green, Quiet</v>
      </c>
      <c r="AM140" s="129" t="str">
        <f>IFERROR(__xludf.DUMMYFUNCTION("""COMPUTED_VALUE"""),"Beach, Buffet, Evening Entertainment, Fishing, Golf Course, Gym, Heated Pool, Hiking, Room Service, Spa, Swim Up Bar, Tennis, Wifi (Paid), Yoga Classes")</f>
        <v>Beach, Buffet, Evening Entertainment, Fishing, Golf Course, Gym, Heated Pool, Hiking, Room Service, Spa, Swim Up Bar, Tennis, Wifi (Paid), Yoga Classes</v>
      </c>
      <c r="AN140" s="128"/>
    </row>
    <row r="141">
      <c r="A141" s="118" t="s">
        <v>611</v>
      </c>
      <c r="B141" s="119">
        <v>91.3</v>
      </c>
      <c r="C141" s="134" t="s">
        <v>75</v>
      </c>
      <c r="D141" s="121">
        <v>6143.2</v>
      </c>
      <c r="E141" s="135">
        <f>IFERROR(__xludf.DUMMYFUNCTION("""COMPUTED_VALUE"""),8484.065745679998)</f>
        <v>8484.065746</v>
      </c>
      <c r="F141" s="136">
        <v>1.84</v>
      </c>
      <c r="G141" s="124">
        <v>3586.0</v>
      </c>
      <c r="H141" s="125">
        <v>2720.0</v>
      </c>
      <c r="I141" s="125">
        <v>504.0</v>
      </c>
      <c r="J141" s="125">
        <v>203.0</v>
      </c>
      <c r="K141" s="125">
        <v>84.0</v>
      </c>
      <c r="L141" s="125">
        <v>74.0</v>
      </c>
      <c r="M141" s="126">
        <v>92.0</v>
      </c>
      <c r="N141" s="138">
        <v>92.0</v>
      </c>
      <c r="O141" s="146"/>
      <c r="P141" s="127">
        <v>90.0</v>
      </c>
      <c r="Q141" s="135" t="b">
        <v>1</v>
      </c>
      <c r="R141" s="133"/>
      <c r="S141" s="133">
        <v>6.0</v>
      </c>
      <c r="T141" s="133"/>
      <c r="U141" s="133">
        <v>5.0</v>
      </c>
      <c r="V141" s="129"/>
      <c r="W141" s="130" t="s">
        <v>84</v>
      </c>
      <c r="X141" s="130" t="s">
        <v>467</v>
      </c>
      <c r="Y141" s="130" t="s">
        <v>468</v>
      </c>
      <c r="Z141" s="131" t="b">
        <v>0</v>
      </c>
      <c r="AA141" s="131">
        <v>0.022222222222222223</v>
      </c>
      <c r="AB141" s="130" t="s">
        <v>464</v>
      </c>
      <c r="AC141" s="130" t="s">
        <v>612</v>
      </c>
      <c r="AD141" s="130" t="s">
        <v>613</v>
      </c>
      <c r="AE141" s="130"/>
      <c r="AF141" s="132" t="s">
        <v>373</v>
      </c>
      <c r="AG141" s="133" t="b">
        <v>0</v>
      </c>
      <c r="AH141" s="133">
        <v>247.0</v>
      </c>
      <c r="AI141" s="133">
        <v>1986.0</v>
      </c>
      <c r="AJ141" s="133">
        <v>2018.0</v>
      </c>
      <c r="AK141" s="133">
        <v>4.0</v>
      </c>
      <c r="AL141" s="129" t="str">
        <f>IFERROR(__xludf.DUMMYFUNCTION("""COMPUTED_VALUE"""),"Classic, Green")</f>
        <v>Classic, Green</v>
      </c>
      <c r="AM141" s="129" t="str">
        <f>IFERROR(__xludf.DUMMYFUNCTION("""COMPUTED_VALUE"""),"Beach, Buffet, Fishing, Gym, Heated Pool, Swim Up Bar")</f>
        <v>Beach, Buffet, Fishing, Gym, Heated Pool, Swim Up Bar</v>
      </c>
      <c r="AN141" s="139"/>
    </row>
    <row r="142">
      <c r="A142" s="118" t="s">
        <v>614</v>
      </c>
      <c r="B142" s="119">
        <v>91.3</v>
      </c>
      <c r="C142" s="120" t="s">
        <v>68</v>
      </c>
      <c r="D142" s="142">
        <v>6835.5</v>
      </c>
      <c r="E142" s="122">
        <f>IFERROR(__xludf.DUMMYFUNCTION("""COMPUTED_VALUE"""),9440.166591449999)</f>
        <v>9440.166591</v>
      </c>
      <c r="F142" s="136">
        <v>1.65</v>
      </c>
      <c r="G142" s="124">
        <v>1005.0</v>
      </c>
      <c r="H142" s="125">
        <v>817.0</v>
      </c>
      <c r="I142" s="125">
        <v>115.0</v>
      </c>
      <c r="J142" s="125">
        <v>43.0</v>
      </c>
      <c r="K142" s="125">
        <v>18.0</v>
      </c>
      <c r="L142" s="125">
        <v>14.0</v>
      </c>
      <c r="M142" s="126">
        <v>94.0</v>
      </c>
      <c r="N142" s="138">
        <v>92.0</v>
      </c>
      <c r="O142" s="127"/>
      <c r="P142" s="138">
        <v>88.0</v>
      </c>
      <c r="Q142" s="122" t="b">
        <v>1</v>
      </c>
      <c r="R142" s="128"/>
      <c r="S142" s="133" t="s">
        <v>83</v>
      </c>
      <c r="T142" s="143"/>
      <c r="U142" s="143"/>
      <c r="V142" s="130" t="s">
        <v>148</v>
      </c>
      <c r="W142" s="144" t="s">
        <v>219</v>
      </c>
      <c r="X142" s="130" t="s">
        <v>385</v>
      </c>
      <c r="Y142" s="144" t="s">
        <v>221</v>
      </c>
      <c r="Z142" s="145" t="b">
        <v>1</v>
      </c>
      <c r="AA142" s="145">
        <v>0.06111111111111111</v>
      </c>
      <c r="AB142" s="130" t="s">
        <v>386</v>
      </c>
      <c r="AC142" s="144"/>
      <c r="AD142" s="130" t="s">
        <v>615</v>
      </c>
      <c r="AE142" s="129"/>
      <c r="AF142" s="132"/>
      <c r="AG142" s="143" t="b">
        <v>0</v>
      </c>
      <c r="AH142" s="143">
        <v>260.0</v>
      </c>
      <c r="AI142" s="143"/>
      <c r="AJ142" s="143"/>
      <c r="AK142" s="143"/>
      <c r="AL142" s="129"/>
      <c r="AM142" s="129" t="str">
        <f>IFERROR(__xludf.DUMMYFUNCTION("""COMPUTED_VALUE"""),"Beach, Buffet, Evening Entertainment, Gym, Nightclub, Spa, Swim Out/Plunge Pool Rooms, Swim Up Bar, Wifi (Free)")</f>
        <v>Beach, Buffet, Evening Entertainment, Gym, Nightclub, Spa, Swim Out/Plunge Pool Rooms, Swim Up Bar, Wifi (Free)</v>
      </c>
      <c r="AN142" s="128"/>
    </row>
    <row r="143">
      <c r="A143" s="118" t="s">
        <v>616</v>
      </c>
      <c r="B143" s="119">
        <v>91.3</v>
      </c>
      <c r="C143" s="134" t="s">
        <v>75</v>
      </c>
      <c r="D143" s="121">
        <v>6897.93</v>
      </c>
      <c r="E143" s="135">
        <f>IFERROR(__xludf.DUMMYFUNCTION("""COMPUTED_VALUE"""),9526.385536707)</f>
        <v>9526.385537</v>
      </c>
      <c r="F143" s="136">
        <v>1.64</v>
      </c>
      <c r="G143" s="124">
        <v>183.0</v>
      </c>
      <c r="H143" s="125">
        <v>128.0</v>
      </c>
      <c r="I143" s="125">
        <v>25.0</v>
      </c>
      <c r="J143" s="125">
        <v>13.0</v>
      </c>
      <c r="K143" s="125">
        <v>6.0</v>
      </c>
      <c r="L143" s="125">
        <v>11.0</v>
      </c>
      <c r="M143" s="126">
        <v>88.0</v>
      </c>
      <c r="N143" s="127">
        <v>94.0</v>
      </c>
      <c r="O143" s="146"/>
      <c r="P143" s="138">
        <v>92.0</v>
      </c>
      <c r="Q143" s="126" t="b">
        <v>1</v>
      </c>
      <c r="R143" s="133"/>
      <c r="S143" s="133">
        <v>7.0</v>
      </c>
      <c r="T143" s="133"/>
      <c r="U143" s="133">
        <v>4.0</v>
      </c>
      <c r="V143" s="129"/>
      <c r="W143" s="130" t="s">
        <v>84</v>
      </c>
      <c r="X143" s="130" t="s">
        <v>315</v>
      </c>
      <c r="Y143" s="130" t="s">
        <v>123</v>
      </c>
      <c r="Z143" s="131" t="b">
        <v>1</v>
      </c>
      <c r="AA143" s="131">
        <v>0.02013888888888889</v>
      </c>
      <c r="AB143" s="130" t="s">
        <v>617</v>
      </c>
      <c r="AC143" s="130" t="s">
        <v>587</v>
      </c>
      <c r="AD143" s="130" t="s">
        <v>618</v>
      </c>
      <c r="AE143" s="130"/>
      <c r="AF143" s="132" t="s">
        <v>181</v>
      </c>
      <c r="AG143" s="133" t="b">
        <v>0</v>
      </c>
      <c r="AH143" s="133">
        <v>81.0</v>
      </c>
      <c r="AI143" s="133">
        <v>2020.0</v>
      </c>
      <c r="AJ143" s="143"/>
      <c r="AK143" s="133">
        <v>5.0</v>
      </c>
      <c r="AL143" s="129" t="str">
        <f>IFERROR(__xludf.DUMMYFUNCTION("""COMPUTED_VALUE"""),"Bay View, Family")</f>
        <v>Bay View, Family</v>
      </c>
      <c r="AM143" s="129" t="str">
        <f>IFERROR(__xludf.DUMMYFUNCTION("""COMPUTED_VALUE"""),"2 Bedroom Suites, Babysitting, Beach, Family Suite, Gym, Kids Waterpark, Spa, Tennis, Wifi (Free)")</f>
        <v>2 Bedroom Suites, Babysitting, Beach, Family Suite, Gym, Kids Waterpark, Spa, Tennis, Wifi (Free)</v>
      </c>
      <c r="AN143" s="139"/>
    </row>
    <row r="144">
      <c r="A144" s="118" t="s">
        <v>619</v>
      </c>
      <c r="B144" s="149">
        <v>91.3</v>
      </c>
      <c r="C144" s="120" t="s">
        <v>68</v>
      </c>
      <c r="D144" s="121">
        <v>6950.8</v>
      </c>
      <c r="E144" s="122">
        <f>IFERROR(__xludf.DUMMYFUNCTION("""COMPUTED_VALUE"""),9599.401644919999)</f>
        <v>9599.401645</v>
      </c>
      <c r="F144" s="136">
        <v>1.63</v>
      </c>
      <c r="G144" s="124">
        <v>5629.0</v>
      </c>
      <c r="H144" s="125">
        <v>4185.0</v>
      </c>
      <c r="I144" s="125">
        <v>897.0</v>
      </c>
      <c r="J144" s="125">
        <v>375.0</v>
      </c>
      <c r="K144" s="125">
        <v>103.0</v>
      </c>
      <c r="L144" s="125">
        <v>69.0</v>
      </c>
      <c r="M144" s="126">
        <v>92.0</v>
      </c>
      <c r="N144" s="127">
        <v>92.0</v>
      </c>
      <c r="O144" s="127"/>
      <c r="P144" s="127">
        <v>90.0</v>
      </c>
      <c r="Q144" s="122" t="b">
        <v>1</v>
      </c>
      <c r="R144" s="133">
        <v>4.0</v>
      </c>
      <c r="S144" s="133" t="s">
        <v>83</v>
      </c>
      <c r="T144" s="133"/>
      <c r="U144" s="133"/>
      <c r="V144" s="130" t="s">
        <v>148</v>
      </c>
      <c r="W144" s="130" t="s">
        <v>129</v>
      </c>
      <c r="X144" s="130" t="s">
        <v>620</v>
      </c>
      <c r="Y144" s="130" t="s">
        <v>131</v>
      </c>
      <c r="Z144" s="131" t="b">
        <v>0</v>
      </c>
      <c r="AA144" s="131">
        <v>0.003472222222222222</v>
      </c>
      <c r="AB144" s="130" t="s">
        <v>386</v>
      </c>
      <c r="AC144" s="130" t="s">
        <v>621</v>
      </c>
      <c r="AD144" s="130" t="s">
        <v>622</v>
      </c>
      <c r="AE144" s="129"/>
      <c r="AF144" s="132"/>
      <c r="AG144" s="133" t="b">
        <v>0</v>
      </c>
      <c r="AH144" s="133">
        <v>257.0</v>
      </c>
      <c r="AI144" s="133">
        <v>1993.0</v>
      </c>
      <c r="AJ144" s="133">
        <v>2013.0</v>
      </c>
      <c r="AK144" s="143"/>
      <c r="AL144" s="129" t="str">
        <f>IFERROR(__xludf.DUMMYFUNCTION("""COMPUTED_VALUE"""),"Modern")</f>
        <v>Modern</v>
      </c>
      <c r="AM144" s="129" t="str">
        <f>IFERROR(__xludf.DUMMYFUNCTION("""COMPUTED_VALUE"""),"Beach, Buffet, Diving, Evening Entertainment, Gym, Spa, Swim Out/Plunge Pool Rooms, Swim Up Bar, Tennis")</f>
        <v>Beach, Buffet, Diving, Evening Entertainment, Gym, Spa, Swim Out/Plunge Pool Rooms, Swim Up Bar, Tennis</v>
      </c>
      <c r="AN144" s="128"/>
    </row>
    <row r="145">
      <c r="A145" s="140" t="s">
        <v>623</v>
      </c>
      <c r="B145" s="119">
        <v>91.3</v>
      </c>
      <c r="C145" s="133" t="s">
        <v>75</v>
      </c>
      <c r="D145" s="142">
        <v>8311.21</v>
      </c>
      <c r="E145" s="122">
        <f>IFERROR(__xludf.DUMMYFUNCTION("""COMPUTED_VALUE"""),11478.195739378998)</f>
        <v>11478.19574</v>
      </c>
      <c r="F145" s="136">
        <v>1.36</v>
      </c>
      <c r="G145" s="124">
        <v>2107.0</v>
      </c>
      <c r="H145" s="125">
        <v>1856.0</v>
      </c>
      <c r="I145" s="125">
        <v>156.0</v>
      </c>
      <c r="J145" s="125">
        <v>40.0</v>
      </c>
      <c r="K145" s="125">
        <v>33.0</v>
      </c>
      <c r="L145" s="125">
        <v>24.0</v>
      </c>
      <c r="M145" s="126">
        <v>96.0</v>
      </c>
      <c r="N145" s="127">
        <v>88.0</v>
      </c>
      <c r="O145" s="146"/>
      <c r="P145" s="127">
        <v>90.0</v>
      </c>
      <c r="Q145" s="126" t="b">
        <v>1</v>
      </c>
      <c r="R145" s="143"/>
      <c r="S145" s="143">
        <v>7.0</v>
      </c>
      <c r="T145" s="143"/>
      <c r="U145" s="143">
        <v>4.0</v>
      </c>
      <c r="V145" s="129"/>
      <c r="W145" s="144" t="s">
        <v>84</v>
      </c>
      <c r="X145" s="144" t="s">
        <v>122</v>
      </c>
      <c r="Y145" s="144" t="s">
        <v>123</v>
      </c>
      <c r="Z145" s="145" t="b">
        <v>1</v>
      </c>
      <c r="AA145" s="145">
        <v>0.029166666666666667</v>
      </c>
      <c r="AB145" s="129" t="s">
        <v>428</v>
      </c>
      <c r="AC145" s="129" t="s">
        <v>624</v>
      </c>
      <c r="AD145" s="130" t="s">
        <v>625</v>
      </c>
      <c r="AE145" s="130" t="s">
        <v>94</v>
      </c>
      <c r="AF145" s="132" t="s">
        <v>431</v>
      </c>
      <c r="AG145" s="143" t="b">
        <v>0</v>
      </c>
      <c r="AH145" s="143">
        <v>127.0</v>
      </c>
      <c r="AI145" s="143">
        <v>2017.0</v>
      </c>
      <c r="AJ145" s="143">
        <v>2019.0</v>
      </c>
      <c r="AK145" s="143">
        <v>5.0</v>
      </c>
      <c r="AL145" s="129" t="str">
        <f>IFERROR(__xludf.DUMMYFUNCTION("""COMPUTED_VALUE"""),"Lagoon View, Trendy")</f>
        <v>Lagoon View, Trendy</v>
      </c>
      <c r="AM145" s="129" t="str">
        <f>IFERROR(__xludf.DUMMYFUNCTION("""COMPUTED_VALUE"""),"2 Bedroom Suites, Adult Pool, Babysitting, Beach, Big Waterslides, Evening Entertainment, Family Suite, Golf Course, Gym, Heated Pool, Hiking, Kids Club, Room Service, Snorkelling, Spa, Swim Up Bar, Yoga Classes")</f>
        <v>2 Bedroom Suites, Adult Pool, Babysitting, Beach, Big Waterslides, Evening Entertainment, Family Suite, Golf Course, Gym, Heated Pool, Hiking, Kids Club, Room Service, Snorkelling, Spa, Swim Up Bar, Yoga Classes</v>
      </c>
      <c r="AN145" s="139"/>
    </row>
    <row r="146">
      <c r="A146" s="118" t="s">
        <v>626</v>
      </c>
      <c r="B146" s="119">
        <v>91.3</v>
      </c>
      <c r="C146" s="134" t="s">
        <v>75</v>
      </c>
      <c r="D146" s="121">
        <v>10143.0</v>
      </c>
      <c r="E146" s="135">
        <f>IFERROR(__xludf.DUMMYFUNCTION("""COMPUTED_VALUE"""),14007.989135699998)</f>
        <v>14007.98914</v>
      </c>
      <c r="F146" s="136">
        <v>1.11</v>
      </c>
      <c r="G146" s="124">
        <v>1597.0</v>
      </c>
      <c r="H146" s="125">
        <v>1260.0</v>
      </c>
      <c r="I146" s="125">
        <v>224.0</v>
      </c>
      <c r="J146" s="125">
        <v>57.0</v>
      </c>
      <c r="K146" s="125">
        <v>30.0</v>
      </c>
      <c r="L146" s="125">
        <v>26.0</v>
      </c>
      <c r="M146" s="126">
        <v>93.0</v>
      </c>
      <c r="N146" s="127">
        <v>90.0</v>
      </c>
      <c r="O146" s="127">
        <v>92.0</v>
      </c>
      <c r="P146" s="127">
        <v>90.0</v>
      </c>
      <c r="Q146" s="135" t="b">
        <v>1</v>
      </c>
      <c r="R146" s="133"/>
      <c r="S146" s="133">
        <v>7.0</v>
      </c>
      <c r="T146" s="133"/>
      <c r="U146" s="133"/>
      <c r="V146" s="129"/>
      <c r="W146" s="130" t="s">
        <v>137</v>
      </c>
      <c r="X146" s="130" t="s">
        <v>627</v>
      </c>
      <c r="Y146" s="130" t="s">
        <v>139</v>
      </c>
      <c r="Z146" s="131" t="b">
        <v>1</v>
      </c>
      <c r="AA146" s="131">
        <v>0.01597222222222222</v>
      </c>
      <c r="AB146" s="129"/>
      <c r="AC146" s="130" t="s">
        <v>365</v>
      </c>
      <c r="AD146" s="130" t="s">
        <v>628</v>
      </c>
      <c r="AE146" s="130"/>
      <c r="AF146" s="132" t="s">
        <v>181</v>
      </c>
      <c r="AG146" s="133" t="b">
        <v>0</v>
      </c>
      <c r="AH146" s="133">
        <v>35.0</v>
      </c>
      <c r="AI146" s="133">
        <v>2013.0</v>
      </c>
      <c r="AJ146" s="143"/>
      <c r="AK146" s="133">
        <v>5.0</v>
      </c>
      <c r="AL146" s="129" t="str">
        <f>IFERROR(__xludf.DUMMYFUNCTION("""COMPUTED_VALUE"""),"Business")</f>
        <v>Business</v>
      </c>
      <c r="AM146" s="129" t="str">
        <f>IFERROR(__xludf.DUMMYFUNCTION("""COMPUTED_VALUE"""),"2 Bedroom Suites, Babysitting, Beach, Bicycles Available, Buffet, Evening Entertainment, Family Suite, Gym, Kids Club, Snorkelling, Spa, Swim Up Bar, Wifi (Free), Yoga Classes")</f>
        <v>2 Bedroom Suites, Babysitting, Beach, Bicycles Available, Buffet, Evening Entertainment, Family Suite, Gym, Kids Club, Snorkelling, Spa, Swim Up Bar, Wifi (Free), Yoga Classes</v>
      </c>
      <c r="AN146" s="139"/>
    </row>
    <row r="147">
      <c r="A147" s="118" t="s">
        <v>629</v>
      </c>
      <c r="B147" s="119">
        <v>91.0</v>
      </c>
      <c r="C147" s="120" t="s">
        <v>68</v>
      </c>
      <c r="D147" s="121">
        <v>1750.0</v>
      </c>
      <c r="E147" s="122">
        <f>IFERROR(__xludf.DUMMYFUNCTION("""COMPUTED_VALUE"""),2416.8373249999995)</f>
        <v>2416.837325</v>
      </c>
      <c r="F147" s="136">
        <v>6.29</v>
      </c>
      <c r="G147" s="124">
        <v>7622.0</v>
      </c>
      <c r="H147" s="125">
        <v>5570.0</v>
      </c>
      <c r="I147" s="125">
        <v>1358.0</v>
      </c>
      <c r="J147" s="125">
        <v>472.0</v>
      </c>
      <c r="K147" s="125">
        <v>154.0</v>
      </c>
      <c r="L147" s="125">
        <v>76.0</v>
      </c>
      <c r="M147" s="126">
        <v>92.0</v>
      </c>
      <c r="N147" s="127">
        <v>90.0</v>
      </c>
      <c r="O147" s="127"/>
      <c r="P147" s="127"/>
      <c r="Q147" s="122" t="b">
        <v>1</v>
      </c>
      <c r="R147" s="128"/>
      <c r="S147" s="133">
        <v>8.0</v>
      </c>
      <c r="T147" s="128"/>
      <c r="U147" s="133">
        <v>4.5</v>
      </c>
      <c r="V147" s="129"/>
      <c r="W147" s="130" t="s">
        <v>276</v>
      </c>
      <c r="X147" s="130" t="s">
        <v>570</v>
      </c>
      <c r="Y147" s="130" t="s">
        <v>570</v>
      </c>
      <c r="Z147" s="131" t="b">
        <v>1</v>
      </c>
      <c r="AA147" s="131">
        <v>0.04652777777777778</v>
      </c>
      <c r="AB147" s="130" t="s">
        <v>328</v>
      </c>
      <c r="AC147" s="130" t="s">
        <v>537</v>
      </c>
      <c r="AD147" s="130" t="s">
        <v>630</v>
      </c>
      <c r="AE147" s="129"/>
      <c r="AF147" s="132"/>
      <c r="AG147" s="133" t="b">
        <v>0</v>
      </c>
      <c r="AH147" s="133">
        <v>354.0</v>
      </c>
      <c r="AI147" s="133">
        <v>2008.0</v>
      </c>
      <c r="AJ147" s="128"/>
      <c r="AK147" s="128"/>
      <c r="AL147" s="129" t="str">
        <f>IFERROR(__xludf.DUMMYFUNCTION("""COMPUTED_VALUE"""),"Great View, Quiet")</f>
        <v>Great View, Quiet</v>
      </c>
      <c r="AM147" s="129" t="str">
        <f>IFERROR(__xludf.DUMMYFUNCTION("""COMPUTED_VALUE"""),"Adult Pool, Beach, Buffet, Evening Entertainment, Gym, Nightclub, Snorkelling, Spa, Swim Out/Plunge Pool Rooms, Swim Up Bar, Tennis, Yoga Classes")</f>
        <v>Adult Pool, Beach, Buffet, Evening Entertainment, Gym, Nightclub, Snorkelling, Spa, Swim Out/Plunge Pool Rooms, Swim Up Bar, Tennis, Yoga Classes</v>
      </c>
      <c r="AN147" s="128"/>
    </row>
    <row r="148">
      <c r="A148" s="151" t="s">
        <v>631</v>
      </c>
      <c r="B148" s="119">
        <v>91.0</v>
      </c>
      <c r="C148" s="141" t="s">
        <v>68</v>
      </c>
      <c r="D148" s="121">
        <v>2090.76</v>
      </c>
      <c r="E148" s="135">
        <f>IFERROR(__xludf.DUMMYFUNCTION("""COMPUTED_VALUE"""),2887.443888924)</f>
        <v>2887.443889</v>
      </c>
      <c r="F148" s="136">
        <v>5.26</v>
      </c>
      <c r="G148" s="124">
        <v>7855.0</v>
      </c>
      <c r="H148" s="125">
        <v>6358.0</v>
      </c>
      <c r="I148" s="125">
        <v>961.0</v>
      </c>
      <c r="J148" s="125">
        <v>354.0</v>
      </c>
      <c r="K148" s="125">
        <v>117.0</v>
      </c>
      <c r="L148" s="125">
        <v>65.0</v>
      </c>
      <c r="M148" s="126">
        <v>94.0</v>
      </c>
      <c r="N148" s="138">
        <v>88.0</v>
      </c>
      <c r="O148" s="127"/>
      <c r="P148" s="127"/>
      <c r="Q148" s="122" t="b">
        <v>1</v>
      </c>
      <c r="R148" s="128"/>
      <c r="S148" s="128"/>
      <c r="T148" s="128"/>
      <c r="U148" s="133">
        <v>4.0</v>
      </c>
      <c r="V148" s="129"/>
      <c r="W148" s="129" t="s">
        <v>276</v>
      </c>
      <c r="X148" s="129" t="s">
        <v>576</v>
      </c>
      <c r="Y148" s="129" t="s">
        <v>278</v>
      </c>
      <c r="Z148" s="145" t="b">
        <v>1</v>
      </c>
      <c r="AA148" s="145">
        <v>0.06666666666666667</v>
      </c>
      <c r="AB148" s="130" t="s">
        <v>632</v>
      </c>
      <c r="AC148" s="129" t="s">
        <v>308</v>
      </c>
      <c r="AD148" s="147" t="s">
        <v>633</v>
      </c>
      <c r="AE148" s="129"/>
      <c r="AF148" s="132"/>
      <c r="AG148" s="128" t="b">
        <v>0</v>
      </c>
      <c r="AH148" s="128">
        <v>122.0</v>
      </c>
      <c r="AI148" s="128">
        <v>2012.0</v>
      </c>
      <c r="AJ148" s="128">
        <v>2017.0</v>
      </c>
      <c r="AK148" s="128">
        <v>2.0</v>
      </c>
      <c r="AL148" s="129" t="str">
        <f>IFERROR(__xludf.DUMMYFUNCTION("""COMPUTED_VALUE"""),"Charming, Romantic")</f>
        <v>Charming, Romantic</v>
      </c>
      <c r="AM148" s="129" t="str">
        <f>IFERROR(__xludf.DUMMYFUNCTION("""COMPUTED_VALUE"""),"Beach, Buffet, Diving, Evening Entertainment, Gym")</f>
        <v>Beach, Buffet, Diving, Evening Entertainment, Gym</v>
      </c>
      <c r="AN148" s="128"/>
    </row>
    <row r="149">
      <c r="A149" s="118" t="s">
        <v>634</v>
      </c>
      <c r="B149" s="119">
        <v>91.0</v>
      </c>
      <c r="C149" s="134" t="s">
        <v>75</v>
      </c>
      <c r="D149" s="121">
        <v>2222.5</v>
      </c>
      <c r="E149" s="135">
        <f>IFERROR(__xludf.DUMMYFUNCTION("""COMPUTED_VALUE"""),3069.3834027499997)</f>
        <v>3069.383403</v>
      </c>
      <c r="F149" s="136">
        <v>4.95</v>
      </c>
      <c r="G149" s="124">
        <v>2289.0</v>
      </c>
      <c r="H149" s="125">
        <v>1796.0</v>
      </c>
      <c r="I149" s="125">
        <v>244.0</v>
      </c>
      <c r="J149" s="125">
        <v>102.0</v>
      </c>
      <c r="K149" s="125">
        <v>78.0</v>
      </c>
      <c r="L149" s="125">
        <v>72.0</v>
      </c>
      <c r="M149" s="126">
        <v>92.0</v>
      </c>
      <c r="N149" s="127">
        <v>90.0</v>
      </c>
      <c r="O149" s="146"/>
      <c r="P149" s="146"/>
      <c r="Q149" s="137" t="b">
        <v>1</v>
      </c>
      <c r="R149" s="128"/>
      <c r="S149" s="128"/>
      <c r="T149" s="128"/>
      <c r="U149" s="133">
        <v>5.0</v>
      </c>
      <c r="V149" s="129"/>
      <c r="W149" s="130" t="s">
        <v>276</v>
      </c>
      <c r="X149" s="130" t="s">
        <v>635</v>
      </c>
      <c r="Y149" s="130" t="s">
        <v>278</v>
      </c>
      <c r="Z149" s="131" t="b">
        <v>1</v>
      </c>
      <c r="AA149" s="131">
        <v>0.06388888888888888</v>
      </c>
      <c r="AB149" s="130" t="s">
        <v>636</v>
      </c>
      <c r="AC149" s="130" t="s">
        <v>442</v>
      </c>
      <c r="AD149" s="130" t="s">
        <v>637</v>
      </c>
      <c r="AE149" s="130" t="s">
        <v>94</v>
      </c>
      <c r="AF149" s="132" t="s">
        <v>373</v>
      </c>
      <c r="AG149" s="128" t="b">
        <v>0</v>
      </c>
      <c r="AH149" s="128"/>
      <c r="AI149" s="128"/>
      <c r="AJ149" s="128"/>
      <c r="AK149" s="128"/>
      <c r="AL149" s="129" t="str">
        <f>IFERROR(__xludf.DUMMYFUNCTION("""COMPUTED_VALUE"""),"Ocean View")</f>
        <v>Ocean View</v>
      </c>
      <c r="AM149" s="129" t="str">
        <f>IFERROR(__xludf.DUMMYFUNCTION("""COMPUTED_VALUE"""),"Babysitting, Beach, Buffet, Evening Entertainment, Gym, Kids Club, Nightclub, Snorkelling, Swim Up Bar, Tennis, Wifi (Paid)")</f>
        <v>Babysitting, Beach, Buffet, Evening Entertainment, Gym, Kids Club, Nightclub, Snorkelling, Swim Up Bar, Tennis, Wifi (Paid)</v>
      </c>
      <c r="AN149" s="139"/>
    </row>
    <row r="150">
      <c r="A150" s="118" t="s">
        <v>638</v>
      </c>
      <c r="B150" s="119">
        <v>91.0</v>
      </c>
      <c r="C150" s="120" t="s">
        <v>68</v>
      </c>
      <c r="D150" s="121">
        <v>2495.0</v>
      </c>
      <c r="E150" s="122">
        <f>IFERROR(__xludf.DUMMYFUNCTION("""COMPUTED_VALUE"""),3445.7195004999994)</f>
        <v>3445.719501</v>
      </c>
      <c r="F150" s="136">
        <v>4.41</v>
      </c>
      <c r="G150" s="124">
        <v>532.0</v>
      </c>
      <c r="H150" s="125">
        <v>415.0</v>
      </c>
      <c r="I150" s="125">
        <v>69.0</v>
      </c>
      <c r="J150" s="125">
        <v>27.0</v>
      </c>
      <c r="K150" s="125">
        <v>10.0</v>
      </c>
      <c r="L150" s="125">
        <v>11.0</v>
      </c>
      <c r="M150" s="126">
        <v>93.0</v>
      </c>
      <c r="N150" s="127">
        <v>88.0</v>
      </c>
      <c r="O150" s="127"/>
      <c r="P150" s="127">
        <v>92.0</v>
      </c>
      <c r="Q150" s="122" t="b">
        <v>1</v>
      </c>
      <c r="R150" s="133"/>
      <c r="S150" s="143"/>
      <c r="T150" s="133"/>
      <c r="U150" s="133">
        <v>4.0</v>
      </c>
      <c r="V150" s="129"/>
      <c r="W150" s="130" t="s">
        <v>113</v>
      </c>
      <c r="X150" s="130" t="s">
        <v>639</v>
      </c>
      <c r="Y150" s="130" t="s">
        <v>114</v>
      </c>
      <c r="Z150" s="131" t="b">
        <v>1</v>
      </c>
      <c r="AA150" s="131">
        <v>0.025694444444444443</v>
      </c>
      <c r="AB150" s="129"/>
      <c r="AC150" s="130" t="s">
        <v>442</v>
      </c>
      <c r="AD150" s="130" t="s">
        <v>640</v>
      </c>
      <c r="AE150" s="129"/>
      <c r="AF150" s="132"/>
      <c r="AG150" s="143" t="b">
        <v>0</v>
      </c>
      <c r="AH150" s="143"/>
      <c r="AI150" s="143"/>
      <c r="AJ150" s="143"/>
      <c r="AK150" s="143"/>
      <c r="AL150" s="129" t="str">
        <f>IFERROR(__xludf.DUMMYFUNCTION("""COMPUTED_VALUE"""),"Ocean View")</f>
        <v>Ocean View</v>
      </c>
      <c r="AM150" s="129" t="str">
        <f>IFERROR(__xludf.DUMMYFUNCTION("""COMPUTED_VALUE"""),"Beach, Snorkelling, Spa, Swim Out/Plunge Pool Rooms, Wifi (Free)")</f>
        <v>Beach, Snorkelling, Spa, Swim Out/Plunge Pool Rooms, Wifi (Free)</v>
      </c>
      <c r="AN150" s="128"/>
    </row>
    <row r="151">
      <c r="A151" s="118" t="s">
        <v>641</v>
      </c>
      <c r="B151" s="119">
        <v>91.0</v>
      </c>
      <c r="C151" s="120" t="s">
        <v>68</v>
      </c>
      <c r="D151" s="121">
        <v>2692.2</v>
      </c>
      <c r="E151" s="122">
        <f>IFERROR(__xludf.DUMMYFUNCTION("""COMPUTED_VALUE"""),3718.0625407799994)</f>
        <v>3718.062541</v>
      </c>
      <c r="F151" s="136">
        <v>4.09</v>
      </c>
      <c r="G151" s="124">
        <v>1651.0</v>
      </c>
      <c r="H151" s="125">
        <v>1240.0</v>
      </c>
      <c r="I151" s="125">
        <v>299.0</v>
      </c>
      <c r="J151" s="125">
        <v>83.0</v>
      </c>
      <c r="K151" s="125">
        <v>20.0</v>
      </c>
      <c r="L151" s="125">
        <v>11.0</v>
      </c>
      <c r="M151" s="126">
        <v>93.0</v>
      </c>
      <c r="N151" s="127">
        <v>90.0</v>
      </c>
      <c r="O151" s="127"/>
      <c r="P151" s="127">
        <v>90.0</v>
      </c>
      <c r="Q151" s="122" t="b">
        <v>1</v>
      </c>
      <c r="R151" s="128"/>
      <c r="S151" s="133">
        <v>7.0</v>
      </c>
      <c r="T151" s="133"/>
      <c r="U151" s="133">
        <v>4.0</v>
      </c>
      <c r="V151" s="129"/>
      <c r="W151" s="130" t="s">
        <v>642</v>
      </c>
      <c r="X151" s="130" t="s">
        <v>643</v>
      </c>
      <c r="Y151" s="130" t="s">
        <v>644</v>
      </c>
      <c r="Z151" s="131" t="b">
        <v>1</v>
      </c>
      <c r="AA151" s="131">
        <v>0.02847222222222222</v>
      </c>
      <c r="AB151" s="129"/>
      <c r="AC151" s="130" t="s">
        <v>115</v>
      </c>
      <c r="AD151" s="130" t="s">
        <v>645</v>
      </c>
      <c r="AE151" s="129"/>
      <c r="AF151" s="132"/>
      <c r="AG151" s="133" t="b">
        <v>1</v>
      </c>
      <c r="AH151" s="133">
        <v>47.0</v>
      </c>
      <c r="AI151" s="133">
        <v>1972.0</v>
      </c>
      <c r="AJ151" s="133">
        <v>2008.0</v>
      </c>
      <c r="AK151" s="133">
        <v>3.0</v>
      </c>
      <c r="AL151" s="129" t="str">
        <f>IFERROR(__xludf.DUMMYFUNCTION("""COMPUTED_VALUE"""),"Romantic")</f>
        <v>Romantic</v>
      </c>
      <c r="AM151" s="129" t="str">
        <f>IFERROR(__xludf.DUMMYFUNCTION("""COMPUTED_VALUE"""),"Bicycles Available, Buffet, Evening Entertainment, Gym, Spa, Wifi (Free)")</f>
        <v>Bicycles Available, Buffet, Evening Entertainment, Gym, Spa, Wifi (Free)</v>
      </c>
      <c r="AN151" s="128"/>
    </row>
    <row r="152">
      <c r="A152" s="118" t="s">
        <v>646</v>
      </c>
      <c r="B152" s="119">
        <v>91.0</v>
      </c>
      <c r="C152" s="134" t="s">
        <v>75</v>
      </c>
      <c r="D152" s="150">
        <v>2786.0</v>
      </c>
      <c r="E152" s="135">
        <f>IFERROR(__xludf.DUMMYFUNCTION("""COMPUTED_VALUE"""),3847.6050213999997)</f>
        <v>3847.605021</v>
      </c>
      <c r="F152" s="136">
        <v>3.95</v>
      </c>
      <c r="G152" s="124">
        <v>6522.0</v>
      </c>
      <c r="H152" s="125">
        <v>4622.0</v>
      </c>
      <c r="I152" s="125">
        <v>780.0</v>
      </c>
      <c r="J152" s="125">
        <v>437.0</v>
      </c>
      <c r="K152" s="125">
        <v>327.0</v>
      </c>
      <c r="L152" s="125">
        <v>359.0</v>
      </c>
      <c r="M152" s="126">
        <v>88.0</v>
      </c>
      <c r="N152" s="138">
        <v>94.0</v>
      </c>
      <c r="O152" s="146"/>
      <c r="P152" s="146"/>
      <c r="Q152" s="137" t="b">
        <v>1</v>
      </c>
      <c r="R152" s="128"/>
      <c r="S152" s="133">
        <v>6.0</v>
      </c>
      <c r="T152" s="128"/>
      <c r="U152" s="133">
        <v>5.0</v>
      </c>
      <c r="V152" s="129"/>
      <c r="W152" s="130" t="s">
        <v>276</v>
      </c>
      <c r="X152" s="130" t="s">
        <v>393</v>
      </c>
      <c r="Y152" s="130" t="s">
        <v>393</v>
      </c>
      <c r="Z152" s="131" t="b">
        <v>1</v>
      </c>
      <c r="AA152" s="131">
        <v>0.018055555555555554</v>
      </c>
      <c r="AB152" s="130" t="s">
        <v>328</v>
      </c>
      <c r="AC152" s="130" t="s">
        <v>647</v>
      </c>
      <c r="AD152" s="130" t="s">
        <v>648</v>
      </c>
      <c r="AE152" s="130"/>
      <c r="AF152" s="132" t="s">
        <v>373</v>
      </c>
      <c r="AG152" s="133" t="b">
        <v>1</v>
      </c>
      <c r="AH152" s="133">
        <v>163.0</v>
      </c>
      <c r="AI152" s="133">
        <v>1950.0</v>
      </c>
      <c r="AJ152" s="133">
        <v>1998.0</v>
      </c>
      <c r="AK152" s="133">
        <v>4.0</v>
      </c>
      <c r="AL152" s="129" t="str">
        <f>IFERROR(__xludf.DUMMYFUNCTION("""COMPUTED_VALUE"""),"Business, Trendy")</f>
        <v>Business, Trendy</v>
      </c>
      <c r="AM152" s="129" t="str">
        <f>IFERROR(__xludf.DUMMYFUNCTION("""COMPUTED_VALUE"""),"Adults Only Rooms, Babysitting, Beach, Buffet, Evening Entertainment, Great Beach, Gym, Kids Club, Snorkelling, Spa, Swim Up Bar, Tennis")</f>
        <v>Adults Only Rooms, Babysitting, Beach, Buffet, Evening Entertainment, Great Beach, Gym, Kids Club, Snorkelling, Spa, Swim Up Bar, Tennis</v>
      </c>
      <c r="AN152" s="139"/>
    </row>
    <row r="153">
      <c r="A153" s="118" t="s">
        <v>649</v>
      </c>
      <c r="B153" s="149">
        <v>91.0</v>
      </c>
      <c r="C153" s="120" t="s">
        <v>68</v>
      </c>
      <c r="D153" s="121">
        <v>3294.0</v>
      </c>
      <c r="E153" s="122">
        <f>IFERROR(__xludf.DUMMYFUNCTION("""COMPUTED_VALUE"""),4549.1783706)</f>
        <v>4549.178371</v>
      </c>
      <c r="F153" s="136">
        <v>3.34</v>
      </c>
      <c r="G153" s="124">
        <v>3317.0</v>
      </c>
      <c r="H153" s="125">
        <v>2319.0</v>
      </c>
      <c r="I153" s="125">
        <v>662.0</v>
      </c>
      <c r="J153" s="125">
        <v>202.0</v>
      </c>
      <c r="K153" s="125">
        <v>67.0</v>
      </c>
      <c r="L153" s="125">
        <v>68.0</v>
      </c>
      <c r="M153" s="126">
        <v>91.0</v>
      </c>
      <c r="N153" s="138">
        <v>90.0</v>
      </c>
      <c r="O153" s="127"/>
      <c r="P153" s="127">
        <v>92.0</v>
      </c>
      <c r="Q153" s="122" t="b">
        <v>1</v>
      </c>
      <c r="R153" s="133"/>
      <c r="S153" s="143"/>
      <c r="T153" s="133"/>
      <c r="U153" s="133">
        <v>4.0</v>
      </c>
      <c r="V153" s="129"/>
      <c r="W153" s="130" t="s">
        <v>113</v>
      </c>
      <c r="X153" s="130" t="s">
        <v>650</v>
      </c>
      <c r="Y153" s="130" t="s">
        <v>114</v>
      </c>
      <c r="Z153" s="131" t="b">
        <v>1</v>
      </c>
      <c r="AA153" s="131">
        <v>0.020833333333333332</v>
      </c>
      <c r="AB153" s="129"/>
      <c r="AC153" s="130" t="s">
        <v>115</v>
      </c>
      <c r="AD153" s="130" t="s">
        <v>651</v>
      </c>
      <c r="AE153" s="129"/>
      <c r="AF153" s="132"/>
      <c r="AG153" s="143" t="b">
        <v>0</v>
      </c>
      <c r="AH153" s="143"/>
      <c r="AI153" s="143"/>
      <c r="AJ153" s="143"/>
      <c r="AK153" s="143"/>
      <c r="AL153" s="129" t="str">
        <f>IFERROR(__xludf.DUMMYFUNCTION("""COMPUTED_VALUE"""),"Romantic")</f>
        <v>Romantic</v>
      </c>
      <c r="AM153" s="129" t="str">
        <f>IFERROR(__xludf.DUMMYFUNCTION("""COMPUTED_VALUE"""),"Beach, Evening Entertainment, Gym, Room Service, Snorkelling, Spa, Swim Out/Plunge Pool Rooms, Wifi (Free), Yoga Classes")</f>
        <v>Beach, Evening Entertainment, Gym, Room Service, Snorkelling, Spa, Swim Out/Plunge Pool Rooms, Wifi (Free), Yoga Classes</v>
      </c>
      <c r="AN153" s="128"/>
    </row>
    <row r="154">
      <c r="A154" s="118" t="s">
        <v>652</v>
      </c>
      <c r="B154" s="119">
        <v>91.0</v>
      </c>
      <c r="C154" s="134" t="s">
        <v>75</v>
      </c>
      <c r="D154" s="121">
        <v>4121.25</v>
      </c>
      <c r="E154" s="135">
        <f>IFERROR(__xludf.DUMMYFUNCTION("""COMPUTED_VALUE"""),5691.651900374999)</f>
        <v>5691.6519</v>
      </c>
      <c r="F154" s="136">
        <v>2.67</v>
      </c>
      <c r="G154" s="124">
        <v>17821.0</v>
      </c>
      <c r="H154" s="125">
        <v>11699.0</v>
      </c>
      <c r="I154" s="125">
        <v>3189.0</v>
      </c>
      <c r="J154" s="125">
        <v>1466.0</v>
      </c>
      <c r="K154" s="125">
        <v>700.0</v>
      </c>
      <c r="L154" s="125">
        <v>769.0</v>
      </c>
      <c r="M154" s="126">
        <v>87.0</v>
      </c>
      <c r="N154" s="138">
        <v>98.0</v>
      </c>
      <c r="O154" s="146"/>
      <c r="P154" s="127">
        <v>88.0</v>
      </c>
      <c r="Q154" s="135" t="b">
        <v>1</v>
      </c>
      <c r="R154" s="133">
        <v>4.0</v>
      </c>
      <c r="S154" s="133">
        <v>8.0</v>
      </c>
      <c r="T154" s="133"/>
      <c r="U154" s="133"/>
      <c r="V154" s="130"/>
      <c r="W154" s="130" t="s">
        <v>84</v>
      </c>
      <c r="X154" s="130" t="s">
        <v>361</v>
      </c>
      <c r="Y154" s="130" t="s">
        <v>86</v>
      </c>
      <c r="Z154" s="131" t="b">
        <v>1</v>
      </c>
      <c r="AA154" s="131">
        <v>0.043055555555555555</v>
      </c>
      <c r="AB154" s="130" t="s">
        <v>362</v>
      </c>
      <c r="AC154" s="130" t="s">
        <v>316</v>
      </c>
      <c r="AD154" s="130" t="s">
        <v>653</v>
      </c>
      <c r="AE154" s="130"/>
      <c r="AF154" s="132" t="s">
        <v>373</v>
      </c>
      <c r="AG154" s="133" t="b">
        <v>0</v>
      </c>
      <c r="AH154" s="133">
        <v>756.0</v>
      </c>
      <c r="AI154" s="133">
        <v>2007.0</v>
      </c>
      <c r="AJ154" s="143"/>
      <c r="AK154" s="133">
        <v>3.0</v>
      </c>
      <c r="AL154" s="129" t="str">
        <f>IFERROR(__xludf.DUMMYFUNCTION("""COMPUTED_VALUE"""),"Bay View, Quiet")</f>
        <v>Bay View, Quiet</v>
      </c>
      <c r="AM154" s="129" t="str">
        <f>IFERROR(__xludf.DUMMYFUNCTION("""COMPUTED_VALUE"""),"2 Bedroom Suites, Adult Pool, Babysitting, Beach, Buffet, Diving, Evening Entertainment, Family Suite, Flowrider, Gym, Kids Club, Kids Waterpark, Mini Golf, Nightclub, Pool Slide, Snorkelling, Spa, Swim Up Bar, Teen Club, Tennis, Water Feature")</f>
        <v>2 Bedroom Suites, Adult Pool, Babysitting, Beach, Buffet, Diving, Evening Entertainment, Family Suite, Flowrider, Gym, Kids Club, Kids Waterpark, Mini Golf, Nightclub, Pool Slide, Snorkelling, Spa, Swim Up Bar, Teen Club, Tennis, Water Feature</v>
      </c>
      <c r="AN154" s="139"/>
    </row>
    <row r="155">
      <c r="A155" s="118" t="s">
        <v>654</v>
      </c>
      <c r="B155" s="119">
        <v>91.0</v>
      </c>
      <c r="C155" s="134" t="s">
        <v>75</v>
      </c>
      <c r="D155" s="121">
        <v>4687.2</v>
      </c>
      <c r="E155" s="135">
        <f>IFERROR(__xludf.DUMMYFUNCTION("""COMPUTED_VALUE"""),6473.257091279999)</f>
        <v>6473.257091</v>
      </c>
      <c r="F155" s="136">
        <v>2.35</v>
      </c>
      <c r="G155" s="124">
        <v>8219.0</v>
      </c>
      <c r="H155" s="125">
        <v>5362.0</v>
      </c>
      <c r="I155" s="125">
        <v>1820.0</v>
      </c>
      <c r="J155" s="125">
        <v>590.0</v>
      </c>
      <c r="K155" s="125">
        <v>241.0</v>
      </c>
      <c r="L155" s="125">
        <v>209.0</v>
      </c>
      <c r="M155" s="126">
        <v>89.0</v>
      </c>
      <c r="N155" s="127">
        <v>92.0</v>
      </c>
      <c r="O155" s="146"/>
      <c r="P155" s="127">
        <v>92.0</v>
      </c>
      <c r="Q155" s="135" t="b">
        <v>1</v>
      </c>
      <c r="R155" s="133"/>
      <c r="S155" s="133">
        <v>7.0</v>
      </c>
      <c r="T155" s="133"/>
      <c r="U155" s="133">
        <v>5.0</v>
      </c>
      <c r="V155" s="129"/>
      <c r="W155" s="130" t="s">
        <v>84</v>
      </c>
      <c r="X155" s="130" t="s">
        <v>85</v>
      </c>
      <c r="Y155" s="130" t="s">
        <v>86</v>
      </c>
      <c r="Z155" s="131" t="b">
        <v>1</v>
      </c>
      <c r="AA155" s="131">
        <v>0.03680555555555556</v>
      </c>
      <c r="AB155" s="130" t="s">
        <v>655</v>
      </c>
      <c r="AC155" s="130" t="s">
        <v>656</v>
      </c>
      <c r="AD155" s="130" t="s">
        <v>657</v>
      </c>
      <c r="AE155" s="130"/>
      <c r="AF155" s="132" t="s">
        <v>658</v>
      </c>
      <c r="AG155" s="133" t="b">
        <v>0</v>
      </c>
      <c r="AH155" s="133">
        <v>460.0</v>
      </c>
      <c r="AI155" s="133">
        <v>2006.0</v>
      </c>
      <c r="AJ155" s="133">
        <v>2019.0</v>
      </c>
      <c r="AK155" s="133">
        <v>3.0</v>
      </c>
      <c r="AL155" s="129" t="str">
        <f>IFERROR(__xludf.DUMMYFUNCTION("""COMPUTED_VALUE"""),"Family, Green")</f>
        <v>Family, Green</v>
      </c>
      <c r="AM155" s="129" t="str">
        <f>IFERROR(__xludf.DUMMYFUNCTION("""COMPUTED_VALUE"""),"Beach, Buffet, Diving, Evening Entertainment, Gym, Kids Club, Nightclub, Pool Slide, Snorkelling, Spa, Swim Up Bar, Water Feature, Watersports Equipment Rentals, Windsurfing")</f>
        <v>Beach, Buffet, Diving, Evening Entertainment, Gym, Kids Club, Nightclub, Pool Slide, Snorkelling, Spa, Swim Up Bar, Water Feature, Watersports Equipment Rentals, Windsurfing</v>
      </c>
      <c r="AN155" s="139"/>
    </row>
    <row r="156">
      <c r="A156" s="118" t="s">
        <v>659</v>
      </c>
      <c r="B156" s="119">
        <v>91.0</v>
      </c>
      <c r="C156" s="120" t="s">
        <v>68</v>
      </c>
      <c r="D156" s="121">
        <v>6300.0</v>
      </c>
      <c r="E156" s="135">
        <f>IFERROR(__xludf.DUMMYFUNCTION("""COMPUTED_VALUE"""),8700.61437)</f>
        <v>8700.61437</v>
      </c>
      <c r="F156" s="136">
        <v>1.75</v>
      </c>
      <c r="G156" s="124">
        <v>1288.0</v>
      </c>
      <c r="H156" s="125">
        <v>1007.0</v>
      </c>
      <c r="I156" s="125">
        <v>189.0</v>
      </c>
      <c r="J156" s="125">
        <v>48.0</v>
      </c>
      <c r="K156" s="125">
        <v>24.0</v>
      </c>
      <c r="L156" s="125">
        <v>20.0</v>
      </c>
      <c r="M156" s="126">
        <v>93.0</v>
      </c>
      <c r="N156" s="127">
        <v>92.0</v>
      </c>
      <c r="O156" s="127"/>
      <c r="P156" s="138">
        <v>88.0</v>
      </c>
      <c r="Q156" s="126" t="b">
        <v>1</v>
      </c>
      <c r="R156" s="133"/>
      <c r="S156" s="133">
        <v>7.0</v>
      </c>
      <c r="T156" s="133"/>
      <c r="U156" s="133">
        <v>4.5</v>
      </c>
      <c r="V156" s="130" t="s">
        <v>660</v>
      </c>
      <c r="W156" s="130" t="s">
        <v>84</v>
      </c>
      <c r="X156" s="130" t="s">
        <v>661</v>
      </c>
      <c r="Y156" s="130" t="s">
        <v>86</v>
      </c>
      <c r="Z156" s="131" t="b">
        <v>1</v>
      </c>
      <c r="AA156" s="131">
        <v>0.04513888888888889</v>
      </c>
      <c r="AB156" s="130" t="s">
        <v>662</v>
      </c>
      <c r="AC156" s="130" t="s">
        <v>99</v>
      </c>
      <c r="AD156" s="130" t="s">
        <v>663</v>
      </c>
      <c r="AE156" s="129"/>
      <c r="AF156" s="132"/>
      <c r="AG156" s="133" t="b">
        <v>0</v>
      </c>
      <c r="AH156" s="133">
        <v>43.0</v>
      </c>
      <c r="AI156" s="133">
        <v>2002.0</v>
      </c>
      <c r="AJ156" s="133">
        <v>2012.0</v>
      </c>
      <c r="AK156" s="133">
        <v>2.0</v>
      </c>
      <c r="AL156" s="129" t="str">
        <f>IFERROR(__xludf.DUMMYFUNCTION("""COMPUTED_VALUE"""),"Luxury")</f>
        <v>Luxury</v>
      </c>
      <c r="AM156" s="129" t="str">
        <f>IFERROR(__xludf.DUMMYFUNCTION("""COMPUTED_VALUE"""),"Beach, Buffet, Evening Entertainment, Gym, Heated Pool, Nightclub, Spa, Swim Out/Plunge Pool Rooms, Swim Up Bar, Wifi (Free)")</f>
        <v>Beach, Buffet, Evening Entertainment, Gym, Heated Pool, Nightclub, Spa, Swim Out/Plunge Pool Rooms, Swim Up Bar, Wifi (Free)</v>
      </c>
      <c r="AN156" s="128"/>
    </row>
    <row r="157">
      <c r="A157" s="118" t="s">
        <v>664</v>
      </c>
      <c r="B157" s="119">
        <v>91.0</v>
      </c>
      <c r="C157" s="134" t="s">
        <v>75</v>
      </c>
      <c r="D157" s="121">
        <v>6682.86</v>
      </c>
      <c r="E157" s="135">
        <f>IFERROR(__xludf.DUMMYFUNCTION("""COMPUTED_VALUE"""),9229.363134713998)</f>
        <v>9229.363135</v>
      </c>
      <c r="F157" s="136">
        <v>1.65</v>
      </c>
      <c r="G157" s="124">
        <v>6548.0</v>
      </c>
      <c r="H157" s="125">
        <v>4963.0</v>
      </c>
      <c r="I157" s="125">
        <v>1041.0</v>
      </c>
      <c r="J157" s="125">
        <v>299.0</v>
      </c>
      <c r="K157" s="125">
        <v>154.0</v>
      </c>
      <c r="L157" s="125">
        <v>94.0</v>
      </c>
      <c r="M157" s="126">
        <v>92.0</v>
      </c>
      <c r="N157" s="127">
        <v>90.0</v>
      </c>
      <c r="O157" s="146"/>
      <c r="P157" s="146"/>
      <c r="Q157" s="135" t="b">
        <v>1</v>
      </c>
      <c r="R157" s="133"/>
      <c r="S157" s="133">
        <v>7.0</v>
      </c>
      <c r="T157" s="133"/>
      <c r="U157" s="133">
        <v>4.0</v>
      </c>
      <c r="V157" s="129"/>
      <c r="W157" s="130" t="s">
        <v>84</v>
      </c>
      <c r="X157" s="130" t="s">
        <v>665</v>
      </c>
      <c r="Y157" s="144" t="s">
        <v>666</v>
      </c>
      <c r="Z157" s="131" t="b">
        <v>1</v>
      </c>
      <c r="AA157" s="131">
        <v>0.021527777777777778</v>
      </c>
      <c r="AB157" s="130" t="s">
        <v>441</v>
      </c>
      <c r="AC157" s="130" t="s">
        <v>667</v>
      </c>
      <c r="AD157" s="130" t="s">
        <v>668</v>
      </c>
      <c r="AE157" s="130" t="s">
        <v>94</v>
      </c>
      <c r="AF157" s="132" t="s">
        <v>589</v>
      </c>
      <c r="AG157" s="133" t="b">
        <v>0</v>
      </c>
      <c r="AH157" s="133">
        <v>300.0</v>
      </c>
      <c r="AI157" s="143"/>
      <c r="AJ157" s="143"/>
      <c r="AK157" s="133">
        <v>3.0</v>
      </c>
      <c r="AL157" s="129" t="str">
        <f>IFERROR(__xludf.DUMMYFUNCTION("""COMPUTED_VALUE"""),"Charming, Family")</f>
        <v>Charming, Family</v>
      </c>
      <c r="AM157" s="129" t="str">
        <f>IFERROR(__xludf.DUMMYFUNCTION("""COMPUTED_VALUE"""),"2 Bedroom Suites, Babysitting, Beach, Buffet, Diving, Evening Entertainment, Family Suite, Fishing, Gym, Kids Club, Kids Club for Under 4, Nightclub, Snorkelling, Spa, Teen Club, Tennis")</f>
        <v>2 Bedroom Suites, Babysitting, Beach, Buffet, Diving, Evening Entertainment, Family Suite, Fishing, Gym, Kids Club, Kids Club for Under 4, Nightclub, Snorkelling, Spa, Teen Club, Tennis</v>
      </c>
      <c r="AN157" s="139"/>
    </row>
    <row r="158">
      <c r="A158" s="118" t="s">
        <v>669</v>
      </c>
      <c r="B158" s="119">
        <v>91.0</v>
      </c>
      <c r="C158" s="134" t="s">
        <v>75</v>
      </c>
      <c r="D158" s="121">
        <v>8836.24</v>
      </c>
      <c r="E158" s="135">
        <f>IFERROR(__xludf.DUMMYFUNCTION("""COMPUTED_VALUE"""),12203.288368375997)</f>
        <v>12203.28837</v>
      </c>
      <c r="F158" s="136">
        <v>1.24</v>
      </c>
      <c r="G158" s="124">
        <v>2863.0</v>
      </c>
      <c r="H158" s="125">
        <v>2425.0</v>
      </c>
      <c r="I158" s="125">
        <v>270.0</v>
      </c>
      <c r="J158" s="125">
        <v>70.0</v>
      </c>
      <c r="K158" s="125">
        <v>45.0</v>
      </c>
      <c r="L158" s="125">
        <v>53.0</v>
      </c>
      <c r="M158" s="126">
        <v>95.0</v>
      </c>
      <c r="N158" s="127">
        <v>92.0</v>
      </c>
      <c r="O158" s="146"/>
      <c r="P158" s="127">
        <v>86.0</v>
      </c>
      <c r="Q158" s="126" t="b">
        <v>1</v>
      </c>
      <c r="R158" s="133"/>
      <c r="S158" s="133">
        <v>8.0</v>
      </c>
      <c r="T158" s="133"/>
      <c r="U158" s="133">
        <v>5.0</v>
      </c>
      <c r="V158" s="129"/>
      <c r="W158" s="130" t="s">
        <v>84</v>
      </c>
      <c r="X158" s="130" t="s">
        <v>122</v>
      </c>
      <c r="Y158" s="130" t="s">
        <v>123</v>
      </c>
      <c r="Z158" s="145" t="b">
        <v>1</v>
      </c>
      <c r="AA158" s="145">
        <v>0.03125</v>
      </c>
      <c r="AB158" s="130" t="s">
        <v>464</v>
      </c>
      <c r="AC158" s="130" t="s">
        <v>324</v>
      </c>
      <c r="AD158" s="130" t="s">
        <v>670</v>
      </c>
      <c r="AE158" s="130"/>
      <c r="AF158" s="132" t="s">
        <v>142</v>
      </c>
      <c r="AG158" s="133" t="b">
        <v>0</v>
      </c>
      <c r="AH158" s="133">
        <v>132.0</v>
      </c>
      <c r="AI158" s="128"/>
      <c r="AJ158" s="128"/>
      <c r="AK158" s="133">
        <v>2.0</v>
      </c>
      <c r="AL158" s="129" t="str">
        <f>IFERROR(__xludf.DUMMYFUNCTION("""COMPUTED_VALUE"""),"Family, Quiet")</f>
        <v>Family, Quiet</v>
      </c>
      <c r="AM158" s="129" t="str">
        <f>IFERROR(__xludf.DUMMYFUNCTION("""COMPUTED_VALUE"""),"2 Bedroom Suites, Adult Pool, Beach, Buffet, Diving, Family Suite, Fishing, Golf Course, Gym, Heated Pool, Kids Club, Room Service, Spa, Swim Out/Plunge Pool Rooms, Swim Up Bar, Tennis, Wifi (Free)")</f>
        <v>2 Bedroom Suites, Adult Pool, Beach, Buffet, Diving, Family Suite, Fishing, Golf Course, Gym, Heated Pool, Kids Club, Room Service, Spa, Swim Out/Plunge Pool Rooms, Swim Up Bar, Tennis, Wifi (Free)</v>
      </c>
      <c r="AN158" s="139"/>
    </row>
    <row r="159">
      <c r="A159" s="118" t="s">
        <v>671</v>
      </c>
      <c r="B159" s="119">
        <v>90.8</v>
      </c>
      <c r="C159" s="134" t="s">
        <v>75</v>
      </c>
      <c r="D159" s="150">
        <v>3797.5</v>
      </c>
      <c r="E159" s="135">
        <f>IFERROR(__xludf.DUMMYFUNCTION("""COMPUTED_VALUE"""),5244.53699525)</f>
        <v>5244.536995</v>
      </c>
      <c r="F159" s="136">
        <v>2.84</v>
      </c>
      <c r="G159" s="124">
        <v>26633.0</v>
      </c>
      <c r="H159" s="125">
        <v>18821.0</v>
      </c>
      <c r="I159" s="125">
        <v>5034.0</v>
      </c>
      <c r="J159" s="125">
        <v>1689.0</v>
      </c>
      <c r="K159" s="125">
        <v>618.0</v>
      </c>
      <c r="L159" s="125">
        <v>488.0</v>
      </c>
      <c r="M159" s="126">
        <v>91.0</v>
      </c>
      <c r="N159" s="127">
        <v>96.0</v>
      </c>
      <c r="O159" s="127">
        <v>88.0</v>
      </c>
      <c r="P159" s="127">
        <v>88.0</v>
      </c>
      <c r="Q159" s="135" t="b">
        <v>1</v>
      </c>
      <c r="R159" s="133"/>
      <c r="S159" s="143">
        <v>8.0</v>
      </c>
      <c r="T159" s="133"/>
      <c r="U159" s="133">
        <v>5.0</v>
      </c>
      <c r="V159" s="130"/>
      <c r="W159" s="130" t="s">
        <v>193</v>
      </c>
      <c r="X159" s="130" t="s">
        <v>225</v>
      </c>
      <c r="Y159" s="130" t="s">
        <v>195</v>
      </c>
      <c r="Z159" s="131" t="b">
        <v>1</v>
      </c>
      <c r="AA159" s="131">
        <v>0.018055555555555554</v>
      </c>
      <c r="AB159" s="130" t="s">
        <v>525</v>
      </c>
      <c r="AC159" s="130" t="s">
        <v>672</v>
      </c>
      <c r="AD159" s="130" t="s">
        <v>673</v>
      </c>
      <c r="AE159" s="130"/>
      <c r="AF159" s="132" t="s">
        <v>373</v>
      </c>
      <c r="AG159" s="143" t="b">
        <v>0</v>
      </c>
      <c r="AH159" s="143">
        <v>597.0</v>
      </c>
      <c r="AI159" s="143">
        <v>2008.0</v>
      </c>
      <c r="AJ159" s="143"/>
      <c r="AK159" s="143">
        <v>4.0</v>
      </c>
      <c r="AL159" s="129" t="str">
        <f>IFERROR(__xludf.DUMMYFUNCTION("""COMPUTED_VALUE"""),"Romantic, Value")</f>
        <v>Romantic, Value</v>
      </c>
      <c r="AM159" s="129" t="str">
        <f>IFERROR(__xludf.DUMMYFUNCTION("""COMPUTED_VALUE"""),"Adult Pool, Adults Only Rooms, Babysitting, Beach, Buffet, Evening Entertainment, Great Food, Gym, Kids Club, Kids Waterpark, Nightclub, Pool Slide, Room Service, Snorkelling, Spa, Swim Out/Plunge Pool Rooms, Swim Up Bar, Teen Club, Tennis, Water Feature")</f>
        <v>Adult Pool, Adults Only Rooms, Babysitting, Beach, Buffet, Evening Entertainment, Great Food, Gym, Kids Club, Kids Waterpark, Nightclub, Pool Slide, Room Service, Snorkelling, Spa, Swim Out/Plunge Pool Rooms, Swim Up Bar, Teen Club, Tennis, Water Feature</v>
      </c>
      <c r="AN159" s="139"/>
    </row>
    <row r="160">
      <c r="A160" s="118" t="s">
        <v>674</v>
      </c>
      <c r="B160" s="119">
        <v>90.8</v>
      </c>
      <c r="C160" s="134" t="s">
        <v>75</v>
      </c>
      <c r="D160" s="150">
        <v>5607.0</v>
      </c>
      <c r="E160" s="135">
        <f>IFERROR(__xludf.DUMMYFUNCTION("""COMPUTED_VALUE"""),7743.546789299999)</f>
        <v>7743.546789</v>
      </c>
      <c r="F160" s="136">
        <v>1.93</v>
      </c>
      <c r="G160" s="124">
        <v>16349.0</v>
      </c>
      <c r="H160" s="125">
        <v>11872.0</v>
      </c>
      <c r="I160" s="125">
        <v>2672.0</v>
      </c>
      <c r="J160" s="125">
        <v>972.0</v>
      </c>
      <c r="K160" s="125">
        <v>429.0</v>
      </c>
      <c r="L160" s="125">
        <v>407.0</v>
      </c>
      <c r="M160" s="126">
        <v>91.0</v>
      </c>
      <c r="N160" s="127">
        <v>94.0</v>
      </c>
      <c r="O160" s="127">
        <v>92.0</v>
      </c>
      <c r="P160" s="127">
        <v>86.0</v>
      </c>
      <c r="Q160" s="135" t="b">
        <v>1</v>
      </c>
      <c r="R160" s="133"/>
      <c r="S160" s="133">
        <v>9.0</v>
      </c>
      <c r="T160" s="133"/>
      <c r="U160" s="133">
        <v>5.0</v>
      </c>
      <c r="V160" s="130"/>
      <c r="W160" s="130" t="s">
        <v>84</v>
      </c>
      <c r="X160" s="130" t="s">
        <v>85</v>
      </c>
      <c r="Y160" s="147" t="s">
        <v>86</v>
      </c>
      <c r="Z160" s="131" t="b">
        <v>1</v>
      </c>
      <c r="AA160" s="131">
        <v>0.027777777777777776</v>
      </c>
      <c r="AB160" s="130" t="s">
        <v>328</v>
      </c>
      <c r="AC160" s="130" t="s">
        <v>75</v>
      </c>
      <c r="AD160" s="130" t="s">
        <v>675</v>
      </c>
      <c r="AE160" s="130"/>
      <c r="AF160" s="132" t="s">
        <v>373</v>
      </c>
      <c r="AG160" s="133" t="b">
        <v>0</v>
      </c>
      <c r="AH160" s="133">
        <v>510.0</v>
      </c>
      <c r="AI160" s="133">
        <v>2011.0</v>
      </c>
      <c r="AJ160" s="143"/>
      <c r="AK160" s="133">
        <v>4.0</v>
      </c>
      <c r="AL160" s="129" t="str">
        <f>IFERROR(__xludf.DUMMYFUNCTION("""COMPUTED_VALUE"""),"Family")</f>
        <v>Family</v>
      </c>
      <c r="AM160" s="129" t="str">
        <f>IFERROR(__xludf.DUMMYFUNCTION("""COMPUTED_VALUE"""),"2 Bedroom Suites, Adults Only Rooms, Babysitting, Beach, Buffet, Diving, Evening Entertainment, Family Suite, Kids Club, Kids Club for Under 4, Kids Waterpark, Nightclub, Pool Slide, Room Service, Spa, Swim Out/Plunge Pool Rooms, Swim Up Bar, Water Featur"&amp;"e, Watersports Equipment Rentals, Wifi (Free)")</f>
        <v>2 Bedroom Suites, Adults Only Rooms, Babysitting, Beach, Buffet, Diving, Evening Entertainment, Family Suite, Kids Club, Kids Club for Under 4, Kids Waterpark, Nightclub, Pool Slide, Room Service, Spa, Swim Out/Plunge Pool Rooms, Swim Up Bar, Water Feature, Watersports Equipment Rentals, Wifi (Free)</v>
      </c>
      <c r="AN160" s="139"/>
    </row>
    <row r="161">
      <c r="A161" s="118" t="s">
        <v>676</v>
      </c>
      <c r="B161" s="149">
        <v>90.8</v>
      </c>
      <c r="C161" s="120" t="s">
        <v>68</v>
      </c>
      <c r="D161" s="121">
        <v>8078.0</v>
      </c>
      <c r="E161" s="122">
        <f>IFERROR(__xludf.DUMMYFUNCTION("""COMPUTED_VALUE"""),11156.1210922)</f>
        <v>11156.12109</v>
      </c>
      <c r="F161" s="136">
        <v>1.34</v>
      </c>
      <c r="G161" s="124">
        <v>4568.0</v>
      </c>
      <c r="H161" s="125">
        <v>3935.0</v>
      </c>
      <c r="I161" s="125">
        <v>369.0</v>
      </c>
      <c r="J161" s="125">
        <v>128.0</v>
      </c>
      <c r="K161" s="125">
        <v>64.0</v>
      </c>
      <c r="L161" s="125">
        <v>73.0</v>
      </c>
      <c r="M161" s="126">
        <v>95.0</v>
      </c>
      <c r="N161" s="138">
        <v>90.0</v>
      </c>
      <c r="O161" s="127">
        <v>88.0</v>
      </c>
      <c r="P161" s="127">
        <v>90.0</v>
      </c>
      <c r="Q161" s="122" t="b">
        <v>1</v>
      </c>
      <c r="R161" s="133"/>
      <c r="S161" s="133" t="s">
        <v>83</v>
      </c>
      <c r="T161" s="133"/>
      <c r="U161" s="133">
        <v>5.0</v>
      </c>
      <c r="V161" s="129"/>
      <c r="W161" s="130" t="s">
        <v>193</v>
      </c>
      <c r="X161" s="130" t="s">
        <v>357</v>
      </c>
      <c r="Y161" s="130" t="s">
        <v>195</v>
      </c>
      <c r="Z161" s="131" t="b">
        <v>1</v>
      </c>
      <c r="AA161" s="131">
        <v>0.025694444444444443</v>
      </c>
      <c r="AB161" s="130" t="s">
        <v>371</v>
      </c>
      <c r="AC161" s="130" t="s">
        <v>677</v>
      </c>
      <c r="AD161" s="130" t="s">
        <v>678</v>
      </c>
      <c r="AE161" s="129"/>
      <c r="AF161" s="132"/>
      <c r="AG161" s="143" t="b">
        <v>0</v>
      </c>
      <c r="AH161" s="143">
        <v>347.0</v>
      </c>
      <c r="AI161" s="143">
        <v>2019.0</v>
      </c>
      <c r="AJ161" s="143"/>
      <c r="AK161" s="143"/>
      <c r="AL161" s="129" t="str">
        <f>IFERROR(__xludf.DUMMYFUNCTION("""COMPUTED_VALUE"""),"Business, Ocean View")</f>
        <v>Business, Ocean View</v>
      </c>
      <c r="AM161" s="129" t="str">
        <f>IFERROR(__xludf.DUMMYFUNCTION("""COMPUTED_VALUE"""),"Beach, Buffet, Evening Entertainment, Gym, Nightclub, Room Service, Spa, Swim Out/Plunge Pool Rooms, Swim Up Bar, Wifi (Free)")</f>
        <v>Beach, Buffet, Evening Entertainment, Gym, Nightclub, Room Service, Spa, Swim Out/Plunge Pool Rooms, Swim Up Bar, Wifi (Free)</v>
      </c>
      <c r="AN161" s="128"/>
    </row>
    <row r="162">
      <c r="A162" s="140" t="s">
        <v>679</v>
      </c>
      <c r="B162" s="149">
        <v>90.7</v>
      </c>
      <c r="C162" s="141" t="s">
        <v>68</v>
      </c>
      <c r="D162" s="142">
        <v>2776.41</v>
      </c>
      <c r="E162" s="122">
        <f>IFERROR(__xludf.DUMMYFUNCTION("""COMPUTED_VALUE"""),3834.360752858999)</f>
        <v>3834.360753</v>
      </c>
      <c r="F162" s="136">
        <v>3.85</v>
      </c>
      <c r="G162" s="124">
        <v>3367.0</v>
      </c>
      <c r="H162" s="125">
        <v>2417.0</v>
      </c>
      <c r="I162" s="125">
        <v>538.0</v>
      </c>
      <c r="J162" s="125">
        <v>212.0</v>
      </c>
      <c r="K162" s="125">
        <v>94.0</v>
      </c>
      <c r="L162" s="125">
        <v>107.0</v>
      </c>
      <c r="M162" s="126">
        <v>90.0</v>
      </c>
      <c r="N162" s="127">
        <v>96.0</v>
      </c>
      <c r="O162" s="127"/>
      <c r="P162" s="127">
        <v>86.0</v>
      </c>
      <c r="Q162" s="122" t="b">
        <v>1</v>
      </c>
      <c r="R162" s="128"/>
      <c r="S162" s="128"/>
      <c r="T162" s="128"/>
      <c r="U162" s="128">
        <v>5.0</v>
      </c>
      <c r="V162" s="129"/>
      <c r="W162" s="144" t="s">
        <v>193</v>
      </c>
      <c r="X162" s="144" t="s">
        <v>680</v>
      </c>
      <c r="Y162" s="144" t="s">
        <v>195</v>
      </c>
      <c r="Z162" s="145" t="b">
        <v>1</v>
      </c>
      <c r="AA162" s="145">
        <v>0.03611111111111111</v>
      </c>
      <c r="AB162" s="129" t="s">
        <v>681</v>
      </c>
      <c r="AC162" s="144" t="s">
        <v>522</v>
      </c>
      <c r="AD162" s="130" t="s">
        <v>682</v>
      </c>
      <c r="AE162" s="129"/>
      <c r="AF162" s="132"/>
      <c r="AG162" s="143" t="b">
        <v>0</v>
      </c>
      <c r="AH162" s="143"/>
      <c r="AI162" s="143"/>
      <c r="AJ162" s="143"/>
      <c r="AK162" s="143"/>
      <c r="AL162" s="129" t="str">
        <f>IFERROR(__xludf.DUMMYFUNCTION("""COMPUTED_VALUE"""),"Romantic, Trendy")</f>
        <v>Romantic, Trendy</v>
      </c>
      <c r="AM162" s="129" t="str">
        <f>IFERROR(__xludf.DUMMYFUNCTION("""COMPUTED_VALUE"""),"Beach, Buffet, Evening Entertainment, Gym, Spa, Swim Out/Plunge Pool Rooms, Swim Up Bar, Tennis, Wifi (Free)")</f>
        <v>Beach, Buffet, Evening Entertainment, Gym, Spa, Swim Out/Plunge Pool Rooms, Swim Up Bar, Tennis, Wifi (Free)</v>
      </c>
      <c r="AN162" s="128"/>
    </row>
    <row r="163" hidden="1">
      <c r="A163" s="118" t="s">
        <v>683</v>
      </c>
      <c r="B163" s="149">
        <v>90.0</v>
      </c>
      <c r="C163" s="120" t="s">
        <v>68</v>
      </c>
      <c r="D163" s="121">
        <v>4257.97</v>
      </c>
      <c r="E163" s="122">
        <f>IFERROR(__xludf.DUMMYFUNCTION("""COMPUTED_VALUE"""),5880.469042703)</f>
        <v>5880.469043</v>
      </c>
      <c r="F163" s="136">
        <v>2.35</v>
      </c>
      <c r="G163" s="152">
        <v>2355.0</v>
      </c>
      <c r="H163" s="143"/>
      <c r="I163" s="143"/>
      <c r="J163" s="143"/>
      <c r="K163" s="143"/>
      <c r="L163" s="143"/>
      <c r="M163" s="126"/>
      <c r="N163" s="127">
        <v>98.0</v>
      </c>
      <c r="O163" s="127">
        <v>86.0</v>
      </c>
      <c r="P163" s="127">
        <v>86.0</v>
      </c>
      <c r="Q163" s="122" t="b">
        <v>1</v>
      </c>
      <c r="R163" s="133"/>
      <c r="S163" s="143"/>
      <c r="T163" s="133"/>
      <c r="U163" s="133">
        <v>5.0</v>
      </c>
      <c r="V163" s="130" t="s">
        <v>531</v>
      </c>
      <c r="W163" s="130" t="s">
        <v>193</v>
      </c>
      <c r="X163" s="130" t="s">
        <v>194</v>
      </c>
      <c r="Y163" s="130" t="s">
        <v>195</v>
      </c>
      <c r="Z163" s="131" t="b">
        <v>1</v>
      </c>
      <c r="AA163" s="131">
        <v>0.011805555555555555</v>
      </c>
      <c r="AB163" s="130" t="s">
        <v>607</v>
      </c>
      <c r="AC163" s="130"/>
      <c r="AD163" s="130" t="s">
        <v>684</v>
      </c>
      <c r="AE163" s="129"/>
      <c r="AF163" s="132"/>
      <c r="AG163" s="143" t="b">
        <v>0</v>
      </c>
      <c r="AH163" s="143"/>
      <c r="AI163" s="143"/>
      <c r="AJ163" s="143"/>
      <c r="AK163" s="143"/>
      <c r="AL163" s="129"/>
      <c r="AM163" s="129" t="str">
        <f>IFERROR(__xludf.DUMMYFUNCTION("""COMPUTED_VALUE"""),"Beach, Swim Out/Plunge Pool Rooms")</f>
        <v>Beach, Swim Out/Plunge Pool Rooms</v>
      </c>
      <c r="AN163" s="128"/>
    </row>
    <row r="164">
      <c r="A164" s="118" t="s">
        <v>685</v>
      </c>
      <c r="B164" s="119">
        <v>90.7</v>
      </c>
      <c r="C164" s="120" t="s">
        <v>68</v>
      </c>
      <c r="D164" s="121">
        <v>2825.55</v>
      </c>
      <c r="E164" s="122">
        <f>IFERROR(__xludf.DUMMYFUNCTION("""COMPUTED_VALUE"""),3902.225544945)</f>
        <v>3902.225545</v>
      </c>
      <c r="F164" s="136">
        <v>3.79</v>
      </c>
      <c r="G164" s="124">
        <v>13610.0</v>
      </c>
      <c r="H164" s="125">
        <v>9103.0</v>
      </c>
      <c r="I164" s="125">
        <v>3035.0</v>
      </c>
      <c r="J164" s="125">
        <v>947.0</v>
      </c>
      <c r="K164" s="125">
        <v>314.0</v>
      </c>
      <c r="L164" s="125">
        <v>212.0</v>
      </c>
      <c r="M164" s="126">
        <v>90.0</v>
      </c>
      <c r="N164" s="127">
        <v>94.0</v>
      </c>
      <c r="O164" s="127"/>
      <c r="P164" s="138">
        <v>88.0</v>
      </c>
      <c r="Q164" s="122" t="b">
        <v>1</v>
      </c>
      <c r="R164" s="133"/>
      <c r="S164" s="133">
        <v>6.0</v>
      </c>
      <c r="T164" s="133"/>
      <c r="U164" s="133">
        <v>5.0</v>
      </c>
      <c r="V164" s="129"/>
      <c r="W164" s="130" t="s">
        <v>84</v>
      </c>
      <c r="X164" s="130" t="s">
        <v>686</v>
      </c>
      <c r="Y164" s="130" t="s">
        <v>86</v>
      </c>
      <c r="Z164" s="131" t="b">
        <v>1</v>
      </c>
      <c r="AA164" s="131">
        <v>0.04513888888888889</v>
      </c>
      <c r="AB164" s="129"/>
      <c r="AC164" s="130" t="s">
        <v>249</v>
      </c>
      <c r="AD164" s="130" t="s">
        <v>687</v>
      </c>
      <c r="AE164" s="129"/>
      <c r="AF164" s="132"/>
      <c r="AG164" s="133" t="b">
        <v>0</v>
      </c>
      <c r="AH164" s="133">
        <v>288.0</v>
      </c>
      <c r="AI164" s="133">
        <v>2000.0</v>
      </c>
      <c r="AJ164" s="133">
        <v>2004.0</v>
      </c>
      <c r="AK164" s="133">
        <v>3.0</v>
      </c>
      <c r="AL164" s="129" t="str">
        <f>IFERROR(__xludf.DUMMYFUNCTION("""COMPUTED_VALUE"""),"Green, Romantic")</f>
        <v>Green, Romantic</v>
      </c>
      <c r="AM164" s="129" t="str">
        <f>IFERROR(__xludf.DUMMYFUNCTION("""COMPUTED_VALUE"""),"Beach, Buffet, Diving, Evening Entertainment, Fishing, Great Beach, Gym, Nightclub, Spa")</f>
        <v>Beach, Buffet, Diving, Evening Entertainment, Fishing, Great Beach, Gym, Nightclub, Spa</v>
      </c>
      <c r="AN164" s="128"/>
    </row>
    <row r="165">
      <c r="A165" s="118" t="s">
        <v>688</v>
      </c>
      <c r="B165" s="119">
        <v>90.7</v>
      </c>
      <c r="C165" s="134" t="s">
        <v>75</v>
      </c>
      <c r="D165" s="121">
        <v>3518.06</v>
      </c>
      <c r="E165" s="135">
        <f>IFERROR(__xludf.DUMMYFUNCTION("""COMPUTED_VALUE"""),4858.616411194)</f>
        <v>4858.616411</v>
      </c>
      <c r="F165" s="136">
        <v>3.04</v>
      </c>
      <c r="G165" s="124">
        <v>9698.0</v>
      </c>
      <c r="H165" s="125">
        <v>7269.0</v>
      </c>
      <c r="I165" s="125">
        <v>1564.0</v>
      </c>
      <c r="J165" s="125">
        <v>508.0</v>
      </c>
      <c r="K165" s="125">
        <v>192.0</v>
      </c>
      <c r="L165" s="125">
        <v>167.0</v>
      </c>
      <c r="M165" s="126">
        <v>92.0</v>
      </c>
      <c r="N165" s="127">
        <v>92.0</v>
      </c>
      <c r="O165" s="146"/>
      <c r="P165" s="127">
        <v>88.0</v>
      </c>
      <c r="Q165" s="135" t="b">
        <v>1</v>
      </c>
      <c r="R165" s="133"/>
      <c r="S165" s="133">
        <v>6.0</v>
      </c>
      <c r="T165" s="133"/>
      <c r="U165" s="133">
        <v>4.5</v>
      </c>
      <c r="V165" s="130"/>
      <c r="W165" s="130" t="s">
        <v>84</v>
      </c>
      <c r="X165" s="130" t="s">
        <v>85</v>
      </c>
      <c r="Y165" s="147" t="s">
        <v>86</v>
      </c>
      <c r="Z165" s="131" t="b">
        <v>1</v>
      </c>
      <c r="AA165" s="131">
        <v>0.03125</v>
      </c>
      <c r="AB165" s="130"/>
      <c r="AC165" s="130" t="s">
        <v>533</v>
      </c>
      <c r="AD165" s="130" t="s">
        <v>689</v>
      </c>
      <c r="AE165" s="130"/>
      <c r="AF165" s="132" t="s">
        <v>297</v>
      </c>
      <c r="AG165" s="133" t="b">
        <v>0</v>
      </c>
      <c r="AH165" s="133">
        <v>207.0</v>
      </c>
      <c r="AI165" s="143"/>
      <c r="AJ165" s="143"/>
      <c r="AK165" s="143"/>
      <c r="AL165" s="129" t="str">
        <f>IFERROR(__xludf.DUMMYFUNCTION("""COMPUTED_VALUE"""),"Great View, Green")</f>
        <v>Great View, Green</v>
      </c>
      <c r="AM165" s="129" t="str">
        <f>IFERROR(__xludf.DUMMYFUNCTION("""COMPUTED_VALUE"""),"2 Bedroom Suites, Beach, Buffet, Diving, Evening Entertainment, Family Suite, Gym, Heated Pool, Kids Club, Kids Waterpark, Nightclub, Pool Slide, Snorkelling, Spa, Swim Up Bar, Teen Club, Tennis, Water Feature, Wifi (Free)")</f>
        <v>2 Bedroom Suites, Beach, Buffet, Diving, Evening Entertainment, Family Suite, Gym, Heated Pool, Kids Club, Kids Waterpark, Nightclub, Pool Slide, Snorkelling, Spa, Swim Up Bar, Teen Club, Tennis, Water Feature, Wifi (Free)</v>
      </c>
      <c r="AN165" s="139"/>
    </row>
    <row r="166">
      <c r="A166" s="118" t="s">
        <v>690</v>
      </c>
      <c r="B166" s="119">
        <v>90.7</v>
      </c>
      <c r="C166" s="134" t="s">
        <v>75</v>
      </c>
      <c r="D166" s="150">
        <v>4753.98</v>
      </c>
      <c r="E166" s="135">
        <f>IFERROR(__xludf.DUMMYFUNCTION("""COMPUTED_VALUE"""),6565.483603601999)</f>
        <v>6565.483604</v>
      </c>
      <c r="F166" s="136">
        <v>2.25</v>
      </c>
      <c r="G166" s="124">
        <v>9326.0</v>
      </c>
      <c r="H166" s="125">
        <v>5814.0</v>
      </c>
      <c r="I166" s="125">
        <v>2193.0</v>
      </c>
      <c r="J166" s="125">
        <v>778.0</v>
      </c>
      <c r="K166" s="125">
        <v>322.0</v>
      </c>
      <c r="L166" s="125">
        <v>220.0</v>
      </c>
      <c r="M166" s="126">
        <v>88.0</v>
      </c>
      <c r="N166" s="127">
        <v>96.0</v>
      </c>
      <c r="O166" s="146"/>
      <c r="P166" s="127">
        <v>88.0</v>
      </c>
      <c r="Q166" s="135" t="b">
        <v>1</v>
      </c>
      <c r="R166" s="133"/>
      <c r="S166" s="133">
        <v>7.0</v>
      </c>
      <c r="T166" s="133"/>
      <c r="U166" s="133">
        <v>5.0</v>
      </c>
      <c r="V166" s="130"/>
      <c r="W166" s="130" t="s">
        <v>84</v>
      </c>
      <c r="X166" s="130" t="s">
        <v>214</v>
      </c>
      <c r="Y166" s="130" t="s">
        <v>86</v>
      </c>
      <c r="Z166" s="131" t="b">
        <v>1</v>
      </c>
      <c r="AA166" s="131">
        <v>0.020833333333333332</v>
      </c>
      <c r="AB166" s="130" t="s">
        <v>215</v>
      </c>
      <c r="AC166" s="130" t="s">
        <v>75</v>
      </c>
      <c r="AD166" s="130" t="s">
        <v>691</v>
      </c>
      <c r="AE166" s="130" t="s">
        <v>396</v>
      </c>
      <c r="AF166" s="132" t="s">
        <v>373</v>
      </c>
      <c r="AG166" s="143" t="b">
        <v>0</v>
      </c>
      <c r="AH166" s="143"/>
      <c r="AI166" s="143"/>
      <c r="AJ166" s="143"/>
      <c r="AK166" s="133">
        <v>3.0</v>
      </c>
      <c r="AL166" s="129" t="str">
        <f>IFERROR(__xludf.DUMMYFUNCTION("""COMPUTED_VALUE"""),"Family")</f>
        <v>Family</v>
      </c>
      <c r="AM166" s="129" t="str">
        <f>IFERROR(__xludf.DUMMYFUNCTION("""COMPUTED_VALUE"""),"2 Bedroom Suites, Babysitting, Beach, Big Waterslides, Buffet, Diving, Evening Entertainment, Family Suite, Golf Course, Gym, Kids Club, Kids Waterpark, Lazy River, Spa, Swim Up Bar, Teen Club")</f>
        <v>2 Bedroom Suites, Babysitting, Beach, Big Waterslides, Buffet, Diving, Evening Entertainment, Family Suite, Golf Course, Gym, Kids Club, Kids Waterpark, Lazy River, Spa, Swim Up Bar, Teen Club</v>
      </c>
      <c r="AN166" s="139"/>
    </row>
    <row r="167">
      <c r="A167" s="118" t="s">
        <v>692</v>
      </c>
      <c r="B167" s="119">
        <v>90.7</v>
      </c>
      <c r="C167" s="134" t="s">
        <v>75</v>
      </c>
      <c r="D167" s="121">
        <v>4936.82</v>
      </c>
      <c r="E167" s="135">
        <f>IFERROR(__xludf.DUMMYFUNCTION("""COMPUTED_VALUE"""),6817.994767317999)</f>
        <v>6817.994767</v>
      </c>
      <c r="F167" s="136">
        <v>2.17</v>
      </c>
      <c r="G167" s="124">
        <v>6131.0</v>
      </c>
      <c r="H167" s="125">
        <v>4867.0</v>
      </c>
      <c r="I167" s="125">
        <v>664.0</v>
      </c>
      <c r="J167" s="125">
        <v>217.0</v>
      </c>
      <c r="K167" s="125">
        <v>148.0</v>
      </c>
      <c r="L167" s="125">
        <v>236.0</v>
      </c>
      <c r="M167" s="126">
        <v>92.0</v>
      </c>
      <c r="N167" s="127">
        <v>90.0</v>
      </c>
      <c r="O167" s="146"/>
      <c r="P167" s="127">
        <v>90.0</v>
      </c>
      <c r="Q167" s="135" t="b">
        <v>1</v>
      </c>
      <c r="R167" s="133"/>
      <c r="S167" s="133">
        <v>8.0</v>
      </c>
      <c r="T167" s="133"/>
      <c r="U167" s="133">
        <v>5.0</v>
      </c>
      <c r="V167" s="130"/>
      <c r="W167" s="130" t="s">
        <v>84</v>
      </c>
      <c r="X167" s="130" t="s">
        <v>149</v>
      </c>
      <c r="Y167" s="130" t="s">
        <v>86</v>
      </c>
      <c r="Z167" s="131" t="b">
        <v>1</v>
      </c>
      <c r="AA167" s="131">
        <v>0.035416666666666666</v>
      </c>
      <c r="AB167" s="130" t="s">
        <v>525</v>
      </c>
      <c r="AC167" s="130" t="s">
        <v>693</v>
      </c>
      <c r="AD167" s="130" t="s">
        <v>694</v>
      </c>
      <c r="AE167" s="130"/>
      <c r="AF167" s="132" t="s">
        <v>373</v>
      </c>
      <c r="AG167" s="133" t="b">
        <v>0</v>
      </c>
      <c r="AH167" s="133">
        <v>570.0</v>
      </c>
      <c r="AI167" s="133">
        <v>2019.0</v>
      </c>
      <c r="AJ167" s="143"/>
      <c r="AK167" s="133">
        <v>5.0</v>
      </c>
      <c r="AL167" s="129" t="str">
        <f>IFERROR(__xludf.DUMMYFUNCTION("""COMPUTED_VALUE"""),"Family, Trendy")</f>
        <v>Family, Trendy</v>
      </c>
      <c r="AM167" s="129" t="str">
        <f>IFERROR(__xludf.DUMMYFUNCTION("""COMPUTED_VALUE"""),"Adults Only Rooms, Babysitting, Beach, Buffet, Evening Entertainment, Gym, Kids Club, Nightclub, Spa, Swim Out/Plunge Pool Rooms, Swim Up Bar, Teen Club, Wifi (Free)")</f>
        <v>Adults Only Rooms, Babysitting, Beach, Buffet, Evening Entertainment, Gym, Kids Club, Nightclub, Spa, Swim Out/Plunge Pool Rooms, Swim Up Bar, Teen Club, Wifi (Free)</v>
      </c>
      <c r="AN167" s="139"/>
    </row>
    <row r="168">
      <c r="A168" s="118" t="s">
        <v>695</v>
      </c>
      <c r="B168" s="119">
        <v>90.7</v>
      </c>
      <c r="C168" s="134" t="s">
        <v>75</v>
      </c>
      <c r="D168" s="121">
        <v>5527.2</v>
      </c>
      <c r="E168" s="135">
        <f>IFERROR(__xludf.DUMMYFUNCTION("""COMPUTED_VALUE"""),7633.339007279998)</f>
        <v>7633.339007</v>
      </c>
      <c r="F168" s="136">
        <v>1.94</v>
      </c>
      <c r="G168" s="124">
        <v>6663.0</v>
      </c>
      <c r="H168" s="125">
        <v>5113.0</v>
      </c>
      <c r="I168" s="125">
        <v>937.0</v>
      </c>
      <c r="J168" s="125">
        <v>300.0</v>
      </c>
      <c r="K168" s="125">
        <v>143.0</v>
      </c>
      <c r="L168" s="125">
        <v>171.0</v>
      </c>
      <c r="M168" s="126">
        <v>92.0</v>
      </c>
      <c r="N168" s="127">
        <v>92.0</v>
      </c>
      <c r="O168" s="146"/>
      <c r="P168" s="127">
        <v>88.0</v>
      </c>
      <c r="Q168" s="135" t="b">
        <v>1</v>
      </c>
      <c r="R168" s="133">
        <v>3.0</v>
      </c>
      <c r="S168" s="133">
        <v>6.0</v>
      </c>
      <c r="T168" s="133"/>
      <c r="U168" s="133">
        <v>5.0</v>
      </c>
      <c r="V168" s="129"/>
      <c r="W168" s="130" t="s">
        <v>84</v>
      </c>
      <c r="X168" s="130" t="s">
        <v>122</v>
      </c>
      <c r="Y168" s="130" t="s">
        <v>123</v>
      </c>
      <c r="Z168" s="131" t="b">
        <v>1</v>
      </c>
      <c r="AA168" s="131">
        <v>0.025694444444444443</v>
      </c>
      <c r="AB168" s="130" t="s">
        <v>464</v>
      </c>
      <c r="AC168" s="130" t="s">
        <v>696</v>
      </c>
      <c r="AD168" s="130" t="s">
        <v>697</v>
      </c>
      <c r="AE168" s="130"/>
      <c r="AF168" s="132" t="s">
        <v>297</v>
      </c>
      <c r="AG168" s="133" t="b">
        <v>0</v>
      </c>
      <c r="AH168" s="133">
        <v>148.0</v>
      </c>
      <c r="AI168" s="133">
        <v>1991.0</v>
      </c>
      <c r="AJ168" s="133">
        <v>1999.0</v>
      </c>
      <c r="AK168" s="133">
        <v>5.0</v>
      </c>
      <c r="AL168" s="129" t="str">
        <f>IFERROR(__xludf.DUMMYFUNCTION("""COMPUTED_VALUE"""),"Bay View, Family")</f>
        <v>Bay View, Family</v>
      </c>
      <c r="AM168" s="129" t="str">
        <f>IFERROR(__xludf.DUMMYFUNCTION("""COMPUTED_VALUE"""),"Babysitting, Beach, Buffet, Diving, Evening Entertainment, Fishing, Gym, Heated Pool, Kids Club, Lazy River, Snorkelling, Spa")</f>
        <v>Babysitting, Beach, Buffet, Diving, Evening Entertainment, Fishing, Gym, Heated Pool, Kids Club, Lazy River, Snorkelling, Spa</v>
      </c>
      <c r="AN168" s="139"/>
    </row>
    <row r="169">
      <c r="A169" s="118" t="s">
        <v>698</v>
      </c>
      <c r="B169" s="119">
        <v>90.7</v>
      </c>
      <c r="C169" s="134" t="s">
        <v>75</v>
      </c>
      <c r="D169" s="121">
        <v>6217.29</v>
      </c>
      <c r="E169" s="135">
        <f>IFERROR(__xludf.DUMMYFUNCTION("""COMPUTED_VALUE"""),8586.387732771)</f>
        <v>8586.387733</v>
      </c>
      <c r="F169" s="136">
        <v>1.72</v>
      </c>
      <c r="G169" s="124">
        <v>2056.0</v>
      </c>
      <c r="H169" s="125">
        <v>1597.0</v>
      </c>
      <c r="I169" s="125">
        <v>272.0</v>
      </c>
      <c r="J169" s="125">
        <v>103.0</v>
      </c>
      <c r="K169" s="125">
        <v>39.0</v>
      </c>
      <c r="L169" s="125">
        <v>45.0</v>
      </c>
      <c r="M169" s="137">
        <v>92.0</v>
      </c>
      <c r="N169" s="138">
        <v>92.0</v>
      </c>
      <c r="O169" s="138"/>
      <c r="P169" s="138">
        <v>88.0</v>
      </c>
      <c r="Q169" s="135" t="b">
        <v>1</v>
      </c>
      <c r="R169" s="133"/>
      <c r="S169" s="133">
        <v>7.0</v>
      </c>
      <c r="T169" s="133"/>
      <c r="U169" s="133">
        <v>4.0</v>
      </c>
      <c r="V169" s="129"/>
      <c r="W169" s="130" t="s">
        <v>84</v>
      </c>
      <c r="X169" s="130" t="s">
        <v>448</v>
      </c>
      <c r="Y169" s="130" t="s">
        <v>448</v>
      </c>
      <c r="Z169" s="131" t="b">
        <v>1</v>
      </c>
      <c r="AA169" s="131">
        <v>0.013194444444444444</v>
      </c>
      <c r="AB169" s="130" t="s">
        <v>371</v>
      </c>
      <c r="AC169" s="129"/>
      <c r="AD169" s="130" t="s">
        <v>699</v>
      </c>
      <c r="AE169" s="130"/>
      <c r="AF169" s="132" t="s">
        <v>297</v>
      </c>
      <c r="AG169" s="133" t="b">
        <v>0</v>
      </c>
      <c r="AH169" s="133">
        <v>56.0</v>
      </c>
      <c r="AI169" s="133">
        <v>2014.0</v>
      </c>
      <c r="AJ169" s="143"/>
      <c r="AK169" s="133">
        <v>2.0</v>
      </c>
      <c r="AL169" s="129"/>
      <c r="AM169" s="129" t="str">
        <f>IFERROR(__xludf.DUMMYFUNCTION("""COMPUTED_VALUE"""),"Bicycles Available, Buffet, Diving, Evening Entertainment, Gym, Heated Pool, Kids Club, Snorkelling, Spa, Wifi (Free)")</f>
        <v>Bicycles Available, Buffet, Diving, Evening Entertainment, Gym, Heated Pool, Kids Club, Snorkelling, Spa, Wifi (Free)</v>
      </c>
      <c r="AN169" s="139"/>
    </row>
    <row r="170">
      <c r="A170" s="118" t="s">
        <v>700</v>
      </c>
      <c r="B170" s="119">
        <v>90.7</v>
      </c>
      <c r="C170" s="134" t="s">
        <v>75</v>
      </c>
      <c r="D170" s="121">
        <v>8181.0</v>
      </c>
      <c r="E170" s="135">
        <f>IFERROR(__xludf.DUMMYFUNCTION("""COMPUTED_VALUE"""),11298.369231899998)</f>
        <v>11298.36923</v>
      </c>
      <c r="F170" s="136">
        <v>1.31</v>
      </c>
      <c r="G170" s="124">
        <v>1134.0</v>
      </c>
      <c r="H170" s="125">
        <v>838.0</v>
      </c>
      <c r="I170" s="125">
        <v>196.0</v>
      </c>
      <c r="J170" s="125">
        <v>51.0</v>
      </c>
      <c r="K170" s="125">
        <v>34.0</v>
      </c>
      <c r="L170" s="125">
        <v>17.0</v>
      </c>
      <c r="M170" s="137">
        <v>92.0</v>
      </c>
      <c r="N170" s="138">
        <v>88.0</v>
      </c>
      <c r="O170" s="127"/>
      <c r="P170" s="138">
        <v>92.0</v>
      </c>
      <c r="Q170" s="137" t="b">
        <v>1</v>
      </c>
      <c r="R170" s="133">
        <v>3.0</v>
      </c>
      <c r="S170" s="133">
        <v>7.0</v>
      </c>
      <c r="T170" s="133"/>
      <c r="U170" s="133">
        <v>4.0</v>
      </c>
      <c r="V170" s="130"/>
      <c r="W170" s="130" t="s">
        <v>642</v>
      </c>
      <c r="X170" s="130" t="s">
        <v>642</v>
      </c>
      <c r="Y170" s="130" t="s">
        <v>644</v>
      </c>
      <c r="Z170" s="131" t="b">
        <v>1</v>
      </c>
      <c r="AA170" s="131">
        <v>0.02013888888888889</v>
      </c>
      <c r="AB170" s="130" t="s">
        <v>451</v>
      </c>
      <c r="AC170" s="130" t="s">
        <v>316</v>
      </c>
      <c r="AD170" s="130" t="s">
        <v>701</v>
      </c>
      <c r="AE170" s="130"/>
      <c r="AF170" s="132" t="s">
        <v>181</v>
      </c>
      <c r="AG170" s="133" t="b">
        <v>0</v>
      </c>
      <c r="AH170" s="133">
        <v>70.0</v>
      </c>
      <c r="AI170" s="133">
        <v>1994.0</v>
      </c>
      <c r="AJ170" s="133">
        <v>2016.0</v>
      </c>
      <c r="AK170" s="133">
        <v>3.0</v>
      </c>
      <c r="AL170" s="129" t="str">
        <f>IFERROR(__xludf.DUMMYFUNCTION("""COMPUTED_VALUE"""),"Bay View, Quiet")</f>
        <v>Bay View, Quiet</v>
      </c>
      <c r="AM170" s="129" t="str">
        <f>IFERROR(__xludf.DUMMYFUNCTION("""COMPUTED_VALUE"""),"Adult Pool, Beach, Buffet, Evening Entertainment, Gym, Room Service, Snorkelling, Spa, Watersports Equipment Rentals, Yoga Classes")</f>
        <v>Adult Pool, Beach, Buffet, Evening Entertainment, Gym, Room Service, Snorkelling, Spa, Watersports Equipment Rentals, Yoga Classes</v>
      </c>
      <c r="AN170" s="139"/>
    </row>
    <row r="171">
      <c r="A171" s="118" t="s">
        <v>702</v>
      </c>
      <c r="B171" s="119">
        <v>90.7</v>
      </c>
      <c r="C171" s="134" t="s">
        <v>75</v>
      </c>
      <c r="D171" s="121">
        <v>15513.4</v>
      </c>
      <c r="E171" s="135">
        <f>IFERROR(__xludf.DUMMYFUNCTION("""COMPUTED_VALUE"""),21424.779518659998)</f>
        <v>21424.77952</v>
      </c>
      <c r="F171" s="136">
        <v>0.69</v>
      </c>
      <c r="G171" s="124">
        <v>724.0</v>
      </c>
      <c r="H171" s="125">
        <v>546.0</v>
      </c>
      <c r="I171" s="125">
        <v>99.0</v>
      </c>
      <c r="J171" s="125">
        <v>44.0</v>
      </c>
      <c r="K171" s="125">
        <v>21.0</v>
      </c>
      <c r="L171" s="125">
        <v>14.0</v>
      </c>
      <c r="M171" s="126">
        <v>92.0</v>
      </c>
      <c r="N171" s="127">
        <v>90.0</v>
      </c>
      <c r="O171" s="146"/>
      <c r="P171" s="127">
        <v>90.0</v>
      </c>
      <c r="Q171" s="135" t="b">
        <v>1</v>
      </c>
      <c r="R171" s="133"/>
      <c r="S171" s="133" t="s">
        <v>83</v>
      </c>
      <c r="T171" s="133"/>
      <c r="U171" s="133">
        <v>5.0</v>
      </c>
      <c r="V171" s="130"/>
      <c r="W171" s="130" t="s">
        <v>642</v>
      </c>
      <c r="X171" s="130" t="s">
        <v>642</v>
      </c>
      <c r="Y171" s="130" t="s">
        <v>644</v>
      </c>
      <c r="Z171" s="131" t="b">
        <v>1</v>
      </c>
      <c r="AA171" s="131">
        <v>0.009722222222222222</v>
      </c>
      <c r="AB171" s="130"/>
      <c r="AC171" s="130" t="s">
        <v>236</v>
      </c>
      <c r="AD171" s="130" t="s">
        <v>703</v>
      </c>
      <c r="AE171" s="130"/>
      <c r="AF171" s="132" t="s">
        <v>704</v>
      </c>
      <c r="AG171" s="133" t="b">
        <v>1</v>
      </c>
      <c r="AH171" s="133">
        <v>130.0</v>
      </c>
      <c r="AI171" s="133">
        <v>2011.0</v>
      </c>
      <c r="AJ171" s="133">
        <v>2021.0</v>
      </c>
      <c r="AK171" s="133">
        <v>7.0</v>
      </c>
      <c r="AL171" s="129" t="str">
        <f>IFERROR(__xludf.DUMMYFUNCTION("""COMPUTED_VALUE"""),"Charming, Romantic")</f>
        <v>Charming, Romantic</v>
      </c>
      <c r="AM171" s="129" t="str">
        <f>IFERROR(__xludf.DUMMYFUNCTION("""COMPUTED_VALUE"""),"2 Bedroom Suites, Adult Pool, Babysitting, Beach, Buffet, Evening Entertainment, Family Suite, Gym, Snorkelling, Spa, Swim Up Bar, Wifi (Free), Yoga Classes")</f>
        <v>2 Bedroom Suites, Adult Pool, Babysitting, Beach, Buffet, Evening Entertainment, Family Suite, Gym, Snorkelling, Spa, Swim Up Bar, Wifi (Free), Yoga Classes</v>
      </c>
      <c r="AN171" s="139"/>
    </row>
    <row r="172">
      <c r="A172" s="118" t="s">
        <v>705</v>
      </c>
      <c r="B172" s="119">
        <v>90.5</v>
      </c>
      <c r="C172" s="120" t="s">
        <v>68</v>
      </c>
      <c r="D172" s="121">
        <v>4039.14</v>
      </c>
      <c r="E172" s="122">
        <f>IFERROR(__xludf.DUMMYFUNCTION("""COMPUTED_VALUE"""),5578.253893085999)</f>
        <v>5578.253893</v>
      </c>
      <c r="F172" s="136">
        <v>2.6</v>
      </c>
      <c r="G172" s="124">
        <v>18728.0</v>
      </c>
      <c r="H172" s="125">
        <v>12800.0</v>
      </c>
      <c r="I172" s="125">
        <v>3840.0</v>
      </c>
      <c r="J172" s="125">
        <v>1369.0</v>
      </c>
      <c r="K172" s="125">
        <v>427.0</v>
      </c>
      <c r="L172" s="125">
        <v>294.0</v>
      </c>
      <c r="M172" s="126">
        <v>90.0</v>
      </c>
      <c r="N172" s="127">
        <v>92.0</v>
      </c>
      <c r="O172" s="138">
        <v>90.0</v>
      </c>
      <c r="P172" s="127">
        <v>90.0</v>
      </c>
      <c r="Q172" s="122" t="b">
        <v>1</v>
      </c>
      <c r="R172" s="133"/>
      <c r="S172" s="143">
        <v>8.0</v>
      </c>
      <c r="T172" s="133"/>
      <c r="U172" s="133">
        <v>5.0</v>
      </c>
      <c r="V172" s="129"/>
      <c r="W172" s="130" t="s">
        <v>193</v>
      </c>
      <c r="X172" s="130" t="s">
        <v>557</v>
      </c>
      <c r="Y172" s="130" t="s">
        <v>195</v>
      </c>
      <c r="Z172" s="131" t="b">
        <v>1</v>
      </c>
      <c r="AA172" s="131">
        <v>0.035416666666666666</v>
      </c>
      <c r="AB172" s="130" t="s">
        <v>617</v>
      </c>
      <c r="AC172" s="130" t="s">
        <v>203</v>
      </c>
      <c r="AD172" s="130" t="s">
        <v>706</v>
      </c>
      <c r="AE172" s="129"/>
      <c r="AF172" s="132"/>
      <c r="AG172" s="143" t="b">
        <v>0</v>
      </c>
      <c r="AH172" s="143">
        <v>356.0</v>
      </c>
      <c r="AI172" s="143">
        <v>1997.0</v>
      </c>
      <c r="AJ172" s="143">
        <v>2019.0</v>
      </c>
      <c r="AK172" s="143">
        <v>4.0</v>
      </c>
      <c r="AL172" s="129" t="str">
        <f>IFERROR(__xludf.DUMMYFUNCTION("""COMPUTED_VALUE"""),"Family, Great View")</f>
        <v>Family, Great View</v>
      </c>
      <c r="AM172" s="129" t="str">
        <f>IFERROR(__xludf.DUMMYFUNCTION("""COMPUTED_VALUE"""),"Beach, Buffet, Casino, Diving, Evening Entertainment, Fishing, Gym, Nightclub, Room Service, Snorkelling, Spa, Swim Out/Plunge Pool Rooms, Tennis")</f>
        <v>Beach, Buffet, Casino, Diving, Evening Entertainment, Fishing, Gym, Nightclub, Room Service, Snorkelling, Spa, Swim Out/Plunge Pool Rooms, Tennis</v>
      </c>
      <c r="AN172" s="128"/>
    </row>
    <row r="173">
      <c r="A173" s="118" t="s">
        <v>707</v>
      </c>
      <c r="B173" s="119">
        <v>90.3</v>
      </c>
      <c r="C173" s="120" t="s">
        <v>68</v>
      </c>
      <c r="D173" s="121">
        <v>2766.49</v>
      </c>
      <c r="E173" s="122">
        <f>IFERROR(__xludf.DUMMYFUNCTION("""COMPUTED_VALUE"""),3820.6607378509993)</f>
        <v>3820.660738</v>
      </c>
      <c r="F173" s="136">
        <v>3.72</v>
      </c>
      <c r="G173" s="124">
        <v>3716.0</v>
      </c>
      <c r="H173" s="125">
        <v>2886.0</v>
      </c>
      <c r="I173" s="125">
        <v>402.0</v>
      </c>
      <c r="J173" s="125">
        <v>183.0</v>
      </c>
      <c r="K173" s="125">
        <v>123.0</v>
      </c>
      <c r="L173" s="125">
        <v>123.0</v>
      </c>
      <c r="M173" s="126">
        <v>91.0</v>
      </c>
      <c r="N173" s="127">
        <v>96.0</v>
      </c>
      <c r="O173" s="127"/>
      <c r="P173" s="127">
        <v>84.0</v>
      </c>
      <c r="Q173" s="122" t="b">
        <v>1</v>
      </c>
      <c r="R173" s="133"/>
      <c r="S173" s="143">
        <v>7.0</v>
      </c>
      <c r="T173" s="133"/>
      <c r="U173" s="133">
        <v>5.0</v>
      </c>
      <c r="V173" s="129"/>
      <c r="W173" s="130" t="s">
        <v>193</v>
      </c>
      <c r="X173" s="130" t="s">
        <v>194</v>
      </c>
      <c r="Y173" s="130" t="s">
        <v>195</v>
      </c>
      <c r="Z173" s="131" t="b">
        <v>1</v>
      </c>
      <c r="AA173" s="131">
        <v>0.008333333333333333</v>
      </c>
      <c r="AB173" s="130" t="s">
        <v>412</v>
      </c>
      <c r="AC173" s="130" t="s">
        <v>495</v>
      </c>
      <c r="AD173" s="130" t="s">
        <v>708</v>
      </c>
      <c r="AE173" s="129"/>
      <c r="AF173" s="132"/>
      <c r="AG173" s="143" t="b">
        <v>0</v>
      </c>
      <c r="AH173" s="143">
        <v>115.0</v>
      </c>
      <c r="AI173" s="143">
        <v>2015.0</v>
      </c>
      <c r="AJ173" s="143"/>
      <c r="AK173" s="143">
        <v>3.0</v>
      </c>
      <c r="AL173" s="129" t="str">
        <f>IFERROR(__xludf.DUMMYFUNCTION("""COMPUTED_VALUE"""),"Charming, Trendy")</f>
        <v>Charming, Trendy</v>
      </c>
      <c r="AM173" s="129" t="str">
        <f>IFERROR(__xludf.DUMMYFUNCTION("""COMPUTED_VALUE"""),"Beach, Buffet, Evening Entertainment, Fishing, Gym, Room Service, Spa, Swim Out/Plunge Pool Rooms, Swim Up Bar, Yoga Classes")</f>
        <v>Beach, Buffet, Evening Entertainment, Fishing, Gym, Room Service, Spa, Swim Out/Plunge Pool Rooms, Swim Up Bar, Yoga Classes</v>
      </c>
      <c r="AN173" s="128"/>
    </row>
    <row r="174">
      <c r="A174" s="140" t="s">
        <v>709</v>
      </c>
      <c r="B174" s="149">
        <v>90.3</v>
      </c>
      <c r="C174" s="141" t="s">
        <v>68</v>
      </c>
      <c r="D174" s="142">
        <v>2972.74</v>
      </c>
      <c r="E174" s="122">
        <f>IFERROR(__xludf.DUMMYFUNCTION("""COMPUTED_VALUE"""),4105.502279725999)</f>
        <v>4105.50228</v>
      </c>
      <c r="F174" s="136">
        <v>3.46</v>
      </c>
      <c r="G174" s="124">
        <v>4500.0</v>
      </c>
      <c r="H174" s="125">
        <v>3567.0</v>
      </c>
      <c r="I174" s="125">
        <v>512.0</v>
      </c>
      <c r="J174" s="125">
        <v>192.0</v>
      </c>
      <c r="K174" s="125">
        <v>134.0</v>
      </c>
      <c r="L174" s="125">
        <v>97.0</v>
      </c>
      <c r="M174" s="126">
        <v>93.0</v>
      </c>
      <c r="N174" s="127">
        <v>92.0</v>
      </c>
      <c r="O174" s="127"/>
      <c r="P174" s="127">
        <v>86.0</v>
      </c>
      <c r="Q174" s="122" t="b">
        <v>1</v>
      </c>
      <c r="R174" s="143"/>
      <c r="S174" s="143">
        <v>8.0</v>
      </c>
      <c r="T174" s="143"/>
      <c r="U174" s="143">
        <v>5.0</v>
      </c>
      <c r="V174" s="144"/>
      <c r="W174" s="144" t="s">
        <v>84</v>
      </c>
      <c r="X174" s="144" t="s">
        <v>85</v>
      </c>
      <c r="Y174" s="144" t="s">
        <v>86</v>
      </c>
      <c r="Z174" s="145" t="b">
        <v>1</v>
      </c>
      <c r="AA174" s="145">
        <v>0.027777777777777776</v>
      </c>
      <c r="AB174" s="144"/>
      <c r="AC174" s="144" t="s">
        <v>710</v>
      </c>
      <c r="AD174" s="130" t="s">
        <v>711</v>
      </c>
      <c r="AE174" s="129"/>
      <c r="AF174" s="132"/>
      <c r="AG174" s="143" t="b">
        <v>0</v>
      </c>
      <c r="AH174" s="143">
        <v>128.0</v>
      </c>
      <c r="AI174" s="143">
        <v>1963.0</v>
      </c>
      <c r="AJ174" s="143">
        <v>2012.0</v>
      </c>
      <c r="AK174" s="143">
        <v>2.0</v>
      </c>
      <c r="AL174" s="129" t="str">
        <f>IFERROR(__xludf.DUMMYFUNCTION("""COMPUTED_VALUE"""),"Lagoon View, River View")</f>
        <v>Lagoon View, River View</v>
      </c>
      <c r="AM174" s="129" t="str">
        <f>IFERROR(__xludf.DUMMYFUNCTION("""COMPUTED_VALUE"""),"Beach, Bicycles Available, Diving, Gym, Room Service, Snorkelling, Spa, Wifi (Free)")</f>
        <v>Beach, Bicycles Available, Diving, Gym, Room Service, Snorkelling, Spa, Wifi (Free)</v>
      </c>
      <c r="AN174" s="128"/>
    </row>
    <row r="175">
      <c r="A175" s="118" t="s">
        <v>712</v>
      </c>
      <c r="B175" s="119">
        <v>90.3</v>
      </c>
      <c r="C175" s="120" t="s">
        <v>68</v>
      </c>
      <c r="D175" s="121">
        <v>3778.04</v>
      </c>
      <c r="E175" s="122">
        <f>IFERROR(__xludf.DUMMYFUNCTION("""COMPUTED_VALUE"""),5217.661764195999)</f>
        <v>5217.661764</v>
      </c>
      <c r="F175" s="136">
        <v>2.73</v>
      </c>
      <c r="G175" s="124">
        <v>4717.0</v>
      </c>
      <c r="H175" s="125">
        <v>3276.0</v>
      </c>
      <c r="I175" s="125">
        <v>955.0</v>
      </c>
      <c r="J175" s="125">
        <v>300.0</v>
      </c>
      <c r="K175" s="125">
        <v>96.0</v>
      </c>
      <c r="L175" s="125">
        <v>91.0</v>
      </c>
      <c r="M175" s="126">
        <v>91.0</v>
      </c>
      <c r="N175" s="127">
        <v>90.0</v>
      </c>
      <c r="O175" s="127"/>
      <c r="P175" s="127">
        <v>90.0</v>
      </c>
      <c r="Q175" s="122" t="b">
        <v>1</v>
      </c>
      <c r="R175" s="133"/>
      <c r="S175" s="133">
        <v>7.0</v>
      </c>
      <c r="T175" s="133"/>
      <c r="U175" s="133">
        <v>5.0</v>
      </c>
      <c r="V175" s="129"/>
      <c r="W175" s="130" t="s">
        <v>219</v>
      </c>
      <c r="X175" s="130" t="s">
        <v>713</v>
      </c>
      <c r="Y175" s="144" t="s">
        <v>221</v>
      </c>
      <c r="Z175" s="131" t="b">
        <v>1</v>
      </c>
      <c r="AA175" s="131">
        <v>0.004861111111111111</v>
      </c>
      <c r="AB175" s="130" t="s">
        <v>655</v>
      </c>
      <c r="AC175" s="130" t="s">
        <v>714</v>
      </c>
      <c r="AD175" s="130" t="s">
        <v>715</v>
      </c>
      <c r="AE175" s="129"/>
      <c r="AF175" s="132"/>
      <c r="AG175" s="133" t="b">
        <v>0</v>
      </c>
      <c r="AH175" s="133">
        <v>238.0</v>
      </c>
      <c r="AI175" s="133">
        <v>2008.0</v>
      </c>
      <c r="AJ175" s="133">
        <v>2013.0</v>
      </c>
      <c r="AK175" s="133">
        <v>4.0</v>
      </c>
      <c r="AL175" s="129" t="str">
        <f>IFERROR(__xludf.DUMMYFUNCTION("""COMPUTED_VALUE"""),"Modern, Trendy")</f>
        <v>Modern, Trendy</v>
      </c>
      <c r="AM175" s="129" t="str">
        <f>IFERROR(__xludf.DUMMYFUNCTION("""COMPUTED_VALUE"""),"Beach, Buffet, Diving, Evening Entertainment, Great for Parties, Gym, Nightclub, Snorkelling, Swim Up Bar, Watersports Equipment Rentals, Windsurfing")</f>
        <v>Beach, Buffet, Diving, Evening Entertainment, Great for Parties, Gym, Nightclub, Snorkelling, Swim Up Bar, Watersports Equipment Rentals, Windsurfing</v>
      </c>
      <c r="AN175" s="128"/>
    </row>
    <row r="176">
      <c r="A176" s="118" t="s">
        <v>716</v>
      </c>
      <c r="B176" s="119">
        <v>90.3</v>
      </c>
      <c r="C176" s="134" t="s">
        <v>75</v>
      </c>
      <c r="D176" s="121">
        <v>5267.0</v>
      </c>
      <c r="E176" s="135">
        <f>IFERROR(__xludf.DUMMYFUNCTION("""COMPUTED_VALUE"""),7273.989823299999)</f>
        <v>7273.989823</v>
      </c>
      <c r="F176" s="136">
        <v>1.96</v>
      </c>
      <c r="G176" s="124">
        <v>5507.0</v>
      </c>
      <c r="H176" s="125">
        <v>4703.0</v>
      </c>
      <c r="I176" s="125">
        <v>479.0</v>
      </c>
      <c r="J176" s="125">
        <v>160.0</v>
      </c>
      <c r="K176" s="125">
        <v>79.0</v>
      </c>
      <c r="L176" s="125">
        <v>86.0</v>
      </c>
      <c r="M176" s="126">
        <v>95.0</v>
      </c>
      <c r="N176" s="138">
        <v>92.0</v>
      </c>
      <c r="O176" s="138">
        <v>86.0</v>
      </c>
      <c r="P176" s="138">
        <v>88.0</v>
      </c>
      <c r="Q176" s="122" t="b">
        <v>1</v>
      </c>
      <c r="R176" s="133"/>
      <c r="S176" s="133">
        <v>7.0</v>
      </c>
      <c r="T176" s="133"/>
      <c r="U176" s="133">
        <v>4.0</v>
      </c>
      <c r="V176" s="129"/>
      <c r="W176" s="130" t="s">
        <v>84</v>
      </c>
      <c r="X176" s="130" t="s">
        <v>199</v>
      </c>
      <c r="Y176" s="130" t="s">
        <v>120</v>
      </c>
      <c r="Z176" s="131" t="b">
        <v>1</v>
      </c>
      <c r="AA176" s="131">
        <v>0.013888888888888888</v>
      </c>
      <c r="AB176" s="130" t="s">
        <v>717</v>
      </c>
      <c r="AC176" s="130" t="s">
        <v>718</v>
      </c>
      <c r="AD176" s="130" t="s">
        <v>719</v>
      </c>
      <c r="AE176" s="130"/>
      <c r="AF176" s="132" t="s">
        <v>181</v>
      </c>
      <c r="AG176" s="133" t="b">
        <v>0</v>
      </c>
      <c r="AH176" s="133">
        <v>162.0</v>
      </c>
      <c r="AI176" s="133">
        <v>2009.0</v>
      </c>
      <c r="AJ176" s="143"/>
      <c r="AK176" s="133">
        <v>6.0</v>
      </c>
      <c r="AL176" s="129" t="str">
        <f>IFERROR(__xludf.DUMMYFUNCTION("""COMPUTED_VALUE"""),"Family, Modern")</f>
        <v>Family, Modern</v>
      </c>
      <c r="AM176" s="129" t="str">
        <f>IFERROR(__xludf.DUMMYFUNCTION("""COMPUTED_VALUE"""),"2 Bedroom Suites, Babysitting, Beach, Buffet, Diving, Evening Entertainment, Family Suite, Fishing, Gym, Heated Pool, Kids Club, Kids Waterpark, Lazy River, Nightclub, Pool Slide, Room Service, Spa, Swim Out/Plunge Pool Rooms, Teen Club, Tennis, Water Fea"&amp;"ture, Wifi (Paid)")</f>
        <v>2 Bedroom Suites, Babysitting, Beach, Buffet, Diving, Evening Entertainment, Family Suite, Fishing, Gym, Heated Pool, Kids Club, Kids Waterpark, Lazy River, Nightclub, Pool Slide, Room Service, Spa, Swim Out/Plunge Pool Rooms, Teen Club, Tennis, Water Feature, Wifi (Paid)</v>
      </c>
      <c r="AN176" s="139"/>
    </row>
    <row r="177">
      <c r="A177" s="140" t="s">
        <v>720</v>
      </c>
      <c r="B177" s="119">
        <v>90.3</v>
      </c>
      <c r="C177" s="133" t="s">
        <v>75</v>
      </c>
      <c r="D177" s="142">
        <v>5831.0</v>
      </c>
      <c r="E177" s="122">
        <f>IFERROR(__xludf.DUMMYFUNCTION("""COMPUTED_VALUE"""),8052.901966899999)</f>
        <v>8052.901967</v>
      </c>
      <c r="F177" s="136">
        <v>1.77</v>
      </c>
      <c r="G177" s="124">
        <v>184.0</v>
      </c>
      <c r="H177" s="125">
        <v>159.0</v>
      </c>
      <c r="I177" s="125">
        <v>15.0</v>
      </c>
      <c r="J177" s="125">
        <v>5.0</v>
      </c>
      <c r="K177" s="125">
        <v>2.0</v>
      </c>
      <c r="L177" s="125">
        <v>3.0</v>
      </c>
      <c r="M177" s="126">
        <v>95.0</v>
      </c>
      <c r="N177" s="138">
        <v>88.0</v>
      </c>
      <c r="O177" s="146"/>
      <c r="P177" s="138">
        <v>88.0</v>
      </c>
      <c r="Q177" s="122" t="b">
        <v>1</v>
      </c>
      <c r="R177" s="143"/>
      <c r="S177" s="133" t="s">
        <v>83</v>
      </c>
      <c r="T177" s="143"/>
      <c r="U177" s="143"/>
      <c r="V177" s="129"/>
      <c r="W177" s="144" t="s">
        <v>219</v>
      </c>
      <c r="X177" s="144" t="s">
        <v>721</v>
      </c>
      <c r="Y177" s="130" t="s">
        <v>221</v>
      </c>
      <c r="Z177" s="145" t="b">
        <v>1</v>
      </c>
      <c r="AA177" s="145">
        <v>0.044444444444444446</v>
      </c>
      <c r="AB177" s="130" t="s">
        <v>722</v>
      </c>
      <c r="AC177" s="129"/>
      <c r="AD177" s="130" t="s">
        <v>723</v>
      </c>
      <c r="AE177" s="130" t="s">
        <v>94</v>
      </c>
      <c r="AF177" s="132" t="s">
        <v>318</v>
      </c>
      <c r="AG177" s="143" t="b">
        <v>0</v>
      </c>
      <c r="AH177" s="143">
        <v>590.0</v>
      </c>
      <c r="AI177" s="143">
        <v>2024.0</v>
      </c>
      <c r="AJ177" s="143"/>
      <c r="AK177" s="143">
        <v>4.0</v>
      </c>
      <c r="AL177" s="129"/>
      <c r="AM177" s="129" t="str">
        <f>IFERROR(__xludf.DUMMYFUNCTION("""COMPUTED_VALUE"""),"2 Bedroom Suites, Babysitting, Beach, Big Waterslides, Buffet, Evening Entertainment, Family Suite, Gym, Kids Club, Kids Waterpark, Nightclub, Spa, Swim Out/Plunge Pool Rooms, Swim Up Bar, Wifi (Free), Yoga Classes")</f>
        <v>2 Bedroom Suites, Babysitting, Beach, Big Waterslides, Buffet, Evening Entertainment, Family Suite, Gym, Kids Club, Kids Waterpark, Nightclub, Spa, Swim Out/Plunge Pool Rooms, Swim Up Bar, Wifi (Free), Yoga Classes</v>
      </c>
      <c r="AN177" s="139"/>
    </row>
    <row r="178" hidden="1">
      <c r="A178" s="118" t="s">
        <v>724</v>
      </c>
      <c r="B178" s="119">
        <v>92.0</v>
      </c>
      <c r="C178" s="120" t="s">
        <v>68</v>
      </c>
      <c r="D178" s="142"/>
      <c r="E178" s="122"/>
      <c r="F178" s="136"/>
      <c r="G178" s="124"/>
      <c r="H178" s="133"/>
      <c r="I178" s="133"/>
      <c r="J178" s="133"/>
      <c r="K178" s="133"/>
      <c r="L178" s="133"/>
      <c r="M178" s="137"/>
      <c r="N178" s="138">
        <v>92.0</v>
      </c>
      <c r="O178" s="127"/>
      <c r="P178" s="127"/>
      <c r="Q178" s="122" t="b">
        <v>1</v>
      </c>
      <c r="R178" s="128"/>
      <c r="S178" s="128"/>
      <c r="T178" s="128"/>
      <c r="U178" s="128"/>
      <c r="V178" s="130" t="s">
        <v>118</v>
      </c>
      <c r="W178" s="130" t="s">
        <v>84</v>
      </c>
      <c r="X178" s="130" t="s">
        <v>448</v>
      </c>
      <c r="Y178" s="130" t="s">
        <v>448</v>
      </c>
      <c r="Z178" s="131" t="b">
        <v>1</v>
      </c>
      <c r="AA178" s="131">
        <v>0.006944444444444444</v>
      </c>
      <c r="AB178" s="130"/>
      <c r="AC178" s="130"/>
      <c r="AD178" s="130"/>
      <c r="AE178" s="129"/>
      <c r="AF178" s="132"/>
      <c r="AG178" s="133" t="b">
        <v>0</v>
      </c>
      <c r="AH178" s="133"/>
      <c r="AI178" s="133"/>
      <c r="AJ178" s="133"/>
      <c r="AK178" s="133"/>
      <c r="AL178" s="129"/>
      <c r="AM178" s="129"/>
      <c r="AN178" s="128"/>
    </row>
    <row r="179" hidden="1">
      <c r="A179" s="118" t="s">
        <v>724</v>
      </c>
      <c r="B179" s="119">
        <v>92.0</v>
      </c>
      <c r="C179" s="134" t="s">
        <v>75</v>
      </c>
      <c r="D179" s="142"/>
      <c r="E179" s="135"/>
      <c r="F179" s="136"/>
      <c r="G179" s="124"/>
      <c r="H179" s="133"/>
      <c r="I179" s="133"/>
      <c r="J179" s="133"/>
      <c r="K179" s="133"/>
      <c r="L179" s="133"/>
      <c r="M179" s="137"/>
      <c r="N179" s="138">
        <v>92.0</v>
      </c>
      <c r="O179" s="127"/>
      <c r="P179" s="127"/>
      <c r="Q179" s="135" t="b">
        <v>1</v>
      </c>
      <c r="R179" s="133"/>
      <c r="S179" s="133"/>
      <c r="T179" s="133"/>
      <c r="U179" s="133"/>
      <c r="V179" s="130" t="s">
        <v>118</v>
      </c>
      <c r="W179" s="130" t="s">
        <v>84</v>
      </c>
      <c r="X179" s="130" t="s">
        <v>448</v>
      </c>
      <c r="Y179" s="130" t="s">
        <v>448</v>
      </c>
      <c r="Z179" s="131" t="b">
        <v>1</v>
      </c>
      <c r="AA179" s="131">
        <v>0.006944444444444444</v>
      </c>
      <c r="AB179" s="130"/>
      <c r="AC179" s="130"/>
      <c r="AD179" s="129"/>
      <c r="AE179" s="129"/>
      <c r="AF179" s="132"/>
      <c r="AG179" s="128" t="b">
        <v>0</v>
      </c>
      <c r="AH179" s="128"/>
      <c r="AI179" s="128"/>
      <c r="AJ179" s="128"/>
      <c r="AK179" s="128"/>
      <c r="AL179" s="129"/>
      <c r="AM179" s="129"/>
      <c r="AN179" s="139"/>
    </row>
    <row r="180">
      <c r="A180" s="118" t="s">
        <v>725</v>
      </c>
      <c r="B180" s="119">
        <v>90.3</v>
      </c>
      <c r="C180" s="134" t="s">
        <v>75</v>
      </c>
      <c r="D180" s="121">
        <v>6123.0</v>
      </c>
      <c r="E180" s="135">
        <f>IFERROR(__xludf.DUMMYFUNCTION("""COMPUTED_VALUE"""),8456.1685377)</f>
        <v>8456.168538</v>
      </c>
      <c r="F180" s="136">
        <v>1.68</v>
      </c>
      <c r="G180" s="124">
        <v>3765.0</v>
      </c>
      <c r="H180" s="125">
        <v>3193.0</v>
      </c>
      <c r="I180" s="125">
        <v>358.0</v>
      </c>
      <c r="J180" s="125">
        <v>110.0</v>
      </c>
      <c r="K180" s="125">
        <v>48.0</v>
      </c>
      <c r="L180" s="125">
        <v>56.0</v>
      </c>
      <c r="M180" s="126">
        <v>95.0</v>
      </c>
      <c r="N180" s="127">
        <v>90.0</v>
      </c>
      <c r="O180" s="127">
        <v>90.0</v>
      </c>
      <c r="P180" s="138">
        <v>86.0</v>
      </c>
      <c r="Q180" s="135" t="b">
        <v>1</v>
      </c>
      <c r="R180" s="133">
        <v>4.0</v>
      </c>
      <c r="S180" s="133">
        <v>7.0</v>
      </c>
      <c r="T180" s="133"/>
      <c r="U180" s="133">
        <v>5.0</v>
      </c>
      <c r="V180" s="129"/>
      <c r="W180" s="130" t="s">
        <v>84</v>
      </c>
      <c r="X180" s="130" t="s">
        <v>726</v>
      </c>
      <c r="Y180" s="130" t="s">
        <v>120</v>
      </c>
      <c r="Z180" s="131" t="b">
        <v>1</v>
      </c>
      <c r="AA180" s="131">
        <v>0.017361111111111112</v>
      </c>
      <c r="AB180" s="130" t="s">
        <v>499</v>
      </c>
      <c r="AC180" s="130" t="s">
        <v>285</v>
      </c>
      <c r="AD180" s="130" t="s">
        <v>727</v>
      </c>
      <c r="AE180" s="130"/>
      <c r="AF180" s="132" t="s">
        <v>318</v>
      </c>
      <c r="AG180" s="133" t="b">
        <v>1</v>
      </c>
      <c r="AH180" s="133">
        <v>245.0</v>
      </c>
      <c r="AI180" s="133">
        <v>2007.0</v>
      </c>
      <c r="AJ180" s="143"/>
      <c r="AK180" s="133">
        <v>10.0</v>
      </c>
      <c r="AL180" s="129" t="str">
        <f>IFERROR(__xludf.DUMMYFUNCTION("""COMPUTED_VALUE"""),"Family, Ocean View")</f>
        <v>Family, Ocean View</v>
      </c>
      <c r="AM180" s="129" t="str">
        <f>IFERROR(__xludf.DUMMYFUNCTION("""COMPUTED_VALUE"""),"2 Bedroom Suites, Babysitting, Beach, Diving, Family Suite, Gym, Heated Pool, Kids Club, Spa, Swim Up Bar, Tennis")</f>
        <v>2 Bedroom Suites, Babysitting, Beach, Diving, Family Suite, Gym, Heated Pool, Kids Club, Spa, Swim Up Bar, Tennis</v>
      </c>
      <c r="AN180" s="139"/>
    </row>
    <row r="181">
      <c r="A181" s="118" t="s">
        <v>728</v>
      </c>
      <c r="B181" s="119">
        <v>90.3</v>
      </c>
      <c r="C181" s="134" t="s">
        <v>75</v>
      </c>
      <c r="D181" s="121">
        <v>6527.15</v>
      </c>
      <c r="E181" s="135">
        <f>IFERROR(__xludf.DUMMYFUNCTION("""COMPUTED_VALUE"""),9014.319854784999)</f>
        <v>9014.319855</v>
      </c>
      <c r="F181" s="136">
        <v>1.58</v>
      </c>
      <c r="G181" s="124">
        <v>7213.0</v>
      </c>
      <c r="H181" s="125">
        <v>5420.0</v>
      </c>
      <c r="I181" s="125">
        <v>1026.0</v>
      </c>
      <c r="J181" s="125">
        <v>421.0</v>
      </c>
      <c r="K181" s="125">
        <v>186.0</v>
      </c>
      <c r="L181" s="125">
        <v>161.0</v>
      </c>
      <c r="M181" s="126">
        <v>91.0</v>
      </c>
      <c r="N181" s="138">
        <v>92.0</v>
      </c>
      <c r="O181" s="146"/>
      <c r="P181" s="127">
        <v>88.0</v>
      </c>
      <c r="Q181" s="135" t="b">
        <v>1</v>
      </c>
      <c r="R181" s="133">
        <v>4.0</v>
      </c>
      <c r="S181" s="133">
        <v>6.0</v>
      </c>
      <c r="T181" s="133"/>
      <c r="U181" s="133">
        <v>5.0</v>
      </c>
      <c r="V181" s="129"/>
      <c r="W181" s="130" t="s">
        <v>84</v>
      </c>
      <c r="X181" s="130" t="s">
        <v>467</v>
      </c>
      <c r="Y181" s="130" t="s">
        <v>467</v>
      </c>
      <c r="Z181" s="131" t="b">
        <v>0</v>
      </c>
      <c r="AA181" s="131">
        <v>0.02638888888888889</v>
      </c>
      <c r="AB181" s="130" t="s">
        <v>464</v>
      </c>
      <c r="AC181" s="130" t="s">
        <v>554</v>
      </c>
      <c r="AD181" s="130" t="s">
        <v>729</v>
      </c>
      <c r="AE181" s="130"/>
      <c r="AF181" s="132" t="s">
        <v>297</v>
      </c>
      <c r="AG181" s="133" t="b">
        <v>0</v>
      </c>
      <c r="AH181" s="133">
        <v>378.0</v>
      </c>
      <c r="AI181" s="133">
        <v>2001.0</v>
      </c>
      <c r="AJ181" s="143"/>
      <c r="AK181" s="133">
        <v>4.0</v>
      </c>
      <c r="AL181" s="129" t="str">
        <f>IFERROR(__xludf.DUMMYFUNCTION("""COMPUTED_VALUE"""),"Bay View, Business")</f>
        <v>Bay View, Business</v>
      </c>
      <c r="AM181" s="129" t="str">
        <f>IFERROR(__xludf.DUMMYFUNCTION("""COMPUTED_VALUE"""),"Adult Pool, Beach, Buffet, Gym, Heated Pool, Kids Club, Room Service, Spa, Swim Up Bar, Tennis, Yoga Classes")</f>
        <v>Adult Pool, Beach, Buffet, Gym, Heated Pool, Kids Club, Room Service, Spa, Swim Up Bar, Tennis, Yoga Classes</v>
      </c>
      <c r="AN181" s="139"/>
    </row>
    <row r="182">
      <c r="A182" s="118" t="s">
        <v>730</v>
      </c>
      <c r="B182" s="119">
        <v>90.3</v>
      </c>
      <c r="C182" s="134" t="s">
        <v>75</v>
      </c>
      <c r="D182" s="121">
        <v>7016.8</v>
      </c>
      <c r="E182" s="135">
        <f>IFERROR(__xludf.DUMMYFUNCTION("""COMPUTED_VALUE"""),9690.550938319999)</f>
        <v>9690.550938</v>
      </c>
      <c r="F182" s="136">
        <v>1.47</v>
      </c>
      <c r="G182" s="124">
        <v>24220.0</v>
      </c>
      <c r="H182" s="125">
        <v>17819.0</v>
      </c>
      <c r="I182" s="125">
        <v>3590.0</v>
      </c>
      <c r="J182" s="125">
        <v>1434.0</v>
      </c>
      <c r="K182" s="125">
        <v>707.0</v>
      </c>
      <c r="L182" s="125">
        <v>675.0</v>
      </c>
      <c r="M182" s="126">
        <v>91.0</v>
      </c>
      <c r="N182" s="127">
        <v>92.0</v>
      </c>
      <c r="O182" s="146"/>
      <c r="P182" s="127">
        <v>88.0</v>
      </c>
      <c r="Q182" s="135" t="b">
        <v>1</v>
      </c>
      <c r="R182" s="133">
        <v>4.0</v>
      </c>
      <c r="S182" s="133">
        <v>7.0</v>
      </c>
      <c r="T182" s="133"/>
      <c r="U182" s="133">
        <v>5.0</v>
      </c>
      <c r="V182" s="129"/>
      <c r="W182" s="130" t="s">
        <v>84</v>
      </c>
      <c r="X182" s="130" t="s">
        <v>123</v>
      </c>
      <c r="Y182" s="130" t="s">
        <v>123</v>
      </c>
      <c r="Z182" s="131" t="b">
        <v>1</v>
      </c>
      <c r="AA182" s="131">
        <v>0.03125</v>
      </c>
      <c r="AB182" s="130" t="s">
        <v>464</v>
      </c>
      <c r="AC182" s="130" t="s">
        <v>533</v>
      </c>
      <c r="AD182" s="130" t="s">
        <v>731</v>
      </c>
      <c r="AE182" s="130"/>
      <c r="AF182" s="132" t="s">
        <v>126</v>
      </c>
      <c r="AG182" s="133" t="b">
        <v>0</v>
      </c>
      <c r="AH182" s="133">
        <v>749.0</v>
      </c>
      <c r="AI182" s="133">
        <v>2002.0</v>
      </c>
      <c r="AJ182" s="143"/>
      <c r="AK182" s="133">
        <v>9.0</v>
      </c>
      <c r="AL182" s="129" t="str">
        <f>IFERROR(__xludf.DUMMYFUNCTION("""COMPUTED_VALUE"""),"Great View, Green")</f>
        <v>Great View, Green</v>
      </c>
      <c r="AM182" s="129" t="str">
        <f>IFERROR(__xludf.DUMMYFUNCTION("""COMPUTED_VALUE"""),"Adult Pool, Arcade, Babysitting, Beach, Bicycles Available, Buffet, Fishing, Golf Course, Gym, Heated Pool, Hiking, Kids Club, Nightclub, Room Service, Spa, Swim Up Bar, Teen Club, Tennis, Wifi (Paid), Yoga Classes")</f>
        <v>Adult Pool, Arcade, Babysitting, Beach, Bicycles Available, Buffet, Fishing, Golf Course, Gym, Heated Pool, Hiking, Kids Club, Nightclub, Room Service, Spa, Swim Up Bar, Teen Club, Tennis, Wifi (Paid), Yoga Classes</v>
      </c>
      <c r="AN182" s="139"/>
    </row>
    <row r="183">
      <c r="A183" s="118" t="s">
        <v>732</v>
      </c>
      <c r="B183" s="149">
        <v>90.3</v>
      </c>
      <c r="C183" s="120" t="s">
        <v>68</v>
      </c>
      <c r="D183" s="121">
        <v>7063.0</v>
      </c>
      <c r="E183" s="122">
        <f>IFERROR(__xludf.DUMMYFUNCTION("""COMPUTED_VALUE"""),9754.355443699998)</f>
        <v>9754.355444</v>
      </c>
      <c r="F183" s="136">
        <v>1.46</v>
      </c>
      <c r="G183" s="124">
        <v>1264.0</v>
      </c>
      <c r="H183" s="125">
        <v>1029.0</v>
      </c>
      <c r="I183" s="125">
        <v>140.0</v>
      </c>
      <c r="J183" s="125">
        <v>55.0</v>
      </c>
      <c r="K183" s="125">
        <v>20.0</v>
      </c>
      <c r="L183" s="125">
        <v>27.0</v>
      </c>
      <c r="M183" s="126">
        <v>93.0</v>
      </c>
      <c r="N183" s="127">
        <v>88.0</v>
      </c>
      <c r="O183" s="127"/>
      <c r="P183" s="127">
        <v>90.0</v>
      </c>
      <c r="Q183" s="122" t="b">
        <v>1</v>
      </c>
      <c r="R183" s="128"/>
      <c r="S183" s="128"/>
      <c r="T183" s="133" t="s">
        <v>247</v>
      </c>
      <c r="U183" s="128">
        <v>5.0</v>
      </c>
      <c r="V183" s="130"/>
      <c r="W183" s="130" t="s">
        <v>84</v>
      </c>
      <c r="X183" s="130" t="s">
        <v>425</v>
      </c>
      <c r="Y183" s="130" t="s">
        <v>86</v>
      </c>
      <c r="Z183" s="131" t="b">
        <v>1</v>
      </c>
      <c r="AA183" s="131">
        <v>0.029166666666666667</v>
      </c>
      <c r="AB183" s="130" t="s">
        <v>50</v>
      </c>
      <c r="AC183" s="130"/>
      <c r="AD183" s="130" t="s">
        <v>733</v>
      </c>
      <c r="AE183" s="129"/>
      <c r="AF183" s="132"/>
      <c r="AG183" s="143" t="b">
        <v>0</v>
      </c>
      <c r="AH183" s="143"/>
      <c r="AI183" s="143"/>
      <c r="AJ183" s="143"/>
      <c r="AK183" s="143"/>
      <c r="AL183" s="129"/>
      <c r="AM183" s="129" t="str">
        <f>IFERROR(__xludf.DUMMYFUNCTION("""COMPUTED_VALUE"""),"Beach, Buffet, Evening Entertainment, Great Food, Gym, Spa, Swim Out/Plunge Pool Rooms, Wifi (Free)")</f>
        <v>Beach, Buffet, Evening Entertainment, Great Food, Gym, Spa, Swim Out/Plunge Pool Rooms, Wifi (Free)</v>
      </c>
      <c r="AN183" s="128"/>
    </row>
    <row r="184">
      <c r="A184" s="118" t="s">
        <v>734</v>
      </c>
      <c r="B184" s="119">
        <v>90.3</v>
      </c>
      <c r="C184" s="134" t="s">
        <v>75</v>
      </c>
      <c r="D184" s="121">
        <v>8169.14</v>
      </c>
      <c r="E184" s="135">
        <f>IFERROR(__xludf.DUMMYFUNCTION("""COMPUTED_VALUE"""),11281.989980085998)</f>
        <v>11281.98998</v>
      </c>
      <c r="F184" s="136">
        <v>1.26</v>
      </c>
      <c r="G184" s="124">
        <v>7417.0</v>
      </c>
      <c r="H184" s="125">
        <v>4932.0</v>
      </c>
      <c r="I184" s="125">
        <v>1587.0</v>
      </c>
      <c r="J184" s="125">
        <v>527.0</v>
      </c>
      <c r="K184" s="125">
        <v>198.0</v>
      </c>
      <c r="L184" s="125">
        <v>174.0</v>
      </c>
      <c r="M184" s="126">
        <v>89.0</v>
      </c>
      <c r="N184" s="138">
        <v>90.0</v>
      </c>
      <c r="O184" s="127">
        <v>94.0</v>
      </c>
      <c r="P184" s="138">
        <v>88.0</v>
      </c>
      <c r="Q184" s="122" t="b">
        <v>1</v>
      </c>
      <c r="R184" s="133">
        <v>4.0</v>
      </c>
      <c r="S184" s="133">
        <v>7.0</v>
      </c>
      <c r="T184" s="133"/>
      <c r="U184" s="133">
        <v>4.5</v>
      </c>
      <c r="V184" s="129"/>
      <c r="W184" s="130" t="s">
        <v>171</v>
      </c>
      <c r="X184" s="129" t="s">
        <v>735</v>
      </c>
      <c r="Y184" s="129" t="s">
        <v>736</v>
      </c>
      <c r="Z184" s="131" t="b">
        <v>1</v>
      </c>
      <c r="AA184" s="131">
        <v>0.04861111111111111</v>
      </c>
      <c r="AB184" s="130" t="s">
        <v>451</v>
      </c>
      <c r="AC184" s="129"/>
      <c r="AD184" s="130" t="s">
        <v>737</v>
      </c>
      <c r="AE184" s="130"/>
      <c r="AF184" s="132" t="s">
        <v>373</v>
      </c>
      <c r="AG184" s="133" t="b">
        <v>0</v>
      </c>
      <c r="AH184" s="133">
        <v>406.0</v>
      </c>
      <c r="AI184" s="133">
        <v>1996.0</v>
      </c>
      <c r="AJ184" s="133">
        <v>2019.0</v>
      </c>
      <c r="AK184" s="133">
        <v>2.0</v>
      </c>
      <c r="AL184" s="129"/>
      <c r="AM184" s="129" t="str">
        <f>IFERROR(__xludf.DUMMYFUNCTION("""COMPUTED_VALUE"""),"2 Bedroom Suites, Adult Pool, Adults Only Rooms, Beach, Bicycles Available, Buffet, Diving, Evening Entertainment, Family Suite, Fishing, Golf Course, Gym, Horseback Riding, Kids Club, Nightclub, Pool Slide, Room Service, Snorkelling, Spa, Tennis, Water F"&amp;"eature, Watersports Equipment Rentals, Wifi (Paid), Yoga Classes")</f>
        <v>2 Bedroom Suites, Adult Pool, Adults Only Rooms, Beach, Bicycles Available, Buffet, Diving, Evening Entertainment, Family Suite, Fishing, Golf Course, Gym, Horseback Riding, Kids Club, Nightclub, Pool Slide, Room Service, Snorkelling, Spa, Tennis, Water Feature, Watersports Equipment Rentals, Wifi (Paid), Yoga Classes</v>
      </c>
      <c r="AN184" s="139"/>
    </row>
    <row r="185">
      <c r="A185" s="118" t="s">
        <v>738</v>
      </c>
      <c r="B185" s="119">
        <v>90.3</v>
      </c>
      <c r="C185" s="134" t="s">
        <v>75</v>
      </c>
      <c r="D185" s="121">
        <v>10587.36</v>
      </c>
      <c r="E185" s="135">
        <f>IFERROR(__xludf.DUMMYFUNCTION("""COMPUTED_VALUE"""),14621.672469263998)</f>
        <v>14621.67247</v>
      </c>
      <c r="F185" s="136">
        <v>0.97</v>
      </c>
      <c r="G185" s="124">
        <v>2275.0</v>
      </c>
      <c r="H185" s="125">
        <v>1553.0</v>
      </c>
      <c r="I185" s="125">
        <v>499.0</v>
      </c>
      <c r="J185" s="125">
        <v>142.0</v>
      </c>
      <c r="K185" s="125">
        <v>39.0</v>
      </c>
      <c r="L185" s="125">
        <v>42.0</v>
      </c>
      <c r="M185" s="126">
        <v>91.0</v>
      </c>
      <c r="N185" s="127">
        <v>90.0</v>
      </c>
      <c r="O185" s="146"/>
      <c r="P185" s="127">
        <v>90.0</v>
      </c>
      <c r="Q185" s="135" t="b">
        <v>1</v>
      </c>
      <c r="R185" s="133">
        <v>3.0</v>
      </c>
      <c r="S185" s="133">
        <v>4.0</v>
      </c>
      <c r="T185" s="133"/>
      <c r="U185" s="133">
        <v>4.0</v>
      </c>
      <c r="V185" s="130"/>
      <c r="W185" s="130" t="s">
        <v>642</v>
      </c>
      <c r="X185" s="130" t="s">
        <v>642</v>
      </c>
      <c r="Y185" s="130" t="s">
        <v>644</v>
      </c>
      <c r="Z185" s="131" t="b">
        <v>1</v>
      </c>
      <c r="AA185" s="131">
        <v>0.015277777777777777</v>
      </c>
      <c r="AB185" s="130"/>
      <c r="AC185" s="130" t="s">
        <v>442</v>
      </c>
      <c r="AD185" s="130" t="s">
        <v>739</v>
      </c>
      <c r="AE185" s="130" t="s">
        <v>94</v>
      </c>
      <c r="AF185" s="132" t="s">
        <v>181</v>
      </c>
      <c r="AG185" s="133" t="b">
        <v>0</v>
      </c>
      <c r="AH185" s="133">
        <v>138.0</v>
      </c>
      <c r="AI185" s="133">
        <v>1971.0</v>
      </c>
      <c r="AJ185" s="133">
        <v>2015.0</v>
      </c>
      <c r="AK185" s="133">
        <v>3.0</v>
      </c>
      <c r="AL185" s="129" t="str">
        <f>IFERROR(__xludf.DUMMYFUNCTION("""COMPUTED_VALUE"""),"Ocean View")</f>
        <v>Ocean View</v>
      </c>
      <c r="AM185" s="129" t="str">
        <f>IFERROR(__xludf.DUMMYFUNCTION("""COMPUTED_VALUE"""),"2 Bedroom Suites, Arcade, Babysitting, Beach, Buffet, Diving, Evening Entertainment, Family Suite, Gym, Kids Club, Snorkelling, Spa, Swim Up Bar, Teen Club, Watersports Equipment Rentals, Wifi (Free), Yoga Classes")</f>
        <v>2 Bedroom Suites, Arcade, Babysitting, Beach, Buffet, Diving, Evening Entertainment, Family Suite, Gym, Kids Club, Snorkelling, Spa, Swim Up Bar, Teen Club, Watersports Equipment Rentals, Wifi (Free), Yoga Classes</v>
      </c>
      <c r="AN185" s="139"/>
    </row>
    <row r="186">
      <c r="A186" s="118" t="s">
        <v>740</v>
      </c>
      <c r="B186" s="119">
        <v>90.3</v>
      </c>
      <c r="C186" s="120" t="s">
        <v>68</v>
      </c>
      <c r="D186" s="121">
        <v>11242.0</v>
      </c>
      <c r="E186" s="122">
        <f>IFERROR(__xludf.DUMMYFUNCTION("""COMPUTED_VALUE"""),15525.762975799998)</f>
        <v>15525.76298</v>
      </c>
      <c r="F186" s="136">
        <v>0.92</v>
      </c>
      <c r="G186" s="124">
        <v>856.0</v>
      </c>
      <c r="H186" s="125">
        <v>701.0</v>
      </c>
      <c r="I186" s="125">
        <v>80.0</v>
      </c>
      <c r="J186" s="125">
        <v>32.0</v>
      </c>
      <c r="K186" s="125">
        <v>24.0</v>
      </c>
      <c r="L186" s="125">
        <v>19.0</v>
      </c>
      <c r="M186" s="126">
        <v>93.0</v>
      </c>
      <c r="N186" s="138">
        <v>86.0</v>
      </c>
      <c r="O186" s="127"/>
      <c r="P186" s="127">
        <v>92.0</v>
      </c>
      <c r="Q186" s="122" t="b">
        <v>1</v>
      </c>
      <c r="R186" s="133"/>
      <c r="S186" s="133" t="s">
        <v>83</v>
      </c>
      <c r="T186" s="133" t="s">
        <v>192</v>
      </c>
      <c r="U186" s="133">
        <v>5.0</v>
      </c>
      <c r="V186" s="129"/>
      <c r="W186" s="130" t="s">
        <v>84</v>
      </c>
      <c r="X186" s="130" t="s">
        <v>536</v>
      </c>
      <c r="Y186" s="130" t="s">
        <v>86</v>
      </c>
      <c r="Z186" s="131" t="b">
        <v>1</v>
      </c>
      <c r="AA186" s="131">
        <v>0.05625</v>
      </c>
      <c r="AB186" s="130" t="s">
        <v>50</v>
      </c>
      <c r="AC186" s="129"/>
      <c r="AD186" s="130" t="s">
        <v>741</v>
      </c>
      <c r="AE186" s="129"/>
      <c r="AF186" s="132"/>
      <c r="AG186" s="133" t="b">
        <v>0</v>
      </c>
      <c r="AH186" s="133">
        <v>125.0</v>
      </c>
      <c r="AI186" s="133">
        <v>2023.0</v>
      </c>
      <c r="AJ186" s="128"/>
      <c r="AK186" s="128"/>
      <c r="AL186" s="129"/>
      <c r="AM186" s="129" t="str">
        <f>IFERROR(__xludf.DUMMYFUNCTION("""COMPUTED_VALUE"""),"Beach, Diving, Evening Entertainment, Great Food, Gym, Room Service, Snorkelling, Spa, Swim Up Bar, Wifi (Free), Yoga Classes")</f>
        <v>Beach, Diving, Evening Entertainment, Great Food, Gym, Room Service, Snorkelling, Spa, Swim Up Bar, Wifi (Free), Yoga Classes</v>
      </c>
      <c r="AN186" s="128"/>
    </row>
    <row r="187">
      <c r="A187" s="118" t="s">
        <v>742</v>
      </c>
      <c r="B187" s="119">
        <v>90.3</v>
      </c>
      <c r="C187" s="134" t="s">
        <v>75</v>
      </c>
      <c r="D187" s="121">
        <v>11396.98</v>
      </c>
      <c r="E187" s="135">
        <f>IFERROR(__xludf.DUMMYFUNCTION("""COMPUTED_VALUE"""),15739.798089301998)</f>
        <v>15739.79809</v>
      </c>
      <c r="F187" s="136">
        <v>0.9</v>
      </c>
      <c r="G187" s="124">
        <v>1397.0</v>
      </c>
      <c r="H187" s="125">
        <v>959.0</v>
      </c>
      <c r="I187" s="125">
        <v>245.0</v>
      </c>
      <c r="J187" s="125">
        <v>94.0</v>
      </c>
      <c r="K187" s="125">
        <v>60.0</v>
      </c>
      <c r="L187" s="125">
        <v>39.0</v>
      </c>
      <c r="M187" s="137">
        <v>89.0</v>
      </c>
      <c r="N187" s="138">
        <v>90.0</v>
      </c>
      <c r="O187" s="138"/>
      <c r="P187" s="138">
        <v>92.0</v>
      </c>
      <c r="Q187" s="135" t="b">
        <v>1</v>
      </c>
      <c r="R187" s="133"/>
      <c r="S187" s="133">
        <v>9.0</v>
      </c>
      <c r="T187" s="133"/>
      <c r="U187" s="133">
        <v>5.0</v>
      </c>
      <c r="V187" s="130"/>
      <c r="W187" s="130" t="s">
        <v>113</v>
      </c>
      <c r="X187" s="130" t="s">
        <v>233</v>
      </c>
      <c r="Y187" s="130" t="s">
        <v>114</v>
      </c>
      <c r="Z187" s="131" t="b">
        <v>1</v>
      </c>
      <c r="AA187" s="131">
        <v>0.024305555555555556</v>
      </c>
      <c r="AB187" s="130"/>
      <c r="AC187" s="130" t="s">
        <v>718</v>
      </c>
      <c r="AD187" s="130" t="s">
        <v>743</v>
      </c>
      <c r="AE187" s="130" t="s">
        <v>94</v>
      </c>
      <c r="AF187" s="132" t="s">
        <v>367</v>
      </c>
      <c r="AG187" s="133" t="b">
        <v>0</v>
      </c>
      <c r="AH187" s="133">
        <v>82.0</v>
      </c>
      <c r="AI187" s="133">
        <v>2003.0</v>
      </c>
      <c r="AJ187" s="133">
        <v>2018.0</v>
      </c>
      <c r="AK187" s="133">
        <v>3.0</v>
      </c>
      <c r="AL187" s="129" t="str">
        <f>IFERROR(__xludf.DUMMYFUNCTION("""COMPUTED_VALUE"""),"Family, Modern")</f>
        <v>Family, Modern</v>
      </c>
      <c r="AM187" s="129" t="str">
        <f>IFERROR(__xludf.DUMMYFUNCTION("""COMPUTED_VALUE"""),"2 Bedroom Suites, Babysitting, Beach, Buffet, Diving, Family Suite, Gym, Kids Club, Room Service, Snorkelling, Spa, Tennis, Wifi (Free), Windsurfing, Yoga Classes")</f>
        <v>2 Bedroom Suites, Babysitting, Beach, Buffet, Diving, Family Suite, Gym, Kids Club, Room Service, Snorkelling, Spa, Tennis, Wifi (Free), Windsurfing, Yoga Classes</v>
      </c>
      <c r="AN187" s="139"/>
    </row>
    <row r="188">
      <c r="A188" s="118" t="s">
        <v>744</v>
      </c>
      <c r="B188" s="119">
        <v>90.3</v>
      </c>
      <c r="C188" s="134" t="s">
        <v>75</v>
      </c>
      <c r="D188" s="121">
        <v>27350.4</v>
      </c>
      <c r="E188" s="135">
        <f>IFERROR(__xludf.DUMMYFUNCTION("""COMPUTED_VALUE"""),37772.267184959994)</f>
        <v>37772.26718</v>
      </c>
      <c r="F188" s="136">
        <v>0.38</v>
      </c>
      <c r="G188" s="124">
        <v>621.0</v>
      </c>
      <c r="H188" s="125">
        <v>489.0</v>
      </c>
      <c r="I188" s="125">
        <v>76.0</v>
      </c>
      <c r="J188" s="125">
        <v>30.0</v>
      </c>
      <c r="K188" s="125">
        <v>13.0</v>
      </c>
      <c r="L188" s="125">
        <v>13.0</v>
      </c>
      <c r="M188" s="137">
        <v>93.0</v>
      </c>
      <c r="N188" s="138">
        <v>86.0</v>
      </c>
      <c r="O188" s="127"/>
      <c r="P188" s="127">
        <v>92.0</v>
      </c>
      <c r="Q188" s="135" t="b">
        <v>1</v>
      </c>
      <c r="R188" s="133"/>
      <c r="S188" s="133">
        <v>7.0</v>
      </c>
      <c r="T188" s="133"/>
      <c r="U188" s="133">
        <v>4.0</v>
      </c>
      <c r="V188" s="130" t="s">
        <v>745</v>
      </c>
      <c r="W188" s="130" t="s">
        <v>129</v>
      </c>
      <c r="X188" s="130" t="s">
        <v>746</v>
      </c>
      <c r="Y188" s="130" t="s">
        <v>131</v>
      </c>
      <c r="Z188" s="131" t="b">
        <v>0</v>
      </c>
      <c r="AA188" s="131">
        <v>0.005555555555555556</v>
      </c>
      <c r="AB188" s="130" t="s">
        <v>747</v>
      </c>
      <c r="AC188" s="130" t="s">
        <v>748</v>
      </c>
      <c r="AD188" s="130" t="s">
        <v>749</v>
      </c>
      <c r="AE188" s="130"/>
      <c r="AF188" s="132"/>
      <c r="AG188" s="133" t="b">
        <v>0</v>
      </c>
      <c r="AH188" s="133">
        <v>16.0</v>
      </c>
      <c r="AI188" s="133">
        <v>2000.0</v>
      </c>
      <c r="AJ188" s="133">
        <v>2018.0</v>
      </c>
      <c r="AK188" s="133"/>
      <c r="AL188" s="129" t="str">
        <f>IFERROR(__xludf.DUMMYFUNCTION("""COMPUTED_VALUE"""),"Great View, Luxury")</f>
        <v>Great View, Luxury</v>
      </c>
      <c r="AM188" s="129" t="str">
        <f>IFERROR(__xludf.DUMMYFUNCTION("""COMPUTED_VALUE"""),"2 Bedroom Suites, Beach, Diving, Evening Entertainment, Family Suite, Fishing, Gym, Hiking, Room Service, Snorkelling, Spa, Swim Out/Plunge Pool Rooms, Watersports Equipment Rentals, Wifi (Free), Yoga Classes")</f>
        <v>2 Bedroom Suites, Beach, Diving, Evening Entertainment, Family Suite, Fishing, Gym, Hiking, Room Service, Snorkelling, Spa, Swim Out/Plunge Pool Rooms, Watersports Equipment Rentals, Wifi (Free), Yoga Classes</v>
      </c>
      <c r="AN188" s="139"/>
    </row>
    <row r="189">
      <c r="A189" s="118" t="s">
        <v>750</v>
      </c>
      <c r="B189" s="119">
        <v>90.0</v>
      </c>
      <c r="C189" s="134" t="s">
        <v>75</v>
      </c>
      <c r="D189" s="150">
        <v>2006.01</v>
      </c>
      <c r="E189" s="135">
        <f>IFERROR(__xludf.DUMMYFUNCTION("""COMPUTED_VALUE"""),2770.399909899)</f>
        <v>2770.39991</v>
      </c>
      <c r="F189" s="136">
        <v>4.99</v>
      </c>
      <c r="G189" s="124">
        <v>2167.0</v>
      </c>
      <c r="H189" s="125">
        <v>1585.0</v>
      </c>
      <c r="I189" s="125">
        <v>285.0</v>
      </c>
      <c r="J189" s="125">
        <v>129.0</v>
      </c>
      <c r="K189" s="125">
        <v>85.0</v>
      </c>
      <c r="L189" s="125">
        <v>83.0</v>
      </c>
      <c r="M189" s="126">
        <v>90.0</v>
      </c>
      <c r="N189" s="127">
        <v>90.0</v>
      </c>
      <c r="O189" s="146"/>
      <c r="P189" s="146"/>
      <c r="Q189" s="137" t="b">
        <v>1</v>
      </c>
      <c r="R189" s="128"/>
      <c r="S189" s="133" t="s">
        <v>83</v>
      </c>
      <c r="T189" s="128"/>
      <c r="U189" s="133">
        <v>5.0</v>
      </c>
      <c r="V189" s="129"/>
      <c r="W189" s="130" t="s">
        <v>276</v>
      </c>
      <c r="X189" s="130" t="s">
        <v>570</v>
      </c>
      <c r="Y189" s="130" t="s">
        <v>570</v>
      </c>
      <c r="Z189" s="131" t="b">
        <v>1</v>
      </c>
      <c r="AA189" s="131">
        <v>0.041666666666666664</v>
      </c>
      <c r="AB189" s="130" t="s">
        <v>215</v>
      </c>
      <c r="AC189" s="130" t="s">
        <v>473</v>
      </c>
      <c r="AD189" s="130" t="s">
        <v>751</v>
      </c>
      <c r="AE189" s="130" t="s">
        <v>396</v>
      </c>
      <c r="AF189" s="132" t="s">
        <v>297</v>
      </c>
      <c r="AG189" s="128" t="b">
        <v>0</v>
      </c>
      <c r="AH189" s="128"/>
      <c r="AI189" s="133">
        <v>2018.0</v>
      </c>
      <c r="AJ189" s="128"/>
      <c r="AK189" s="128"/>
      <c r="AL189" s="129" t="str">
        <f>IFERROR(__xludf.DUMMYFUNCTION("""COMPUTED_VALUE"""),"Great View, Trendy")</f>
        <v>Great View, Trendy</v>
      </c>
      <c r="AM189" s="129" t="str">
        <f>IFERROR(__xludf.DUMMYFUNCTION("""COMPUTED_VALUE"""),"2 Bedroom Suites, Archery, Babysitting, Beach, Buffet, Evening Entertainment, Family Suite, Gym, Kids Club, Kids Waterpark, Nightclub, Snorkelling, Spa, Swim Up Bar, Tennis, Wifi (Paid), Yoga Classes")</f>
        <v>2 Bedroom Suites, Archery, Babysitting, Beach, Buffet, Evening Entertainment, Family Suite, Gym, Kids Club, Kids Waterpark, Nightclub, Snorkelling, Spa, Swim Up Bar, Tennis, Wifi (Paid), Yoga Classes</v>
      </c>
      <c r="AN189" s="139"/>
    </row>
    <row r="190">
      <c r="A190" s="118" t="s">
        <v>752</v>
      </c>
      <c r="B190" s="119">
        <v>90.0</v>
      </c>
      <c r="C190" s="120" t="s">
        <v>68</v>
      </c>
      <c r="D190" s="121">
        <v>2403.24</v>
      </c>
      <c r="E190" s="122">
        <f>IFERROR(__xludf.DUMMYFUNCTION("""COMPUTED_VALUE"""),3318.9943616759992)</f>
        <v>3318.994362</v>
      </c>
      <c r="F190" s="136">
        <v>4.16</v>
      </c>
      <c r="G190" s="124">
        <v>10028.0</v>
      </c>
      <c r="H190" s="125">
        <v>6824.0</v>
      </c>
      <c r="I190" s="125">
        <v>2076.0</v>
      </c>
      <c r="J190" s="125">
        <v>702.0</v>
      </c>
      <c r="K190" s="125">
        <v>220.0</v>
      </c>
      <c r="L190" s="125">
        <v>206.0</v>
      </c>
      <c r="M190" s="126">
        <v>90.0</v>
      </c>
      <c r="N190" s="127">
        <v>94.0</v>
      </c>
      <c r="O190" s="127"/>
      <c r="P190" s="127">
        <v>86.0</v>
      </c>
      <c r="Q190" s="122" t="b">
        <v>1</v>
      </c>
      <c r="R190" s="133"/>
      <c r="S190" s="133">
        <v>7.0</v>
      </c>
      <c r="T190" s="133"/>
      <c r="U190" s="133">
        <v>5.0</v>
      </c>
      <c r="V190" s="129"/>
      <c r="W190" s="130" t="s">
        <v>84</v>
      </c>
      <c r="X190" s="130" t="s">
        <v>336</v>
      </c>
      <c r="Y190" s="130" t="s">
        <v>86</v>
      </c>
      <c r="Z190" s="131" t="b">
        <v>1</v>
      </c>
      <c r="AA190" s="131">
        <v>0.04791666666666667</v>
      </c>
      <c r="AB190" s="130" t="s">
        <v>753</v>
      </c>
      <c r="AC190" s="130" t="s">
        <v>754</v>
      </c>
      <c r="AD190" s="130" t="s">
        <v>755</v>
      </c>
      <c r="AE190" s="129"/>
      <c r="AF190" s="132"/>
      <c r="AG190" s="133" t="b">
        <v>0</v>
      </c>
      <c r="AH190" s="133">
        <v>420.0</v>
      </c>
      <c r="AI190" s="133">
        <v>2010.0</v>
      </c>
      <c r="AJ190" s="143"/>
      <c r="AK190" s="133">
        <v>3.0</v>
      </c>
      <c r="AL190" s="129" t="str">
        <f>IFERROR(__xludf.DUMMYFUNCTION("""COMPUTED_VALUE"""),"Quiet, Romantic")</f>
        <v>Quiet, Romantic</v>
      </c>
      <c r="AM190" s="129" t="str">
        <f>IFERROR(__xludf.DUMMYFUNCTION("""COMPUTED_VALUE"""),"Beach, Buffet, Casino, Evening Entertainment, Golf Course, Gym, Nightclub, Spa, Tennis")</f>
        <v>Beach, Buffet, Casino, Evening Entertainment, Golf Course, Gym, Nightclub, Spa, Tennis</v>
      </c>
      <c r="AN190" s="128"/>
    </row>
    <row r="191">
      <c r="A191" s="118" t="s">
        <v>756</v>
      </c>
      <c r="B191" s="119">
        <v>90.0</v>
      </c>
      <c r="C191" s="134" t="s">
        <v>75</v>
      </c>
      <c r="D191" s="150">
        <v>2457.0</v>
      </c>
      <c r="E191" s="135">
        <f>IFERROR(__xludf.DUMMYFUNCTION("""COMPUTED_VALUE"""),3393.2396042999994)</f>
        <v>3393.239604</v>
      </c>
      <c r="F191" s="136">
        <v>4.07</v>
      </c>
      <c r="G191" s="124">
        <v>815.0</v>
      </c>
      <c r="H191" s="125">
        <v>543.0</v>
      </c>
      <c r="I191" s="125">
        <v>152.0</v>
      </c>
      <c r="J191" s="125">
        <v>52.0</v>
      </c>
      <c r="K191" s="125">
        <v>36.0</v>
      </c>
      <c r="L191" s="125">
        <v>32.0</v>
      </c>
      <c r="M191" s="126">
        <v>88.0</v>
      </c>
      <c r="N191" s="127">
        <v>92.0</v>
      </c>
      <c r="O191" s="146"/>
      <c r="P191" s="146"/>
      <c r="Q191" s="137" t="b">
        <v>1</v>
      </c>
      <c r="R191" s="128"/>
      <c r="S191" s="133" t="s">
        <v>83</v>
      </c>
      <c r="T191" s="128"/>
      <c r="U191" s="133">
        <v>4.0</v>
      </c>
      <c r="V191" s="129"/>
      <c r="W191" s="130" t="s">
        <v>276</v>
      </c>
      <c r="X191" s="130" t="s">
        <v>393</v>
      </c>
      <c r="Y191" s="130" t="s">
        <v>393</v>
      </c>
      <c r="Z191" s="131" t="b">
        <v>1</v>
      </c>
      <c r="AA191" s="131">
        <v>0.01875</v>
      </c>
      <c r="AB191" s="130" t="s">
        <v>328</v>
      </c>
      <c r="AC191" s="129"/>
      <c r="AD191" s="130" t="s">
        <v>757</v>
      </c>
      <c r="AE191" s="130"/>
      <c r="AF191" s="132" t="s">
        <v>297</v>
      </c>
      <c r="AG191" s="133" t="b">
        <v>0</v>
      </c>
      <c r="AH191" s="133">
        <v>393.0</v>
      </c>
      <c r="AI191" s="133">
        <v>2023.0</v>
      </c>
      <c r="AJ191" s="128"/>
      <c r="AK191" s="133">
        <v>5.0</v>
      </c>
      <c r="AL191" s="129"/>
      <c r="AM191" s="129" t="str">
        <f>IFERROR(__xludf.DUMMYFUNCTION("""COMPUTED_VALUE"""),"2 Bedroom Suites, Babysitting, Beach, Buffet, Evening Entertainment, Family Suite, Great Beach, Gym, Kids Club, Snorkelling, Watersports Equipment Rentals")</f>
        <v>2 Bedroom Suites, Babysitting, Beach, Buffet, Evening Entertainment, Family Suite, Great Beach, Gym, Kids Club, Snorkelling, Watersports Equipment Rentals</v>
      </c>
      <c r="AN191" s="139"/>
    </row>
    <row r="192">
      <c r="A192" s="118" t="s">
        <v>758</v>
      </c>
      <c r="B192" s="119">
        <v>90.0</v>
      </c>
      <c r="C192" s="120" t="s">
        <v>68</v>
      </c>
      <c r="D192" s="121">
        <v>2620.4</v>
      </c>
      <c r="E192" s="122">
        <f>IFERROR(__xludf.DUMMYFUNCTION("""COMPUTED_VALUE"""),3618.9031579599996)</f>
        <v>3618.903158</v>
      </c>
      <c r="F192" s="136">
        <v>3.82</v>
      </c>
      <c r="G192" s="124">
        <v>11505.0</v>
      </c>
      <c r="H192" s="125">
        <v>7091.0</v>
      </c>
      <c r="I192" s="125">
        <v>2805.0</v>
      </c>
      <c r="J192" s="125">
        <v>920.0</v>
      </c>
      <c r="K192" s="125">
        <v>394.0</v>
      </c>
      <c r="L192" s="125">
        <v>295.0</v>
      </c>
      <c r="M192" s="126">
        <v>88.0</v>
      </c>
      <c r="N192" s="127">
        <v>94.0</v>
      </c>
      <c r="O192" s="127"/>
      <c r="P192" s="127">
        <v>88.0</v>
      </c>
      <c r="Q192" s="122" t="b">
        <v>1</v>
      </c>
      <c r="R192" s="133"/>
      <c r="S192" s="133">
        <v>6.0</v>
      </c>
      <c r="T192" s="133"/>
      <c r="U192" s="133">
        <v>5.0</v>
      </c>
      <c r="V192" s="129"/>
      <c r="W192" s="130" t="s">
        <v>84</v>
      </c>
      <c r="X192" s="130" t="s">
        <v>85</v>
      </c>
      <c r="Y192" s="130" t="s">
        <v>86</v>
      </c>
      <c r="Z192" s="131" t="b">
        <v>1</v>
      </c>
      <c r="AA192" s="131">
        <v>0.025694444444444443</v>
      </c>
      <c r="AB192" s="130" t="s">
        <v>759</v>
      </c>
      <c r="AC192" s="130" t="s">
        <v>760</v>
      </c>
      <c r="AD192" s="130" t="s">
        <v>761</v>
      </c>
      <c r="AE192" s="129"/>
      <c r="AF192" s="132"/>
      <c r="AG192" s="133" t="b">
        <v>0</v>
      </c>
      <c r="AH192" s="133">
        <v>320.0</v>
      </c>
      <c r="AI192" s="133">
        <v>2003.0</v>
      </c>
      <c r="AJ192" s="133">
        <v>2010.0</v>
      </c>
      <c r="AK192" s="133">
        <v>3.0</v>
      </c>
      <c r="AL192" s="129" t="str">
        <f>IFERROR(__xludf.DUMMYFUNCTION("""COMPUTED_VALUE"""),"Bay View, Green")</f>
        <v>Bay View, Green</v>
      </c>
      <c r="AM192" s="129" t="str">
        <f>IFERROR(__xludf.DUMMYFUNCTION("""COMPUTED_VALUE"""),"Beach, Buffet, Diving, Evening Entertainment, Fishing, Gym, Nightclub, Spa, Swim Up Bar, Tennis, Wifi (Free)")</f>
        <v>Beach, Buffet, Diving, Evening Entertainment, Fishing, Gym, Nightclub, Spa, Swim Up Bar, Tennis, Wifi (Free)</v>
      </c>
      <c r="AN192" s="128"/>
    </row>
    <row r="193">
      <c r="A193" s="118" t="s">
        <v>762</v>
      </c>
      <c r="B193" s="119">
        <v>90.0</v>
      </c>
      <c r="C193" s="120" t="s">
        <v>68</v>
      </c>
      <c r="D193" s="121">
        <v>2744.0</v>
      </c>
      <c r="E193" s="122">
        <f>IFERROR(__xludf.DUMMYFUNCTION("""COMPUTED_VALUE"""),3789.6009255999998)</f>
        <v>3789.600926</v>
      </c>
      <c r="F193" s="136">
        <v>3.64</v>
      </c>
      <c r="G193" s="124">
        <v>23648.0</v>
      </c>
      <c r="H193" s="125">
        <v>18284.0</v>
      </c>
      <c r="I193" s="125">
        <v>3206.0</v>
      </c>
      <c r="J193" s="125">
        <v>1125.0</v>
      </c>
      <c r="K193" s="125">
        <v>545.0</v>
      </c>
      <c r="L193" s="125">
        <v>489.0</v>
      </c>
      <c r="M193" s="126">
        <v>92.0</v>
      </c>
      <c r="N193" s="127">
        <v>90.0</v>
      </c>
      <c r="O193" s="127"/>
      <c r="P193" s="127">
        <v>88.0</v>
      </c>
      <c r="Q193" s="122" t="b">
        <v>1</v>
      </c>
      <c r="R193" s="133">
        <v>4.0</v>
      </c>
      <c r="S193" s="133">
        <v>8.0</v>
      </c>
      <c r="T193" s="133"/>
      <c r="U193" s="133">
        <v>5.0</v>
      </c>
      <c r="V193" s="129"/>
      <c r="W193" s="130" t="s">
        <v>84</v>
      </c>
      <c r="X193" s="130" t="s">
        <v>85</v>
      </c>
      <c r="Y193" s="130" t="s">
        <v>86</v>
      </c>
      <c r="Z193" s="131" t="b">
        <v>1</v>
      </c>
      <c r="AA193" s="131">
        <v>0.03263888888888889</v>
      </c>
      <c r="AB193" s="130" t="s">
        <v>617</v>
      </c>
      <c r="AC193" s="130" t="s">
        <v>763</v>
      </c>
      <c r="AD193" s="130" t="s">
        <v>764</v>
      </c>
      <c r="AE193" s="129"/>
      <c r="AF193" s="132"/>
      <c r="AG193" s="133" t="b">
        <v>0</v>
      </c>
      <c r="AH193" s="133">
        <v>524.0</v>
      </c>
      <c r="AI193" s="133">
        <v>2004.0</v>
      </c>
      <c r="AJ193" s="133">
        <v>2019.0</v>
      </c>
      <c r="AK193" s="133">
        <v>3.0</v>
      </c>
      <c r="AL193" s="129" t="str">
        <f>IFERROR(__xludf.DUMMYFUNCTION("""COMPUTED_VALUE"""),"Centrally Located, Ocean View")</f>
        <v>Centrally Located, Ocean View</v>
      </c>
      <c r="AM193" s="129" t="str">
        <f>IFERROR(__xludf.DUMMYFUNCTION("""COMPUTED_VALUE"""),"Beach, Buffet, Evening Entertainment, Great for Parties, Gym, Heated Pool, Nightclub, Room Service, Spa, Swim Out/Plunge Pool Rooms, Swim Up Bar, Tennis, Wifi (Free), Yoga Classes")</f>
        <v>Beach, Buffet, Evening Entertainment, Great for Parties, Gym, Heated Pool, Nightclub, Room Service, Spa, Swim Out/Plunge Pool Rooms, Swim Up Bar, Tennis, Wifi (Free), Yoga Classes</v>
      </c>
      <c r="AN193" s="128"/>
    </row>
    <row r="194">
      <c r="A194" s="118" t="s">
        <v>765</v>
      </c>
      <c r="B194" s="119">
        <v>90.0</v>
      </c>
      <c r="C194" s="134" t="s">
        <v>75</v>
      </c>
      <c r="D194" s="121">
        <v>2832.2</v>
      </c>
      <c r="E194" s="135">
        <f>IFERROR(__xludf.DUMMYFUNCTION("""COMPUTED_VALUE"""),3911.4095267799994)</f>
        <v>3911.409527</v>
      </c>
      <c r="F194" s="136">
        <v>3.53</v>
      </c>
      <c r="G194" s="124">
        <v>4900.0</v>
      </c>
      <c r="H194" s="125">
        <v>3290.0</v>
      </c>
      <c r="I194" s="125">
        <v>1116.0</v>
      </c>
      <c r="J194" s="125">
        <v>268.0</v>
      </c>
      <c r="K194" s="125">
        <v>123.0</v>
      </c>
      <c r="L194" s="125">
        <v>104.0</v>
      </c>
      <c r="M194" s="137">
        <v>90.0</v>
      </c>
      <c r="N194" s="138">
        <v>92.0</v>
      </c>
      <c r="O194" s="138">
        <v>90.0</v>
      </c>
      <c r="P194" s="138">
        <v>88.0</v>
      </c>
      <c r="Q194" s="135" t="b">
        <v>1</v>
      </c>
      <c r="R194" s="133">
        <v>4.0</v>
      </c>
      <c r="S194" s="133">
        <v>8.0</v>
      </c>
      <c r="T194" s="133"/>
      <c r="U194" s="133">
        <v>4.5</v>
      </c>
      <c r="V194" s="129"/>
      <c r="W194" s="130" t="s">
        <v>84</v>
      </c>
      <c r="X194" s="130" t="s">
        <v>119</v>
      </c>
      <c r="Y194" s="130" t="s">
        <v>120</v>
      </c>
      <c r="Z194" s="131" t="b">
        <v>1</v>
      </c>
      <c r="AA194" s="131">
        <v>0.004166666666666667</v>
      </c>
      <c r="AB194" s="130" t="s">
        <v>451</v>
      </c>
      <c r="AC194" s="130" t="s">
        <v>766</v>
      </c>
      <c r="AD194" s="130" t="s">
        <v>767</v>
      </c>
      <c r="AE194" s="130"/>
      <c r="AF194" s="132" t="s">
        <v>373</v>
      </c>
      <c r="AG194" s="133" t="b">
        <v>1</v>
      </c>
      <c r="AH194" s="133">
        <v>433.0</v>
      </c>
      <c r="AI194" s="133">
        <v>1990.0</v>
      </c>
      <c r="AJ194" s="133">
        <v>2018.0</v>
      </c>
      <c r="AK194" s="133">
        <v>9.0</v>
      </c>
      <c r="AL194" s="129" t="str">
        <f>IFERROR(__xludf.DUMMYFUNCTION("""COMPUTED_VALUE"""),"Business, Value")</f>
        <v>Business, Value</v>
      </c>
      <c r="AM194" s="129" t="str">
        <f>IFERROR(__xludf.DUMMYFUNCTION("""COMPUTED_VALUE"""),"Babysitting, Beach, Bicycles Available, Buffet, Gym, Heated Pool, Kids Club, Kids Waterpark, Pool Slide, Room Service, Spa, Swim Up Bar, Tennis, Water Feature, Watersports Equipment Rentals, Wifi (Paid)")</f>
        <v>Babysitting, Beach, Bicycles Available, Buffet, Gym, Heated Pool, Kids Club, Kids Waterpark, Pool Slide, Room Service, Spa, Swim Up Bar, Tennis, Water Feature, Watersports Equipment Rentals, Wifi (Paid)</v>
      </c>
      <c r="AN194" s="139"/>
    </row>
    <row r="195">
      <c r="A195" s="118" t="s">
        <v>768</v>
      </c>
      <c r="B195" s="119">
        <v>90.0</v>
      </c>
      <c r="C195" s="120" t="s">
        <v>68</v>
      </c>
      <c r="D195" s="121">
        <v>3096.8</v>
      </c>
      <c r="E195" s="122">
        <f>IFERROR(__xludf.DUMMYFUNCTION("""COMPUTED_VALUE"""),4276.83533032)</f>
        <v>4276.83533</v>
      </c>
      <c r="F195" s="136">
        <v>3.23</v>
      </c>
      <c r="G195" s="124">
        <v>4913.0</v>
      </c>
      <c r="H195" s="125">
        <v>3482.0</v>
      </c>
      <c r="I195" s="125">
        <v>855.0</v>
      </c>
      <c r="J195" s="125">
        <v>314.0</v>
      </c>
      <c r="K195" s="125">
        <v>98.0</v>
      </c>
      <c r="L195" s="125">
        <v>166.0</v>
      </c>
      <c r="M195" s="126">
        <v>90.0</v>
      </c>
      <c r="N195" s="127">
        <v>90.0</v>
      </c>
      <c r="O195" s="127"/>
      <c r="P195" s="127">
        <v>90.0</v>
      </c>
      <c r="Q195" s="122" t="b">
        <v>1</v>
      </c>
      <c r="R195" s="133"/>
      <c r="S195" s="133">
        <v>8.0</v>
      </c>
      <c r="T195" s="133"/>
      <c r="U195" s="133">
        <v>5.0</v>
      </c>
      <c r="V195" s="129"/>
      <c r="W195" s="130" t="s">
        <v>84</v>
      </c>
      <c r="X195" s="130" t="s">
        <v>86</v>
      </c>
      <c r="Y195" s="130" t="s">
        <v>86</v>
      </c>
      <c r="Z195" s="131" t="b">
        <v>1</v>
      </c>
      <c r="AA195" s="131">
        <v>0.020833333333333332</v>
      </c>
      <c r="AB195" s="130" t="s">
        <v>655</v>
      </c>
      <c r="AC195" s="130" t="s">
        <v>769</v>
      </c>
      <c r="AD195" s="130" t="s">
        <v>770</v>
      </c>
      <c r="AE195" s="129"/>
      <c r="AF195" s="132"/>
      <c r="AG195" s="133" t="b">
        <v>1</v>
      </c>
      <c r="AH195" s="133">
        <v>372.0</v>
      </c>
      <c r="AI195" s="133">
        <v>2004.0</v>
      </c>
      <c r="AJ195" s="133">
        <v>2016.0</v>
      </c>
      <c r="AK195" s="133">
        <v>8.0</v>
      </c>
      <c r="AL195" s="129" t="str">
        <f>IFERROR(__xludf.DUMMYFUNCTION("""COMPUTED_VALUE"""),"Bay View, Classic")</f>
        <v>Bay View, Classic</v>
      </c>
      <c r="AM195" s="129" t="str">
        <f>IFERROR(__xludf.DUMMYFUNCTION("""COMPUTED_VALUE"""),"Beach, Buffet, Diving, Evening Entertainment, Fishing, Great for Parties, Gym, Snorkelling, Spa, Swim Up Bar")</f>
        <v>Beach, Buffet, Diving, Evening Entertainment, Fishing, Great for Parties, Gym, Snorkelling, Spa, Swim Up Bar</v>
      </c>
      <c r="AN195" s="128"/>
    </row>
    <row r="196">
      <c r="A196" s="118" t="s">
        <v>771</v>
      </c>
      <c r="B196" s="119">
        <v>90.0</v>
      </c>
      <c r="C196" s="134" t="s">
        <v>75</v>
      </c>
      <c r="D196" s="121">
        <v>3889.62</v>
      </c>
      <c r="E196" s="135">
        <f>IFERROR(__xludf.DUMMYFUNCTION("""COMPUTED_VALUE"""),5371.759312037999)</f>
        <v>5371.759312</v>
      </c>
      <c r="F196" s="136">
        <v>2.57</v>
      </c>
      <c r="G196" s="124">
        <v>9164.0</v>
      </c>
      <c r="H196" s="125">
        <v>6188.0</v>
      </c>
      <c r="I196" s="125">
        <v>2029.0</v>
      </c>
      <c r="J196" s="125">
        <v>588.0</v>
      </c>
      <c r="K196" s="125">
        <v>207.0</v>
      </c>
      <c r="L196" s="125">
        <v>152.0</v>
      </c>
      <c r="M196" s="126">
        <v>90.0</v>
      </c>
      <c r="N196" s="138">
        <v>96.0</v>
      </c>
      <c r="O196" s="146"/>
      <c r="P196" s="138">
        <v>84.0</v>
      </c>
      <c r="Q196" s="135" t="b">
        <v>1</v>
      </c>
      <c r="R196" s="133"/>
      <c r="S196" s="133">
        <v>6.0</v>
      </c>
      <c r="T196" s="133"/>
      <c r="U196" s="133">
        <v>5.0</v>
      </c>
      <c r="V196" s="130"/>
      <c r="W196" s="130" t="s">
        <v>84</v>
      </c>
      <c r="X196" s="130" t="s">
        <v>85</v>
      </c>
      <c r="Y196" s="130" t="s">
        <v>86</v>
      </c>
      <c r="Z196" s="131" t="b">
        <v>1</v>
      </c>
      <c r="AA196" s="131">
        <v>0.03888888888888889</v>
      </c>
      <c r="AB196" s="130" t="s">
        <v>215</v>
      </c>
      <c r="AC196" s="130" t="s">
        <v>587</v>
      </c>
      <c r="AD196" s="130" t="s">
        <v>772</v>
      </c>
      <c r="AE196" s="130" t="s">
        <v>396</v>
      </c>
      <c r="AF196" s="132" t="s">
        <v>373</v>
      </c>
      <c r="AG196" s="143" t="b">
        <v>0</v>
      </c>
      <c r="AH196" s="143"/>
      <c r="AI196" s="143"/>
      <c r="AJ196" s="143"/>
      <c r="AK196" s="143"/>
      <c r="AL196" s="129" t="str">
        <f>IFERROR(__xludf.DUMMYFUNCTION("""COMPUTED_VALUE"""),"Bay View, Family")</f>
        <v>Bay View, Family</v>
      </c>
      <c r="AM196" s="129" t="str">
        <f>IFERROR(__xludf.DUMMYFUNCTION("""COMPUTED_VALUE"""),"2 Bedroom Suites, Babysitting, Beach, Buffet, Diving, Evening Entertainment, Family Suite, Gym, Kids Club, Kids Waterpark, Spa, Swim Up Bar, Teen Club, Tennis, Wifi (Free)")</f>
        <v>2 Bedroom Suites, Babysitting, Beach, Buffet, Diving, Evening Entertainment, Family Suite, Gym, Kids Club, Kids Waterpark, Spa, Swim Up Bar, Teen Club, Tennis, Wifi (Free)</v>
      </c>
      <c r="AN196" s="139"/>
    </row>
    <row r="197">
      <c r="A197" s="118" t="s">
        <v>773</v>
      </c>
      <c r="B197" s="119">
        <v>90.0</v>
      </c>
      <c r="C197" s="134" t="s">
        <v>75</v>
      </c>
      <c r="D197" s="121">
        <v>3889.62</v>
      </c>
      <c r="E197" s="135">
        <f>IFERROR(__xludf.DUMMYFUNCTION("""COMPUTED_VALUE"""),5371.759312037999)</f>
        <v>5371.759312</v>
      </c>
      <c r="F197" s="136">
        <v>2.57</v>
      </c>
      <c r="G197" s="124">
        <v>11203.0</v>
      </c>
      <c r="H197" s="125">
        <v>7635.0</v>
      </c>
      <c r="I197" s="125">
        <v>2416.0</v>
      </c>
      <c r="J197" s="125">
        <v>717.0</v>
      </c>
      <c r="K197" s="125">
        <v>244.0</v>
      </c>
      <c r="L197" s="125">
        <v>191.0</v>
      </c>
      <c r="M197" s="126">
        <v>90.0</v>
      </c>
      <c r="N197" s="127">
        <v>94.0</v>
      </c>
      <c r="O197" s="146"/>
      <c r="P197" s="127">
        <v>86.0</v>
      </c>
      <c r="Q197" s="135" t="b">
        <v>1</v>
      </c>
      <c r="R197" s="133"/>
      <c r="S197" s="133">
        <v>6.0</v>
      </c>
      <c r="T197" s="133"/>
      <c r="U197" s="133">
        <v>5.0</v>
      </c>
      <c r="V197" s="130"/>
      <c r="W197" s="130" t="s">
        <v>84</v>
      </c>
      <c r="X197" s="130" t="s">
        <v>85</v>
      </c>
      <c r="Y197" s="130" t="s">
        <v>86</v>
      </c>
      <c r="Z197" s="131" t="b">
        <v>1</v>
      </c>
      <c r="AA197" s="131">
        <v>0.03888888888888889</v>
      </c>
      <c r="AB197" s="130" t="s">
        <v>215</v>
      </c>
      <c r="AC197" s="130" t="s">
        <v>774</v>
      </c>
      <c r="AD197" s="130" t="s">
        <v>775</v>
      </c>
      <c r="AE197" s="130" t="s">
        <v>396</v>
      </c>
      <c r="AF197" s="132" t="s">
        <v>373</v>
      </c>
      <c r="AG197" s="143" t="b">
        <v>0</v>
      </c>
      <c r="AH197" s="143"/>
      <c r="AI197" s="143"/>
      <c r="AJ197" s="143"/>
      <c r="AK197" s="143"/>
      <c r="AL197" s="129" t="str">
        <f>IFERROR(__xludf.DUMMYFUNCTION("""COMPUTED_VALUE"""),"Family, Park View")</f>
        <v>Family, Park View</v>
      </c>
      <c r="AM197" s="129" t="str">
        <f>IFERROR(__xludf.DUMMYFUNCTION("""COMPUTED_VALUE"""),"2 Bedroom Suites, Babysitting, Beach, Buffet, Diving, Evening Entertainment, Family Suite, Gym, Kids Club, Kids Waterpark, Spa, Swim Up Bar, Teen Club, Tennis")</f>
        <v>2 Bedroom Suites, Babysitting, Beach, Buffet, Diving, Evening Entertainment, Family Suite, Gym, Kids Club, Kids Waterpark, Spa, Swim Up Bar, Teen Club, Tennis</v>
      </c>
      <c r="AN197" s="139"/>
    </row>
    <row r="198">
      <c r="A198" s="118" t="s">
        <v>776</v>
      </c>
      <c r="B198" s="119">
        <v>90.0</v>
      </c>
      <c r="C198" s="120" t="s">
        <v>68</v>
      </c>
      <c r="D198" s="121">
        <v>4277.0</v>
      </c>
      <c r="E198" s="122">
        <f>IFERROR(__xludf.DUMMYFUNCTION("""COMPUTED_VALUE"""),5906.7504223)</f>
        <v>5906.750422</v>
      </c>
      <c r="F198" s="136">
        <v>2.34</v>
      </c>
      <c r="G198" s="124">
        <v>12981.0</v>
      </c>
      <c r="H198" s="125">
        <v>9528.0</v>
      </c>
      <c r="I198" s="125">
        <v>1793.0</v>
      </c>
      <c r="J198" s="125">
        <v>803.0</v>
      </c>
      <c r="K198" s="125">
        <v>486.0</v>
      </c>
      <c r="L198" s="125">
        <v>382.0</v>
      </c>
      <c r="M198" s="126">
        <v>90.0</v>
      </c>
      <c r="N198" s="127">
        <v>94.0</v>
      </c>
      <c r="O198" s="127">
        <v>88.0</v>
      </c>
      <c r="P198" s="127">
        <v>88.0</v>
      </c>
      <c r="Q198" s="122" t="b">
        <v>1</v>
      </c>
      <c r="R198" s="133"/>
      <c r="S198" s="133">
        <v>7.0</v>
      </c>
      <c r="T198" s="133"/>
      <c r="U198" s="133">
        <v>5.0</v>
      </c>
      <c r="V198" s="129"/>
      <c r="W198" s="130" t="s">
        <v>84</v>
      </c>
      <c r="X198" s="130" t="s">
        <v>149</v>
      </c>
      <c r="Y198" s="130" t="s">
        <v>86</v>
      </c>
      <c r="Z198" s="131" t="b">
        <v>1</v>
      </c>
      <c r="AA198" s="131">
        <v>0.027777777777777776</v>
      </c>
      <c r="AB198" s="130" t="s">
        <v>412</v>
      </c>
      <c r="AC198" s="130" t="s">
        <v>777</v>
      </c>
      <c r="AD198" s="130" t="s">
        <v>778</v>
      </c>
      <c r="AE198" s="129"/>
      <c r="AF198" s="132"/>
      <c r="AG198" s="133" t="b">
        <v>0</v>
      </c>
      <c r="AH198" s="133">
        <v>469.0</v>
      </c>
      <c r="AI198" s="133">
        <v>2018.0</v>
      </c>
      <c r="AJ198" s="143"/>
      <c r="AK198" s="143"/>
      <c r="AL198" s="129" t="str">
        <f>IFERROR(__xludf.DUMMYFUNCTION("""COMPUTED_VALUE"""),"Business, Trendy")</f>
        <v>Business, Trendy</v>
      </c>
      <c r="AM198" s="129" t="str">
        <f>IFERROR(__xludf.DUMMYFUNCTION("""COMPUTED_VALUE"""),"Beach, Buffet, Evening Entertainment, Great Food, Gym, Heated Pool, Nightclub, Room Service, Spa, Swim Out/Plunge Pool Rooms, Swim Up Bar, Tennis, Wifi (Free)")</f>
        <v>Beach, Buffet, Evening Entertainment, Great Food, Gym, Heated Pool, Nightclub, Room Service, Spa, Swim Out/Plunge Pool Rooms, Swim Up Bar, Tennis, Wifi (Free)</v>
      </c>
      <c r="AN198" s="128"/>
    </row>
    <row r="199">
      <c r="A199" s="140" t="s">
        <v>779</v>
      </c>
      <c r="B199" s="119">
        <v>90.0</v>
      </c>
      <c r="C199" s="133" t="s">
        <v>75</v>
      </c>
      <c r="D199" s="142">
        <v>4350.5</v>
      </c>
      <c r="E199" s="122">
        <f>IFERROR(__xludf.DUMMYFUNCTION("""COMPUTED_VALUE"""),6008.257589949999)</f>
        <v>6008.25759</v>
      </c>
      <c r="F199" s="136">
        <v>2.3</v>
      </c>
      <c r="G199" s="124">
        <v>665.0</v>
      </c>
      <c r="H199" s="125">
        <v>391.0</v>
      </c>
      <c r="I199" s="125">
        <v>198.0</v>
      </c>
      <c r="J199" s="125">
        <v>45.0</v>
      </c>
      <c r="K199" s="125">
        <v>16.0</v>
      </c>
      <c r="L199" s="125">
        <v>15.0</v>
      </c>
      <c r="M199" s="126">
        <v>88.0</v>
      </c>
      <c r="N199" s="127">
        <v>90.0</v>
      </c>
      <c r="O199" s="146"/>
      <c r="P199" s="127">
        <v>92.0</v>
      </c>
      <c r="Q199" s="126" t="b">
        <v>1</v>
      </c>
      <c r="R199" s="128"/>
      <c r="S199" s="128">
        <v>4.0</v>
      </c>
      <c r="T199" s="128"/>
      <c r="U199" s="128">
        <v>3.5</v>
      </c>
      <c r="V199" s="129"/>
      <c r="W199" s="144" t="s">
        <v>219</v>
      </c>
      <c r="X199" s="144" t="s">
        <v>220</v>
      </c>
      <c r="Y199" s="130" t="s">
        <v>221</v>
      </c>
      <c r="Z199" s="145" t="b">
        <v>1</v>
      </c>
      <c r="AA199" s="145">
        <v>0.0625</v>
      </c>
      <c r="AB199" s="129"/>
      <c r="AC199" s="129" t="s">
        <v>780</v>
      </c>
      <c r="AD199" s="147" t="s">
        <v>781</v>
      </c>
      <c r="AE199" s="129" t="s">
        <v>396</v>
      </c>
      <c r="AF199" s="132" t="s">
        <v>165</v>
      </c>
      <c r="AG199" s="143" t="b">
        <v>0</v>
      </c>
      <c r="AH199" s="143">
        <v>59.0</v>
      </c>
      <c r="AI199" s="143">
        <v>1975.0</v>
      </c>
      <c r="AJ199" s="143">
        <v>2018.0</v>
      </c>
      <c r="AK199" s="143">
        <v>2.0</v>
      </c>
      <c r="AL199" s="129" t="str">
        <f>IFERROR(__xludf.DUMMYFUNCTION("""COMPUTED_VALUE"""),"Bay View, Mid-Range")</f>
        <v>Bay View, Mid-Range</v>
      </c>
      <c r="AM199" s="129" t="str">
        <f>IFERROR(__xludf.DUMMYFUNCTION("""COMPUTED_VALUE"""),"2 Bedroom Suites, Beach, Evening Entertainment, Family Suite, Room Service, Snorkelling, Wifi (Free)")</f>
        <v>2 Bedroom Suites, Beach, Evening Entertainment, Family Suite, Room Service, Snorkelling, Wifi (Free)</v>
      </c>
      <c r="AN199" s="139"/>
    </row>
    <row r="200">
      <c r="A200" s="118" t="s">
        <v>782</v>
      </c>
      <c r="B200" s="119">
        <v>90.0</v>
      </c>
      <c r="C200" s="134" t="s">
        <v>75</v>
      </c>
      <c r="D200" s="121">
        <v>4384.8</v>
      </c>
      <c r="E200" s="135">
        <f>IFERROR(__xludf.DUMMYFUNCTION("""COMPUTED_VALUE"""),6055.627601519999)</f>
        <v>6055.627602</v>
      </c>
      <c r="F200" s="136">
        <v>2.28</v>
      </c>
      <c r="G200" s="124">
        <v>8388.0</v>
      </c>
      <c r="H200" s="125">
        <v>5712.0</v>
      </c>
      <c r="I200" s="125">
        <v>1779.0</v>
      </c>
      <c r="J200" s="125">
        <v>516.0</v>
      </c>
      <c r="K200" s="125">
        <v>207.0</v>
      </c>
      <c r="L200" s="125">
        <v>175.0</v>
      </c>
      <c r="M200" s="126">
        <v>90.0</v>
      </c>
      <c r="N200" s="127">
        <v>92.0</v>
      </c>
      <c r="O200" s="146"/>
      <c r="P200" s="127">
        <v>88.0</v>
      </c>
      <c r="Q200" s="135" t="b">
        <v>1</v>
      </c>
      <c r="R200" s="133"/>
      <c r="S200" s="133">
        <v>7.0</v>
      </c>
      <c r="T200" s="133"/>
      <c r="U200" s="133">
        <v>5.0</v>
      </c>
      <c r="V200" s="129"/>
      <c r="W200" s="130" t="s">
        <v>84</v>
      </c>
      <c r="X200" s="130" t="s">
        <v>85</v>
      </c>
      <c r="Y200" s="130" t="s">
        <v>86</v>
      </c>
      <c r="Z200" s="131" t="b">
        <v>1</v>
      </c>
      <c r="AA200" s="131">
        <v>0.0375</v>
      </c>
      <c r="AB200" s="130" t="s">
        <v>655</v>
      </c>
      <c r="AC200" s="130" t="s">
        <v>656</v>
      </c>
      <c r="AD200" s="130" t="s">
        <v>783</v>
      </c>
      <c r="AE200" s="130"/>
      <c r="AF200" s="132" t="s">
        <v>784</v>
      </c>
      <c r="AG200" s="133" t="b">
        <v>0</v>
      </c>
      <c r="AH200" s="133">
        <v>434.0</v>
      </c>
      <c r="AI200" s="133">
        <v>1999.0</v>
      </c>
      <c r="AJ200" s="133">
        <v>2012.0</v>
      </c>
      <c r="AK200" s="133">
        <v>2.0</v>
      </c>
      <c r="AL200" s="129" t="str">
        <f>IFERROR(__xludf.DUMMYFUNCTION("""COMPUTED_VALUE"""),"Family, Green")</f>
        <v>Family, Green</v>
      </c>
      <c r="AM200" s="129" t="str">
        <f>IFERROR(__xludf.DUMMYFUNCTION("""COMPUTED_VALUE"""),"Babysitting, Beach, Buffet, Diving, Evening Entertainment, Gym, Kids Club, Spa, Swim Up Bar, Tennis")</f>
        <v>Babysitting, Beach, Buffet, Diving, Evening Entertainment, Gym, Kids Club, Spa, Swim Up Bar, Tennis</v>
      </c>
      <c r="AN200" s="139"/>
    </row>
    <row r="201">
      <c r="A201" s="140" t="s">
        <v>785</v>
      </c>
      <c r="B201" s="119">
        <v>90.0</v>
      </c>
      <c r="C201" s="133" t="s">
        <v>75</v>
      </c>
      <c r="D201" s="142">
        <v>4767.33</v>
      </c>
      <c r="E201" s="122">
        <f>IFERROR(__xludf.DUMMYFUNCTION("""COMPUTED_VALUE"""),6583.920619766999)</f>
        <v>6583.92062</v>
      </c>
      <c r="F201" s="136">
        <v>2.1</v>
      </c>
      <c r="G201" s="124">
        <v>8264.0</v>
      </c>
      <c r="H201" s="125">
        <v>6183.0</v>
      </c>
      <c r="I201" s="125">
        <v>1337.0</v>
      </c>
      <c r="J201" s="125">
        <v>370.0</v>
      </c>
      <c r="K201" s="125">
        <v>180.0</v>
      </c>
      <c r="L201" s="125">
        <v>195.0</v>
      </c>
      <c r="M201" s="126">
        <v>92.0</v>
      </c>
      <c r="N201" s="127">
        <v>90.0</v>
      </c>
      <c r="O201" s="146"/>
      <c r="P201" s="127">
        <v>88.0</v>
      </c>
      <c r="Q201" s="126" t="b">
        <v>1</v>
      </c>
      <c r="R201" s="143"/>
      <c r="S201" s="143">
        <v>4.0</v>
      </c>
      <c r="T201" s="143"/>
      <c r="U201" s="143">
        <v>4.5</v>
      </c>
      <c r="V201" s="129"/>
      <c r="W201" s="144" t="s">
        <v>84</v>
      </c>
      <c r="X201" s="144" t="s">
        <v>122</v>
      </c>
      <c r="Y201" s="144" t="s">
        <v>123</v>
      </c>
      <c r="Z201" s="145" t="b">
        <v>1</v>
      </c>
      <c r="AA201" s="145">
        <v>0.03125</v>
      </c>
      <c r="AB201" s="129" t="s">
        <v>428</v>
      </c>
      <c r="AC201" s="130" t="s">
        <v>786</v>
      </c>
      <c r="AD201" s="130" t="s">
        <v>787</v>
      </c>
      <c r="AE201" s="130" t="s">
        <v>94</v>
      </c>
      <c r="AF201" s="132" t="s">
        <v>788</v>
      </c>
      <c r="AG201" s="143" t="b">
        <v>1</v>
      </c>
      <c r="AH201" s="143">
        <v>260.0</v>
      </c>
      <c r="AI201" s="143">
        <v>1998.0</v>
      </c>
      <c r="AJ201" s="143">
        <v>2010.0</v>
      </c>
      <c r="AK201" s="143">
        <v>6.0</v>
      </c>
      <c r="AL201" s="129" t="str">
        <f>IFERROR(__xludf.DUMMYFUNCTION("""COMPUTED_VALUE"""),"Family, Value")</f>
        <v>Family, Value</v>
      </c>
      <c r="AM201" s="129" t="str">
        <f>IFERROR(__xludf.DUMMYFUNCTION("""COMPUTED_VALUE"""),"2 Bedroom Suites, Adult Pool, Babysitting, Beach, Buffet, Diving, Evening Entertainment, Family Suite, Fishing, Gym, Heated Pool, Kids Club, Mini Golf, Pool Slide, Room Service, Snorkelling, Spa, Swim Up Bar, Tennis, Water Feature, Wifi (Paid)")</f>
        <v>2 Bedroom Suites, Adult Pool, Babysitting, Beach, Buffet, Diving, Evening Entertainment, Family Suite, Fishing, Gym, Heated Pool, Kids Club, Mini Golf, Pool Slide, Room Service, Snorkelling, Spa, Swim Up Bar, Tennis, Water Feature, Wifi (Paid)</v>
      </c>
      <c r="AN201" s="139"/>
    </row>
    <row r="202">
      <c r="A202" s="118" t="s">
        <v>789</v>
      </c>
      <c r="B202" s="119">
        <v>90.0</v>
      </c>
      <c r="C202" s="134" t="s">
        <v>75</v>
      </c>
      <c r="D202" s="121">
        <v>5017.0</v>
      </c>
      <c r="E202" s="135">
        <f>IFERROR(__xludf.DUMMYFUNCTION("""COMPUTED_VALUE"""),6928.727348299999)</f>
        <v>6928.727348</v>
      </c>
      <c r="F202" s="136">
        <v>1.99</v>
      </c>
      <c r="G202" s="124">
        <v>8863.0</v>
      </c>
      <c r="H202" s="125">
        <v>6179.0</v>
      </c>
      <c r="I202" s="125">
        <v>1662.0</v>
      </c>
      <c r="J202" s="125">
        <v>526.0</v>
      </c>
      <c r="K202" s="125">
        <v>281.0</v>
      </c>
      <c r="L202" s="125">
        <v>218.0</v>
      </c>
      <c r="M202" s="126">
        <v>90.0</v>
      </c>
      <c r="N202" s="127">
        <v>90.0</v>
      </c>
      <c r="O202" s="146"/>
      <c r="P202" s="146"/>
      <c r="Q202" s="135" t="b">
        <v>1</v>
      </c>
      <c r="R202" s="133"/>
      <c r="S202" s="133">
        <v>7.0</v>
      </c>
      <c r="T202" s="133"/>
      <c r="U202" s="133">
        <v>4.0</v>
      </c>
      <c r="V202" s="129"/>
      <c r="W202" s="130" t="s">
        <v>84</v>
      </c>
      <c r="X202" s="130" t="s">
        <v>122</v>
      </c>
      <c r="Y202" s="130" t="s">
        <v>123</v>
      </c>
      <c r="Z202" s="131" t="b">
        <v>1</v>
      </c>
      <c r="AA202" s="131">
        <v>0.027083333333333334</v>
      </c>
      <c r="AB202" s="129"/>
      <c r="AC202" s="130" t="s">
        <v>394</v>
      </c>
      <c r="AD202" s="130" t="s">
        <v>790</v>
      </c>
      <c r="AE202" s="130"/>
      <c r="AF202" s="132" t="s">
        <v>318</v>
      </c>
      <c r="AG202" s="133" t="b">
        <v>0</v>
      </c>
      <c r="AH202" s="133">
        <v>137.0</v>
      </c>
      <c r="AI202" s="133">
        <v>1995.0</v>
      </c>
      <c r="AJ202" s="133"/>
      <c r="AK202" s="133">
        <v>4.0</v>
      </c>
      <c r="AL202" s="129" t="str">
        <f>IFERROR(__xludf.DUMMYFUNCTION("""COMPUTED_VALUE"""),"Family, Quiet")</f>
        <v>Family, Quiet</v>
      </c>
      <c r="AM202" s="129" t="str">
        <f>IFERROR(__xludf.DUMMYFUNCTION("""COMPUTED_VALUE"""),"2 Bedroom Suites, Babysitting, Beach, Evening Entertainment, Family Suite, Fishing, Golf Course, Gym, Heated Pool, Horseback Riding, Kids Club, Room Service, Spa, Swim Up Bar, Yoga Classes")</f>
        <v>2 Bedroom Suites, Babysitting, Beach, Evening Entertainment, Family Suite, Fishing, Golf Course, Gym, Heated Pool, Horseback Riding, Kids Club, Room Service, Spa, Swim Up Bar, Yoga Classes</v>
      </c>
      <c r="AN202" s="139"/>
    </row>
    <row r="203">
      <c r="A203" s="118" t="s">
        <v>791</v>
      </c>
      <c r="B203" s="119">
        <v>90.0</v>
      </c>
      <c r="C203" s="134" t="s">
        <v>75</v>
      </c>
      <c r="D203" s="121">
        <v>5726.38</v>
      </c>
      <c r="E203" s="135">
        <f>IFERROR(__xludf.DUMMYFUNCTION("""COMPUTED_VALUE"""),7908.416526361999)</f>
        <v>7908.416526</v>
      </c>
      <c r="F203" s="136">
        <v>1.75</v>
      </c>
      <c r="G203" s="124">
        <v>8572.0</v>
      </c>
      <c r="H203" s="125">
        <v>5407.0</v>
      </c>
      <c r="I203" s="125">
        <v>1907.0</v>
      </c>
      <c r="J203" s="125">
        <v>728.0</v>
      </c>
      <c r="K203" s="125">
        <v>289.0</v>
      </c>
      <c r="L203" s="125">
        <v>242.0</v>
      </c>
      <c r="M203" s="126">
        <v>88.0</v>
      </c>
      <c r="N203" s="127">
        <v>96.0</v>
      </c>
      <c r="O203" s="146"/>
      <c r="P203" s="127">
        <v>86.0</v>
      </c>
      <c r="Q203" s="135" t="b">
        <v>1</v>
      </c>
      <c r="R203" s="133"/>
      <c r="S203" s="133">
        <v>6.0</v>
      </c>
      <c r="T203" s="133"/>
      <c r="U203" s="133">
        <v>5.0</v>
      </c>
      <c r="V203" s="130"/>
      <c r="W203" s="130" t="s">
        <v>84</v>
      </c>
      <c r="X203" s="130" t="s">
        <v>214</v>
      </c>
      <c r="Y203" s="130" t="s">
        <v>86</v>
      </c>
      <c r="Z203" s="131" t="b">
        <v>1</v>
      </c>
      <c r="AA203" s="131">
        <v>0.04652777777777778</v>
      </c>
      <c r="AB203" s="130" t="s">
        <v>215</v>
      </c>
      <c r="AC203" s="130" t="s">
        <v>792</v>
      </c>
      <c r="AD203" s="130" t="s">
        <v>793</v>
      </c>
      <c r="AE203" s="130" t="s">
        <v>396</v>
      </c>
      <c r="AF203" s="132" t="s">
        <v>373</v>
      </c>
      <c r="AG203" s="143" t="b">
        <v>0</v>
      </c>
      <c r="AH203" s="143"/>
      <c r="AI203" s="143"/>
      <c r="AJ203" s="143"/>
      <c r="AK203" s="143"/>
      <c r="AL203" s="129" t="str">
        <f>IFERROR(__xludf.DUMMYFUNCTION("""COMPUTED_VALUE"""),"Business, Green")</f>
        <v>Business, Green</v>
      </c>
      <c r="AM203" s="129" t="str">
        <f>IFERROR(__xludf.DUMMYFUNCTION("""COMPUTED_VALUE"""),"2 Bedroom Suites, Babysitting, Beach, Big Waterslides, Buffet, Diving, Evening Entertainment, Family Suite, Golf Course, Gym, Kids Club, Kids Waterpark, Lazy River, Spa, Swim Up Bar, Teen Club")</f>
        <v>2 Bedroom Suites, Babysitting, Beach, Big Waterslides, Buffet, Diving, Evening Entertainment, Family Suite, Golf Course, Gym, Kids Club, Kids Waterpark, Lazy River, Spa, Swim Up Bar, Teen Club</v>
      </c>
      <c r="AN203" s="139"/>
    </row>
    <row r="204">
      <c r="A204" s="118" t="s">
        <v>794</v>
      </c>
      <c r="B204" s="119">
        <v>90.0</v>
      </c>
      <c r="C204" s="134" t="s">
        <v>75</v>
      </c>
      <c r="D204" s="121">
        <v>8219.0</v>
      </c>
      <c r="E204" s="135">
        <f>IFERROR(__xludf.DUMMYFUNCTION("""COMPUTED_VALUE"""),11350.849128099999)</f>
        <v>11350.84913</v>
      </c>
      <c r="F204" s="136">
        <v>1.22</v>
      </c>
      <c r="G204" s="124">
        <v>6290.0</v>
      </c>
      <c r="H204" s="125">
        <v>5184.0</v>
      </c>
      <c r="I204" s="125">
        <v>659.0</v>
      </c>
      <c r="J204" s="125">
        <v>238.0</v>
      </c>
      <c r="K204" s="125">
        <v>111.0</v>
      </c>
      <c r="L204" s="125">
        <v>98.0</v>
      </c>
      <c r="M204" s="137">
        <v>94.0</v>
      </c>
      <c r="N204" s="138">
        <v>90.0</v>
      </c>
      <c r="O204" s="138"/>
      <c r="P204" s="138">
        <v>86.0</v>
      </c>
      <c r="Q204" s="135" t="b">
        <v>1</v>
      </c>
      <c r="R204" s="133">
        <v>4.0</v>
      </c>
      <c r="S204" s="133">
        <v>8.0</v>
      </c>
      <c r="T204" s="133"/>
      <c r="U204" s="133">
        <v>4.5</v>
      </c>
      <c r="V204" s="130"/>
      <c r="W204" s="130" t="s">
        <v>84</v>
      </c>
      <c r="X204" s="130" t="s">
        <v>795</v>
      </c>
      <c r="Y204" s="130" t="s">
        <v>86</v>
      </c>
      <c r="Z204" s="131" t="b">
        <v>1</v>
      </c>
      <c r="AA204" s="131">
        <v>0.018055555555555554</v>
      </c>
      <c r="AB204" s="130" t="s">
        <v>167</v>
      </c>
      <c r="AC204" s="130" t="s">
        <v>796</v>
      </c>
      <c r="AD204" s="130" t="s">
        <v>797</v>
      </c>
      <c r="AE204" s="130"/>
      <c r="AF204" s="132" t="s">
        <v>798</v>
      </c>
      <c r="AG204" s="133" t="b">
        <v>0</v>
      </c>
      <c r="AH204" s="133">
        <v>162.0</v>
      </c>
      <c r="AI204" s="133">
        <v>2013.0</v>
      </c>
      <c r="AJ204" s="143"/>
      <c r="AK204" s="133">
        <v>6.0</v>
      </c>
      <c r="AL204" s="129" t="str">
        <f>IFERROR(__xludf.DUMMYFUNCTION("""COMPUTED_VALUE"""),"Charming, Modern")</f>
        <v>Charming, Modern</v>
      </c>
      <c r="AM204" s="129" t="str">
        <f>IFERROR(__xludf.DUMMYFUNCTION("""COMPUTED_VALUE"""),"2 Bedroom Suites, Babysitting, Beach, Buffet, Evening Entertainment, Family Suite, Gym, Kids Club, Lazy River, Spa, Swim Out/Plunge Pool Rooms, Swim Up Bar")</f>
        <v>2 Bedroom Suites, Babysitting, Beach, Buffet, Evening Entertainment, Family Suite, Gym, Kids Club, Lazy River, Spa, Swim Out/Plunge Pool Rooms, Swim Up Bar</v>
      </c>
      <c r="AN204" s="139"/>
    </row>
    <row r="205">
      <c r="A205" s="118" t="s">
        <v>799</v>
      </c>
      <c r="B205" s="119">
        <v>90.0</v>
      </c>
      <c r="C205" s="134" t="s">
        <v>75</v>
      </c>
      <c r="D205" s="121">
        <v>8551.68</v>
      </c>
      <c r="E205" s="135">
        <f>IFERROR(__xludf.DUMMYFUNCTION("""COMPUTED_VALUE"""),11810.296808832)</f>
        <v>11810.29681</v>
      </c>
      <c r="F205" s="136">
        <v>1.17</v>
      </c>
      <c r="G205" s="124">
        <v>22158.0</v>
      </c>
      <c r="H205" s="125">
        <v>14030.0</v>
      </c>
      <c r="I205" s="125">
        <v>4992.0</v>
      </c>
      <c r="J205" s="125">
        <v>1819.0</v>
      </c>
      <c r="K205" s="125">
        <v>813.0</v>
      </c>
      <c r="L205" s="125">
        <v>506.0</v>
      </c>
      <c r="M205" s="126">
        <v>88.0</v>
      </c>
      <c r="N205" s="127">
        <v>92.0</v>
      </c>
      <c r="O205" s="146"/>
      <c r="P205" s="146"/>
      <c r="Q205" s="135" t="b">
        <v>1</v>
      </c>
      <c r="R205" s="133"/>
      <c r="S205" s="143">
        <v>7.0</v>
      </c>
      <c r="T205" s="133"/>
      <c r="U205" s="133">
        <v>4.0</v>
      </c>
      <c r="V205" s="130"/>
      <c r="W205" s="130" t="s">
        <v>193</v>
      </c>
      <c r="X205" s="130" t="s">
        <v>195</v>
      </c>
      <c r="Y205" s="130" t="s">
        <v>195</v>
      </c>
      <c r="Z205" s="131" t="b">
        <v>1</v>
      </c>
      <c r="AA205" s="131">
        <v>0.004861111111111111</v>
      </c>
      <c r="AB205" s="130" t="s">
        <v>441</v>
      </c>
      <c r="AC205" s="130" t="s">
        <v>760</v>
      </c>
      <c r="AD205" s="130" t="s">
        <v>800</v>
      </c>
      <c r="AE205" s="130" t="s">
        <v>94</v>
      </c>
      <c r="AF205" s="132" t="s">
        <v>801</v>
      </c>
      <c r="AG205" s="143" t="b">
        <v>0</v>
      </c>
      <c r="AH205" s="143">
        <v>631.0</v>
      </c>
      <c r="AI205" s="143">
        <v>1981.0</v>
      </c>
      <c r="AJ205" s="143">
        <v>2023.0</v>
      </c>
      <c r="AK205" s="143">
        <v>3.0</v>
      </c>
      <c r="AL205" s="129" t="str">
        <f>IFERROR(__xludf.DUMMYFUNCTION("""COMPUTED_VALUE"""),"Bay View, Green")</f>
        <v>Bay View, Green</v>
      </c>
      <c r="AM205" s="129" t="str">
        <f>IFERROR(__xludf.DUMMYFUNCTION("""COMPUTED_VALUE"""),"2 Bedroom Suites, Adult Pool, Babysitting, Beach, Buffet, Diving, Evening Entertainment, Family Suite, Gym, Kids Club, Kids Club for Under 4, Kids Waterpark, Mini Golf, Nightclub, Spa, Teen Club, Tennis")</f>
        <v>2 Bedroom Suites, Adult Pool, Babysitting, Beach, Buffet, Diving, Evening Entertainment, Family Suite, Gym, Kids Club, Kids Club for Under 4, Kids Waterpark, Mini Golf, Nightclub, Spa, Teen Club, Tennis</v>
      </c>
      <c r="AN205" s="139"/>
    </row>
    <row r="206">
      <c r="A206" s="118" t="s">
        <v>802</v>
      </c>
      <c r="B206" s="119">
        <v>90.0</v>
      </c>
      <c r="C206" s="120" t="s">
        <v>68</v>
      </c>
      <c r="D206" s="121">
        <v>8652.0</v>
      </c>
      <c r="E206" s="122">
        <f>IFERROR(__xludf.DUMMYFUNCTION("""COMPUTED_VALUE"""),11948.843734799999)</f>
        <v>11948.84373</v>
      </c>
      <c r="F206" s="136">
        <v>1.16</v>
      </c>
      <c r="G206" s="124">
        <v>2756.0</v>
      </c>
      <c r="H206" s="125">
        <v>2192.0</v>
      </c>
      <c r="I206" s="125">
        <v>272.0</v>
      </c>
      <c r="J206" s="125">
        <v>151.0</v>
      </c>
      <c r="K206" s="125">
        <v>75.0</v>
      </c>
      <c r="L206" s="125">
        <v>70.0</v>
      </c>
      <c r="M206" s="126">
        <v>92.0</v>
      </c>
      <c r="N206" s="127">
        <v>90.0</v>
      </c>
      <c r="O206" s="127">
        <v>86.0</v>
      </c>
      <c r="P206" s="127">
        <v>92.0</v>
      </c>
      <c r="Q206" s="122" t="b">
        <v>1</v>
      </c>
      <c r="R206" s="133">
        <v>5.0</v>
      </c>
      <c r="S206" s="133">
        <v>9.0</v>
      </c>
      <c r="T206" s="133" t="s">
        <v>314</v>
      </c>
      <c r="U206" s="133">
        <v>4.5</v>
      </c>
      <c r="V206" s="129"/>
      <c r="W206" s="130" t="s">
        <v>84</v>
      </c>
      <c r="X206" s="130" t="s">
        <v>85</v>
      </c>
      <c r="Y206" s="130" t="s">
        <v>86</v>
      </c>
      <c r="Z206" s="131" t="b">
        <v>1</v>
      </c>
      <c r="AA206" s="131">
        <v>0.030555555555555555</v>
      </c>
      <c r="AB206" s="130" t="s">
        <v>50</v>
      </c>
      <c r="AC206" s="130" t="s">
        <v>103</v>
      </c>
      <c r="AD206" s="130" t="s">
        <v>803</v>
      </c>
      <c r="AE206" s="129"/>
      <c r="AF206" s="132"/>
      <c r="AG206" s="133" t="b">
        <v>1</v>
      </c>
      <c r="AH206" s="133">
        <v>485.0</v>
      </c>
      <c r="AI206" s="133">
        <v>2021.0</v>
      </c>
      <c r="AJ206" s="143"/>
      <c r="AK206" s="133">
        <v>8.0</v>
      </c>
      <c r="AL206" s="129" t="str">
        <f>IFERROR(__xludf.DUMMYFUNCTION("""COMPUTED_VALUE"""),"Business, Luxury")</f>
        <v>Business, Luxury</v>
      </c>
      <c r="AM206" s="129" t="str">
        <f>IFERROR(__xludf.DUMMYFUNCTION("""COMPUTED_VALUE"""),"Beach, Buffet, Evening Entertainment, Great Food, Gym, Heated Pool, Nightclub, Room Service, Spa, Swim Out/Plunge Pool Rooms, Swim Up Bar, Tennis, Wifi (Free), Yoga Classes")</f>
        <v>Beach, Buffet, Evening Entertainment, Great Food, Gym, Heated Pool, Nightclub, Room Service, Spa, Swim Out/Plunge Pool Rooms, Swim Up Bar, Tennis, Wifi (Free), Yoga Classes</v>
      </c>
      <c r="AN206" s="128"/>
    </row>
    <row r="207">
      <c r="A207" s="118" t="s">
        <v>804</v>
      </c>
      <c r="B207" s="119">
        <v>89.8</v>
      </c>
      <c r="C207" s="134" t="s">
        <v>75</v>
      </c>
      <c r="D207" s="121">
        <v>3590.72</v>
      </c>
      <c r="E207" s="135">
        <f>IFERROR(__xludf.DUMMYFUNCTION("""COMPUTED_VALUE"""),4958.963496927999)</f>
        <v>4958.963497</v>
      </c>
      <c r="F207" s="136">
        <v>2.73</v>
      </c>
      <c r="G207" s="124">
        <v>25277.0</v>
      </c>
      <c r="H207" s="125">
        <v>16549.0</v>
      </c>
      <c r="I207" s="125">
        <v>5659.0</v>
      </c>
      <c r="J207" s="125">
        <v>1839.0</v>
      </c>
      <c r="K207" s="125">
        <v>699.0</v>
      </c>
      <c r="L207" s="125">
        <v>540.0</v>
      </c>
      <c r="M207" s="126">
        <v>89.0</v>
      </c>
      <c r="N207" s="127">
        <v>96.0</v>
      </c>
      <c r="O207" s="127">
        <v>86.0</v>
      </c>
      <c r="P207" s="127">
        <v>88.0</v>
      </c>
      <c r="Q207" s="135" t="b">
        <v>1</v>
      </c>
      <c r="R207" s="133"/>
      <c r="S207" s="143">
        <v>8.0</v>
      </c>
      <c r="T207" s="133"/>
      <c r="U207" s="133">
        <v>5.0</v>
      </c>
      <c r="V207" s="130"/>
      <c r="W207" s="130" t="s">
        <v>193</v>
      </c>
      <c r="X207" s="130" t="s">
        <v>225</v>
      </c>
      <c r="Y207" s="130" t="s">
        <v>195</v>
      </c>
      <c r="Z207" s="131" t="b">
        <v>1</v>
      </c>
      <c r="AA207" s="131">
        <v>0.018055555555555554</v>
      </c>
      <c r="AB207" s="130" t="s">
        <v>525</v>
      </c>
      <c r="AC207" s="130" t="s">
        <v>354</v>
      </c>
      <c r="AD207" s="130" t="s">
        <v>805</v>
      </c>
      <c r="AE207" s="130"/>
      <c r="AF207" s="132" t="s">
        <v>126</v>
      </c>
      <c r="AG207" s="143" t="b">
        <v>0</v>
      </c>
      <c r="AH207" s="143">
        <v>658.0</v>
      </c>
      <c r="AI207" s="143">
        <v>2005.0</v>
      </c>
      <c r="AJ207" s="143">
        <v>2017.0</v>
      </c>
      <c r="AK207" s="143">
        <v>4.0</v>
      </c>
      <c r="AL207" s="129" t="str">
        <f>IFERROR(__xludf.DUMMYFUNCTION("""COMPUTED_VALUE"""),"Great View, Romantic")</f>
        <v>Great View, Romantic</v>
      </c>
      <c r="AM207" s="129" t="str">
        <f>IFERROR(__xludf.DUMMYFUNCTION("""COMPUTED_VALUE"""),"Adult Pool, Adults Only Rooms, Babysitting, Beach, Buffet, Casino, Diving, Evening Entertainment, Gym, Kids Club, Kids Waterpark, Nightclub, Pool Slide, Spa, Swim Out/Plunge Pool Rooms, Swim Up Bar, Tennis, Water Feature")</f>
        <v>Adult Pool, Adults Only Rooms, Babysitting, Beach, Buffet, Casino, Diving, Evening Entertainment, Gym, Kids Club, Kids Waterpark, Nightclub, Pool Slide, Spa, Swim Out/Plunge Pool Rooms, Swim Up Bar, Tennis, Water Feature</v>
      </c>
      <c r="AN207" s="139"/>
    </row>
    <row r="208">
      <c r="A208" s="118" t="s">
        <v>806</v>
      </c>
      <c r="B208" s="119">
        <v>89.8</v>
      </c>
      <c r="C208" s="120" t="s">
        <v>68</v>
      </c>
      <c r="D208" s="121">
        <v>3776.0</v>
      </c>
      <c r="E208" s="122">
        <f>IFERROR(__xludf.DUMMYFUNCTION("""COMPUTED_VALUE"""),5214.8444223999995)</f>
        <v>5214.844422</v>
      </c>
      <c r="F208" s="136">
        <v>2.6</v>
      </c>
      <c r="G208" s="124">
        <v>17640.0</v>
      </c>
      <c r="H208" s="125">
        <v>12764.0</v>
      </c>
      <c r="I208" s="125">
        <v>2797.0</v>
      </c>
      <c r="J208" s="125">
        <v>1089.0</v>
      </c>
      <c r="K208" s="125">
        <v>583.0</v>
      </c>
      <c r="L208" s="125">
        <v>406.0</v>
      </c>
      <c r="M208" s="126">
        <v>91.0</v>
      </c>
      <c r="N208" s="127">
        <v>90.0</v>
      </c>
      <c r="O208" s="127">
        <v>90.0</v>
      </c>
      <c r="P208" s="138">
        <v>88.0</v>
      </c>
      <c r="Q208" s="122" t="b">
        <v>1</v>
      </c>
      <c r="R208" s="133"/>
      <c r="S208" s="133">
        <v>9.0</v>
      </c>
      <c r="T208" s="133"/>
      <c r="U208" s="133">
        <v>5.0</v>
      </c>
      <c r="V208" s="129"/>
      <c r="W208" s="130" t="s">
        <v>84</v>
      </c>
      <c r="X208" s="130" t="s">
        <v>85</v>
      </c>
      <c r="Y208" s="130" t="s">
        <v>86</v>
      </c>
      <c r="Z208" s="131" t="b">
        <v>1</v>
      </c>
      <c r="AA208" s="131">
        <v>0.019444444444444445</v>
      </c>
      <c r="AB208" s="130" t="s">
        <v>662</v>
      </c>
      <c r="AC208" s="130" t="s">
        <v>186</v>
      </c>
      <c r="AD208" s="130" t="s">
        <v>807</v>
      </c>
      <c r="AE208" s="129"/>
      <c r="AF208" s="132"/>
      <c r="AG208" s="133" t="b">
        <v>0</v>
      </c>
      <c r="AH208" s="133">
        <v>478.0</v>
      </c>
      <c r="AI208" s="133">
        <v>2000.0</v>
      </c>
      <c r="AJ208" s="143"/>
      <c r="AK208" s="133">
        <v>3.0</v>
      </c>
      <c r="AL208" s="129" t="str">
        <f>IFERROR(__xludf.DUMMYFUNCTION("""COMPUTED_VALUE"""),"Bay View, Green")</f>
        <v>Bay View, Green</v>
      </c>
      <c r="AM208" s="129" t="str">
        <f>IFERROR(__xludf.DUMMYFUNCTION("""COMPUTED_VALUE"""),"Beach, Buffet, Evening Entertainment, Fishing, Great Beach, Gym, Lazy River, Nightclub, Room Service, Spa, Swim Out/Plunge Pool Rooms, Swim Up Bar, Tennis, Wifi (Free)")</f>
        <v>Beach, Buffet, Evening Entertainment, Fishing, Great Beach, Gym, Lazy River, Nightclub, Room Service, Spa, Swim Out/Plunge Pool Rooms, Swim Up Bar, Tennis, Wifi (Free)</v>
      </c>
      <c r="AN208" s="128"/>
    </row>
    <row r="209">
      <c r="A209" s="118" t="s">
        <v>808</v>
      </c>
      <c r="B209" s="119">
        <v>89.8</v>
      </c>
      <c r="C209" s="120" t="s">
        <v>68</v>
      </c>
      <c r="D209" s="121">
        <v>5147.0</v>
      </c>
      <c r="E209" s="122">
        <f>IFERROR(__xludf.DUMMYFUNCTION("""COMPUTED_VALUE"""),7108.263835299999)</f>
        <v>7108.263835</v>
      </c>
      <c r="F209" s="136">
        <v>1.9</v>
      </c>
      <c r="G209" s="124">
        <v>18184.0</v>
      </c>
      <c r="H209" s="125">
        <v>14117.0</v>
      </c>
      <c r="I209" s="125">
        <v>2414.0</v>
      </c>
      <c r="J209" s="125">
        <v>949.0</v>
      </c>
      <c r="K209" s="125">
        <v>362.0</v>
      </c>
      <c r="L209" s="125">
        <v>346.0</v>
      </c>
      <c r="M209" s="126">
        <v>93.0</v>
      </c>
      <c r="N209" s="138">
        <v>90.0</v>
      </c>
      <c r="O209" s="138">
        <v>90.0</v>
      </c>
      <c r="P209" s="127">
        <v>86.0</v>
      </c>
      <c r="Q209" s="122" t="b">
        <v>1</v>
      </c>
      <c r="R209" s="133"/>
      <c r="S209" s="133">
        <v>9.0</v>
      </c>
      <c r="T209" s="133" t="s">
        <v>492</v>
      </c>
      <c r="U209" s="133">
        <v>5.0</v>
      </c>
      <c r="V209" s="129"/>
      <c r="W209" s="130" t="s">
        <v>84</v>
      </c>
      <c r="X209" s="130" t="s">
        <v>86</v>
      </c>
      <c r="Y209" s="130" t="s">
        <v>86</v>
      </c>
      <c r="Z209" s="131" t="b">
        <v>1</v>
      </c>
      <c r="AA209" s="131">
        <v>0.013888888888888888</v>
      </c>
      <c r="AB209" s="130" t="s">
        <v>50</v>
      </c>
      <c r="AC209" s="130" t="s">
        <v>809</v>
      </c>
      <c r="AD209" s="130" t="s">
        <v>810</v>
      </c>
      <c r="AE209" s="129"/>
      <c r="AF209" s="132"/>
      <c r="AG209" s="133" t="b">
        <v>1</v>
      </c>
      <c r="AH209" s="133">
        <v>497.0</v>
      </c>
      <c r="AI209" s="133">
        <v>2012.0</v>
      </c>
      <c r="AJ209" s="133">
        <v>2020.0</v>
      </c>
      <c r="AK209" s="133">
        <v>18.0</v>
      </c>
      <c r="AL209" s="129" t="str">
        <f>IFERROR(__xludf.DUMMYFUNCTION("""COMPUTED_VALUE"""),"Modern, Ocean View")</f>
        <v>Modern, Ocean View</v>
      </c>
      <c r="AM209" s="129" t="str">
        <f>IFERROR(__xludf.DUMMYFUNCTION("""COMPUTED_VALUE"""),"Beach, Buffet, Diving, Evening Entertainment, Great Food, Gym, Heated Pool, Nightclub, Room Service, Spa, Wifi (Free)")</f>
        <v>Beach, Buffet, Diving, Evening Entertainment, Great Food, Gym, Heated Pool, Nightclub, Room Service, Spa, Wifi (Free)</v>
      </c>
      <c r="AN209" s="128"/>
    </row>
    <row r="210">
      <c r="A210" s="118" t="s">
        <v>811</v>
      </c>
      <c r="B210" s="119">
        <v>89.7</v>
      </c>
      <c r="C210" s="120" t="s">
        <v>68</v>
      </c>
      <c r="D210" s="121">
        <v>2100.84</v>
      </c>
      <c r="E210" s="122">
        <f>IFERROR(__xludf.DUMMYFUNCTION("""COMPUTED_VALUE"""),2901.3648719159996)</f>
        <v>2901.364872</v>
      </c>
      <c r="F210" s="136">
        <v>4.62</v>
      </c>
      <c r="G210" s="124">
        <v>4158.0</v>
      </c>
      <c r="H210" s="125">
        <v>2317.0</v>
      </c>
      <c r="I210" s="125">
        <v>1021.0</v>
      </c>
      <c r="J210" s="125">
        <v>494.0</v>
      </c>
      <c r="K210" s="125">
        <v>169.0</v>
      </c>
      <c r="L210" s="125">
        <v>157.0</v>
      </c>
      <c r="M210" s="126">
        <v>85.0</v>
      </c>
      <c r="N210" s="127">
        <v>96.0</v>
      </c>
      <c r="O210" s="127"/>
      <c r="P210" s="127">
        <v>88.0</v>
      </c>
      <c r="Q210" s="122" t="b">
        <v>1</v>
      </c>
      <c r="R210" s="133"/>
      <c r="S210" s="143">
        <v>7.0</v>
      </c>
      <c r="T210" s="133"/>
      <c r="U210" s="133">
        <v>5.0</v>
      </c>
      <c r="V210" s="129"/>
      <c r="W210" s="130" t="s">
        <v>193</v>
      </c>
      <c r="X210" s="130" t="s">
        <v>812</v>
      </c>
      <c r="Y210" s="130" t="s">
        <v>195</v>
      </c>
      <c r="Z210" s="131" t="b">
        <v>1</v>
      </c>
      <c r="AA210" s="131">
        <v>0.05277777777777778</v>
      </c>
      <c r="AB210" s="130" t="s">
        <v>753</v>
      </c>
      <c r="AC210" s="130" t="s">
        <v>813</v>
      </c>
      <c r="AD210" s="130" t="s">
        <v>814</v>
      </c>
      <c r="AE210" s="129"/>
      <c r="AF210" s="132"/>
      <c r="AG210" s="143" t="b">
        <v>0</v>
      </c>
      <c r="AH210" s="143">
        <v>412.0</v>
      </c>
      <c r="AI210" s="143">
        <v>2013.0</v>
      </c>
      <c r="AJ210" s="143"/>
      <c r="AK210" s="143">
        <v>3.0</v>
      </c>
      <c r="AL210" s="129" t="str">
        <f>IFERROR(__xludf.DUMMYFUNCTION("""COMPUTED_VALUE"""),"Bay View, Modern")</f>
        <v>Bay View, Modern</v>
      </c>
      <c r="AM210" s="129" t="str">
        <f>IFERROR(__xludf.DUMMYFUNCTION("""COMPUTED_VALUE"""),"Beach, Buffet, Casino, Evening Entertainment, Golf Course, Gym, Nightclub, Spa, Swim Up Bar, Tennis")</f>
        <v>Beach, Buffet, Casino, Evening Entertainment, Golf Course, Gym, Nightclub, Spa, Swim Up Bar, Tennis</v>
      </c>
      <c r="AN210" s="128"/>
    </row>
    <row r="211" hidden="1">
      <c r="A211" s="118" t="s">
        <v>815</v>
      </c>
      <c r="B211" s="119">
        <v>90.0</v>
      </c>
      <c r="C211" s="120" t="s">
        <v>68</v>
      </c>
      <c r="D211" s="121"/>
      <c r="E211" s="122"/>
      <c r="F211" s="136"/>
      <c r="G211" s="124">
        <v>1117.0</v>
      </c>
      <c r="H211" s="133"/>
      <c r="I211" s="133"/>
      <c r="J211" s="133"/>
      <c r="K211" s="133"/>
      <c r="L211" s="133"/>
      <c r="M211" s="137"/>
      <c r="N211" s="138">
        <v>90.0</v>
      </c>
      <c r="O211" s="127"/>
      <c r="P211" s="127"/>
      <c r="Q211" s="122" t="b">
        <v>1</v>
      </c>
      <c r="R211" s="128"/>
      <c r="S211" s="128"/>
      <c r="T211" s="128"/>
      <c r="U211" s="128"/>
      <c r="V211" s="130" t="s">
        <v>118</v>
      </c>
      <c r="W211" s="130" t="s">
        <v>276</v>
      </c>
      <c r="X211" s="129"/>
      <c r="Y211" s="129"/>
      <c r="Z211" s="145" t="b">
        <v>0</v>
      </c>
      <c r="AA211" s="145"/>
      <c r="AB211" s="130"/>
      <c r="AC211" s="129"/>
      <c r="AD211" s="129"/>
      <c r="AE211" s="129"/>
      <c r="AF211" s="132"/>
      <c r="AG211" s="128" t="b">
        <v>0</v>
      </c>
      <c r="AH211" s="128"/>
      <c r="AI211" s="128"/>
      <c r="AJ211" s="128"/>
      <c r="AK211" s="128"/>
      <c r="AL211" s="129"/>
      <c r="AM211" s="129"/>
      <c r="AN211" s="128"/>
    </row>
    <row r="212" hidden="1">
      <c r="A212" s="118" t="s">
        <v>816</v>
      </c>
      <c r="B212" s="119">
        <v>90.0</v>
      </c>
      <c r="C212" s="134" t="s">
        <v>75</v>
      </c>
      <c r="D212" s="142"/>
      <c r="E212" s="122"/>
      <c r="F212" s="136"/>
      <c r="G212" s="152"/>
      <c r="H212" s="143"/>
      <c r="I212" s="143"/>
      <c r="J212" s="143"/>
      <c r="K212" s="143"/>
      <c r="L212" s="143"/>
      <c r="M212" s="126"/>
      <c r="N212" s="138">
        <v>88.0</v>
      </c>
      <c r="O212" s="138">
        <v>92.0</v>
      </c>
      <c r="P212" s="127"/>
      <c r="Q212" s="126" t="b">
        <v>1</v>
      </c>
      <c r="R212" s="128"/>
      <c r="S212" s="128"/>
      <c r="T212" s="128"/>
      <c r="U212" s="128"/>
      <c r="V212" s="130" t="s">
        <v>118</v>
      </c>
      <c r="W212" s="130" t="s">
        <v>84</v>
      </c>
      <c r="X212" s="129"/>
      <c r="Y212" s="129"/>
      <c r="Z212" s="145" t="b">
        <v>0</v>
      </c>
      <c r="AA212" s="145"/>
      <c r="AB212" s="130"/>
      <c r="AC212" s="130"/>
      <c r="AD212" s="129"/>
      <c r="AE212" s="129"/>
      <c r="AF212" s="132"/>
      <c r="AG212" s="128" t="b">
        <v>0</v>
      </c>
      <c r="AH212" s="128"/>
      <c r="AI212" s="128"/>
      <c r="AJ212" s="128"/>
      <c r="AK212" s="128"/>
      <c r="AL212" s="129"/>
      <c r="AM212" s="129"/>
      <c r="AN212" s="139"/>
    </row>
    <row r="213">
      <c r="A213" s="118" t="s">
        <v>817</v>
      </c>
      <c r="B213" s="119">
        <v>89.7</v>
      </c>
      <c r="C213" s="134" t="s">
        <v>75</v>
      </c>
      <c r="D213" s="121">
        <v>3353.0</v>
      </c>
      <c r="E213" s="135">
        <f>IFERROR(__xludf.DUMMYFUNCTION("""COMPUTED_VALUE"""),4630.6603147)</f>
        <v>4630.660315</v>
      </c>
      <c r="F213" s="136">
        <v>2.89</v>
      </c>
      <c r="G213" s="124">
        <v>10441.0</v>
      </c>
      <c r="H213" s="125">
        <v>7377.0</v>
      </c>
      <c r="I213" s="125">
        <v>1612.0</v>
      </c>
      <c r="J213" s="125">
        <v>721.0</v>
      </c>
      <c r="K213" s="125">
        <v>371.0</v>
      </c>
      <c r="L213" s="125">
        <v>360.0</v>
      </c>
      <c r="M213" s="126">
        <v>89.0</v>
      </c>
      <c r="N213" s="127">
        <v>96.0</v>
      </c>
      <c r="O213" s="146"/>
      <c r="P213" s="127">
        <v>84.0</v>
      </c>
      <c r="Q213" s="135" t="b">
        <v>1</v>
      </c>
      <c r="R213" s="133"/>
      <c r="S213" s="133">
        <v>7.0</v>
      </c>
      <c r="T213" s="133"/>
      <c r="U213" s="133">
        <v>4.5</v>
      </c>
      <c r="V213" s="130"/>
      <c r="W213" s="130" t="s">
        <v>84</v>
      </c>
      <c r="X213" s="130" t="s">
        <v>411</v>
      </c>
      <c r="Y213" s="130" t="s">
        <v>86</v>
      </c>
      <c r="Z213" s="131" t="b">
        <v>1</v>
      </c>
      <c r="AA213" s="131">
        <v>0.04236111111111111</v>
      </c>
      <c r="AB213" s="130" t="s">
        <v>362</v>
      </c>
      <c r="AC213" s="130" t="s">
        <v>818</v>
      </c>
      <c r="AD213" s="130" t="s">
        <v>819</v>
      </c>
      <c r="AE213" s="130"/>
      <c r="AF213" s="132" t="s">
        <v>373</v>
      </c>
      <c r="AG213" s="133" t="b">
        <v>0</v>
      </c>
      <c r="AH213" s="133">
        <v>414.0</v>
      </c>
      <c r="AI213" s="133"/>
      <c r="AJ213" s="133">
        <v>2014.0</v>
      </c>
      <c r="AK213" s="133">
        <v>3.0</v>
      </c>
      <c r="AL213" s="129" t="str">
        <f>IFERROR(__xludf.DUMMYFUNCTION("""COMPUTED_VALUE"""),"Green")</f>
        <v>Green</v>
      </c>
      <c r="AM213" s="129" t="str">
        <f>IFERROR(__xludf.DUMMYFUNCTION("""COMPUTED_VALUE"""),"Adult Pool, Babysitting, Beach, Buffet, Diving, Evening Entertainment, Fishing, Flowrider, Gym, Kids Club, Kids Waterpark, Mini Golf, Nightclub, Pool Slide, Snorkelling, Spa, Swim Out/Plunge Pool Rooms, Swim Up Bar, Tennis, Water Feature, Wifi (Paid)")</f>
        <v>Adult Pool, Babysitting, Beach, Buffet, Diving, Evening Entertainment, Fishing, Flowrider, Gym, Kids Club, Kids Waterpark, Mini Golf, Nightclub, Pool Slide, Snorkelling, Spa, Swim Out/Plunge Pool Rooms, Swim Up Bar, Tennis, Water Feature, Wifi (Paid)</v>
      </c>
      <c r="AN213" s="139"/>
    </row>
    <row r="214">
      <c r="A214" s="118" t="s">
        <v>820</v>
      </c>
      <c r="B214" s="119">
        <v>89.7</v>
      </c>
      <c r="C214" s="134" t="s">
        <v>75</v>
      </c>
      <c r="D214" s="121">
        <v>3430.78</v>
      </c>
      <c r="E214" s="135">
        <f>IFERROR(__xludf.DUMMYFUNCTION("""COMPUTED_VALUE"""),4738.078375921999)</f>
        <v>4738.078376</v>
      </c>
      <c r="F214" s="136">
        <v>2.83</v>
      </c>
      <c r="G214" s="124">
        <v>10792.0</v>
      </c>
      <c r="H214" s="125">
        <v>7852.0</v>
      </c>
      <c r="I214" s="125">
        <v>1776.0</v>
      </c>
      <c r="J214" s="125">
        <v>697.0</v>
      </c>
      <c r="K214" s="125">
        <v>265.0</v>
      </c>
      <c r="L214" s="125">
        <v>209.0</v>
      </c>
      <c r="M214" s="126">
        <v>91.0</v>
      </c>
      <c r="N214" s="127">
        <v>92.0</v>
      </c>
      <c r="O214" s="146"/>
      <c r="P214" s="127">
        <v>86.0</v>
      </c>
      <c r="Q214" s="135" t="b">
        <v>1</v>
      </c>
      <c r="R214" s="133"/>
      <c r="S214" s="133">
        <v>6.0</v>
      </c>
      <c r="T214" s="133"/>
      <c r="U214" s="133">
        <v>5.0</v>
      </c>
      <c r="V214" s="130"/>
      <c r="W214" s="130" t="s">
        <v>84</v>
      </c>
      <c r="X214" s="130" t="s">
        <v>86</v>
      </c>
      <c r="Y214" s="147" t="s">
        <v>86</v>
      </c>
      <c r="Z214" s="131" t="b">
        <v>1</v>
      </c>
      <c r="AA214" s="131">
        <v>0.014583333333333334</v>
      </c>
      <c r="AB214" s="130" t="s">
        <v>821</v>
      </c>
      <c r="AC214" s="130" t="s">
        <v>822</v>
      </c>
      <c r="AD214" s="130" t="s">
        <v>823</v>
      </c>
      <c r="AE214" s="130"/>
      <c r="AF214" s="132" t="s">
        <v>824</v>
      </c>
      <c r="AG214" s="133" t="b">
        <v>1</v>
      </c>
      <c r="AH214" s="133">
        <v>340.0</v>
      </c>
      <c r="AI214" s="133">
        <v>2000.0</v>
      </c>
      <c r="AJ214" s="143"/>
      <c r="AK214" s="133">
        <v>8.0</v>
      </c>
      <c r="AL214" s="129" t="str">
        <f>IFERROR(__xludf.DUMMYFUNCTION("""COMPUTED_VALUE"""),"Great View, Value")</f>
        <v>Great View, Value</v>
      </c>
      <c r="AM214" s="129" t="str">
        <f>IFERROR(__xludf.DUMMYFUNCTION("""COMPUTED_VALUE"""),"2 Bedroom Suites, Babysitting, Beach, Buffet, Diving, Family Suite, Fishing, Gym, Heated Pool, Kids Club, Snorkelling, Swim Up Bar, Tennis, Wifi (Free)")</f>
        <v>2 Bedroom Suites, Babysitting, Beach, Buffet, Diving, Family Suite, Fishing, Gym, Heated Pool, Kids Club, Snorkelling, Swim Up Bar, Tennis, Wifi (Free)</v>
      </c>
      <c r="AN214" s="139"/>
    </row>
    <row r="215">
      <c r="A215" s="118" t="s">
        <v>825</v>
      </c>
      <c r="B215" s="119">
        <v>89.7</v>
      </c>
      <c r="C215" s="134" t="s">
        <v>75</v>
      </c>
      <c r="D215" s="121">
        <v>3572.0</v>
      </c>
      <c r="E215" s="135">
        <f>IFERROR(__xludf.DUMMYFUNCTION("""COMPUTED_VALUE"""),4933.1102427999995)</f>
        <v>4933.110243</v>
      </c>
      <c r="F215" s="136">
        <v>2.72</v>
      </c>
      <c r="G215" s="124">
        <v>662.0</v>
      </c>
      <c r="H215" s="125">
        <v>462.0</v>
      </c>
      <c r="I215" s="125">
        <v>81.0</v>
      </c>
      <c r="J215" s="125">
        <v>44.0</v>
      </c>
      <c r="K215" s="125">
        <v>27.0</v>
      </c>
      <c r="L215" s="125">
        <v>48.0</v>
      </c>
      <c r="M215" s="126">
        <v>87.0</v>
      </c>
      <c r="N215" s="127">
        <v>94.0</v>
      </c>
      <c r="O215" s="146"/>
      <c r="P215" s="127">
        <v>88.0</v>
      </c>
      <c r="Q215" s="122" t="b">
        <v>1</v>
      </c>
      <c r="R215" s="128"/>
      <c r="S215" s="133">
        <v>7.0</v>
      </c>
      <c r="T215" s="133"/>
      <c r="U215" s="133">
        <v>4.0</v>
      </c>
      <c r="V215" s="129"/>
      <c r="W215" s="130" t="s">
        <v>84</v>
      </c>
      <c r="X215" s="130" t="s">
        <v>210</v>
      </c>
      <c r="Y215" s="130" t="s">
        <v>86</v>
      </c>
      <c r="Z215" s="131" t="b">
        <v>1</v>
      </c>
      <c r="AA215" s="131">
        <v>0.01875</v>
      </c>
      <c r="AB215" s="130" t="s">
        <v>87</v>
      </c>
      <c r="AC215" s="130" t="s">
        <v>236</v>
      </c>
      <c r="AD215" s="130" t="s">
        <v>826</v>
      </c>
      <c r="AE215" s="130" t="s">
        <v>94</v>
      </c>
      <c r="AF215" s="132" t="s">
        <v>181</v>
      </c>
      <c r="AG215" s="133" t="b">
        <v>0</v>
      </c>
      <c r="AH215" s="133">
        <v>94.0</v>
      </c>
      <c r="AI215" s="133">
        <v>2019.0</v>
      </c>
      <c r="AJ215" s="143"/>
      <c r="AK215" s="133">
        <v>7.0</v>
      </c>
      <c r="AL215" s="129" t="str">
        <f>IFERROR(__xludf.DUMMYFUNCTION("""COMPUTED_VALUE"""),"Charming, Romantic")</f>
        <v>Charming, Romantic</v>
      </c>
      <c r="AM215" s="129" t="str">
        <f>IFERROR(__xludf.DUMMYFUNCTION("""COMPUTED_VALUE"""),"2 Bedroom Suites, Beach, Bicycles Available, Diving, Family Suite, Fishing, Gym, Spa, Swim Out/Plunge Pool Rooms, Watersports Equipment Rentals, Wifi (Free), Windsurfing, Yoga Classes")</f>
        <v>2 Bedroom Suites, Beach, Bicycles Available, Diving, Family Suite, Fishing, Gym, Spa, Swim Out/Plunge Pool Rooms, Watersports Equipment Rentals, Wifi (Free), Windsurfing, Yoga Classes</v>
      </c>
      <c r="AN215" s="139"/>
    </row>
    <row r="216">
      <c r="A216" s="118" t="s">
        <v>827</v>
      </c>
      <c r="B216" s="119">
        <v>89.7</v>
      </c>
      <c r="C216" s="120" t="s">
        <v>68</v>
      </c>
      <c r="D216" s="121">
        <v>3870.0</v>
      </c>
      <c r="E216" s="122">
        <f>IFERROR(__xludf.DUMMYFUNCTION("""COMPUTED_VALUE"""),5344.663113)</f>
        <v>5344.663113</v>
      </c>
      <c r="F216" s="136">
        <v>2.51</v>
      </c>
      <c r="G216" s="124">
        <v>7763.0</v>
      </c>
      <c r="H216" s="125">
        <v>5010.0</v>
      </c>
      <c r="I216" s="125">
        <v>1754.0</v>
      </c>
      <c r="J216" s="125">
        <v>589.0</v>
      </c>
      <c r="K216" s="125">
        <v>273.0</v>
      </c>
      <c r="L216" s="125">
        <v>137.0</v>
      </c>
      <c r="M216" s="126">
        <v>89.0</v>
      </c>
      <c r="N216" s="127">
        <v>90.0</v>
      </c>
      <c r="O216" s="127"/>
      <c r="P216" s="127">
        <v>90.0</v>
      </c>
      <c r="Q216" s="122" t="b">
        <v>1</v>
      </c>
      <c r="R216" s="133"/>
      <c r="S216" s="133">
        <v>8.0</v>
      </c>
      <c r="T216" s="133"/>
      <c r="U216" s="133">
        <v>5.0</v>
      </c>
      <c r="V216" s="130" t="s">
        <v>148</v>
      </c>
      <c r="W216" s="130" t="s">
        <v>219</v>
      </c>
      <c r="X216" s="130" t="s">
        <v>220</v>
      </c>
      <c r="Y216" s="144" t="s">
        <v>221</v>
      </c>
      <c r="Z216" s="131" t="b">
        <v>1</v>
      </c>
      <c r="AA216" s="131">
        <v>0.05555555555555555</v>
      </c>
      <c r="AB216" s="130" t="s">
        <v>550</v>
      </c>
      <c r="AC216" s="130" t="s">
        <v>828</v>
      </c>
      <c r="AD216" s="130" t="s">
        <v>829</v>
      </c>
      <c r="AE216" s="129"/>
      <c r="AF216" s="132"/>
      <c r="AG216" s="133" t="b">
        <v>0</v>
      </c>
      <c r="AH216" s="133">
        <v>312.0</v>
      </c>
      <c r="AI216" s="133">
        <v>1990.0</v>
      </c>
      <c r="AJ216" s="133">
        <v>2013.0</v>
      </c>
      <c r="AK216" s="133">
        <v>3.0</v>
      </c>
      <c r="AL216" s="129" t="str">
        <f>IFERROR(__xludf.DUMMYFUNCTION("""COMPUTED_VALUE"""),"Great View, Green")</f>
        <v>Great View, Green</v>
      </c>
      <c r="AM216" s="129" t="str">
        <f>IFERROR(__xludf.DUMMYFUNCTION("""COMPUTED_VALUE"""),"Beach, Buffet, Diving, Evening Entertainment, Fishing, Great Beach, Gym, Nightclub, Snorkelling, Spa, Swim Up Bar, Tennis, Yoga Classes")</f>
        <v>Beach, Buffet, Diving, Evening Entertainment, Fishing, Great Beach, Gym, Nightclub, Snorkelling, Spa, Swim Up Bar, Tennis, Yoga Classes</v>
      </c>
      <c r="AN216" s="128"/>
    </row>
    <row r="217">
      <c r="A217" s="118" t="s">
        <v>830</v>
      </c>
      <c r="B217" s="119">
        <v>89.7</v>
      </c>
      <c r="C217" s="134" t="s">
        <v>75</v>
      </c>
      <c r="D217" s="121">
        <v>4708.0</v>
      </c>
      <c r="E217" s="135">
        <f>IFERROR(__xludf.DUMMYFUNCTION("""COMPUTED_VALUE"""),6501.9829291999995)</f>
        <v>6501.982929</v>
      </c>
      <c r="F217" s="136">
        <v>2.06</v>
      </c>
      <c r="G217" s="124">
        <v>10145.0</v>
      </c>
      <c r="H217" s="125">
        <v>7880.0</v>
      </c>
      <c r="I217" s="125">
        <v>1420.0</v>
      </c>
      <c r="J217" s="125">
        <v>440.0</v>
      </c>
      <c r="K217" s="125">
        <v>197.0</v>
      </c>
      <c r="L217" s="125">
        <v>208.0</v>
      </c>
      <c r="M217" s="126">
        <v>93.0</v>
      </c>
      <c r="N217" s="127">
        <v>94.0</v>
      </c>
      <c r="O217" s="127"/>
      <c r="P217" s="127">
        <v>82.0</v>
      </c>
      <c r="Q217" s="135" t="b">
        <v>1</v>
      </c>
      <c r="R217" s="133"/>
      <c r="S217" s="133" t="s">
        <v>83</v>
      </c>
      <c r="T217" s="133"/>
      <c r="U217" s="133">
        <v>5.0</v>
      </c>
      <c r="V217" s="130"/>
      <c r="W217" s="130" t="s">
        <v>193</v>
      </c>
      <c r="X217" s="130" t="s">
        <v>225</v>
      </c>
      <c r="Y217" s="130" t="s">
        <v>195</v>
      </c>
      <c r="Z217" s="131" t="b">
        <v>1</v>
      </c>
      <c r="AA217" s="131">
        <v>0.015277777777777777</v>
      </c>
      <c r="AB217" s="130" t="s">
        <v>328</v>
      </c>
      <c r="AC217" s="130" t="s">
        <v>831</v>
      </c>
      <c r="AD217" s="130" t="s">
        <v>832</v>
      </c>
      <c r="AE217" s="130"/>
      <c r="AF217" s="132" t="s">
        <v>373</v>
      </c>
      <c r="AG217" s="143" t="b">
        <v>0</v>
      </c>
      <c r="AH217" s="133">
        <v>190.0</v>
      </c>
      <c r="AI217" s="143"/>
      <c r="AJ217" s="133">
        <v>2024.0</v>
      </c>
      <c r="AK217" s="143"/>
      <c r="AL217" s="129" t="str">
        <f>IFERROR(__xludf.DUMMYFUNCTION("""COMPUTED_VALUE"""),"Business, Modern")</f>
        <v>Business, Modern</v>
      </c>
      <c r="AM217" s="129" t="str">
        <f>IFERROR(__xludf.DUMMYFUNCTION("""COMPUTED_VALUE"""),"2 Bedroom Suites, Beach, Buffet, Casino, Family Suite, Golf Course, Gym, Kids Club, Lazy River, Pool Slide, Spa, Swim Out/Plunge Pool Rooms, Swim Up Bar, Tennis, Water Feature, Watersports Equipment Rentals, Yoga Classes")</f>
        <v>2 Bedroom Suites, Beach, Buffet, Casino, Family Suite, Golf Course, Gym, Kids Club, Lazy River, Pool Slide, Spa, Swim Out/Plunge Pool Rooms, Swim Up Bar, Tennis, Water Feature, Watersports Equipment Rentals, Yoga Classes</v>
      </c>
      <c r="AN217" s="139"/>
    </row>
    <row r="218">
      <c r="A218" s="118" t="s">
        <v>833</v>
      </c>
      <c r="B218" s="119">
        <v>89.7</v>
      </c>
      <c r="C218" s="120" t="s">
        <v>68</v>
      </c>
      <c r="D218" s="121">
        <v>4794.0</v>
      </c>
      <c r="E218" s="122">
        <f>IFERROR(__xludf.DUMMYFUNCTION("""COMPUTED_VALUE"""),6620.7532206)</f>
        <v>6620.753221</v>
      </c>
      <c r="F218" s="136">
        <v>2.02</v>
      </c>
      <c r="G218" s="124">
        <v>1135.0</v>
      </c>
      <c r="H218" s="125">
        <v>841.0</v>
      </c>
      <c r="I218" s="125">
        <v>168.0</v>
      </c>
      <c r="J218" s="125">
        <v>68.0</v>
      </c>
      <c r="K218" s="125">
        <v>31.0</v>
      </c>
      <c r="L218" s="125">
        <v>28.0</v>
      </c>
      <c r="M218" s="126">
        <v>91.0</v>
      </c>
      <c r="N218" s="127">
        <v>92.0</v>
      </c>
      <c r="O218" s="127"/>
      <c r="P218" s="138">
        <v>86.0</v>
      </c>
      <c r="Q218" s="122" t="b">
        <v>1</v>
      </c>
      <c r="R218" s="133"/>
      <c r="S218" s="133" t="s">
        <v>83</v>
      </c>
      <c r="T218" s="133"/>
      <c r="U218" s="133">
        <v>4.5</v>
      </c>
      <c r="V218" s="130"/>
      <c r="W218" s="130" t="s">
        <v>84</v>
      </c>
      <c r="X218" s="130" t="s">
        <v>210</v>
      </c>
      <c r="Y218" s="130" t="s">
        <v>86</v>
      </c>
      <c r="Z218" s="131" t="b">
        <v>1</v>
      </c>
      <c r="AA218" s="131">
        <v>0.014583333333333334</v>
      </c>
      <c r="AB218" s="130" t="s">
        <v>607</v>
      </c>
      <c r="AC218" s="130" t="s">
        <v>115</v>
      </c>
      <c r="AD218" s="130" t="s">
        <v>834</v>
      </c>
      <c r="AE218" s="129"/>
      <c r="AF218" s="132"/>
      <c r="AG218" s="133" t="b">
        <v>0</v>
      </c>
      <c r="AH218" s="133">
        <v>146.0</v>
      </c>
      <c r="AI218" s="133">
        <v>2008.0</v>
      </c>
      <c r="AJ218" s="133"/>
      <c r="AK218" s="133">
        <v>3.0</v>
      </c>
      <c r="AL218" s="129" t="str">
        <f>IFERROR(__xludf.DUMMYFUNCTION("""COMPUTED_VALUE"""),"Romantic")</f>
        <v>Romantic</v>
      </c>
      <c r="AM218" s="129" t="str">
        <f>IFERROR(__xludf.DUMMYFUNCTION("""COMPUTED_VALUE"""),"Beach, Buffet, Evening Entertainment, Gym, Nightclub, Spa, Swim Up Bar, Wifi (Free)")</f>
        <v>Beach, Buffet, Evening Entertainment, Gym, Nightclub, Spa, Swim Up Bar, Wifi (Free)</v>
      </c>
      <c r="AN218" s="128"/>
    </row>
    <row r="219">
      <c r="A219" s="118" t="s">
        <v>835</v>
      </c>
      <c r="B219" s="119">
        <v>89.7</v>
      </c>
      <c r="C219" s="134" t="s">
        <v>75</v>
      </c>
      <c r="D219" s="121">
        <v>5606.16</v>
      </c>
      <c r="E219" s="135">
        <f>IFERROR(__xludf.DUMMYFUNCTION("""COMPUTED_VALUE"""),7742.386707383999)</f>
        <v>7742.386707</v>
      </c>
      <c r="F219" s="136">
        <v>1.73</v>
      </c>
      <c r="G219" s="124">
        <v>4296.0</v>
      </c>
      <c r="H219" s="125">
        <v>2805.0</v>
      </c>
      <c r="I219" s="125">
        <v>956.0</v>
      </c>
      <c r="J219" s="125">
        <v>318.0</v>
      </c>
      <c r="K219" s="125">
        <v>134.0</v>
      </c>
      <c r="L219" s="125">
        <v>83.0</v>
      </c>
      <c r="M219" s="126">
        <v>89.0</v>
      </c>
      <c r="N219" s="127">
        <v>90.0</v>
      </c>
      <c r="O219" s="146"/>
      <c r="P219" s="127">
        <v>90.0</v>
      </c>
      <c r="Q219" s="126" t="b">
        <v>1</v>
      </c>
      <c r="R219" s="128"/>
      <c r="S219" s="133">
        <v>9.0</v>
      </c>
      <c r="T219" s="133"/>
      <c r="U219" s="133"/>
      <c r="V219" s="129"/>
      <c r="W219" s="130" t="s">
        <v>96</v>
      </c>
      <c r="X219" s="130" t="s">
        <v>460</v>
      </c>
      <c r="Y219" s="130" t="s">
        <v>98</v>
      </c>
      <c r="Z219" s="133" t="b">
        <v>0</v>
      </c>
      <c r="AA219" s="131">
        <v>0.058333333333333334</v>
      </c>
      <c r="AB219" s="129"/>
      <c r="AC219" s="130" t="s">
        <v>390</v>
      </c>
      <c r="AD219" s="130" t="s">
        <v>836</v>
      </c>
      <c r="AE219" s="130"/>
      <c r="AF219" s="132" t="s">
        <v>81</v>
      </c>
      <c r="AG219" s="133" t="b">
        <v>0</v>
      </c>
      <c r="AH219" s="133">
        <v>175.0</v>
      </c>
      <c r="AI219" s="133">
        <v>1989.0</v>
      </c>
      <c r="AJ219" s="133">
        <v>2014.0</v>
      </c>
      <c r="AK219" s="133">
        <v>1.0</v>
      </c>
      <c r="AL219" s="129" t="str">
        <f>IFERROR(__xludf.DUMMYFUNCTION("""COMPUTED_VALUE"""),"Family, Romantic")</f>
        <v>Family, Romantic</v>
      </c>
      <c r="AM219" s="129" t="str">
        <f>IFERROR(__xludf.DUMMYFUNCTION("""COMPUTED_VALUE"""),"2 Bedroom Suites, Babysitting, Beach, Diving, Evening Entertainment, Family Suite, Fishing, Gym, Hiking, Horseback Riding, Kids Club, Room Service, Snorkelling, Spa, Swim Out/Plunge Pool Rooms, Teen Club, Tennis, Watersports Equipment Rentals, Wifi (Free)"&amp;", Windsurfing, Yoga Classes")</f>
        <v>2 Bedroom Suites, Babysitting, Beach, Diving, Evening Entertainment, Family Suite, Fishing, Gym, Hiking, Horseback Riding, Kids Club, Room Service, Snorkelling, Spa, Swim Out/Plunge Pool Rooms, Teen Club, Tennis, Watersports Equipment Rentals, Wifi (Free), Windsurfing, Yoga Classes</v>
      </c>
      <c r="AN219" s="139"/>
    </row>
    <row r="220">
      <c r="A220" s="118" t="s">
        <v>837</v>
      </c>
      <c r="B220" s="119">
        <v>89.7</v>
      </c>
      <c r="C220" s="120" t="s">
        <v>68</v>
      </c>
      <c r="D220" s="121">
        <v>6848.1</v>
      </c>
      <c r="E220" s="122">
        <f>IFERROR(__xludf.DUMMYFUNCTION("""COMPUTED_VALUE"""),9457.56782019)</f>
        <v>9457.56782</v>
      </c>
      <c r="F220" s="136">
        <v>1.42</v>
      </c>
      <c r="G220" s="124">
        <v>12968.0</v>
      </c>
      <c r="H220" s="125">
        <v>9102.0</v>
      </c>
      <c r="I220" s="125">
        <v>2379.0</v>
      </c>
      <c r="J220" s="125">
        <v>932.0</v>
      </c>
      <c r="K220" s="125">
        <v>330.0</v>
      </c>
      <c r="L220" s="125">
        <v>229.0</v>
      </c>
      <c r="M220" s="126">
        <v>91.0</v>
      </c>
      <c r="N220" s="127">
        <v>90.0</v>
      </c>
      <c r="O220" s="127"/>
      <c r="P220" s="127">
        <v>88.0</v>
      </c>
      <c r="Q220" s="122" t="b">
        <v>1</v>
      </c>
      <c r="R220" s="133">
        <v>4.0</v>
      </c>
      <c r="S220" s="133" t="s">
        <v>83</v>
      </c>
      <c r="T220" s="133"/>
      <c r="U220" s="133">
        <v>5.0</v>
      </c>
      <c r="V220" s="130" t="s">
        <v>148</v>
      </c>
      <c r="W220" s="130" t="s">
        <v>219</v>
      </c>
      <c r="X220" s="130" t="s">
        <v>838</v>
      </c>
      <c r="Y220" s="144" t="s">
        <v>221</v>
      </c>
      <c r="Z220" s="131" t="b">
        <v>1</v>
      </c>
      <c r="AA220" s="131">
        <v>0.05555555555555555</v>
      </c>
      <c r="AB220" s="130" t="s">
        <v>386</v>
      </c>
      <c r="AC220" s="130" t="s">
        <v>839</v>
      </c>
      <c r="AD220" s="130" t="s">
        <v>840</v>
      </c>
      <c r="AE220" s="129"/>
      <c r="AF220" s="132"/>
      <c r="AG220" s="133" t="b">
        <v>0</v>
      </c>
      <c r="AH220" s="133">
        <v>372.0</v>
      </c>
      <c r="AI220" s="133">
        <v>2005.0</v>
      </c>
      <c r="AJ220" s="133">
        <v>2020.0</v>
      </c>
      <c r="AK220" s="143"/>
      <c r="AL220" s="129" t="str">
        <f>IFERROR(__xludf.DUMMYFUNCTION("""COMPUTED_VALUE"""),"Bay View")</f>
        <v>Bay View</v>
      </c>
      <c r="AM220" s="129" t="str">
        <f>IFERROR(__xludf.DUMMYFUNCTION("""COMPUTED_VALUE"""),"Beach, Buffet, Diving, Evening Entertainment, Gym, Nightclub, Room Service, Spa, Swim Out/Plunge Pool Rooms, Swim Up Bar, Tennis, Wifi (Paid)")</f>
        <v>Beach, Buffet, Diving, Evening Entertainment, Gym, Nightclub, Room Service, Spa, Swim Out/Plunge Pool Rooms, Swim Up Bar, Tennis, Wifi (Paid)</v>
      </c>
      <c r="AN220" s="128"/>
    </row>
    <row r="221">
      <c r="A221" s="118" t="s">
        <v>841</v>
      </c>
      <c r="B221" s="119">
        <v>89.7</v>
      </c>
      <c r="C221" s="120" t="s">
        <v>68</v>
      </c>
      <c r="D221" s="121">
        <v>7903.0</v>
      </c>
      <c r="E221" s="122">
        <f>IFERROR(__xludf.DUMMYFUNCTION("""COMPUTED_VALUE"""),10914.4373597)</f>
        <v>10914.43736</v>
      </c>
      <c r="F221" s="136">
        <v>1.23</v>
      </c>
      <c r="G221" s="124">
        <v>249.0</v>
      </c>
      <c r="H221" s="125">
        <v>182.0</v>
      </c>
      <c r="I221" s="125">
        <v>38.0</v>
      </c>
      <c r="J221" s="125">
        <v>17.0</v>
      </c>
      <c r="K221" s="125">
        <v>9.0</v>
      </c>
      <c r="L221" s="125">
        <v>3.0</v>
      </c>
      <c r="M221" s="137">
        <v>91.0</v>
      </c>
      <c r="N221" s="138">
        <v>88.0</v>
      </c>
      <c r="O221" s="127"/>
      <c r="P221" s="138">
        <v>90.0</v>
      </c>
      <c r="Q221" s="122" t="b">
        <v>1</v>
      </c>
      <c r="R221" s="128"/>
      <c r="S221" s="133" t="s">
        <v>83</v>
      </c>
      <c r="T221" s="128"/>
      <c r="U221" s="133">
        <v>4.0</v>
      </c>
      <c r="V221" s="130" t="s">
        <v>842</v>
      </c>
      <c r="W221" s="130" t="s">
        <v>642</v>
      </c>
      <c r="X221" s="130" t="s">
        <v>843</v>
      </c>
      <c r="Y221" s="130" t="s">
        <v>644</v>
      </c>
      <c r="Z221" s="131" t="b">
        <v>1</v>
      </c>
      <c r="AA221" s="131">
        <v>0.022222222222222223</v>
      </c>
      <c r="AB221" s="130" t="s">
        <v>451</v>
      </c>
      <c r="AC221" s="130" t="s">
        <v>844</v>
      </c>
      <c r="AD221" s="130" t="s">
        <v>845</v>
      </c>
      <c r="AE221" s="129"/>
      <c r="AF221" s="132"/>
      <c r="AG221" s="133" t="b">
        <v>0</v>
      </c>
      <c r="AH221" s="133">
        <v>35.0</v>
      </c>
      <c r="AI221" s="133">
        <v>1977.0</v>
      </c>
      <c r="AJ221" s="133">
        <v>2017.0</v>
      </c>
      <c r="AK221" s="133">
        <v>3.0</v>
      </c>
      <c r="AL221" s="129" t="str">
        <f>IFERROR(__xludf.DUMMYFUNCTION("""COMPUTED_VALUE"""),"Boutique, Mid-Range")</f>
        <v>Boutique, Mid-Range</v>
      </c>
      <c r="AM221" s="129" t="str">
        <f>IFERROR(__xludf.DUMMYFUNCTION("""COMPUTED_VALUE"""),"Beach, Buffet, Evening Entertainment, Gym, Room Service, Snorkelling, Watersports Equipment Rentals, Wifi (Free), Yoga Classes")</f>
        <v>Beach, Buffet, Evening Entertainment, Gym, Room Service, Snorkelling, Watersports Equipment Rentals, Wifi (Free), Yoga Classes</v>
      </c>
      <c r="AN221" s="128"/>
    </row>
    <row r="222">
      <c r="A222" s="118" t="s">
        <v>846</v>
      </c>
      <c r="B222" s="119">
        <v>89.7</v>
      </c>
      <c r="C222" s="134" t="s">
        <v>75</v>
      </c>
      <c r="D222" s="121">
        <v>8707.0</v>
      </c>
      <c r="E222" s="135">
        <f>IFERROR(__xludf.DUMMYFUNCTION("""COMPUTED_VALUE"""),12024.801479299998)</f>
        <v>12024.80148</v>
      </c>
      <c r="F222" s="136">
        <v>1.11</v>
      </c>
      <c r="G222" s="124">
        <v>5469.0</v>
      </c>
      <c r="H222" s="125">
        <v>3509.0</v>
      </c>
      <c r="I222" s="125">
        <v>1350.0</v>
      </c>
      <c r="J222" s="125">
        <v>348.0</v>
      </c>
      <c r="K222" s="125">
        <v>137.0</v>
      </c>
      <c r="L222" s="125">
        <v>126.0</v>
      </c>
      <c r="M222" s="126">
        <v>89.0</v>
      </c>
      <c r="N222" s="127">
        <v>92.0</v>
      </c>
      <c r="O222" s="127"/>
      <c r="P222" s="138">
        <v>88.0</v>
      </c>
      <c r="Q222" s="135" t="b">
        <v>1</v>
      </c>
      <c r="R222" s="133"/>
      <c r="S222" s="133" t="s">
        <v>83</v>
      </c>
      <c r="T222" s="133"/>
      <c r="U222" s="133">
        <v>4.0</v>
      </c>
      <c r="V222" s="130"/>
      <c r="W222" s="130" t="s">
        <v>84</v>
      </c>
      <c r="X222" s="130" t="s">
        <v>86</v>
      </c>
      <c r="Y222" s="130" t="s">
        <v>86</v>
      </c>
      <c r="Z222" s="131" t="b">
        <v>1</v>
      </c>
      <c r="AA222" s="131">
        <v>0.014583333333333334</v>
      </c>
      <c r="AB222" s="130" t="s">
        <v>451</v>
      </c>
      <c r="AC222" s="130" t="s">
        <v>847</v>
      </c>
      <c r="AD222" s="130" t="s">
        <v>848</v>
      </c>
      <c r="AE222" s="130"/>
      <c r="AF222" s="132" t="s">
        <v>849</v>
      </c>
      <c r="AG222" s="133" t="b">
        <v>0</v>
      </c>
      <c r="AH222" s="133">
        <v>440.0</v>
      </c>
      <c r="AI222" s="133">
        <v>1990.0</v>
      </c>
      <c r="AJ222" s="133">
        <v>2024.0</v>
      </c>
      <c r="AK222" s="133">
        <v>6.0</v>
      </c>
      <c r="AL222" s="129" t="str">
        <f>IFERROR(__xludf.DUMMYFUNCTION("""COMPUTED_VALUE"""),"Business, Quiet")</f>
        <v>Business, Quiet</v>
      </c>
      <c r="AM222" s="129" t="str">
        <f>IFERROR(__xludf.DUMMYFUNCTION("""COMPUTED_VALUE"""),"Arcade, Babysitting, Beach, Buffet, Diving, Fishing, Gym, Heated Pool, Kids Club, Kids Waterpark, Pool Slide, Room Service, Spa, Swim Up Bar, Water Feature, Watersports Equipment Rentals, Wifi (Paid)")</f>
        <v>Arcade, Babysitting, Beach, Buffet, Diving, Fishing, Gym, Heated Pool, Kids Club, Kids Waterpark, Pool Slide, Room Service, Spa, Swim Up Bar, Water Feature, Watersports Equipment Rentals, Wifi (Paid)</v>
      </c>
      <c r="AN222" s="139"/>
    </row>
    <row r="223">
      <c r="A223" s="118" t="s">
        <v>850</v>
      </c>
      <c r="B223" s="119">
        <v>89.5</v>
      </c>
      <c r="C223" s="120" t="s">
        <v>68</v>
      </c>
      <c r="D223" s="121">
        <v>1421.0</v>
      </c>
      <c r="E223" s="122">
        <f>IFERROR(__xludf.DUMMYFUNCTION("""COMPUTED_VALUE"""),1962.4719078999997)</f>
        <v>1962.471908</v>
      </c>
      <c r="F223" s="136">
        <v>6.69</v>
      </c>
      <c r="G223" s="124">
        <v>2657.0</v>
      </c>
      <c r="H223" s="125">
        <v>2086.0</v>
      </c>
      <c r="I223" s="125">
        <v>359.0</v>
      </c>
      <c r="J223" s="125">
        <v>105.0</v>
      </c>
      <c r="K223" s="125">
        <v>61.0</v>
      </c>
      <c r="L223" s="125">
        <v>47.0</v>
      </c>
      <c r="M223" s="126">
        <v>93.0</v>
      </c>
      <c r="N223" s="127">
        <v>86.0</v>
      </c>
      <c r="O223" s="127"/>
      <c r="P223" s="127"/>
      <c r="Q223" s="122" t="b">
        <v>1</v>
      </c>
      <c r="R223" s="128"/>
      <c r="S223" s="133">
        <v>4.0</v>
      </c>
      <c r="T223" s="128"/>
      <c r="U223" s="133">
        <v>4.0</v>
      </c>
      <c r="V223" s="129"/>
      <c r="W223" s="130" t="s">
        <v>276</v>
      </c>
      <c r="X223" s="130" t="s">
        <v>393</v>
      </c>
      <c r="Y223" s="130" t="s">
        <v>393</v>
      </c>
      <c r="Z223" s="131" t="b">
        <v>1</v>
      </c>
      <c r="AA223" s="131">
        <v>0.01875</v>
      </c>
      <c r="AB223" s="129"/>
      <c r="AC223" s="129"/>
      <c r="AD223" s="130" t="s">
        <v>851</v>
      </c>
      <c r="AE223" s="129"/>
      <c r="AF223" s="132"/>
      <c r="AG223" s="133" t="b">
        <v>0</v>
      </c>
      <c r="AH223" s="133">
        <v>582.0</v>
      </c>
      <c r="AI223" s="128"/>
      <c r="AJ223" s="133">
        <v>2005.0</v>
      </c>
      <c r="AK223" s="128"/>
      <c r="AL223" s="129"/>
      <c r="AM223" s="129" t="str">
        <f>IFERROR(__xludf.DUMMYFUNCTION("""COMPUTED_VALUE"""),"Beach, Buffet, Evening Entertainment, Great Beach, Gym, Nightclub, Snorkelling, Swim Up Bar, Tennis")</f>
        <v>Beach, Buffet, Evening Entertainment, Great Beach, Gym, Nightclub, Snorkelling, Swim Up Bar, Tennis</v>
      </c>
      <c r="AN223" s="128"/>
    </row>
    <row r="224">
      <c r="A224" s="118" t="s">
        <v>852</v>
      </c>
      <c r="B224" s="119">
        <v>89.5</v>
      </c>
      <c r="C224" s="120" t="s">
        <v>68</v>
      </c>
      <c r="D224" s="121">
        <v>1565.2</v>
      </c>
      <c r="E224" s="122">
        <f>IFERROR(__xludf.DUMMYFUNCTION("""COMPUTED_VALUE"""),2161.61930348)</f>
        <v>2161.619303</v>
      </c>
      <c r="F224" s="136">
        <v>6.07</v>
      </c>
      <c r="G224" s="124">
        <v>1005.0</v>
      </c>
      <c r="H224" s="125">
        <v>793.0</v>
      </c>
      <c r="I224" s="125">
        <v>141.0</v>
      </c>
      <c r="J224" s="125">
        <v>40.0</v>
      </c>
      <c r="K224" s="125">
        <v>23.0</v>
      </c>
      <c r="L224" s="125">
        <v>10.0</v>
      </c>
      <c r="M224" s="126">
        <v>93.0</v>
      </c>
      <c r="N224" s="138">
        <v>86.0</v>
      </c>
      <c r="O224" s="127"/>
      <c r="P224" s="127"/>
      <c r="Q224" s="122" t="b">
        <v>1</v>
      </c>
      <c r="R224" s="128"/>
      <c r="S224" s="128"/>
      <c r="T224" s="128"/>
      <c r="U224" s="133">
        <v>5.0</v>
      </c>
      <c r="V224" s="129"/>
      <c r="W224" s="130" t="s">
        <v>276</v>
      </c>
      <c r="X224" s="130" t="s">
        <v>570</v>
      </c>
      <c r="Y224" s="130" t="s">
        <v>570</v>
      </c>
      <c r="Z224" s="131" t="b">
        <v>1</v>
      </c>
      <c r="AA224" s="131">
        <v>0.0798611111111111</v>
      </c>
      <c r="AB224" s="130"/>
      <c r="AC224" s="130" t="s">
        <v>677</v>
      </c>
      <c r="AD224" s="147" t="s">
        <v>853</v>
      </c>
      <c r="AE224" s="129"/>
      <c r="AF224" s="132"/>
      <c r="AG224" s="128" t="b">
        <v>0</v>
      </c>
      <c r="AH224" s="128"/>
      <c r="AI224" s="128"/>
      <c r="AJ224" s="128"/>
      <c r="AK224" s="128"/>
      <c r="AL224" s="129" t="str">
        <f>IFERROR(__xludf.DUMMYFUNCTION("""COMPUTED_VALUE"""),"Business, Ocean View")</f>
        <v>Business, Ocean View</v>
      </c>
      <c r="AM224" s="129" t="str">
        <f>IFERROR(__xludf.DUMMYFUNCTION("""COMPUTED_VALUE"""),"Beach, Buffet, Evening Entertainment, Gym, Nightclub, Room Service, Spa, Swim Up Bar, Tennis, Wifi (Free), Windsurfing, Yoga Classes")</f>
        <v>Beach, Buffet, Evening Entertainment, Gym, Nightclub, Room Service, Spa, Swim Up Bar, Tennis, Wifi (Free), Windsurfing, Yoga Classes</v>
      </c>
      <c r="AN224" s="128"/>
    </row>
    <row r="225">
      <c r="A225" s="118" t="s">
        <v>854</v>
      </c>
      <c r="B225" s="119">
        <v>89.5</v>
      </c>
      <c r="C225" s="120" t="s">
        <v>68</v>
      </c>
      <c r="D225" s="121">
        <v>3600.0</v>
      </c>
      <c r="E225" s="122">
        <f>IFERROR(__xludf.DUMMYFUNCTION("""COMPUTED_VALUE"""),4971.77964)</f>
        <v>4971.77964</v>
      </c>
      <c r="F225" s="136">
        <v>2.64</v>
      </c>
      <c r="G225" s="124">
        <v>11524.0</v>
      </c>
      <c r="H225" s="125">
        <v>8717.0</v>
      </c>
      <c r="I225" s="125">
        <v>1714.0</v>
      </c>
      <c r="J225" s="125">
        <v>640.0</v>
      </c>
      <c r="K225" s="125">
        <v>242.0</v>
      </c>
      <c r="L225" s="125">
        <v>217.0</v>
      </c>
      <c r="M225" s="126">
        <v>92.0</v>
      </c>
      <c r="N225" s="138">
        <v>90.0</v>
      </c>
      <c r="O225" s="127">
        <v>88.0</v>
      </c>
      <c r="P225" s="127">
        <v>88.0</v>
      </c>
      <c r="Q225" s="122" t="b">
        <v>1</v>
      </c>
      <c r="R225" s="133">
        <v>4.0</v>
      </c>
      <c r="S225" s="133">
        <v>8.0</v>
      </c>
      <c r="T225" s="133" t="s">
        <v>492</v>
      </c>
      <c r="U225" s="133">
        <v>5.0</v>
      </c>
      <c r="V225" s="129"/>
      <c r="W225" s="130" t="s">
        <v>84</v>
      </c>
      <c r="X225" s="130" t="s">
        <v>119</v>
      </c>
      <c r="Y225" s="130" t="s">
        <v>120</v>
      </c>
      <c r="Z225" s="131" t="b">
        <v>1</v>
      </c>
      <c r="AA225" s="131">
        <v>0.009027777777777777</v>
      </c>
      <c r="AB225" s="130" t="s">
        <v>50</v>
      </c>
      <c r="AC225" s="130" t="s">
        <v>855</v>
      </c>
      <c r="AD225" s="130" t="s">
        <v>856</v>
      </c>
      <c r="AE225" s="129"/>
      <c r="AF225" s="132"/>
      <c r="AG225" s="133" t="b">
        <v>1</v>
      </c>
      <c r="AH225" s="133">
        <v>271.0</v>
      </c>
      <c r="AI225" s="133">
        <v>2012.0</v>
      </c>
      <c r="AJ225" s="133">
        <v>2018.0</v>
      </c>
      <c r="AK225" s="133">
        <v>15.0</v>
      </c>
      <c r="AL225" s="129" t="str">
        <f>IFERROR(__xludf.DUMMYFUNCTION("""COMPUTED_VALUE"""),"Green, Modern")</f>
        <v>Green, Modern</v>
      </c>
      <c r="AM225" s="129" t="str">
        <f>IFERROR(__xludf.DUMMYFUNCTION("""COMPUTED_VALUE"""),"Beach, Buffet, Evening Entertainment, Great Food, Gym, Heated Pool, Nightclub, Room Service, Spa, Swim Out/Plunge Pool Rooms, Swim Up Bar, Tennis, Wifi (Free)")</f>
        <v>Beach, Buffet, Evening Entertainment, Great Food, Gym, Heated Pool, Nightclub, Room Service, Spa, Swim Out/Plunge Pool Rooms, Swim Up Bar, Tennis, Wifi (Free)</v>
      </c>
      <c r="AN225" s="128"/>
    </row>
    <row r="226">
      <c r="A226" s="118" t="s">
        <v>857</v>
      </c>
      <c r="B226" s="119">
        <v>89.5</v>
      </c>
      <c r="C226" s="120" t="s">
        <v>68</v>
      </c>
      <c r="D226" s="121">
        <v>4410.0</v>
      </c>
      <c r="E226" s="122">
        <f>IFERROR(__xludf.DUMMYFUNCTION("""COMPUTED_VALUE"""),6090.430058999999)</f>
        <v>6090.430059</v>
      </c>
      <c r="F226" s="136">
        <v>2.15</v>
      </c>
      <c r="G226" s="124">
        <v>4323.0</v>
      </c>
      <c r="H226" s="125">
        <v>2584.0</v>
      </c>
      <c r="I226" s="125">
        <v>1094.0</v>
      </c>
      <c r="J226" s="125">
        <v>329.0</v>
      </c>
      <c r="K226" s="125">
        <v>184.0</v>
      </c>
      <c r="L226" s="125">
        <v>132.0</v>
      </c>
      <c r="M226" s="126">
        <v>87.0</v>
      </c>
      <c r="N226" s="127">
        <v>92.0</v>
      </c>
      <c r="O226" s="127"/>
      <c r="P226" s="127"/>
      <c r="Q226" s="122" t="b">
        <v>1</v>
      </c>
      <c r="R226" s="133"/>
      <c r="S226" s="133">
        <v>6.0</v>
      </c>
      <c r="T226" s="133"/>
      <c r="U226" s="133">
        <v>4.0</v>
      </c>
      <c r="V226" s="130" t="s">
        <v>660</v>
      </c>
      <c r="W226" s="130" t="s">
        <v>219</v>
      </c>
      <c r="X226" s="130" t="s">
        <v>220</v>
      </c>
      <c r="Y226" s="144" t="s">
        <v>221</v>
      </c>
      <c r="Z226" s="131" t="b">
        <v>1</v>
      </c>
      <c r="AA226" s="131">
        <v>0.05416666666666667</v>
      </c>
      <c r="AB226" s="130"/>
      <c r="AC226" s="130" t="s">
        <v>760</v>
      </c>
      <c r="AD226" s="130" t="s">
        <v>858</v>
      </c>
      <c r="AE226" s="129"/>
      <c r="AF226" s="132"/>
      <c r="AG226" s="133" t="b">
        <v>0</v>
      </c>
      <c r="AH226" s="133">
        <v>280.0</v>
      </c>
      <c r="AI226" s="133">
        <v>1978.0</v>
      </c>
      <c r="AJ226" s="133">
        <v>2015.0</v>
      </c>
      <c r="AK226" s="133">
        <v>2.0</v>
      </c>
      <c r="AL226" s="129" t="str">
        <f>IFERROR(__xludf.DUMMYFUNCTION("""COMPUTED_VALUE"""),"Bay View, Green")</f>
        <v>Bay View, Green</v>
      </c>
      <c r="AM226" s="129" t="str">
        <f>IFERROR(__xludf.DUMMYFUNCTION("""COMPUTED_VALUE"""),"Beach, Buffet, Diving, Evening Entertainment, Gym, Nightclub, Snorkelling, Spa, Swim Up Bar, Tennis, Watersports Equipment Rentals, Windsurfing, Yoga Classes")</f>
        <v>Beach, Buffet, Diving, Evening Entertainment, Gym, Nightclub, Snorkelling, Spa, Swim Up Bar, Tennis, Watersports Equipment Rentals, Windsurfing, Yoga Classes</v>
      </c>
      <c r="AN226" s="128"/>
    </row>
    <row r="227">
      <c r="A227" s="118" t="s">
        <v>859</v>
      </c>
      <c r="B227" s="119">
        <v>89.5</v>
      </c>
      <c r="C227" s="120" t="s">
        <v>68</v>
      </c>
      <c r="D227" s="121">
        <v>4682.0</v>
      </c>
      <c r="E227" s="122">
        <f>IFERROR(__xludf.DUMMYFUNCTION("""COMPUTED_VALUE"""),6466.075631799999)</f>
        <v>6466.075632</v>
      </c>
      <c r="F227" s="136">
        <v>2.03</v>
      </c>
      <c r="G227" s="124">
        <v>9869.0</v>
      </c>
      <c r="H227" s="125">
        <v>8134.0</v>
      </c>
      <c r="I227" s="125">
        <v>1081.0</v>
      </c>
      <c r="J227" s="125">
        <v>388.0</v>
      </c>
      <c r="K227" s="125">
        <v>150.0</v>
      </c>
      <c r="L227" s="125">
        <v>116.0</v>
      </c>
      <c r="M227" s="126">
        <v>94.0</v>
      </c>
      <c r="N227" s="127">
        <v>86.0</v>
      </c>
      <c r="O227" s="127">
        <v>92.0</v>
      </c>
      <c r="P227" s="138">
        <v>86.0</v>
      </c>
      <c r="Q227" s="122" t="b">
        <v>1</v>
      </c>
      <c r="R227" s="133"/>
      <c r="S227" s="133">
        <v>9.0</v>
      </c>
      <c r="T227" s="133"/>
      <c r="U227" s="133">
        <v>4.5</v>
      </c>
      <c r="V227" s="129"/>
      <c r="W227" s="130" t="s">
        <v>84</v>
      </c>
      <c r="X227" s="130" t="s">
        <v>85</v>
      </c>
      <c r="Y227" s="130" t="s">
        <v>86</v>
      </c>
      <c r="Z227" s="131" t="b">
        <v>1</v>
      </c>
      <c r="AA227" s="131">
        <v>0.021527777777777778</v>
      </c>
      <c r="AB227" s="130" t="s">
        <v>662</v>
      </c>
      <c r="AC227" s="130" t="s">
        <v>292</v>
      </c>
      <c r="AD227" s="130" t="s">
        <v>860</v>
      </c>
      <c r="AE227" s="129"/>
      <c r="AF227" s="132"/>
      <c r="AG227" s="133" t="b">
        <v>0</v>
      </c>
      <c r="AH227" s="133">
        <v>205.0</v>
      </c>
      <c r="AI227" s="143"/>
      <c r="AJ227" s="143"/>
      <c r="AK227" s="133">
        <v>2.0</v>
      </c>
      <c r="AL227" s="129" t="str">
        <f>IFERROR(__xludf.DUMMYFUNCTION("""COMPUTED_VALUE"""),"Charming, Modern")</f>
        <v>Charming, Modern</v>
      </c>
      <c r="AM227" s="129" t="str">
        <f>IFERROR(__xludf.DUMMYFUNCTION("""COMPUTED_VALUE"""),"Beach, Buffet, Great Food, Gym, Horseback Riding, Lazy River, Nightclub, Room Service, Spa, Swim Out/Plunge Pool Rooms, Swim Up Bar, Tennis")</f>
        <v>Beach, Buffet, Great Food, Gym, Horseback Riding, Lazy River, Nightclub, Room Service, Spa, Swim Out/Plunge Pool Rooms, Swim Up Bar, Tennis</v>
      </c>
      <c r="AN227" s="128"/>
    </row>
    <row r="228">
      <c r="A228" s="118" t="s">
        <v>861</v>
      </c>
      <c r="B228" s="119">
        <v>89.5</v>
      </c>
      <c r="C228" s="134" t="s">
        <v>75</v>
      </c>
      <c r="D228" s="121">
        <v>5333.3</v>
      </c>
      <c r="E228" s="135">
        <f>IFERROR(__xludf.DUMMYFUNCTION("""COMPUTED_VALUE"""),7365.55343167)</f>
        <v>7365.553432</v>
      </c>
      <c r="F228" s="136">
        <v>1.78</v>
      </c>
      <c r="G228" s="124">
        <v>4919.0</v>
      </c>
      <c r="H228" s="125">
        <v>4016.0</v>
      </c>
      <c r="I228" s="125">
        <v>530.0</v>
      </c>
      <c r="J228" s="125">
        <v>194.0</v>
      </c>
      <c r="K228" s="125">
        <v>98.0</v>
      </c>
      <c r="L228" s="125">
        <v>84.0</v>
      </c>
      <c r="M228" s="126">
        <v>94.0</v>
      </c>
      <c r="N228" s="138">
        <v>90.0</v>
      </c>
      <c r="O228" s="127">
        <v>86.0</v>
      </c>
      <c r="P228" s="127">
        <v>88.0</v>
      </c>
      <c r="Q228" s="135" t="b">
        <v>1</v>
      </c>
      <c r="R228" s="133"/>
      <c r="S228" s="133">
        <v>8.0</v>
      </c>
      <c r="T228" s="133"/>
      <c r="U228" s="133">
        <v>5.0</v>
      </c>
      <c r="V228" s="130"/>
      <c r="W228" s="130" t="s">
        <v>193</v>
      </c>
      <c r="X228" s="130" t="s">
        <v>557</v>
      </c>
      <c r="Y228" s="130" t="s">
        <v>195</v>
      </c>
      <c r="Z228" s="131" t="b">
        <v>1</v>
      </c>
      <c r="AA228" s="131">
        <v>0.03333333333333333</v>
      </c>
      <c r="AB228" s="130" t="s">
        <v>617</v>
      </c>
      <c r="AC228" s="130" t="s">
        <v>862</v>
      </c>
      <c r="AD228" s="130" t="s">
        <v>863</v>
      </c>
      <c r="AE228" s="153" t="s">
        <v>864</v>
      </c>
      <c r="AF228" s="154" t="s">
        <v>126</v>
      </c>
      <c r="AG228" s="143" t="b">
        <v>0</v>
      </c>
      <c r="AH228" s="143">
        <v>418.0</v>
      </c>
      <c r="AI228" s="143">
        <v>1997.0</v>
      </c>
      <c r="AJ228" s="143">
        <v>2019.0</v>
      </c>
      <c r="AK228" s="143">
        <v>3.0</v>
      </c>
      <c r="AL228" s="129" t="str">
        <f>IFERROR(__xludf.DUMMYFUNCTION("""COMPUTED_VALUE"""),"Family, Romantic")</f>
        <v>Family, Romantic</v>
      </c>
      <c r="AM228" s="129" t="str">
        <f>IFERROR(__xludf.DUMMYFUNCTION("""COMPUTED_VALUE"""),"Adult Pool, Babysitting, Beach, Big Waterslides, Buffet, Casino, Diving, Evening Entertainment, Gym, Kids Club, Kids Waterpark, Lazy River, Nightclub, Pets Allowed, Pool Slide, Spa, Swim Out/Plunge Pool Rooms, Teen Club, Water Feature, Wifi (Free)")</f>
        <v>Adult Pool, Babysitting, Beach, Big Waterslides, Buffet, Casino, Diving, Evening Entertainment, Gym, Kids Club, Kids Waterpark, Lazy River, Nightclub, Pets Allowed, Pool Slide, Spa, Swim Out/Plunge Pool Rooms, Teen Club, Water Feature, Wifi (Free)</v>
      </c>
      <c r="AN228" s="139"/>
    </row>
    <row r="229">
      <c r="A229" s="118" t="s">
        <v>865</v>
      </c>
      <c r="B229" s="119">
        <v>89.5</v>
      </c>
      <c r="C229" s="120" t="s">
        <v>68</v>
      </c>
      <c r="D229" s="121">
        <v>5677.0</v>
      </c>
      <c r="E229" s="122">
        <f>IFERROR(__xludf.DUMMYFUNCTION("""COMPUTED_VALUE"""),7840.220282299999)</f>
        <v>7840.220282</v>
      </c>
      <c r="F229" s="136">
        <v>1.67</v>
      </c>
      <c r="G229" s="124">
        <v>8906.0</v>
      </c>
      <c r="H229" s="125">
        <v>6344.0</v>
      </c>
      <c r="I229" s="125">
        <v>1498.0</v>
      </c>
      <c r="J229" s="125">
        <v>610.0</v>
      </c>
      <c r="K229" s="125">
        <v>250.0</v>
      </c>
      <c r="L229" s="125">
        <v>210.0</v>
      </c>
      <c r="M229" s="126">
        <v>90.0</v>
      </c>
      <c r="N229" s="127">
        <v>90.0</v>
      </c>
      <c r="O229" s="127">
        <v>90.0</v>
      </c>
      <c r="P229" s="127">
        <v>88.0</v>
      </c>
      <c r="Q229" s="122" t="b">
        <v>1</v>
      </c>
      <c r="R229" s="133">
        <v>4.0</v>
      </c>
      <c r="S229" s="133">
        <v>8.0</v>
      </c>
      <c r="T229" s="133" t="s">
        <v>247</v>
      </c>
      <c r="U229" s="133">
        <v>5.0</v>
      </c>
      <c r="V229" s="129"/>
      <c r="W229" s="130" t="s">
        <v>84</v>
      </c>
      <c r="X229" s="130" t="s">
        <v>315</v>
      </c>
      <c r="Y229" s="130" t="s">
        <v>123</v>
      </c>
      <c r="Z229" s="131" t="b">
        <v>1</v>
      </c>
      <c r="AA229" s="131">
        <v>0.022222222222222223</v>
      </c>
      <c r="AB229" s="130" t="s">
        <v>50</v>
      </c>
      <c r="AC229" s="130" t="s">
        <v>760</v>
      </c>
      <c r="AD229" s="130" t="s">
        <v>866</v>
      </c>
      <c r="AE229" s="129"/>
      <c r="AF229" s="132"/>
      <c r="AG229" s="133" t="b">
        <v>0</v>
      </c>
      <c r="AH229" s="133">
        <v>500.0</v>
      </c>
      <c r="AI229" s="133">
        <v>2013.0</v>
      </c>
      <c r="AJ229" s="143"/>
      <c r="AK229" s="133">
        <v>4.0</v>
      </c>
      <c r="AL229" s="129" t="str">
        <f>IFERROR(__xludf.DUMMYFUNCTION("""COMPUTED_VALUE"""),"Bay View, Green")</f>
        <v>Bay View, Green</v>
      </c>
      <c r="AM229" s="129" t="str">
        <f>IFERROR(__xludf.DUMMYFUNCTION("""COMPUTED_VALUE"""),"Archery, Buffet, Evening Entertainment, Fishing, Golf Course, Great Food, Gym, Mini Golf, Nightclub, Room Service, Spa, Swim Out/Plunge Pool Rooms, Swim Up Bar, Wifi (Free), Yoga Classes")</f>
        <v>Archery, Buffet, Evening Entertainment, Fishing, Golf Course, Great Food, Gym, Mini Golf, Nightclub, Room Service, Spa, Swim Out/Plunge Pool Rooms, Swim Up Bar, Wifi (Free), Yoga Classes</v>
      </c>
      <c r="AN229" s="128"/>
    </row>
    <row r="230">
      <c r="A230" s="118" t="s">
        <v>867</v>
      </c>
      <c r="B230" s="119">
        <v>89.5</v>
      </c>
      <c r="C230" s="134" t="s">
        <v>75</v>
      </c>
      <c r="D230" s="150">
        <v>7974.0</v>
      </c>
      <c r="E230" s="135">
        <f>IFERROR(__xludf.DUMMYFUNCTION("""COMPUTED_VALUE"""),11012.491902599999)</f>
        <v>11012.4919</v>
      </c>
      <c r="F230" s="136">
        <v>1.19</v>
      </c>
      <c r="G230" s="124">
        <v>2474.0</v>
      </c>
      <c r="H230" s="125">
        <v>1872.0</v>
      </c>
      <c r="I230" s="125">
        <v>361.0</v>
      </c>
      <c r="J230" s="125">
        <v>140.0</v>
      </c>
      <c r="K230" s="125">
        <v>34.0</v>
      </c>
      <c r="L230" s="125">
        <v>67.0</v>
      </c>
      <c r="M230" s="126">
        <v>92.0</v>
      </c>
      <c r="N230" s="127">
        <v>88.0</v>
      </c>
      <c r="O230" s="127">
        <v>90.0</v>
      </c>
      <c r="P230" s="127">
        <v>88.0</v>
      </c>
      <c r="Q230" s="135" t="b">
        <v>1</v>
      </c>
      <c r="R230" s="133"/>
      <c r="S230" s="133">
        <v>7.0</v>
      </c>
      <c r="T230" s="133"/>
      <c r="U230" s="133">
        <v>4.0</v>
      </c>
      <c r="V230" s="130"/>
      <c r="W230" s="130" t="s">
        <v>219</v>
      </c>
      <c r="X230" s="130" t="s">
        <v>713</v>
      </c>
      <c r="Y230" s="130" t="s">
        <v>221</v>
      </c>
      <c r="Z230" s="131" t="b">
        <v>1</v>
      </c>
      <c r="AA230" s="131">
        <v>0.009722222222222222</v>
      </c>
      <c r="AB230" s="130" t="s">
        <v>868</v>
      </c>
      <c r="AC230" s="130" t="s">
        <v>869</v>
      </c>
      <c r="AD230" s="130" t="s">
        <v>870</v>
      </c>
      <c r="AE230" s="130"/>
      <c r="AF230" s="132" t="s">
        <v>297</v>
      </c>
      <c r="AG230" s="133" t="b">
        <v>1</v>
      </c>
      <c r="AH230" s="133">
        <v>217.0</v>
      </c>
      <c r="AI230" s="143"/>
      <c r="AJ230" s="133">
        <v>2018.0</v>
      </c>
      <c r="AK230" s="143"/>
      <c r="AL230" s="129" t="str">
        <f>IFERROR(__xludf.DUMMYFUNCTION("""COMPUTED_VALUE"""),"Centrally Located, Family")</f>
        <v>Centrally Located, Family</v>
      </c>
      <c r="AM230" s="129" t="str">
        <f>IFERROR(__xludf.DUMMYFUNCTION("""COMPUTED_VALUE"""),"2 Bedroom Suites, Babysitting, Beach, Buffet, Evening Entertainment, Family Suite, Gym, Kids Club, Nightclub, Room Service, Spa, Swim Up Bar, Wifi (Free)")</f>
        <v>2 Bedroom Suites, Babysitting, Beach, Buffet, Evening Entertainment, Family Suite, Gym, Kids Club, Nightclub, Room Service, Spa, Swim Up Bar, Wifi (Free)</v>
      </c>
      <c r="AN230" s="139"/>
    </row>
    <row r="231">
      <c r="A231" s="118" t="s">
        <v>871</v>
      </c>
      <c r="B231" s="119">
        <v>89.3</v>
      </c>
      <c r="C231" s="134" t="s">
        <v>75</v>
      </c>
      <c r="D231" s="121">
        <v>1785.0</v>
      </c>
      <c r="E231" s="135">
        <f>IFERROR(__xludf.DUMMYFUNCTION("""COMPUTED_VALUE"""),2465.1740714999996)</f>
        <v>2465.174072</v>
      </c>
      <c r="F231" s="136">
        <v>5.21</v>
      </c>
      <c r="G231" s="124">
        <v>1854.0</v>
      </c>
      <c r="H231" s="125">
        <v>1536.0</v>
      </c>
      <c r="I231" s="125">
        <v>190.0</v>
      </c>
      <c r="J231" s="125">
        <v>68.0</v>
      </c>
      <c r="K231" s="125">
        <v>28.0</v>
      </c>
      <c r="L231" s="125">
        <v>32.0</v>
      </c>
      <c r="M231" s="126">
        <v>94.0</v>
      </c>
      <c r="N231" s="138">
        <v>94.0</v>
      </c>
      <c r="O231" s="146"/>
      <c r="P231" s="127">
        <v>80.0</v>
      </c>
      <c r="Q231" s="135" t="b">
        <v>1</v>
      </c>
      <c r="R231" s="133"/>
      <c r="S231" s="133">
        <v>7.0</v>
      </c>
      <c r="T231" s="133"/>
      <c r="U231" s="133">
        <v>4.0</v>
      </c>
      <c r="V231" s="129"/>
      <c r="W231" s="130" t="s">
        <v>193</v>
      </c>
      <c r="X231" s="130" t="s">
        <v>872</v>
      </c>
      <c r="Y231" s="130" t="s">
        <v>195</v>
      </c>
      <c r="Z231" s="131" t="b">
        <v>1</v>
      </c>
      <c r="AA231" s="131">
        <v>0.06805555555555555</v>
      </c>
      <c r="AB231" s="130" t="s">
        <v>873</v>
      </c>
      <c r="AC231" s="130" t="s">
        <v>874</v>
      </c>
      <c r="AD231" s="130" t="s">
        <v>875</v>
      </c>
      <c r="AE231" s="130"/>
      <c r="AF231" s="132" t="s">
        <v>373</v>
      </c>
      <c r="AG231" s="133" t="b">
        <v>0</v>
      </c>
      <c r="AH231" s="133">
        <v>126.0</v>
      </c>
      <c r="AI231" s="133">
        <v>1997.0</v>
      </c>
      <c r="AJ231" s="133">
        <v>2011.0</v>
      </c>
      <c r="AK231" s="133">
        <v>2.0</v>
      </c>
      <c r="AL231" s="129" t="str">
        <f>IFERROR(__xludf.DUMMYFUNCTION("""COMPUTED_VALUE"""),"Charming, Family")</f>
        <v>Charming, Family</v>
      </c>
      <c r="AM231" s="129" t="str">
        <f>IFERROR(__xludf.DUMMYFUNCTION("""COMPUTED_VALUE"""),"Buffet, Evening Entertainment, Gym, Room Service, Swim Up Bar, Tennis, Wifi (Free)")</f>
        <v>Buffet, Evening Entertainment, Gym, Room Service, Swim Up Bar, Tennis, Wifi (Free)</v>
      </c>
      <c r="AN231" s="139"/>
    </row>
    <row r="232">
      <c r="A232" s="118" t="s">
        <v>876</v>
      </c>
      <c r="B232" s="119">
        <v>89.3</v>
      </c>
      <c r="C232" s="120" t="s">
        <v>68</v>
      </c>
      <c r="D232" s="121">
        <v>2928.66</v>
      </c>
      <c r="E232" s="122">
        <f>IFERROR(__xludf.DUMMYFUNCTION("""COMPUTED_VALUE"""),4044.6256001339993)</f>
        <v>4044.6256</v>
      </c>
      <c r="F232" s="136">
        <v>3.18</v>
      </c>
      <c r="G232" s="124">
        <v>13880.0</v>
      </c>
      <c r="H232" s="125">
        <v>8068.0</v>
      </c>
      <c r="I232" s="125">
        <v>3287.0</v>
      </c>
      <c r="J232" s="125">
        <v>1496.0</v>
      </c>
      <c r="K232" s="125">
        <v>582.0</v>
      </c>
      <c r="L232" s="125">
        <v>447.0</v>
      </c>
      <c r="M232" s="126">
        <v>86.0</v>
      </c>
      <c r="N232" s="127">
        <v>94.0</v>
      </c>
      <c r="O232" s="127"/>
      <c r="P232" s="127">
        <v>88.0</v>
      </c>
      <c r="Q232" s="122" t="b">
        <v>1</v>
      </c>
      <c r="R232" s="133"/>
      <c r="S232" s="143">
        <v>7.0</v>
      </c>
      <c r="T232" s="133"/>
      <c r="U232" s="133">
        <v>5.0</v>
      </c>
      <c r="V232" s="130"/>
      <c r="W232" s="130" t="s">
        <v>193</v>
      </c>
      <c r="X232" s="130" t="s">
        <v>195</v>
      </c>
      <c r="Y232" s="130" t="s">
        <v>195</v>
      </c>
      <c r="Z232" s="131" t="b">
        <v>1</v>
      </c>
      <c r="AA232" s="131">
        <v>0.01875</v>
      </c>
      <c r="AB232" s="130" t="s">
        <v>753</v>
      </c>
      <c r="AC232" s="130" t="s">
        <v>211</v>
      </c>
      <c r="AD232" s="130" t="s">
        <v>877</v>
      </c>
      <c r="AE232" s="129"/>
      <c r="AF232" s="132"/>
      <c r="AG232" s="143" t="b">
        <v>0</v>
      </c>
      <c r="AH232" s="143">
        <v>528.0</v>
      </c>
      <c r="AI232" s="143">
        <v>2006.0</v>
      </c>
      <c r="AJ232" s="143">
        <v>2018.0</v>
      </c>
      <c r="AK232" s="143">
        <v>3.0</v>
      </c>
      <c r="AL232" s="129" t="str">
        <f>IFERROR(__xludf.DUMMYFUNCTION("""COMPUTED_VALUE"""),"Green, Quiet")</f>
        <v>Green, Quiet</v>
      </c>
      <c r="AM232" s="129" t="str">
        <f>IFERROR(__xludf.DUMMYFUNCTION("""COMPUTED_VALUE"""),"Beach, Buffet, Casino, Diving, Evening Entertainment, Great Food, Gym, Spa, Swim Out/Plunge Pool Rooms, Swim Up Bar, Tennis")</f>
        <v>Beach, Buffet, Casino, Diving, Evening Entertainment, Great Food, Gym, Spa, Swim Out/Plunge Pool Rooms, Swim Up Bar, Tennis</v>
      </c>
      <c r="AN232" s="128"/>
    </row>
    <row r="233">
      <c r="A233" s="118" t="s">
        <v>878</v>
      </c>
      <c r="B233" s="119">
        <v>89.3</v>
      </c>
      <c r="C233" s="134" t="s">
        <v>75</v>
      </c>
      <c r="D233" s="121">
        <v>3353.0</v>
      </c>
      <c r="E233" s="135">
        <f>IFERROR(__xludf.DUMMYFUNCTION("""COMPUTED_VALUE"""),4630.6603147)</f>
        <v>4630.660315</v>
      </c>
      <c r="F233" s="136">
        <v>2.77</v>
      </c>
      <c r="G233" s="124">
        <v>9361.0</v>
      </c>
      <c r="H233" s="125">
        <v>5736.0</v>
      </c>
      <c r="I233" s="125">
        <v>1975.0</v>
      </c>
      <c r="J233" s="125">
        <v>779.0</v>
      </c>
      <c r="K233" s="125">
        <v>463.0</v>
      </c>
      <c r="L233" s="125">
        <v>409.0</v>
      </c>
      <c r="M233" s="126">
        <v>86.0</v>
      </c>
      <c r="N233" s="127">
        <v>98.0</v>
      </c>
      <c r="O233" s="146"/>
      <c r="P233" s="127">
        <v>84.0</v>
      </c>
      <c r="Q233" s="135" t="b">
        <v>1</v>
      </c>
      <c r="R233" s="133"/>
      <c r="S233" s="133">
        <v>6.0</v>
      </c>
      <c r="T233" s="133"/>
      <c r="U233" s="133">
        <v>5.0</v>
      </c>
      <c r="V233" s="130"/>
      <c r="W233" s="130" t="s">
        <v>84</v>
      </c>
      <c r="X233" s="130" t="s">
        <v>528</v>
      </c>
      <c r="Y233" s="130" t="s">
        <v>86</v>
      </c>
      <c r="Z233" s="131" t="b">
        <v>1</v>
      </c>
      <c r="AA233" s="131">
        <v>0.04097222222222222</v>
      </c>
      <c r="AB233" s="130" t="s">
        <v>362</v>
      </c>
      <c r="AC233" s="130" t="s">
        <v>75</v>
      </c>
      <c r="AD233" s="130" t="s">
        <v>879</v>
      </c>
      <c r="AE233" s="130"/>
      <c r="AF233" s="132" t="s">
        <v>373</v>
      </c>
      <c r="AG233" s="133" t="b">
        <v>0</v>
      </c>
      <c r="AH233" s="133">
        <v>479.0</v>
      </c>
      <c r="AI233" s="133">
        <v>1999.0</v>
      </c>
      <c r="AJ233" s="143"/>
      <c r="AK233" s="133">
        <v>3.0</v>
      </c>
      <c r="AL233" s="129" t="str">
        <f>IFERROR(__xludf.DUMMYFUNCTION("""COMPUTED_VALUE"""),"Family")</f>
        <v>Family</v>
      </c>
      <c r="AM233" s="129" t="str">
        <f>IFERROR(__xludf.DUMMYFUNCTION("""COMPUTED_VALUE"""),"Babysitting, Beach, Buffet, Casino, Diving, Evening Entertainment, Gym, Kids Club, Kids Waterpark, Mini Golf, Nightclub, Pool Slide, Snorkelling, Spa, Swim Up Bar, Tennis, Water Feature, Wifi (Paid)")</f>
        <v>Babysitting, Beach, Buffet, Casino, Diving, Evening Entertainment, Gym, Kids Club, Kids Waterpark, Mini Golf, Nightclub, Pool Slide, Snorkelling, Spa, Swim Up Bar, Tennis, Water Feature, Wifi (Paid)</v>
      </c>
      <c r="AN233" s="139"/>
    </row>
    <row r="234">
      <c r="A234" s="118" t="s">
        <v>880</v>
      </c>
      <c r="B234" s="119">
        <v>89.3</v>
      </c>
      <c r="C234" s="120" t="s">
        <v>68</v>
      </c>
      <c r="D234" s="121">
        <v>3384.45</v>
      </c>
      <c r="E234" s="122">
        <f>IFERROR(__xludf.DUMMYFUNCTION("""COMPUTED_VALUE"""),4674.094334054999)</f>
        <v>4674.094334</v>
      </c>
      <c r="F234" s="136">
        <v>2.75</v>
      </c>
      <c r="G234" s="124">
        <v>11217.0</v>
      </c>
      <c r="H234" s="125">
        <v>8784.0</v>
      </c>
      <c r="I234" s="125">
        <v>1444.0</v>
      </c>
      <c r="J234" s="125">
        <v>458.0</v>
      </c>
      <c r="K234" s="125">
        <v>293.0</v>
      </c>
      <c r="L234" s="125">
        <v>241.0</v>
      </c>
      <c r="M234" s="126">
        <v>93.0</v>
      </c>
      <c r="N234" s="127">
        <v>94.0</v>
      </c>
      <c r="O234" s="138">
        <v>88.0</v>
      </c>
      <c r="P234" s="138">
        <v>82.0</v>
      </c>
      <c r="Q234" s="126" t="b">
        <v>1</v>
      </c>
      <c r="R234" s="133"/>
      <c r="S234" s="133">
        <v>7.0</v>
      </c>
      <c r="T234" s="133"/>
      <c r="U234" s="133">
        <v>5.0</v>
      </c>
      <c r="V234" s="129"/>
      <c r="W234" s="130" t="s">
        <v>84</v>
      </c>
      <c r="X234" s="130" t="s">
        <v>528</v>
      </c>
      <c r="Y234" s="130" t="s">
        <v>86</v>
      </c>
      <c r="Z234" s="131" t="b">
        <v>1</v>
      </c>
      <c r="AA234" s="131">
        <v>0.04097222222222222</v>
      </c>
      <c r="AB234" s="130" t="s">
        <v>881</v>
      </c>
      <c r="AC234" s="130" t="s">
        <v>882</v>
      </c>
      <c r="AD234" s="130" t="s">
        <v>883</v>
      </c>
      <c r="AE234" s="129"/>
      <c r="AF234" s="132"/>
      <c r="AG234" s="133" t="b">
        <v>0</v>
      </c>
      <c r="AH234" s="133">
        <v>1264.0</v>
      </c>
      <c r="AI234" s="143"/>
      <c r="AJ234" s="133">
        <v>2023.0</v>
      </c>
      <c r="AK234" s="133">
        <v>3.0</v>
      </c>
      <c r="AL234" s="129" t="str">
        <f>IFERROR(__xludf.DUMMYFUNCTION("""COMPUTED_VALUE"""),"Business, Green")</f>
        <v>Business, Green</v>
      </c>
      <c r="AM234" s="129" t="str">
        <f>IFERROR(__xludf.DUMMYFUNCTION("""COMPUTED_VALUE"""),"Beach, Buffet, Diving, Evening Entertainment, Fishing, Gym, Nightclub, Room Service, Spa, Swim Out/Plunge Pool Rooms, Swim Up Bar, Tennis, Wifi (Free)")</f>
        <v>Beach, Buffet, Diving, Evening Entertainment, Fishing, Gym, Nightclub, Room Service, Spa, Swim Out/Plunge Pool Rooms, Swim Up Bar, Tennis, Wifi (Free)</v>
      </c>
      <c r="AN234" s="128"/>
    </row>
    <row r="235">
      <c r="A235" s="118" t="s">
        <v>884</v>
      </c>
      <c r="B235" s="119">
        <v>89.3</v>
      </c>
      <c r="C235" s="134" t="s">
        <v>75</v>
      </c>
      <c r="D235" s="121">
        <v>3430.78</v>
      </c>
      <c r="E235" s="135">
        <f>IFERROR(__xludf.DUMMYFUNCTION("""COMPUTED_VALUE"""),4738.078375921999)</f>
        <v>4738.078376</v>
      </c>
      <c r="F235" s="136">
        <v>2.71</v>
      </c>
      <c r="G235" s="124">
        <v>4790.0</v>
      </c>
      <c r="H235" s="125">
        <v>3230.0</v>
      </c>
      <c r="I235" s="125">
        <v>1004.0</v>
      </c>
      <c r="J235" s="125">
        <v>336.0</v>
      </c>
      <c r="K235" s="125">
        <v>105.0</v>
      </c>
      <c r="L235" s="125">
        <v>117.0</v>
      </c>
      <c r="M235" s="126">
        <v>90.0</v>
      </c>
      <c r="N235" s="127">
        <v>90.0</v>
      </c>
      <c r="O235" s="146"/>
      <c r="P235" s="127">
        <v>88.0</v>
      </c>
      <c r="Q235" s="135" t="b">
        <v>1</v>
      </c>
      <c r="R235" s="133"/>
      <c r="S235" s="133">
        <v>6.0</v>
      </c>
      <c r="T235" s="133"/>
      <c r="U235" s="133"/>
      <c r="V235" s="130"/>
      <c r="W235" s="130" t="s">
        <v>84</v>
      </c>
      <c r="X235" s="130" t="s">
        <v>86</v>
      </c>
      <c r="Y235" s="147" t="s">
        <v>86</v>
      </c>
      <c r="Z235" s="131" t="b">
        <v>1</v>
      </c>
      <c r="AA235" s="131">
        <v>0.018055555555555554</v>
      </c>
      <c r="AB235" s="130" t="s">
        <v>821</v>
      </c>
      <c r="AC235" s="130" t="s">
        <v>885</v>
      </c>
      <c r="AD235" s="130" t="s">
        <v>886</v>
      </c>
      <c r="AE235" s="130"/>
      <c r="AF235" s="148" t="s">
        <v>887</v>
      </c>
      <c r="AG235" s="133" t="b">
        <v>0</v>
      </c>
      <c r="AH235" s="133">
        <v>201.0</v>
      </c>
      <c r="AI235" s="133">
        <v>1990.0</v>
      </c>
      <c r="AJ235" s="143"/>
      <c r="AK235" s="143"/>
      <c r="AL235" s="129" t="str">
        <f>IFERROR(__xludf.DUMMYFUNCTION("""COMPUTED_VALUE"""),"Charming, Value")</f>
        <v>Charming, Value</v>
      </c>
      <c r="AM235" s="129" t="str">
        <f>IFERROR(__xludf.DUMMYFUNCTION("""COMPUTED_VALUE"""),"2 Bedroom Suites, Babysitting, Beach, Bicycles Available, Buffet, Diving, Family Suite, Fishing, Gym, Heated Pool, Kids Club, Snorkelling, Swim Up Bar, Tennis, Wifi (Free)")</f>
        <v>2 Bedroom Suites, Babysitting, Beach, Bicycles Available, Buffet, Diving, Family Suite, Fishing, Gym, Heated Pool, Kids Club, Snorkelling, Swim Up Bar, Tennis, Wifi (Free)</v>
      </c>
      <c r="AN235" s="139"/>
    </row>
    <row r="236">
      <c r="A236" s="118" t="s">
        <v>888</v>
      </c>
      <c r="B236" s="119">
        <v>89.3</v>
      </c>
      <c r="C236" s="134" t="s">
        <v>75</v>
      </c>
      <c r="D236" s="121">
        <v>3473.57</v>
      </c>
      <c r="E236" s="135">
        <f>IFERROR(__xludf.DUMMYFUNCTION("""COMPUTED_VALUE"""),4797.173501143)</f>
        <v>4797.173501</v>
      </c>
      <c r="F236" s="136">
        <v>2.68</v>
      </c>
      <c r="G236" s="124">
        <v>858.0</v>
      </c>
      <c r="H236" s="125">
        <v>654.0</v>
      </c>
      <c r="I236" s="125">
        <v>90.0</v>
      </c>
      <c r="J236" s="125">
        <v>66.0</v>
      </c>
      <c r="K236" s="125">
        <v>25.0</v>
      </c>
      <c r="L236" s="125">
        <v>23.0</v>
      </c>
      <c r="M236" s="126">
        <v>91.0</v>
      </c>
      <c r="N236" s="138">
        <v>90.0</v>
      </c>
      <c r="O236" s="138">
        <v>88.0</v>
      </c>
      <c r="P236" s="138">
        <v>88.0</v>
      </c>
      <c r="Q236" s="135" t="b">
        <v>1</v>
      </c>
      <c r="R236" s="133"/>
      <c r="S236" s="133">
        <v>7.0</v>
      </c>
      <c r="T236" s="133"/>
      <c r="U236" s="133">
        <v>4.0</v>
      </c>
      <c r="V236" s="129"/>
      <c r="W236" s="130" t="s">
        <v>84</v>
      </c>
      <c r="X236" s="130" t="s">
        <v>210</v>
      </c>
      <c r="Y236" s="130" t="s">
        <v>86</v>
      </c>
      <c r="Z236" s="131" t="b">
        <v>1</v>
      </c>
      <c r="AA236" s="131">
        <v>0.01875</v>
      </c>
      <c r="AB236" s="130" t="s">
        <v>545</v>
      </c>
      <c r="AC236" s="130" t="s">
        <v>365</v>
      </c>
      <c r="AD236" s="130" t="s">
        <v>889</v>
      </c>
      <c r="AE236" s="130"/>
      <c r="AF236" s="132" t="s">
        <v>890</v>
      </c>
      <c r="AG236" s="133" t="b">
        <v>1</v>
      </c>
      <c r="AH236" s="133">
        <v>150.0</v>
      </c>
      <c r="AI236" s="133">
        <v>2021.0</v>
      </c>
      <c r="AJ236" s="143"/>
      <c r="AK236" s="133">
        <v>5.0</v>
      </c>
      <c r="AL236" s="129" t="str">
        <f>IFERROR(__xludf.DUMMYFUNCTION("""COMPUTED_VALUE"""),"Business")</f>
        <v>Business</v>
      </c>
      <c r="AM236" s="129" t="str">
        <f>IFERROR(__xludf.DUMMYFUNCTION("""COMPUTED_VALUE"""),"2 Bedroom Suites, Bicycles Available, Family Suite, Gym, Kids Club, Pool Slide, Snorkelling, Spa, Teen Club, Water Feature, Watersports Equipment Rentals, Wifi (Paid)")</f>
        <v>2 Bedroom Suites, Bicycles Available, Family Suite, Gym, Kids Club, Pool Slide, Snorkelling, Spa, Teen Club, Water Feature, Watersports Equipment Rentals, Wifi (Paid)</v>
      </c>
      <c r="AN236" s="139"/>
    </row>
    <row r="237">
      <c r="A237" s="118" t="s">
        <v>891</v>
      </c>
      <c r="B237" s="119">
        <v>89.3</v>
      </c>
      <c r="C237" s="134" t="s">
        <v>75</v>
      </c>
      <c r="D237" s="121">
        <v>3576.12</v>
      </c>
      <c r="E237" s="135">
        <f>IFERROR(__xludf.DUMMYFUNCTION("""COMPUTED_VALUE"""),4938.800168387999)</f>
        <v>4938.800168</v>
      </c>
      <c r="F237" s="136">
        <v>2.6</v>
      </c>
      <c r="G237" s="124">
        <v>4683.0</v>
      </c>
      <c r="H237" s="125">
        <v>3470.0</v>
      </c>
      <c r="I237" s="125">
        <v>839.0</v>
      </c>
      <c r="J237" s="125">
        <v>230.0</v>
      </c>
      <c r="K237" s="125">
        <v>81.0</v>
      </c>
      <c r="L237" s="125">
        <v>63.0</v>
      </c>
      <c r="M237" s="137">
        <v>92.0</v>
      </c>
      <c r="N237" s="138">
        <v>90.0</v>
      </c>
      <c r="O237" s="138"/>
      <c r="P237" s="138">
        <v>86.0</v>
      </c>
      <c r="Q237" s="135" t="b">
        <v>1</v>
      </c>
      <c r="R237" s="133">
        <v>4.0</v>
      </c>
      <c r="S237" s="133">
        <v>8.0</v>
      </c>
      <c r="T237" s="133"/>
      <c r="U237" s="133">
        <v>4.5</v>
      </c>
      <c r="V237" s="129"/>
      <c r="W237" s="130" t="s">
        <v>84</v>
      </c>
      <c r="X237" s="130" t="s">
        <v>119</v>
      </c>
      <c r="Y237" s="130" t="s">
        <v>120</v>
      </c>
      <c r="Z237" s="131" t="b">
        <v>1</v>
      </c>
      <c r="AA237" s="131">
        <v>0.011805555555555555</v>
      </c>
      <c r="AB237" s="129"/>
      <c r="AC237" s="130" t="s">
        <v>892</v>
      </c>
      <c r="AD237" s="130" t="s">
        <v>893</v>
      </c>
      <c r="AE237" s="130"/>
      <c r="AF237" s="132" t="s">
        <v>318</v>
      </c>
      <c r="AG237" s="133" t="b">
        <v>1</v>
      </c>
      <c r="AH237" s="133">
        <v>100.0</v>
      </c>
      <c r="AI237" s="133"/>
      <c r="AJ237" s="133">
        <v>2011.0</v>
      </c>
      <c r="AK237" s="133">
        <v>16.0</v>
      </c>
      <c r="AL237" s="129" t="str">
        <f>IFERROR(__xludf.DUMMYFUNCTION("""COMPUTED_VALUE"""),"Modern, Value")</f>
        <v>Modern, Value</v>
      </c>
      <c r="AM237" s="129" t="str">
        <f>IFERROR(__xludf.DUMMYFUNCTION("""COMPUTED_VALUE"""),"Adult Pool, Beach, Fishing, Gym, Heated Pool, Horseback Riding, Kids Club, Room Service, Spa, Swim Up Bar, Tennis, Wifi (Free)")</f>
        <v>Adult Pool, Beach, Fishing, Gym, Heated Pool, Horseback Riding, Kids Club, Room Service, Spa, Swim Up Bar, Tennis, Wifi (Free)</v>
      </c>
      <c r="AN237" s="139"/>
    </row>
    <row r="238">
      <c r="A238" s="118" t="s">
        <v>894</v>
      </c>
      <c r="B238" s="119">
        <v>89.3</v>
      </c>
      <c r="C238" s="134" t="s">
        <v>75</v>
      </c>
      <c r="D238" s="121">
        <v>3767.73</v>
      </c>
      <c r="E238" s="135">
        <f>IFERROR(__xludf.DUMMYFUNCTION("""COMPUTED_VALUE"""),5203.423139727)</f>
        <v>5203.42314</v>
      </c>
      <c r="F238" s="136">
        <v>2.47</v>
      </c>
      <c r="G238" s="124">
        <v>2880.0</v>
      </c>
      <c r="H238" s="125">
        <v>1742.0</v>
      </c>
      <c r="I238" s="125">
        <v>795.0</v>
      </c>
      <c r="J238" s="125">
        <v>218.0</v>
      </c>
      <c r="K238" s="125">
        <v>65.0</v>
      </c>
      <c r="L238" s="125">
        <v>60.0</v>
      </c>
      <c r="M238" s="137">
        <v>88.0</v>
      </c>
      <c r="N238" s="138">
        <v>92.0</v>
      </c>
      <c r="O238" s="127"/>
      <c r="P238" s="138">
        <v>88.0</v>
      </c>
      <c r="Q238" s="137" t="b">
        <v>1</v>
      </c>
      <c r="R238" s="128"/>
      <c r="S238" s="133" t="s">
        <v>83</v>
      </c>
      <c r="T238" s="128"/>
      <c r="U238" s="133">
        <v>3.5</v>
      </c>
      <c r="V238" s="129"/>
      <c r="W238" s="130" t="s">
        <v>895</v>
      </c>
      <c r="X238" s="130" t="s">
        <v>896</v>
      </c>
      <c r="Y238" s="130" t="s">
        <v>897</v>
      </c>
      <c r="Z238" s="131" t="b">
        <v>0</v>
      </c>
      <c r="AA238" s="131">
        <v>0.034027777777777775</v>
      </c>
      <c r="AB238" s="130" t="s">
        <v>451</v>
      </c>
      <c r="AC238" s="130" t="s">
        <v>898</v>
      </c>
      <c r="AD238" s="130" t="s">
        <v>899</v>
      </c>
      <c r="AE238" s="130"/>
      <c r="AF238" s="132" t="s">
        <v>318</v>
      </c>
      <c r="AG238" s="133" t="b">
        <v>0</v>
      </c>
      <c r="AH238" s="133">
        <v>187.0</v>
      </c>
      <c r="AI238" s="133"/>
      <c r="AJ238" s="133"/>
      <c r="AK238" s="133"/>
      <c r="AL238" s="129" t="str">
        <f>IFERROR(__xludf.DUMMYFUNCTION("""COMPUTED_VALUE"""),"Business, Charming")</f>
        <v>Business, Charming</v>
      </c>
      <c r="AM238" s="129" t="str">
        <f>IFERROR(__xludf.DUMMYFUNCTION("""COMPUTED_VALUE"""),"Adult Pool, Beach, Buffet, Evening Entertainment, Hiking, Kids Club, Swim Out/Plunge Pool Rooms, Swim Up Bar, Yoga Classes")</f>
        <v>Adult Pool, Beach, Buffet, Evening Entertainment, Hiking, Kids Club, Swim Out/Plunge Pool Rooms, Swim Up Bar, Yoga Classes</v>
      </c>
      <c r="AN238" s="139"/>
    </row>
    <row r="239">
      <c r="A239" s="118" t="s">
        <v>900</v>
      </c>
      <c r="B239" s="119">
        <v>89.3</v>
      </c>
      <c r="C239" s="134" t="s">
        <v>75</v>
      </c>
      <c r="D239" s="121">
        <v>4339.09</v>
      </c>
      <c r="E239" s="135">
        <f>IFERROR(__xludf.DUMMYFUNCTION("""COMPUTED_VALUE"""),5992.499810591)</f>
        <v>5992.499811</v>
      </c>
      <c r="F239" s="136">
        <v>2.14</v>
      </c>
      <c r="G239" s="124">
        <v>12228.0</v>
      </c>
      <c r="H239" s="125">
        <v>9470.0</v>
      </c>
      <c r="I239" s="125">
        <v>1727.0</v>
      </c>
      <c r="J239" s="125">
        <v>613.0</v>
      </c>
      <c r="K239" s="125">
        <v>224.0</v>
      </c>
      <c r="L239" s="125">
        <v>196.0</v>
      </c>
      <c r="M239" s="126">
        <v>93.0</v>
      </c>
      <c r="N239" s="127">
        <v>92.0</v>
      </c>
      <c r="O239" s="127">
        <v>88.0</v>
      </c>
      <c r="P239" s="127">
        <v>84.0</v>
      </c>
      <c r="Q239" s="126" t="b">
        <v>1</v>
      </c>
      <c r="R239" s="133"/>
      <c r="S239" s="133">
        <v>8.0</v>
      </c>
      <c r="T239" s="133"/>
      <c r="U239" s="133">
        <v>5.0</v>
      </c>
      <c r="V239" s="129"/>
      <c r="W239" s="130" t="s">
        <v>84</v>
      </c>
      <c r="X239" s="130" t="s">
        <v>199</v>
      </c>
      <c r="Y239" s="130" t="s">
        <v>120</v>
      </c>
      <c r="Z239" s="131" t="b">
        <v>1</v>
      </c>
      <c r="AA239" s="131">
        <v>0.014583333333333334</v>
      </c>
      <c r="AB239" s="130" t="s">
        <v>881</v>
      </c>
      <c r="AC239" s="130" t="s">
        <v>473</v>
      </c>
      <c r="AD239" s="130" t="s">
        <v>901</v>
      </c>
      <c r="AE239" s="130"/>
      <c r="AF239" s="132" t="s">
        <v>373</v>
      </c>
      <c r="AG239" s="133" t="b">
        <v>0</v>
      </c>
      <c r="AH239" s="133">
        <v>348.0</v>
      </c>
      <c r="AI239" s="133">
        <v>2002.0</v>
      </c>
      <c r="AJ239" s="143"/>
      <c r="AK239" s="133">
        <v>8.0</v>
      </c>
      <c r="AL239" s="129" t="str">
        <f>IFERROR(__xludf.DUMMYFUNCTION("""COMPUTED_VALUE"""),"Great View, Trendy")</f>
        <v>Great View, Trendy</v>
      </c>
      <c r="AM239" s="129" t="str">
        <f>IFERROR(__xludf.DUMMYFUNCTION("""COMPUTED_VALUE"""),"2 Bedroom Suites, Arcade, Babysitting, Beach, Evening Entertainment, Family Suite, Fishing, Gym, Heated Pool, Kids Club, Nightclub, Pool Slide, Room Service, Spa, Swim Up Bar, Teen Club, Water Feature, Wifi (Free)")</f>
        <v>2 Bedroom Suites, Arcade, Babysitting, Beach, Evening Entertainment, Family Suite, Fishing, Gym, Heated Pool, Kids Club, Nightclub, Pool Slide, Room Service, Spa, Swim Up Bar, Teen Club, Water Feature, Wifi (Free)</v>
      </c>
      <c r="AN239" s="139"/>
    </row>
    <row r="240">
      <c r="A240" s="118" t="s">
        <v>902</v>
      </c>
      <c r="B240" s="119">
        <v>89.3</v>
      </c>
      <c r="C240" s="120" t="s">
        <v>68</v>
      </c>
      <c r="D240" s="121">
        <v>4423.0</v>
      </c>
      <c r="E240" s="122">
        <f>IFERROR(__xludf.DUMMYFUNCTION("""COMPUTED_VALUE"""),6108.383707699999)</f>
        <v>6108.383708</v>
      </c>
      <c r="F240" s="136">
        <v>2.1</v>
      </c>
      <c r="G240" s="124">
        <v>5465.0</v>
      </c>
      <c r="H240" s="125">
        <v>3862.0</v>
      </c>
      <c r="I240" s="125">
        <v>996.0</v>
      </c>
      <c r="J240" s="125">
        <v>366.0</v>
      </c>
      <c r="K240" s="125">
        <v>154.0</v>
      </c>
      <c r="L240" s="125">
        <v>88.0</v>
      </c>
      <c r="M240" s="126">
        <v>91.0</v>
      </c>
      <c r="N240" s="138">
        <v>88.0</v>
      </c>
      <c r="O240" s="127">
        <v>90.0</v>
      </c>
      <c r="P240" s="127">
        <v>88.0</v>
      </c>
      <c r="Q240" s="122" t="b">
        <v>1</v>
      </c>
      <c r="R240" s="133">
        <v>4.0</v>
      </c>
      <c r="S240" s="133">
        <v>9.0</v>
      </c>
      <c r="T240" s="133" t="s">
        <v>247</v>
      </c>
      <c r="U240" s="133">
        <v>4.5</v>
      </c>
      <c r="V240" s="130"/>
      <c r="W240" s="130" t="s">
        <v>171</v>
      </c>
      <c r="X240" s="130" t="s">
        <v>903</v>
      </c>
      <c r="Y240" s="130" t="s">
        <v>736</v>
      </c>
      <c r="Z240" s="131" t="b">
        <v>1</v>
      </c>
      <c r="AA240" s="131">
        <v>0.01597222222222222</v>
      </c>
      <c r="AB240" s="130" t="s">
        <v>50</v>
      </c>
      <c r="AC240" s="130" t="s">
        <v>904</v>
      </c>
      <c r="AD240" s="130" t="s">
        <v>905</v>
      </c>
      <c r="AE240" s="129"/>
      <c r="AF240" s="132"/>
      <c r="AG240" s="133" t="b">
        <v>0</v>
      </c>
      <c r="AH240" s="133">
        <v>202.0</v>
      </c>
      <c r="AI240" s="133"/>
      <c r="AJ240" s="133">
        <v>2010.0</v>
      </c>
      <c r="AK240" s="133">
        <v>1.0</v>
      </c>
      <c r="AL240" s="129" t="str">
        <f>IFERROR(__xludf.DUMMYFUNCTION("""COMPUTED_VALUE"""),"Mountain View, Romantic")</f>
        <v>Mountain View, Romantic</v>
      </c>
      <c r="AM240" s="129" t="str">
        <f>IFERROR(__xludf.DUMMYFUNCTION("""COMPUTED_VALUE"""),"Beach, Buffet, Diving, Evening Entertainment, Fishing, Great Food, Gym, Heated Pool, Spa, Swim Out/Plunge Pool Rooms, Swim Up Bar, Tennis")</f>
        <v>Beach, Buffet, Diving, Evening Entertainment, Fishing, Great Food, Gym, Heated Pool, Spa, Swim Out/Plunge Pool Rooms, Swim Up Bar, Tennis</v>
      </c>
      <c r="AN240" s="128"/>
    </row>
    <row r="241">
      <c r="A241" s="140" t="s">
        <v>906</v>
      </c>
      <c r="B241" s="119">
        <v>89.3</v>
      </c>
      <c r="C241" s="133" t="s">
        <v>75</v>
      </c>
      <c r="D241" s="142">
        <v>4531.8</v>
      </c>
      <c r="E241" s="122">
        <f>IFERROR(__xludf.DUMMYFUNCTION("""COMPUTED_VALUE"""),6258.6419368199995)</f>
        <v>6258.641937</v>
      </c>
      <c r="F241" s="136">
        <v>2.05</v>
      </c>
      <c r="G241" s="124">
        <v>5468.0</v>
      </c>
      <c r="H241" s="125">
        <v>3428.0</v>
      </c>
      <c r="I241" s="125">
        <v>1253.0</v>
      </c>
      <c r="J241" s="125">
        <v>447.0</v>
      </c>
      <c r="K241" s="125">
        <v>173.0</v>
      </c>
      <c r="L241" s="125">
        <v>168.0</v>
      </c>
      <c r="M241" s="126">
        <v>88.0</v>
      </c>
      <c r="N241" s="127">
        <v>96.0</v>
      </c>
      <c r="O241" s="146"/>
      <c r="P241" s="127">
        <v>84.0</v>
      </c>
      <c r="Q241" s="126" t="b">
        <v>1</v>
      </c>
      <c r="R241" s="128"/>
      <c r="S241" s="128">
        <v>6.0</v>
      </c>
      <c r="T241" s="128"/>
      <c r="U241" s="128">
        <v>5.0</v>
      </c>
      <c r="V241" s="129"/>
      <c r="W241" s="144" t="s">
        <v>84</v>
      </c>
      <c r="X241" s="144" t="s">
        <v>907</v>
      </c>
      <c r="Y241" s="144" t="s">
        <v>120</v>
      </c>
      <c r="Z241" s="145" t="b">
        <v>1</v>
      </c>
      <c r="AA241" s="145">
        <v>0.03611111111111111</v>
      </c>
      <c r="AB241" s="129" t="s">
        <v>215</v>
      </c>
      <c r="AC241" s="129" t="s">
        <v>908</v>
      </c>
      <c r="AD241" s="147" t="s">
        <v>909</v>
      </c>
      <c r="AE241" s="129"/>
      <c r="AF241" s="132" t="s">
        <v>373</v>
      </c>
      <c r="AG241" s="143" t="b">
        <v>0</v>
      </c>
      <c r="AH241" s="143">
        <v>452.0</v>
      </c>
      <c r="AI241" s="143"/>
      <c r="AJ241" s="143"/>
      <c r="AK241" s="143"/>
      <c r="AL241" s="129" t="str">
        <f>IFERROR(__xludf.DUMMYFUNCTION("""COMPUTED_VALUE"""),"Mountain View, Park View")</f>
        <v>Mountain View, Park View</v>
      </c>
      <c r="AM241" s="129" t="str">
        <f>IFERROR(__xludf.DUMMYFUNCTION("""COMPUTED_VALUE"""),"2 Bedroom Suites, Babysitting, Beach, Buffet, Diving, Evening Entertainment, Family Suite, Golf Course, Gym, Kids Club, Kids Waterpark, Nightclub, Spa, Swim Up Bar, Teen Club, Tennis, Wifi (Free)")</f>
        <v>2 Bedroom Suites, Babysitting, Beach, Buffet, Diving, Evening Entertainment, Family Suite, Golf Course, Gym, Kids Club, Kids Waterpark, Nightclub, Spa, Swim Up Bar, Teen Club, Tennis, Wifi (Free)</v>
      </c>
      <c r="AN241" s="139"/>
    </row>
    <row r="242">
      <c r="A242" s="118" t="s">
        <v>910</v>
      </c>
      <c r="B242" s="119">
        <v>89.3</v>
      </c>
      <c r="C242" s="134" t="s">
        <v>75</v>
      </c>
      <c r="D242" s="121">
        <v>4782.05</v>
      </c>
      <c r="E242" s="135">
        <f>IFERROR(__xludf.DUMMYFUNCTION("""COMPUTED_VALUE"""),6604.249674295)</f>
        <v>6604.249674</v>
      </c>
      <c r="F242" s="136">
        <v>1.94</v>
      </c>
      <c r="G242" s="124">
        <v>14876.0</v>
      </c>
      <c r="H242" s="125">
        <v>10186.0</v>
      </c>
      <c r="I242" s="125">
        <v>2971.0</v>
      </c>
      <c r="J242" s="125">
        <v>918.0</v>
      </c>
      <c r="K242" s="125">
        <v>440.0</v>
      </c>
      <c r="L242" s="125">
        <v>362.0</v>
      </c>
      <c r="M242" s="126">
        <v>90.0</v>
      </c>
      <c r="N242" s="127">
        <v>90.0</v>
      </c>
      <c r="O242" s="146"/>
      <c r="P242" s="127">
        <v>88.0</v>
      </c>
      <c r="Q242" s="135" t="b">
        <v>1</v>
      </c>
      <c r="R242" s="133">
        <v>4.0</v>
      </c>
      <c r="S242" s="133">
        <v>8.0</v>
      </c>
      <c r="T242" s="133" t="s">
        <v>247</v>
      </c>
      <c r="U242" s="133">
        <v>4.5</v>
      </c>
      <c r="V242" s="129"/>
      <c r="W242" s="130" t="s">
        <v>84</v>
      </c>
      <c r="X242" s="130" t="s">
        <v>119</v>
      </c>
      <c r="Y242" s="130" t="s">
        <v>120</v>
      </c>
      <c r="Z242" s="131" t="b">
        <v>1</v>
      </c>
      <c r="AA242" s="131">
        <v>0.021527777777777778</v>
      </c>
      <c r="AB242" s="130" t="s">
        <v>50</v>
      </c>
      <c r="AC242" s="130" t="s">
        <v>203</v>
      </c>
      <c r="AD242" s="130" t="s">
        <v>911</v>
      </c>
      <c r="AE242" s="130" t="s">
        <v>134</v>
      </c>
      <c r="AF242" s="132" t="s">
        <v>373</v>
      </c>
      <c r="AG242" s="133" t="b">
        <v>1</v>
      </c>
      <c r="AH242" s="133">
        <v>335.0</v>
      </c>
      <c r="AI242" s="133">
        <v>1969.0</v>
      </c>
      <c r="AJ242" s="133">
        <v>2014.0</v>
      </c>
      <c r="AK242" s="133">
        <v>11.0</v>
      </c>
      <c r="AL242" s="129" t="str">
        <f>IFERROR(__xludf.DUMMYFUNCTION("""COMPUTED_VALUE"""),"Family, Great View")</f>
        <v>Family, Great View</v>
      </c>
      <c r="AM242" s="129" t="str">
        <f>IFERROR(__xludf.DUMMYFUNCTION("""COMPUTED_VALUE"""),"Adult Pool, Adults Only Rooms, Babysitting, Beach, Buffet, Diving, Evening Entertainment, Fishing, Gym, Heated Pool, Kids Club, Spa, Swim Out/Plunge Pool Rooms, Swim Up Bar, Tennis, Wifi (Free)")</f>
        <v>Adult Pool, Adults Only Rooms, Babysitting, Beach, Buffet, Diving, Evening Entertainment, Fishing, Gym, Heated Pool, Kids Club, Spa, Swim Out/Plunge Pool Rooms, Swim Up Bar, Tennis, Wifi (Free)</v>
      </c>
      <c r="AN242" s="139"/>
    </row>
    <row r="243">
      <c r="A243" s="118" t="s">
        <v>912</v>
      </c>
      <c r="B243" s="119">
        <v>89.3</v>
      </c>
      <c r="C243" s="120" t="s">
        <v>68</v>
      </c>
      <c r="D243" s="121">
        <v>4791.0</v>
      </c>
      <c r="E243" s="122">
        <f>IFERROR(__xludf.DUMMYFUNCTION("""COMPUTED_VALUE"""),6616.610070899999)</f>
        <v>6616.610071</v>
      </c>
      <c r="F243" s="136">
        <v>1.94</v>
      </c>
      <c r="G243" s="124">
        <v>5605.0</v>
      </c>
      <c r="H243" s="125">
        <v>4305.0</v>
      </c>
      <c r="I243" s="125">
        <v>744.0</v>
      </c>
      <c r="J243" s="125">
        <v>290.0</v>
      </c>
      <c r="K243" s="125">
        <v>124.0</v>
      </c>
      <c r="L243" s="125">
        <v>142.0</v>
      </c>
      <c r="M243" s="126">
        <v>92.0</v>
      </c>
      <c r="N243" s="127">
        <v>90.0</v>
      </c>
      <c r="O243" s="127"/>
      <c r="P243" s="127">
        <v>86.0</v>
      </c>
      <c r="Q243" s="122" t="b">
        <v>1</v>
      </c>
      <c r="R243" s="133"/>
      <c r="S243" s="133">
        <v>7.0</v>
      </c>
      <c r="T243" s="133" t="s">
        <v>247</v>
      </c>
      <c r="U243" s="133">
        <v>4.5</v>
      </c>
      <c r="V243" s="129"/>
      <c r="W243" s="130" t="s">
        <v>84</v>
      </c>
      <c r="X243" s="130" t="s">
        <v>122</v>
      </c>
      <c r="Y243" s="130" t="s">
        <v>123</v>
      </c>
      <c r="Z243" s="131" t="b">
        <v>1</v>
      </c>
      <c r="AA243" s="131">
        <v>0.02847222222222222</v>
      </c>
      <c r="AB243" s="130" t="s">
        <v>50</v>
      </c>
      <c r="AC243" s="130" t="s">
        <v>913</v>
      </c>
      <c r="AD243" s="130" t="s">
        <v>914</v>
      </c>
      <c r="AE243" s="129"/>
      <c r="AF243" s="132"/>
      <c r="AG243" s="133" t="b">
        <v>0</v>
      </c>
      <c r="AH243" s="133">
        <v>169.0</v>
      </c>
      <c r="AI243" s="133">
        <v>2015.0</v>
      </c>
      <c r="AJ243" s="143"/>
      <c r="AK243" s="133">
        <v>5.0</v>
      </c>
      <c r="AL243" s="129" t="str">
        <f>IFERROR(__xludf.DUMMYFUNCTION("""COMPUTED_VALUE"""),"Mountain View, Trendy")</f>
        <v>Mountain View, Trendy</v>
      </c>
      <c r="AM243" s="129" t="str">
        <f>IFERROR(__xludf.DUMMYFUNCTION("""COMPUTED_VALUE"""),"Beach, Buffet, Evening Entertainment, Fishing, Great for Parties, Gym, Heated Pool, Nightclub, Room Service, Spa, Wifi (Free)")</f>
        <v>Beach, Buffet, Evening Entertainment, Fishing, Great for Parties, Gym, Heated Pool, Nightclub, Room Service, Spa, Wifi (Free)</v>
      </c>
      <c r="AN243" s="128"/>
    </row>
    <row r="244">
      <c r="A244" s="118" t="s">
        <v>915</v>
      </c>
      <c r="B244" s="119">
        <v>89.3</v>
      </c>
      <c r="C244" s="134" t="s">
        <v>75</v>
      </c>
      <c r="D244" s="121">
        <v>5179.58</v>
      </c>
      <c r="E244" s="135">
        <f>IFERROR(__xludf.DUMMYFUNCTION("""COMPUTED_VALUE"""),7153.258441041999)</f>
        <v>7153.258441</v>
      </c>
      <c r="F244" s="136">
        <v>1.8</v>
      </c>
      <c r="G244" s="124">
        <v>4136.0</v>
      </c>
      <c r="H244" s="125">
        <v>3191.0</v>
      </c>
      <c r="I244" s="125">
        <v>553.0</v>
      </c>
      <c r="J244" s="125">
        <v>174.0</v>
      </c>
      <c r="K244" s="125">
        <v>89.0</v>
      </c>
      <c r="L244" s="125">
        <v>129.0</v>
      </c>
      <c r="M244" s="126">
        <v>92.0</v>
      </c>
      <c r="N244" s="127">
        <v>88.0</v>
      </c>
      <c r="O244" s="146"/>
      <c r="P244" s="127">
        <v>88.0</v>
      </c>
      <c r="Q244" s="135" t="b">
        <v>1</v>
      </c>
      <c r="R244" s="133"/>
      <c r="S244" s="133">
        <v>7.0</v>
      </c>
      <c r="T244" s="133"/>
      <c r="U244" s="133">
        <v>4.0</v>
      </c>
      <c r="V244" s="130" t="s">
        <v>154</v>
      </c>
      <c r="W244" s="130" t="s">
        <v>84</v>
      </c>
      <c r="X244" s="130" t="s">
        <v>85</v>
      </c>
      <c r="Y244" s="130" t="s">
        <v>86</v>
      </c>
      <c r="Z244" s="131" t="b">
        <v>1</v>
      </c>
      <c r="AA244" s="131">
        <v>0.029166666666666667</v>
      </c>
      <c r="AB244" s="130"/>
      <c r="AC244" s="130" t="s">
        <v>598</v>
      </c>
      <c r="AD244" s="130" t="s">
        <v>916</v>
      </c>
      <c r="AE244" s="130"/>
      <c r="AF244" s="132" t="s">
        <v>318</v>
      </c>
      <c r="AG244" s="143" t="b">
        <v>0</v>
      </c>
      <c r="AH244" s="133">
        <v>122.0</v>
      </c>
      <c r="AI244" s="133">
        <v>1982.0</v>
      </c>
      <c r="AJ244" s="133">
        <v>2013.0</v>
      </c>
      <c r="AK244" s="143">
        <v>3.0</v>
      </c>
      <c r="AL244" s="129" t="str">
        <f>IFERROR(__xludf.DUMMYFUNCTION("""COMPUTED_VALUE"""),"Ocean View, Value")</f>
        <v>Ocean View, Value</v>
      </c>
      <c r="AM244" s="129" t="str">
        <f>IFERROR(__xludf.DUMMYFUNCTION("""COMPUTED_VALUE"""),"Babysitting, Beach, Bicycles Available, Buffet, Evening Entertainment, Gym, Pets Allowed, Room Service, Spa, Swim Out/Plunge Pool Rooms, Swim Up Bar, Yoga Classes")</f>
        <v>Babysitting, Beach, Bicycles Available, Buffet, Evening Entertainment, Gym, Pets Allowed, Room Service, Spa, Swim Out/Plunge Pool Rooms, Swim Up Bar, Yoga Classes</v>
      </c>
      <c r="AN244" s="139"/>
    </row>
    <row r="245">
      <c r="A245" s="118" t="s">
        <v>917</v>
      </c>
      <c r="B245" s="119">
        <v>89.3</v>
      </c>
      <c r="C245" s="120" t="s">
        <v>68</v>
      </c>
      <c r="D245" s="121">
        <v>5489.9</v>
      </c>
      <c r="E245" s="122">
        <f>IFERROR(__xludf.DUMMYFUNCTION("""COMPUTED_VALUE"""),7581.825846009999)</f>
        <v>7581.825846</v>
      </c>
      <c r="F245" s="136">
        <v>1.69</v>
      </c>
      <c r="G245" s="124">
        <v>7760.0</v>
      </c>
      <c r="H245" s="125">
        <v>5790.0</v>
      </c>
      <c r="I245" s="125">
        <v>1005.0</v>
      </c>
      <c r="J245" s="125">
        <v>479.0</v>
      </c>
      <c r="K245" s="125">
        <v>216.0</v>
      </c>
      <c r="L245" s="125">
        <v>270.0</v>
      </c>
      <c r="M245" s="126">
        <v>90.0</v>
      </c>
      <c r="N245" s="127">
        <v>90.0</v>
      </c>
      <c r="O245" s="127"/>
      <c r="P245" s="138">
        <v>88.0</v>
      </c>
      <c r="Q245" s="122" t="b">
        <v>1</v>
      </c>
      <c r="R245" s="133"/>
      <c r="S245" s="133">
        <v>7.0</v>
      </c>
      <c r="T245" s="133"/>
      <c r="U245" s="133">
        <v>4.0</v>
      </c>
      <c r="V245" s="130" t="s">
        <v>918</v>
      </c>
      <c r="W245" s="130" t="s">
        <v>84</v>
      </c>
      <c r="X245" s="130" t="s">
        <v>86</v>
      </c>
      <c r="Y245" s="130" t="s">
        <v>86</v>
      </c>
      <c r="Z245" s="131" t="b">
        <v>1</v>
      </c>
      <c r="AA245" s="131">
        <v>0.016666666666666666</v>
      </c>
      <c r="AB245" s="130" t="s">
        <v>307</v>
      </c>
      <c r="AC245" s="130" t="s">
        <v>351</v>
      </c>
      <c r="AD245" s="130" t="s">
        <v>919</v>
      </c>
      <c r="AE245" s="129"/>
      <c r="AF245" s="132"/>
      <c r="AG245" s="133" t="b">
        <v>0</v>
      </c>
      <c r="AH245" s="133">
        <v>430.0</v>
      </c>
      <c r="AI245" s="133">
        <v>1974.0</v>
      </c>
      <c r="AJ245" s="133">
        <v>2017.0</v>
      </c>
      <c r="AK245" s="133">
        <v>3.0</v>
      </c>
      <c r="AL245" s="129" t="str">
        <f>IFERROR(__xludf.DUMMYFUNCTION("""COMPUTED_VALUE"""),"Marina View")</f>
        <v>Marina View</v>
      </c>
      <c r="AM245" s="129" t="str">
        <f>IFERROR(__xludf.DUMMYFUNCTION("""COMPUTED_VALUE"""),"Beach, Buffet, Evening Entertainment, Great for Parties, Gym, Nightclub, Room Service, Spa, Swim Up Bar, Windsurfing, Yoga Classes")</f>
        <v>Beach, Buffet, Evening Entertainment, Great for Parties, Gym, Nightclub, Room Service, Spa, Swim Up Bar, Windsurfing, Yoga Classes</v>
      </c>
      <c r="AN245" s="128"/>
    </row>
    <row r="246">
      <c r="A246" s="118" t="s">
        <v>920</v>
      </c>
      <c r="B246" s="119">
        <v>89.3</v>
      </c>
      <c r="C246" s="120" t="s">
        <v>68</v>
      </c>
      <c r="D246" s="121">
        <v>5980.0</v>
      </c>
      <c r="E246" s="122">
        <f>IFERROR(__xludf.DUMMYFUNCTION("""COMPUTED_VALUE"""),8258.678402)</f>
        <v>8258.678402</v>
      </c>
      <c r="F246" s="136">
        <v>1.56</v>
      </c>
      <c r="G246" s="124">
        <v>28.0</v>
      </c>
      <c r="H246" s="125">
        <v>17.0</v>
      </c>
      <c r="I246" s="125">
        <v>2.0</v>
      </c>
      <c r="J246" s="125">
        <v>3.0</v>
      </c>
      <c r="K246" s="125">
        <v>0.0</v>
      </c>
      <c r="L246" s="125">
        <v>6.0</v>
      </c>
      <c r="M246" s="126">
        <v>77.0</v>
      </c>
      <c r="N246" s="127">
        <v>94.0</v>
      </c>
      <c r="O246" s="127">
        <v>92.0</v>
      </c>
      <c r="P246" s="127">
        <v>94.0</v>
      </c>
      <c r="Q246" s="122" t="b">
        <v>1</v>
      </c>
      <c r="R246" s="133">
        <v>4.0</v>
      </c>
      <c r="S246" s="133">
        <v>8.0</v>
      </c>
      <c r="T246" s="133"/>
      <c r="U246" s="133">
        <v>5.0</v>
      </c>
      <c r="V246" s="129"/>
      <c r="W246" s="130" t="s">
        <v>84</v>
      </c>
      <c r="X246" s="130" t="s">
        <v>86</v>
      </c>
      <c r="Y246" s="130" t="s">
        <v>86</v>
      </c>
      <c r="Z246" s="131" t="b">
        <v>1</v>
      </c>
      <c r="AA246" s="131">
        <v>0.02013888888888889</v>
      </c>
      <c r="AB246" s="130" t="s">
        <v>50</v>
      </c>
      <c r="AC246" s="130" t="s">
        <v>502</v>
      </c>
      <c r="AD246" s="130" t="s">
        <v>921</v>
      </c>
      <c r="AE246" s="129"/>
      <c r="AF246" s="132"/>
      <c r="AG246" s="133" t="b">
        <v>1</v>
      </c>
      <c r="AH246" s="133">
        <v>146.0</v>
      </c>
      <c r="AI246" s="133">
        <v>2016.0</v>
      </c>
      <c r="AJ246" s="143"/>
      <c r="AK246" s="143"/>
      <c r="AL246" s="129" t="str">
        <f>IFERROR(__xludf.DUMMYFUNCTION("""COMPUTED_VALUE"""),"Modern, Romantic")</f>
        <v>Modern, Romantic</v>
      </c>
      <c r="AM246" s="129" t="str">
        <f>IFERROR(__xludf.DUMMYFUNCTION("""COMPUTED_VALUE"""),"Beach, Spa, Swim Out/Plunge Pool Rooms, Wifi (Free)")</f>
        <v>Beach, Spa, Swim Out/Plunge Pool Rooms, Wifi (Free)</v>
      </c>
      <c r="AN246" s="128"/>
    </row>
    <row r="247">
      <c r="A247" s="118" t="s">
        <v>922</v>
      </c>
      <c r="B247" s="119">
        <v>89.3</v>
      </c>
      <c r="C247" s="134" t="s">
        <v>75</v>
      </c>
      <c r="D247" s="121">
        <v>9312.28</v>
      </c>
      <c r="E247" s="135">
        <f>IFERROR(__xludf.DUMMYFUNCTION("""COMPUTED_VALUE"""),12860.723362772)</f>
        <v>12860.72336</v>
      </c>
      <c r="F247" s="136">
        <v>1.0</v>
      </c>
      <c r="G247" s="124">
        <v>8693.0</v>
      </c>
      <c r="H247" s="125">
        <v>4937.0</v>
      </c>
      <c r="I247" s="125">
        <v>2328.0</v>
      </c>
      <c r="J247" s="125">
        <v>798.0</v>
      </c>
      <c r="K247" s="125">
        <v>335.0</v>
      </c>
      <c r="L247" s="125">
        <v>295.0</v>
      </c>
      <c r="M247" s="126">
        <v>86.0</v>
      </c>
      <c r="N247" s="127">
        <v>90.0</v>
      </c>
      <c r="O247" s="127"/>
      <c r="P247" s="138">
        <v>92.0</v>
      </c>
      <c r="Q247" s="135" t="b">
        <v>1</v>
      </c>
      <c r="R247" s="133">
        <v>4.0</v>
      </c>
      <c r="S247" s="133">
        <v>7.0</v>
      </c>
      <c r="T247" s="133"/>
      <c r="U247" s="133">
        <v>4.0</v>
      </c>
      <c r="V247" s="130"/>
      <c r="W247" s="130" t="s">
        <v>270</v>
      </c>
      <c r="X247" s="130" t="s">
        <v>270</v>
      </c>
      <c r="Y247" s="130" t="s">
        <v>272</v>
      </c>
      <c r="Z247" s="131" t="b">
        <v>1</v>
      </c>
      <c r="AA247" s="131">
        <v>0.004861111111111111</v>
      </c>
      <c r="AB247" s="130" t="s">
        <v>451</v>
      </c>
      <c r="AC247" s="130" t="s">
        <v>923</v>
      </c>
      <c r="AD247" s="130" t="s">
        <v>924</v>
      </c>
      <c r="AE247" s="130"/>
      <c r="AF247" s="132" t="s">
        <v>373</v>
      </c>
      <c r="AG247" s="133" t="b">
        <v>0</v>
      </c>
      <c r="AH247" s="133">
        <v>555.0</v>
      </c>
      <c r="AI247" s="133">
        <v>1989.0</v>
      </c>
      <c r="AJ247" s="133">
        <v>2014.0</v>
      </c>
      <c r="AK247" s="133">
        <v>6.0</v>
      </c>
      <c r="AL247" s="129" t="str">
        <f>IFERROR(__xludf.DUMMYFUNCTION("""COMPUTED_VALUE"""),"City View, Green")</f>
        <v>City View, Green</v>
      </c>
      <c r="AM247" s="129" t="str">
        <f>IFERROR(__xludf.DUMMYFUNCTION("""COMPUTED_VALUE"""),"Adult Pool, Adults Only Rooms, Beach, Buffet, Casino, Diving, Evening Entertainment, Fishing, Gym, Room Service, Snorkelling, Spa, Wifi (Free), Yoga Classes")</f>
        <v>Adult Pool, Adults Only Rooms, Beach, Buffet, Casino, Diving, Evening Entertainment, Fishing, Gym, Room Service, Snorkelling, Spa, Wifi (Free), Yoga Classes</v>
      </c>
      <c r="AN247" s="139"/>
    </row>
    <row r="248" hidden="1">
      <c r="A248" s="118" t="s">
        <v>925</v>
      </c>
      <c r="B248" s="119">
        <v>86.0</v>
      </c>
      <c r="C248" s="120" t="s">
        <v>68</v>
      </c>
      <c r="D248" s="142"/>
      <c r="E248" s="122"/>
      <c r="F248" s="136"/>
      <c r="G248" s="152"/>
      <c r="H248" s="133"/>
      <c r="I248" s="133"/>
      <c r="J248" s="133"/>
      <c r="K248" s="133"/>
      <c r="L248" s="133"/>
      <c r="M248" s="137"/>
      <c r="N248" s="138">
        <v>92.0</v>
      </c>
      <c r="O248" s="127"/>
      <c r="P248" s="138">
        <v>80.0</v>
      </c>
      <c r="Q248" s="122" t="b">
        <v>1</v>
      </c>
      <c r="R248" s="128"/>
      <c r="S248" s="128"/>
      <c r="T248" s="128"/>
      <c r="U248" s="128"/>
      <c r="V248" s="130" t="s">
        <v>118</v>
      </c>
      <c r="W248" s="130" t="s">
        <v>193</v>
      </c>
      <c r="X248" s="130" t="s">
        <v>516</v>
      </c>
      <c r="Y248" s="130" t="s">
        <v>195</v>
      </c>
      <c r="Z248" s="131" t="b">
        <v>1</v>
      </c>
      <c r="AA248" s="131">
        <v>0.013888888888888888</v>
      </c>
      <c r="AB248" s="130"/>
      <c r="AC248" s="130"/>
      <c r="AD248" s="130" t="s">
        <v>241</v>
      </c>
      <c r="AE248" s="129"/>
      <c r="AF248" s="132"/>
      <c r="AG248" s="133" t="b">
        <v>0</v>
      </c>
      <c r="AH248" s="133"/>
      <c r="AI248" s="133"/>
      <c r="AJ248" s="133"/>
      <c r="AK248" s="133"/>
      <c r="AL248" s="129"/>
      <c r="AM248" s="129" t="str">
        <f>IFERROR(__xludf.DUMMYFUNCTION("""COMPUTED_VALUE"""),"Beach")</f>
        <v>Beach</v>
      </c>
      <c r="AN248" s="128"/>
    </row>
    <row r="249" hidden="1">
      <c r="A249" s="118" t="s">
        <v>926</v>
      </c>
      <c r="B249" s="119">
        <v>90.0</v>
      </c>
      <c r="C249" s="120" t="s">
        <v>68</v>
      </c>
      <c r="D249" s="121">
        <v>2657.34</v>
      </c>
      <c r="E249" s="122">
        <f>IFERROR(__xludf.DUMMYFUNCTION("""COMPUTED_VALUE"""),3669.9191412659998)</f>
        <v>3669.919141</v>
      </c>
      <c r="F249" s="136">
        <v>3.76</v>
      </c>
      <c r="G249" s="152">
        <v>9480.0</v>
      </c>
      <c r="H249" s="143"/>
      <c r="I249" s="143"/>
      <c r="J249" s="143"/>
      <c r="K249" s="143"/>
      <c r="L249" s="143"/>
      <c r="M249" s="126"/>
      <c r="N249" s="127">
        <v>90.0</v>
      </c>
      <c r="O249" s="127"/>
      <c r="P249" s="127"/>
      <c r="Q249" s="122" t="b">
        <v>1</v>
      </c>
      <c r="R249" s="128"/>
      <c r="S249" s="133">
        <v>8.0</v>
      </c>
      <c r="T249" s="128"/>
      <c r="U249" s="133">
        <v>4.0</v>
      </c>
      <c r="V249" s="130" t="s">
        <v>118</v>
      </c>
      <c r="W249" s="130" t="s">
        <v>276</v>
      </c>
      <c r="X249" s="130" t="s">
        <v>393</v>
      </c>
      <c r="Y249" s="130" t="s">
        <v>393</v>
      </c>
      <c r="Z249" s="131" t="b">
        <v>1</v>
      </c>
      <c r="AA249" s="131">
        <v>0.02361111111111111</v>
      </c>
      <c r="AB249" s="129"/>
      <c r="AC249" s="130" t="s">
        <v>927</v>
      </c>
      <c r="AD249" s="130" t="s">
        <v>241</v>
      </c>
      <c r="AE249" s="129"/>
      <c r="AF249" s="132"/>
      <c r="AG249" s="133" t="b">
        <v>0</v>
      </c>
      <c r="AH249" s="133">
        <v>395.0</v>
      </c>
      <c r="AI249" s="133">
        <v>2005.0</v>
      </c>
      <c r="AJ249" s="128"/>
      <c r="AK249" s="133">
        <v>13.0</v>
      </c>
      <c r="AL249" s="129" t="str">
        <f>IFERROR(__xludf.DUMMYFUNCTION("""COMPUTED_VALUE"""),"Bay View, Great View")</f>
        <v>Bay View, Great View</v>
      </c>
      <c r="AM249" s="129" t="str">
        <f>IFERROR(__xludf.DUMMYFUNCTION("""COMPUTED_VALUE"""),"Beach")</f>
        <v>Beach</v>
      </c>
      <c r="AN249" s="128"/>
    </row>
    <row r="250">
      <c r="A250" s="118" t="s">
        <v>928</v>
      </c>
      <c r="B250" s="119">
        <v>89.3</v>
      </c>
      <c r="C250" s="134" t="s">
        <v>75</v>
      </c>
      <c r="D250" s="121">
        <v>10170.02</v>
      </c>
      <c r="E250" s="135">
        <f>IFERROR(__xludf.DUMMYFUNCTION("""COMPUTED_VALUE"""),14045.305103997998)</f>
        <v>14045.3051</v>
      </c>
      <c r="F250" s="136">
        <v>0.91</v>
      </c>
      <c r="G250" s="124">
        <v>10416.0</v>
      </c>
      <c r="H250" s="125">
        <v>7681.0</v>
      </c>
      <c r="I250" s="125">
        <v>1756.0</v>
      </c>
      <c r="J250" s="125">
        <v>502.0</v>
      </c>
      <c r="K250" s="125">
        <v>229.0</v>
      </c>
      <c r="L250" s="125">
        <v>253.0</v>
      </c>
      <c r="M250" s="126">
        <v>91.0</v>
      </c>
      <c r="N250" s="127">
        <v>92.0</v>
      </c>
      <c r="O250" s="127">
        <v>88.0</v>
      </c>
      <c r="P250" s="127">
        <v>86.0</v>
      </c>
      <c r="Q250" s="135" t="b">
        <v>1</v>
      </c>
      <c r="R250" s="133">
        <v>4.0</v>
      </c>
      <c r="S250" s="133">
        <v>8.0</v>
      </c>
      <c r="T250" s="133"/>
      <c r="U250" s="133">
        <v>5.0</v>
      </c>
      <c r="V250" s="130"/>
      <c r="W250" s="130" t="s">
        <v>84</v>
      </c>
      <c r="X250" s="130" t="s">
        <v>122</v>
      </c>
      <c r="Y250" s="130" t="s">
        <v>123</v>
      </c>
      <c r="Z250" s="131" t="b">
        <v>1</v>
      </c>
      <c r="AA250" s="131">
        <v>0.025</v>
      </c>
      <c r="AB250" s="130" t="s">
        <v>371</v>
      </c>
      <c r="AC250" s="130" t="s">
        <v>929</v>
      </c>
      <c r="AD250" s="130" t="s">
        <v>930</v>
      </c>
      <c r="AE250" s="130"/>
      <c r="AF250" s="132" t="s">
        <v>373</v>
      </c>
      <c r="AG250" s="133" t="b">
        <v>0</v>
      </c>
      <c r="AH250" s="133">
        <v>248.0</v>
      </c>
      <c r="AI250" s="133">
        <v>1999.0</v>
      </c>
      <c r="AJ250" s="133">
        <v>2016.0</v>
      </c>
      <c r="AK250" s="133">
        <v>8.0</v>
      </c>
      <c r="AL250" s="129" t="str">
        <f>IFERROR(__xludf.DUMMYFUNCTION("""COMPUTED_VALUE"""),"Business, Family")</f>
        <v>Business, Family</v>
      </c>
      <c r="AM250" s="129" t="str">
        <f>IFERROR(__xludf.DUMMYFUNCTION("""COMPUTED_VALUE"""),"2 Bedroom Suites, Adult Pool, Archery, Babysitting, Beach, Buffet, Evening Entertainment, Family Suite, Fishing, Gym, Heated Pool, Kids Club, Lazy River, Nightclub, Room Service, Snorkelling, Swim Out/Plunge Pool Rooms, Swim Up Bar, Yoga Classes")</f>
        <v>2 Bedroom Suites, Adult Pool, Archery, Babysitting, Beach, Buffet, Evening Entertainment, Family Suite, Fishing, Gym, Heated Pool, Kids Club, Lazy River, Nightclub, Room Service, Snorkelling, Swim Out/Plunge Pool Rooms, Swim Up Bar, Yoga Classes</v>
      </c>
      <c r="AN250" s="139"/>
    </row>
    <row r="251">
      <c r="A251" s="118" t="s">
        <v>931</v>
      </c>
      <c r="B251" s="119">
        <v>89.0</v>
      </c>
      <c r="C251" s="134" t="s">
        <v>75</v>
      </c>
      <c r="D251" s="121">
        <v>1911.5</v>
      </c>
      <c r="E251" s="135">
        <f>IFERROR(__xludf.DUMMYFUNCTION("""COMPUTED_VALUE"""),2639.8768838499996)</f>
        <v>2639.876884</v>
      </c>
      <c r="F251" s="136">
        <v>4.71</v>
      </c>
      <c r="G251" s="124">
        <v>3102.0</v>
      </c>
      <c r="H251" s="125">
        <v>2190.0</v>
      </c>
      <c r="I251" s="125">
        <v>615.0</v>
      </c>
      <c r="J251" s="125">
        <v>172.0</v>
      </c>
      <c r="K251" s="125">
        <v>70.0</v>
      </c>
      <c r="L251" s="125">
        <v>56.0</v>
      </c>
      <c r="M251" s="126">
        <v>91.0</v>
      </c>
      <c r="N251" s="127">
        <v>90.0</v>
      </c>
      <c r="O251" s="146"/>
      <c r="P251" s="127">
        <v>86.0</v>
      </c>
      <c r="Q251" s="135" t="b">
        <v>1</v>
      </c>
      <c r="R251" s="133"/>
      <c r="S251" s="143"/>
      <c r="T251" s="133"/>
      <c r="U251" s="133">
        <v>4.0</v>
      </c>
      <c r="V251" s="129"/>
      <c r="W251" s="130" t="s">
        <v>84</v>
      </c>
      <c r="X251" s="130" t="s">
        <v>932</v>
      </c>
      <c r="Y251" s="130" t="s">
        <v>932</v>
      </c>
      <c r="Z251" s="133" t="b">
        <v>1</v>
      </c>
      <c r="AA251" s="131">
        <v>0.013888888888888888</v>
      </c>
      <c r="AB251" s="129"/>
      <c r="AC251" s="130" t="s">
        <v>469</v>
      </c>
      <c r="AD251" s="130" t="s">
        <v>933</v>
      </c>
      <c r="AE251" s="130"/>
      <c r="AF251" s="132" t="s">
        <v>373</v>
      </c>
      <c r="AG251" s="133" t="b">
        <v>0</v>
      </c>
      <c r="AH251" s="133">
        <v>107.0</v>
      </c>
      <c r="AI251" s="143"/>
      <c r="AJ251" s="133">
        <v>2012.0</v>
      </c>
      <c r="AK251" s="133">
        <v>3.0</v>
      </c>
      <c r="AL251" s="129" t="str">
        <f>IFERROR(__xludf.DUMMYFUNCTION("""COMPUTED_VALUE"""),"Charming")</f>
        <v>Charming</v>
      </c>
      <c r="AM251" s="129" t="str">
        <f>IFERROR(__xludf.DUMMYFUNCTION("""COMPUTED_VALUE"""),"2 Bedroom Suites, Babysitting, Beach, Buffet, Evening Entertainment, Family Suite, Gym, Kids Club, Nightclub, Wifi (Free)")</f>
        <v>2 Bedroom Suites, Babysitting, Beach, Buffet, Evening Entertainment, Family Suite, Gym, Kids Club, Nightclub, Wifi (Free)</v>
      </c>
      <c r="AN251" s="139"/>
    </row>
    <row r="252">
      <c r="A252" s="140" t="s">
        <v>934</v>
      </c>
      <c r="B252" s="119">
        <v>89.0</v>
      </c>
      <c r="C252" s="141" t="s">
        <v>68</v>
      </c>
      <c r="D252" s="142">
        <v>2744.0</v>
      </c>
      <c r="E252" s="122">
        <f>IFERROR(__xludf.DUMMYFUNCTION("""COMPUTED_VALUE"""),3789.6009255999998)</f>
        <v>3789.600926</v>
      </c>
      <c r="F252" s="136">
        <v>3.28</v>
      </c>
      <c r="G252" s="124">
        <v>6954.0</v>
      </c>
      <c r="H252" s="125">
        <v>4165.0</v>
      </c>
      <c r="I252" s="125">
        <v>1757.0</v>
      </c>
      <c r="J252" s="125">
        <v>608.0</v>
      </c>
      <c r="K252" s="125">
        <v>219.0</v>
      </c>
      <c r="L252" s="125">
        <v>207.0</v>
      </c>
      <c r="M252" s="126">
        <v>87.0</v>
      </c>
      <c r="N252" s="127">
        <v>90.0</v>
      </c>
      <c r="O252" s="127"/>
      <c r="P252" s="127">
        <v>90.0</v>
      </c>
      <c r="Q252" s="122" t="b">
        <v>1</v>
      </c>
      <c r="R252" s="143"/>
      <c r="S252" s="143">
        <v>7.0</v>
      </c>
      <c r="T252" s="143"/>
      <c r="U252" s="143">
        <v>5.0</v>
      </c>
      <c r="V252" s="129"/>
      <c r="W252" s="144" t="s">
        <v>84</v>
      </c>
      <c r="X252" s="144" t="s">
        <v>726</v>
      </c>
      <c r="Y252" s="144" t="s">
        <v>120</v>
      </c>
      <c r="Z252" s="145" t="b">
        <v>1</v>
      </c>
      <c r="AA252" s="145">
        <v>0.018055555555555554</v>
      </c>
      <c r="AB252" s="130" t="s">
        <v>655</v>
      </c>
      <c r="AC252" s="130" t="s">
        <v>285</v>
      </c>
      <c r="AD252" s="130" t="s">
        <v>935</v>
      </c>
      <c r="AE252" s="129"/>
      <c r="AF252" s="132"/>
      <c r="AG252" s="128" t="b">
        <v>1</v>
      </c>
      <c r="AH252" s="128">
        <v>445.0</v>
      </c>
      <c r="AI252" s="143">
        <v>2008.0</v>
      </c>
      <c r="AJ252" s="143"/>
      <c r="AK252" s="143">
        <v>9.0</v>
      </c>
      <c r="AL252" s="129" t="str">
        <f>IFERROR(__xludf.DUMMYFUNCTION("""COMPUTED_VALUE"""),"Family, Ocean View")</f>
        <v>Family, Ocean View</v>
      </c>
      <c r="AM252" s="129" t="str">
        <f>IFERROR(__xludf.DUMMYFUNCTION("""COMPUTED_VALUE"""),"Beach, Buffet, Evening Entertainment, Great for Parties, Spa, Swim Up Bar")</f>
        <v>Beach, Buffet, Evening Entertainment, Great for Parties, Spa, Swim Up Bar</v>
      </c>
      <c r="AN252" s="128"/>
    </row>
    <row r="253">
      <c r="A253" s="118" t="s">
        <v>936</v>
      </c>
      <c r="B253" s="119">
        <v>89.0</v>
      </c>
      <c r="C253" s="120" t="s">
        <v>68</v>
      </c>
      <c r="D253" s="121">
        <v>2768.49</v>
      </c>
      <c r="E253" s="122">
        <f>IFERROR(__xludf.DUMMYFUNCTION("""COMPUTED_VALUE"""),3823.422837650999)</f>
        <v>3823.422838</v>
      </c>
      <c r="F253" s="136">
        <v>3.25</v>
      </c>
      <c r="G253" s="124">
        <v>4646.0</v>
      </c>
      <c r="H253" s="125">
        <v>3028.0</v>
      </c>
      <c r="I253" s="125">
        <v>1048.0</v>
      </c>
      <c r="J253" s="125">
        <v>329.0</v>
      </c>
      <c r="K253" s="125">
        <v>128.0</v>
      </c>
      <c r="L253" s="125">
        <v>113.0</v>
      </c>
      <c r="M253" s="126">
        <v>89.0</v>
      </c>
      <c r="N253" s="127">
        <v>88.0</v>
      </c>
      <c r="O253" s="127"/>
      <c r="P253" s="127">
        <v>90.0</v>
      </c>
      <c r="Q253" s="122" t="b">
        <v>1</v>
      </c>
      <c r="R253" s="133"/>
      <c r="S253" s="133">
        <v>8.0</v>
      </c>
      <c r="T253" s="133"/>
      <c r="U253" s="133">
        <v>5.0</v>
      </c>
      <c r="V253" s="129"/>
      <c r="W253" s="130" t="s">
        <v>84</v>
      </c>
      <c r="X253" s="130" t="s">
        <v>536</v>
      </c>
      <c r="Y253" s="130" t="s">
        <v>86</v>
      </c>
      <c r="Z253" s="131" t="b">
        <v>1</v>
      </c>
      <c r="AA253" s="131">
        <v>0.04722222222222222</v>
      </c>
      <c r="AB253" s="129"/>
      <c r="AC253" s="130" t="s">
        <v>937</v>
      </c>
      <c r="AD253" s="130" t="s">
        <v>938</v>
      </c>
      <c r="AE253" s="129"/>
      <c r="AF253" s="132"/>
      <c r="AG253" s="133" t="b">
        <v>1</v>
      </c>
      <c r="AH253" s="133">
        <v>124.0</v>
      </c>
      <c r="AI253" s="143"/>
      <c r="AJ253" s="143"/>
      <c r="AK253" s="133">
        <v>5.0</v>
      </c>
      <c r="AL253" s="129" t="str">
        <f>IFERROR(__xludf.DUMMYFUNCTION("""COMPUTED_VALUE"""),"City View, Green")</f>
        <v>City View, Green</v>
      </c>
      <c r="AM253" s="129" t="str">
        <f>IFERROR(__xludf.DUMMYFUNCTION("""COMPUTED_VALUE"""),"Beach, Buffet, Diving, Fishing, Gym, Room Service, Spa, Swim Out/Plunge Pool Rooms, Swim Up Bar, Wifi (Free)")</f>
        <v>Beach, Buffet, Diving, Fishing, Gym, Room Service, Spa, Swim Out/Plunge Pool Rooms, Swim Up Bar, Wifi (Free)</v>
      </c>
      <c r="AN253" s="128"/>
    </row>
    <row r="254">
      <c r="A254" s="118" t="s">
        <v>939</v>
      </c>
      <c r="B254" s="119">
        <v>89.0</v>
      </c>
      <c r="C254" s="134" t="s">
        <v>75</v>
      </c>
      <c r="D254" s="121">
        <v>2822.4</v>
      </c>
      <c r="E254" s="135">
        <f>IFERROR(__xludf.DUMMYFUNCTION("""COMPUTED_VALUE"""),3897.8752377599994)</f>
        <v>3897.875238</v>
      </c>
      <c r="F254" s="136">
        <v>3.19</v>
      </c>
      <c r="G254" s="124">
        <v>8360.0</v>
      </c>
      <c r="H254" s="125">
        <v>4707.0</v>
      </c>
      <c r="I254" s="125">
        <v>2494.0</v>
      </c>
      <c r="J254" s="125">
        <v>698.0</v>
      </c>
      <c r="K254" s="125">
        <v>273.0</v>
      </c>
      <c r="L254" s="125">
        <v>191.0</v>
      </c>
      <c r="M254" s="126">
        <v>87.0</v>
      </c>
      <c r="N254" s="127">
        <v>92.0</v>
      </c>
      <c r="O254" s="146"/>
      <c r="P254" s="127">
        <v>88.0</v>
      </c>
      <c r="Q254" s="135" t="b">
        <v>1</v>
      </c>
      <c r="R254" s="133"/>
      <c r="S254" s="133">
        <v>6.0</v>
      </c>
      <c r="T254" s="133"/>
      <c r="U254" s="133">
        <v>4.5</v>
      </c>
      <c r="V254" s="129"/>
      <c r="W254" s="130" t="s">
        <v>84</v>
      </c>
      <c r="X254" s="130" t="s">
        <v>85</v>
      </c>
      <c r="Y254" s="130" t="s">
        <v>86</v>
      </c>
      <c r="Z254" s="131" t="b">
        <v>1</v>
      </c>
      <c r="AA254" s="131">
        <v>0.03819444444444445</v>
      </c>
      <c r="AB254" s="130" t="s">
        <v>655</v>
      </c>
      <c r="AC254" s="130" t="s">
        <v>940</v>
      </c>
      <c r="AD254" s="130" t="s">
        <v>941</v>
      </c>
      <c r="AE254" s="130"/>
      <c r="AF254" s="132" t="s">
        <v>784</v>
      </c>
      <c r="AG254" s="133" t="b">
        <v>0</v>
      </c>
      <c r="AH254" s="133">
        <v>396.0</v>
      </c>
      <c r="AI254" s="133">
        <v>2000.0</v>
      </c>
      <c r="AJ254" s="133">
        <v>2015.0</v>
      </c>
      <c r="AK254" s="133">
        <v>3.0</v>
      </c>
      <c r="AL254" s="129" t="str">
        <f>IFERROR(__xludf.DUMMYFUNCTION("""COMPUTED_VALUE"""),"Family, Residential Neighborhood")</f>
        <v>Family, Residential Neighborhood</v>
      </c>
      <c r="AM254" s="129" t="str">
        <f>IFERROR(__xludf.DUMMYFUNCTION("""COMPUTED_VALUE"""),"Babysitting, Beach, Buffet, Diving, Evening Entertainment, Gym, Kids Club, Kids Waterpark, Spa, Swim Up Bar, Wifi (Paid)")</f>
        <v>Babysitting, Beach, Buffet, Diving, Evening Entertainment, Gym, Kids Club, Kids Waterpark, Spa, Swim Up Bar, Wifi (Paid)</v>
      </c>
      <c r="AN254" s="139"/>
    </row>
    <row r="255">
      <c r="A255" s="118" t="s">
        <v>942</v>
      </c>
      <c r="B255" s="119">
        <v>89.0</v>
      </c>
      <c r="C255" s="120" t="s">
        <v>68</v>
      </c>
      <c r="D255" s="121">
        <v>2867.0</v>
      </c>
      <c r="E255" s="122">
        <f>IFERROR(__xludf.DUMMYFUNCTION("""COMPUTED_VALUE"""),3959.4700632999993)</f>
        <v>3959.470063</v>
      </c>
      <c r="F255" s="136">
        <v>3.14</v>
      </c>
      <c r="G255" s="124">
        <v>6286.0</v>
      </c>
      <c r="H255" s="125">
        <v>4622.0</v>
      </c>
      <c r="I255" s="125">
        <v>928.0</v>
      </c>
      <c r="J255" s="125">
        <v>400.0</v>
      </c>
      <c r="K255" s="125">
        <v>175.0</v>
      </c>
      <c r="L255" s="125">
        <v>161.0</v>
      </c>
      <c r="M255" s="126">
        <v>91.0</v>
      </c>
      <c r="N255" s="127">
        <v>92.0</v>
      </c>
      <c r="O255" s="127"/>
      <c r="P255" s="138">
        <v>84.0</v>
      </c>
      <c r="Q255" s="122" t="b">
        <v>1</v>
      </c>
      <c r="R255" s="133">
        <v>4.0</v>
      </c>
      <c r="S255" s="133">
        <v>7.0</v>
      </c>
      <c r="T255" s="133"/>
      <c r="U255" s="133">
        <v>4.0</v>
      </c>
      <c r="V255" s="129"/>
      <c r="W255" s="130" t="s">
        <v>84</v>
      </c>
      <c r="X255" s="130" t="s">
        <v>661</v>
      </c>
      <c r="Y255" s="130" t="s">
        <v>86</v>
      </c>
      <c r="Z255" s="131" t="b">
        <v>1</v>
      </c>
      <c r="AA255" s="131">
        <v>0.044444444444444446</v>
      </c>
      <c r="AB255" s="129"/>
      <c r="AC255" s="130" t="s">
        <v>809</v>
      </c>
      <c r="AD255" s="130" t="s">
        <v>943</v>
      </c>
      <c r="AE255" s="129"/>
      <c r="AF255" s="132"/>
      <c r="AG255" s="133" t="b">
        <v>1</v>
      </c>
      <c r="AH255" s="133">
        <v>568.0</v>
      </c>
      <c r="AI255" s="133">
        <v>1994.0</v>
      </c>
      <c r="AJ255" s="143"/>
      <c r="AK255" s="133">
        <v>6.0</v>
      </c>
      <c r="AL255" s="129" t="str">
        <f>IFERROR(__xludf.DUMMYFUNCTION("""COMPUTED_VALUE"""),"Modern, Ocean View")</f>
        <v>Modern, Ocean View</v>
      </c>
      <c r="AM255" s="129" t="str">
        <f>IFERROR(__xludf.DUMMYFUNCTION("""COMPUTED_VALUE"""),"Beach, Buffet, Evening Entertainment, Gym, Nightclub, Spa, Swim Out/Plunge Pool Rooms, Swim Up Bar, Tennis, Wifi (Paid)")</f>
        <v>Beach, Buffet, Evening Entertainment, Gym, Nightclub, Spa, Swim Out/Plunge Pool Rooms, Swim Up Bar, Tennis, Wifi (Paid)</v>
      </c>
      <c r="AN255" s="128"/>
    </row>
    <row r="256">
      <c r="A256" s="118" t="s">
        <v>944</v>
      </c>
      <c r="B256" s="119">
        <v>89.0</v>
      </c>
      <c r="C256" s="134" t="s">
        <v>75</v>
      </c>
      <c r="D256" s="121">
        <v>3178.0</v>
      </c>
      <c r="E256" s="135">
        <f>IFERROR(__xludf.DUMMYFUNCTION("""COMPUTED_VALUE"""),4388.976582199999)</f>
        <v>4388.976582</v>
      </c>
      <c r="F256" s="136">
        <v>2.83</v>
      </c>
      <c r="G256" s="124">
        <v>648.0</v>
      </c>
      <c r="H256" s="125">
        <v>437.0</v>
      </c>
      <c r="I256" s="125">
        <v>94.0</v>
      </c>
      <c r="J256" s="125">
        <v>46.0</v>
      </c>
      <c r="K256" s="125">
        <v>30.0</v>
      </c>
      <c r="L256" s="125">
        <v>43.0</v>
      </c>
      <c r="M256" s="126">
        <v>86.0</v>
      </c>
      <c r="N256" s="127">
        <v>92.0</v>
      </c>
      <c r="O256" s="146"/>
      <c r="P256" s="146"/>
      <c r="Q256" s="137" t="b">
        <v>1</v>
      </c>
      <c r="R256" s="128"/>
      <c r="S256" s="128"/>
      <c r="T256" s="128"/>
      <c r="U256" s="133">
        <v>5.0</v>
      </c>
      <c r="V256" s="130" t="s">
        <v>945</v>
      </c>
      <c r="W256" s="130" t="s">
        <v>276</v>
      </c>
      <c r="X256" s="130" t="s">
        <v>393</v>
      </c>
      <c r="Y256" s="130" t="s">
        <v>393</v>
      </c>
      <c r="Z256" s="131" t="b">
        <v>1</v>
      </c>
      <c r="AA256" s="131">
        <v>0.0125</v>
      </c>
      <c r="AB256" s="130"/>
      <c r="AC256" s="129"/>
      <c r="AD256" s="130" t="s">
        <v>946</v>
      </c>
      <c r="AE256" s="130"/>
      <c r="AF256" s="132" t="s">
        <v>373</v>
      </c>
      <c r="AG256" s="128" t="b">
        <v>1</v>
      </c>
      <c r="AH256" s="128"/>
      <c r="AI256" s="128"/>
      <c r="AJ256" s="128"/>
      <c r="AK256" s="128"/>
      <c r="AL256" s="129"/>
      <c r="AM256" s="129" t="str">
        <f>IFERROR(__xludf.DUMMYFUNCTION("""COMPUTED_VALUE"""),"Beach, Buffet, Evening Entertainment, Great Beach, Gym, Nightclub, Wifi (Free)")</f>
        <v>Beach, Buffet, Evening Entertainment, Great Beach, Gym, Nightclub, Wifi (Free)</v>
      </c>
      <c r="AN256" s="139"/>
    </row>
    <row r="257">
      <c r="A257" s="118" t="s">
        <v>947</v>
      </c>
      <c r="B257" s="119">
        <v>89.0</v>
      </c>
      <c r="C257" s="120" t="s">
        <v>68</v>
      </c>
      <c r="D257" s="121">
        <v>3467.0</v>
      </c>
      <c r="E257" s="122">
        <f>IFERROR(__xludf.DUMMYFUNCTION("""COMPUTED_VALUE"""),4788.100003299999)</f>
        <v>4788.100003</v>
      </c>
      <c r="F257" s="136">
        <v>2.6</v>
      </c>
      <c r="G257" s="124">
        <v>14079.0</v>
      </c>
      <c r="H257" s="125">
        <v>10481.0</v>
      </c>
      <c r="I257" s="125">
        <v>2290.0</v>
      </c>
      <c r="J257" s="125">
        <v>766.0</v>
      </c>
      <c r="K257" s="125">
        <v>311.0</v>
      </c>
      <c r="L257" s="125">
        <v>231.0</v>
      </c>
      <c r="M257" s="126">
        <v>92.0</v>
      </c>
      <c r="N257" s="127"/>
      <c r="O257" s="127"/>
      <c r="P257" s="138">
        <v>86.0</v>
      </c>
      <c r="Q257" s="122" t="b">
        <v>1</v>
      </c>
      <c r="R257" s="133"/>
      <c r="S257" s="133">
        <v>9.0</v>
      </c>
      <c r="T257" s="133"/>
      <c r="U257" s="133">
        <v>5.0</v>
      </c>
      <c r="V257" s="129"/>
      <c r="W257" s="130" t="s">
        <v>84</v>
      </c>
      <c r="X257" s="130" t="s">
        <v>661</v>
      </c>
      <c r="Y257" s="130" t="s">
        <v>86</v>
      </c>
      <c r="Z257" s="131" t="b">
        <v>1</v>
      </c>
      <c r="AA257" s="131">
        <v>0.019444444444444445</v>
      </c>
      <c r="AB257" s="130" t="s">
        <v>662</v>
      </c>
      <c r="AC257" s="130" t="s">
        <v>839</v>
      </c>
      <c r="AD257" s="130" t="s">
        <v>948</v>
      </c>
      <c r="AE257" s="129"/>
      <c r="AF257" s="132"/>
      <c r="AG257" s="133" t="b">
        <v>0</v>
      </c>
      <c r="AH257" s="133">
        <v>380.0</v>
      </c>
      <c r="AI257" s="133">
        <v>1994.0</v>
      </c>
      <c r="AJ257" s="133">
        <v>2004.0</v>
      </c>
      <c r="AK257" s="133">
        <v>7.0</v>
      </c>
      <c r="AL257" s="129" t="str">
        <f>IFERROR(__xludf.DUMMYFUNCTION("""COMPUTED_VALUE"""),"Bay View")</f>
        <v>Bay View</v>
      </c>
      <c r="AM257" s="129" t="str">
        <f>IFERROR(__xludf.DUMMYFUNCTION("""COMPUTED_VALUE"""),"Beach, Buffet, Evening Entertainment, Gym, Nightclub, Room Service, Spa, Swim Out/Plunge Pool Rooms, Swim Up Bar, Tennis, Watersports Equipment Rentals")</f>
        <v>Beach, Buffet, Evening Entertainment, Gym, Nightclub, Room Service, Spa, Swim Out/Plunge Pool Rooms, Swim Up Bar, Tennis, Watersports Equipment Rentals</v>
      </c>
      <c r="AN257" s="128"/>
    </row>
    <row r="258">
      <c r="A258" s="118" t="s">
        <v>949</v>
      </c>
      <c r="B258" s="119">
        <v>89.0</v>
      </c>
      <c r="C258" s="134" t="s">
        <v>75</v>
      </c>
      <c r="D258" s="121">
        <v>4207.0</v>
      </c>
      <c r="E258" s="135">
        <f>IFERROR(__xludf.DUMMYFUNCTION("""COMPUTED_VALUE"""),5810.076929299999)</f>
        <v>5810.076929</v>
      </c>
      <c r="F258" s="136">
        <v>2.14</v>
      </c>
      <c r="G258" s="124">
        <v>24368.0</v>
      </c>
      <c r="H258" s="125">
        <v>17551.0</v>
      </c>
      <c r="I258" s="125">
        <v>3976.0</v>
      </c>
      <c r="J258" s="125">
        <v>1445.0</v>
      </c>
      <c r="K258" s="125">
        <v>695.0</v>
      </c>
      <c r="L258" s="125">
        <v>705.0</v>
      </c>
      <c r="M258" s="126">
        <v>90.0</v>
      </c>
      <c r="N258" s="127">
        <v>96.0</v>
      </c>
      <c r="O258" s="127">
        <v>86.0</v>
      </c>
      <c r="P258" s="127">
        <v>84.0</v>
      </c>
      <c r="Q258" s="135" t="b">
        <v>1</v>
      </c>
      <c r="R258" s="133">
        <v>4.0</v>
      </c>
      <c r="S258" s="143">
        <v>8.0</v>
      </c>
      <c r="T258" s="133"/>
      <c r="U258" s="133">
        <v>5.0</v>
      </c>
      <c r="V258" s="130"/>
      <c r="W258" s="130" t="s">
        <v>193</v>
      </c>
      <c r="X258" s="130" t="s">
        <v>225</v>
      </c>
      <c r="Y258" s="130" t="s">
        <v>195</v>
      </c>
      <c r="Z258" s="131" t="b">
        <v>1</v>
      </c>
      <c r="AA258" s="131">
        <v>0.013888888888888888</v>
      </c>
      <c r="AB258" s="130" t="s">
        <v>328</v>
      </c>
      <c r="AC258" s="130" t="s">
        <v>158</v>
      </c>
      <c r="AD258" s="130" t="s">
        <v>950</v>
      </c>
      <c r="AE258" s="130" t="s">
        <v>396</v>
      </c>
      <c r="AF258" s="132" t="s">
        <v>373</v>
      </c>
      <c r="AG258" s="143" t="b">
        <v>0</v>
      </c>
      <c r="AH258" s="143">
        <v>596.0</v>
      </c>
      <c r="AI258" s="143">
        <v>2010.0</v>
      </c>
      <c r="AJ258" s="143">
        <v>2022.0</v>
      </c>
      <c r="AK258" s="143">
        <v>3.0</v>
      </c>
      <c r="AL258" s="129" t="str">
        <f>IFERROR(__xludf.DUMMYFUNCTION("""COMPUTED_VALUE"""),"Bay View, Romantic")</f>
        <v>Bay View, Romantic</v>
      </c>
      <c r="AM258" s="129" t="str">
        <f>IFERROR(__xludf.DUMMYFUNCTION("""COMPUTED_VALUE"""),"2 Bedroom Suites, Adult Pool, Adults Only Rooms, Babysitting, Beach, Buffet, Diving, Evening Entertainment, Family Suite, Golf Course, Gym, Kids Club, Kids Waterpark, Lazy River, Nightclub, Room Service, Spa, Swim Out/Plunge Pool Rooms, Swim Up Bar, Tenni"&amp;"s, Watersports Equipment Rentals, Yoga Classes")</f>
        <v>2 Bedroom Suites, Adult Pool, Adults Only Rooms, Babysitting, Beach, Buffet, Diving, Evening Entertainment, Family Suite, Golf Course, Gym, Kids Club, Kids Waterpark, Lazy River, Nightclub, Room Service, Spa, Swim Out/Plunge Pool Rooms, Swim Up Bar, Tennis, Watersports Equipment Rentals, Yoga Classes</v>
      </c>
      <c r="AN258" s="139"/>
    </row>
    <row r="259">
      <c r="A259" s="118" t="s">
        <v>951</v>
      </c>
      <c r="B259" s="119">
        <v>89.0</v>
      </c>
      <c r="C259" s="134" t="s">
        <v>75</v>
      </c>
      <c r="D259" s="121">
        <v>4416.1</v>
      </c>
      <c r="E259" s="135">
        <f>IFERROR(__xludf.DUMMYFUNCTION("""COMPUTED_VALUE"""),6098.85446339)</f>
        <v>6098.854463</v>
      </c>
      <c r="F259" s="136">
        <v>2.04</v>
      </c>
      <c r="G259" s="124">
        <v>8161.0</v>
      </c>
      <c r="H259" s="125">
        <v>4986.0</v>
      </c>
      <c r="I259" s="125">
        <v>2093.0</v>
      </c>
      <c r="J259" s="125">
        <v>675.0</v>
      </c>
      <c r="K259" s="125">
        <v>277.0</v>
      </c>
      <c r="L259" s="125">
        <v>130.0</v>
      </c>
      <c r="M259" s="126">
        <v>88.0</v>
      </c>
      <c r="N259" s="127">
        <v>90.0</v>
      </c>
      <c r="O259" s="146"/>
      <c r="P259" s="146"/>
      <c r="Q259" s="135" t="b">
        <v>1</v>
      </c>
      <c r="R259" s="133"/>
      <c r="S259" s="133" t="s">
        <v>83</v>
      </c>
      <c r="T259" s="133"/>
      <c r="U259" s="133">
        <v>4.0</v>
      </c>
      <c r="V259" s="129"/>
      <c r="W259" s="130" t="s">
        <v>155</v>
      </c>
      <c r="X259" s="130" t="s">
        <v>952</v>
      </c>
      <c r="Y259" s="130" t="s">
        <v>157</v>
      </c>
      <c r="Z259" s="131" t="b">
        <v>1</v>
      </c>
      <c r="AA259" s="131">
        <v>0.009722222222222222</v>
      </c>
      <c r="AB259" s="130" t="s">
        <v>441</v>
      </c>
      <c r="AC259" s="130" t="s">
        <v>818</v>
      </c>
      <c r="AD259" s="130" t="s">
        <v>953</v>
      </c>
      <c r="AE259" s="130" t="s">
        <v>396</v>
      </c>
      <c r="AF259" s="132" t="s">
        <v>81</v>
      </c>
      <c r="AG259" s="133" t="b">
        <v>0</v>
      </c>
      <c r="AH259" s="133">
        <v>239.0</v>
      </c>
      <c r="AI259" s="133">
        <v>1992.0</v>
      </c>
      <c r="AJ259" s="133">
        <v>2022.0</v>
      </c>
      <c r="AK259" s="133">
        <v>1.0</v>
      </c>
      <c r="AL259" s="129" t="str">
        <f>IFERROR(__xludf.DUMMYFUNCTION("""COMPUTED_VALUE"""),"Green")</f>
        <v>Green</v>
      </c>
      <c r="AM259" s="129" t="str">
        <f>IFERROR(__xludf.DUMMYFUNCTION("""COMPUTED_VALUE"""),"Beach, Bicycles Available, Buffet, Diving, Evening Entertainment, Gym, Kids Club, Kids Club for Under 4, Nightclub, Spa, Teen Club, Tennis")</f>
        <v>Beach, Bicycles Available, Buffet, Diving, Evening Entertainment, Gym, Kids Club, Kids Club for Under 4, Nightclub, Spa, Teen Club, Tennis</v>
      </c>
      <c r="AN259" s="139"/>
    </row>
    <row r="260">
      <c r="A260" s="118" t="s">
        <v>954</v>
      </c>
      <c r="B260" s="119">
        <v>89.0</v>
      </c>
      <c r="C260" s="120" t="s">
        <v>68</v>
      </c>
      <c r="D260" s="121">
        <v>4718.0</v>
      </c>
      <c r="E260" s="122">
        <f>IFERROR(__xludf.DUMMYFUNCTION("""COMPUTED_VALUE"""),6515.7934282)</f>
        <v>6515.793428</v>
      </c>
      <c r="F260" s="136">
        <v>1.91</v>
      </c>
      <c r="G260" s="124">
        <v>8995.0</v>
      </c>
      <c r="H260" s="125">
        <v>6001.0</v>
      </c>
      <c r="I260" s="125">
        <v>1840.0</v>
      </c>
      <c r="J260" s="125">
        <v>721.0</v>
      </c>
      <c r="K260" s="125">
        <v>269.0</v>
      </c>
      <c r="L260" s="125">
        <v>169.0</v>
      </c>
      <c r="M260" s="126">
        <v>89.0</v>
      </c>
      <c r="N260" s="138">
        <v>92.0</v>
      </c>
      <c r="O260" s="127"/>
      <c r="P260" s="127">
        <v>86.0</v>
      </c>
      <c r="Q260" s="122" t="b">
        <v>1</v>
      </c>
      <c r="R260" s="133"/>
      <c r="S260" s="133">
        <v>9.0</v>
      </c>
      <c r="T260" s="133" t="s">
        <v>955</v>
      </c>
      <c r="U260" s="133">
        <v>4.5</v>
      </c>
      <c r="V260" s="129"/>
      <c r="W260" s="130" t="s">
        <v>84</v>
      </c>
      <c r="X260" s="130" t="s">
        <v>932</v>
      </c>
      <c r="Y260" s="130" t="s">
        <v>932</v>
      </c>
      <c r="Z260" s="133" t="b">
        <v>1</v>
      </c>
      <c r="AA260" s="131">
        <v>0.016666666666666666</v>
      </c>
      <c r="AB260" s="130" t="s">
        <v>50</v>
      </c>
      <c r="AC260" s="130" t="s">
        <v>956</v>
      </c>
      <c r="AD260" s="130" t="s">
        <v>957</v>
      </c>
      <c r="AE260" s="129"/>
      <c r="AF260" s="132"/>
      <c r="AG260" s="133" t="b">
        <v>1</v>
      </c>
      <c r="AH260" s="133">
        <v>399.0</v>
      </c>
      <c r="AI260" s="133">
        <v>2011.0</v>
      </c>
      <c r="AJ260" s="143"/>
      <c r="AK260" s="143"/>
      <c r="AL260" s="129" t="str">
        <f>IFERROR(__xludf.DUMMYFUNCTION("""COMPUTED_VALUE"""),"Great View, Trendy")</f>
        <v>Great View, Trendy</v>
      </c>
      <c r="AM260" s="129" t="str">
        <f>IFERROR(__xludf.DUMMYFUNCTION("""COMPUTED_VALUE"""),"Beach, Buffet, Evening Entertainment, Great Food, Gym, Nightclub, Room Service, Snorkelling, Spa, Swim Out/Plunge Pool Rooms, Swim Up Bar")</f>
        <v>Beach, Buffet, Evening Entertainment, Great Food, Gym, Nightclub, Room Service, Snorkelling, Spa, Swim Out/Plunge Pool Rooms, Swim Up Bar</v>
      </c>
      <c r="AN260" s="128"/>
    </row>
    <row r="261">
      <c r="A261" s="118" t="s">
        <v>958</v>
      </c>
      <c r="B261" s="119">
        <v>89.0</v>
      </c>
      <c r="C261" s="120" t="s">
        <v>68</v>
      </c>
      <c r="D261" s="121">
        <v>4718.0</v>
      </c>
      <c r="E261" s="122">
        <f>IFERROR(__xludf.DUMMYFUNCTION("""COMPUTED_VALUE"""),6515.7934282)</f>
        <v>6515.793428</v>
      </c>
      <c r="F261" s="136">
        <v>1.91</v>
      </c>
      <c r="G261" s="124">
        <v>21780.0</v>
      </c>
      <c r="H261" s="125">
        <v>16280.0</v>
      </c>
      <c r="I261" s="125">
        <v>3381.0</v>
      </c>
      <c r="J261" s="125">
        <v>1356.0</v>
      </c>
      <c r="K261" s="125">
        <v>462.0</v>
      </c>
      <c r="L261" s="125">
        <v>308.0</v>
      </c>
      <c r="M261" s="126">
        <v>92.0</v>
      </c>
      <c r="N261" s="138">
        <v>88.0</v>
      </c>
      <c r="O261" s="127">
        <v>88.0</v>
      </c>
      <c r="P261" s="127">
        <v>88.0</v>
      </c>
      <c r="Q261" s="122" t="b">
        <v>1</v>
      </c>
      <c r="R261" s="133">
        <v>4.0</v>
      </c>
      <c r="S261" s="143">
        <v>8.0</v>
      </c>
      <c r="T261" s="133" t="s">
        <v>492</v>
      </c>
      <c r="U261" s="133">
        <v>5.0</v>
      </c>
      <c r="V261" s="129"/>
      <c r="W261" s="130" t="s">
        <v>193</v>
      </c>
      <c r="X261" s="130" t="s">
        <v>195</v>
      </c>
      <c r="Y261" s="130" t="s">
        <v>195</v>
      </c>
      <c r="Z261" s="131" t="b">
        <v>1</v>
      </c>
      <c r="AA261" s="131">
        <v>0.017361111111111112</v>
      </c>
      <c r="AB261" s="130" t="s">
        <v>50</v>
      </c>
      <c r="AC261" s="130" t="s">
        <v>959</v>
      </c>
      <c r="AD261" s="130" t="s">
        <v>960</v>
      </c>
      <c r="AE261" s="129"/>
      <c r="AF261" s="132"/>
      <c r="AG261" s="143" t="b">
        <v>0</v>
      </c>
      <c r="AH261" s="143">
        <v>641.0</v>
      </c>
      <c r="AI261" s="143"/>
      <c r="AJ261" s="143">
        <v>2020.0</v>
      </c>
      <c r="AK261" s="143">
        <v>3.0</v>
      </c>
      <c r="AL261" s="129" t="str">
        <f>IFERROR(__xludf.DUMMYFUNCTION("""COMPUTED_VALUE"""),"Green, Value")</f>
        <v>Green, Value</v>
      </c>
      <c r="AM261" s="129" t="str">
        <f>IFERROR(__xludf.DUMMYFUNCTION("""COMPUTED_VALUE"""),"Beach, Buffet, Casino, Diving, Evening Entertainment, Great Food, Gym, Lazy River, Nightclub, Room Service, Spa, Swim Out/Plunge Pool Rooms, Swim Up Bar, Tennis")</f>
        <v>Beach, Buffet, Casino, Diving, Evening Entertainment, Great Food, Gym, Lazy River, Nightclub, Room Service, Spa, Swim Out/Plunge Pool Rooms, Swim Up Bar, Tennis</v>
      </c>
      <c r="AN261" s="128"/>
    </row>
    <row r="262">
      <c r="A262" s="118" t="s">
        <v>961</v>
      </c>
      <c r="B262" s="119">
        <v>89.0</v>
      </c>
      <c r="C262" s="120" t="s">
        <v>68</v>
      </c>
      <c r="D262" s="121">
        <v>4889.7</v>
      </c>
      <c r="E262" s="122">
        <f>IFERROR(__xludf.DUMMYFUNCTION("""COMPUTED_VALUE"""),6752.919696029999)</f>
        <v>6752.919696</v>
      </c>
      <c r="F262" s="136">
        <v>1.84</v>
      </c>
      <c r="G262" s="124">
        <v>1417.0</v>
      </c>
      <c r="H262" s="125">
        <v>1265.0</v>
      </c>
      <c r="I262" s="125">
        <v>113.0</v>
      </c>
      <c r="J262" s="125">
        <v>26.0</v>
      </c>
      <c r="K262" s="125">
        <v>8.0</v>
      </c>
      <c r="L262" s="125">
        <v>7.0</v>
      </c>
      <c r="M262" s="126">
        <v>97.0</v>
      </c>
      <c r="N262" s="127">
        <v>76.0</v>
      </c>
      <c r="O262" s="127"/>
      <c r="P262" s="127">
        <v>94.0</v>
      </c>
      <c r="Q262" s="122" t="b">
        <v>1</v>
      </c>
      <c r="R262" s="133">
        <v>3.0</v>
      </c>
      <c r="S262" s="133" t="s">
        <v>83</v>
      </c>
      <c r="T262" s="133"/>
      <c r="U262" s="133">
        <v>4.0</v>
      </c>
      <c r="V262" s="130" t="s">
        <v>148</v>
      </c>
      <c r="W262" s="130" t="s">
        <v>219</v>
      </c>
      <c r="X262" s="130" t="s">
        <v>713</v>
      </c>
      <c r="Y262" s="144" t="s">
        <v>221</v>
      </c>
      <c r="Z262" s="131" t="b">
        <v>1</v>
      </c>
      <c r="AA262" s="131">
        <v>0.002777777777777778</v>
      </c>
      <c r="AB262" s="129"/>
      <c r="AC262" s="130" t="s">
        <v>647</v>
      </c>
      <c r="AD262" s="130" t="s">
        <v>962</v>
      </c>
      <c r="AE262" s="129"/>
      <c r="AF262" s="132"/>
      <c r="AG262" s="133" t="b">
        <v>1</v>
      </c>
      <c r="AH262" s="133">
        <v>120.0</v>
      </c>
      <c r="AI262" s="133">
        <v>2019.0</v>
      </c>
      <c r="AJ262" s="143"/>
      <c r="AK262" s="133">
        <v>6.0</v>
      </c>
      <c r="AL262" s="129" t="str">
        <f>IFERROR(__xludf.DUMMYFUNCTION("""COMPUTED_VALUE"""),"Business, Trendy")</f>
        <v>Business, Trendy</v>
      </c>
      <c r="AM262" s="129" t="str">
        <f>IFERROR(__xludf.DUMMYFUNCTION("""COMPUTED_VALUE"""),"Beach, Evening Entertainment, Gym, Nightclub, Room Service, Snorkelling, Spa, Wifi (Free), Yoga Classes")</f>
        <v>Beach, Evening Entertainment, Gym, Nightclub, Room Service, Snorkelling, Spa, Wifi (Free), Yoga Classes</v>
      </c>
      <c r="AN262" s="128"/>
    </row>
    <row r="263">
      <c r="A263" s="118" t="s">
        <v>963</v>
      </c>
      <c r="B263" s="119">
        <v>89.0</v>
      </c>
      <c r="C263" s="134" t="s">
        <v>75</v>
      </c>
      <c r="D263" s="121">
        <v>5575.34</v>
      </c>
      <c r="E263" s="135">
        <f>IFERROR(__xludf.DUMMYFUNCTION("""COMPUTED_VALUE"""),7699.822749466)</f>
        <v>7699.822749</v>
      </c>
      <c r="F263" s="136">
        <v>1.61</v>
      </c>
      <c r="G263" s="124">
        <v>8359.0</v>
      </c>
      <c r="H263" s="125">
        <v>4413.0</v>
      </c>
      <c r="I263" s="125">
        <v>2532.0</v>
      </c>
      <c r="J263" s="125">
        <v>896.0</v>
      </c>
      <c r="K263" s="125">
        <v>326.0</v>
      </c>
      <c r="L263" s="125">
        <v>192.0</v>
      </c>
      <c r="M263" s="126">
        <v>85.0</v>
      </c>
      <c r="N263" s="138">
        <v>94.0</v>
      </c>
      <c r="O263" s="146"/>
      <c r="P263" s="127">
        <v>88.0</v>
      </c>
      <c r="Q263" s="135" t="b">
        <v>1</v>
      </c>
      <c r="R263" s="133"/>
      <c r="S263" s="133">
        <v>6.0</v>
      </c>
      <c r="T263" s="133"/>
      <c r="U263" s="133">
        <v>5.0</v>
      </c>
      <c r="V263" s="130"/>
      <c r="W263" s="130" t="s">
        <v>84</v>
      </c>
      <c r="X263" s="130" t="s">
        <v>448</v>
      </c>
      <c r="Y263" s="130" t="s">
        <v>448</v>
      </c>
      <c r="Z263" s="131" t="b">
        <v>1</v>
      </c>
      <c r="AA263" s="131">
        <v>0.01875</v>
      </c>
      <c r="AB263" s="130" t="s">
        <v>215</v>
      </c>
      <c r="AC263" s="130" t="s">
        <v>656</v>
      </c>
      <c r="AD263" s="130" t="s">
        <v>964</v>
      </c>
      <c r="AE263" s="130" t="s">
        <v>396</v>
      </c>
      <c r="AF263" s="132" t="s">
        <v>373</v>
      </c>
      <c r="AG263" s="143" t="b">
        <v>0</v>
      </c>
      <c r="AH263" s="143"/>
      <c r="AI263" s="143"/>
      <c r="AJ263" s="143"/>
      <c r="AK263" s="143"/>
      <c r="AL263" s="129" t="str">
        <f>IFERROR(__xludf.DUMMYFUNCTION("""COMPUTED_VALUE"""),"Family, Green")</f>
        <v>Family, Green</v>
      </c>
      <c r="AM263" s="129" t="str">
        <f>IFERROR(__xludf.DUMMYFUNCTION("""COMPUTED_VALUE"""),"2 Bedroom Suites, Babysitting, Beach, Buffet, Diving, Evening Entertainment, Family Suite, Great Food, Gym, Kids Club, Snorkelling, Spa, Swim Up Bar, Tennis")</f>
        <v>2 Bedroom Suites, Babysitting, Beach, Buffet, Diving, Evening Entertainment, Family Suite, Great Food, Gym, Kids Club, Snorkelling, Spa, Swim Up Bar, Tennis</v>
      </c>
      <c r="AN263" s="139"/>
    </row>
    <row r="264">
      <c r="A264" s="118" t="s">
        <v>965</v>
      </c>
      <c r="B264" s="119">
        <v>89.0</v>
      </c>
      <c r="C264" s="134" t="s">
        <v>75</v>
      </c>
      <c r="D264" s="121">
        <v>5952.0</v>
      </c>
      <c r="E264" s="135">
        <f>IFERROR(__xludf.DUMMYFUNCTION("""COMPUTED_VALUE"""),8220.009004799998)</f>
        <v>8220.009005</v>
      </c>
      <c r="F264" s="136">
        <v>1.51</v>
      </c>
      <c r="G264" s="124">
        <v>3912.0</v>
      </c>
      <c r="H264" s="125">
        <v>3508.0</v>
      </c>
      <c r="I264" s="125">
        <v>189.0</v>
      </c>
      <c r="J264" s="125">
        <v>86.0</v>
      </c>
      <c r="K264" s="125">
        <v>43.0</v>
      </c>
      <c r="L264" s="125">
        <v>89.0</v>
      </c>
      <c r="M264" s="126">
        <v>96.0</v>
      </c>
      <c r="N264" s="127">
        <v>84.0</v>
      </c>
      <c r="O264" s="127">
        <v>86.0</v>
      </c>
      <c r="P264" s="127">
        <v>90.0</v>
      </c>
      <c r="Q264" s="135" t="b">
        <v>1</v>
      </c>
      <c r="R264" s="133"/>
      <c r="S264" s="133" t="s">
        <v>83</v>
      </c>
      <c r="T264" s="133"/>
      <c r="U264" s="133">
        <v>5.0</v>
      </c>
      <c r="V264" s="130"/>
      <c r="W264" s="130" t="s">
        <v>84</v>
      </c>
      <c r="X264" s="130" t="s">
        <v>966</v>
      </c>
      <c r="Y264" s="130" t="s">
        <v>86</v>
      </c>
      <c r="Z264" s="131" t="b">
        <v>1</v>
      </c>
      <c r="AA264" s="131">
        <v>0.022222222222222223</v>
      </c>
      <c r="AB264" s="130" t="s">
        <v>407</v>
      </c>
      <c r="AC264" s="130" t="s">
        <v>418</v>
      </c>
      <c r="AD264" s="130" t="s">
        <v>967</v>
      </c>
      <c r="AE264" s="130"/>
      <c r="AF264" s="132" t="s">
        <v>126</v>
      </c>
      <c r="AG264" s="133" t="b">
        <v>1</v>
      </c>
      <c r="AH264" s="133">
        <v>452.0</v>
      </c>
      <c r="AI264" s="133">
        <v>2020.0</v>
      </c>
      <c r="AJ264" s="143"/>
      <c r="AK264" s="133">
        <v>10.0</v>
      </c>
      <c r="AL264" s="129" t="str">
        <f>IFERROR(__xludf.DUMMYFUNCTION("""COMPUTED_VALUE"""),"Luxury, Ocean View")</f>
        <v>Luxury, Ocean View</v>
      </c>
      <c r="AM264" s="129" t="str">
        <f>IFERROR(__xludf.DUMMYFUNCTION("""COMPUTED_VALUE"""),"2 Bedroom Suites, Beach, Buffet, Evening Entertainment, Family Suite, Gym, Heated Pool, Kids Club, Room Service, Snorkelling, Spa, Swim Out/Plunge Pool Rooms, Swim Up Bar, Wifi (Free), Yoga Classes")</f>
        <v>2 Bedroom Suites, Beach, Buffet, Evening Entertainment, Family Suite, Gym, Heated Pool, Kids Club, Room Service, Snorkelling, Spa, Swim Out/Plunge Pool Rooms, Swim Up Bar, Wifi (Free), Yoga Classes</v>
      </c>
      <c r="AN264" s="139"/>
    </row>
    <row r="265">
      <c r="A265" s="118" t="s">
        <v>968</v>
      </c>
      <c r="B265" s="119">
        <v>89.0</v>
      </c>
      <c r="C265" s="134" t="s">
        <v>75</v>
      </c>
      <c r="D265" s="121">
        <v>6970.0</v>
      </c>
      <c r="E265" s="135">
        <f>IFERROR(__xludf.DUMMYFUNCTION("""COMPUTED_VALUE"""),9625.917802999998)</f>
        <v>9625.917803</v>
      </c>
      <c r="F265" s="136">
        <v>1.29</v>
      </c>
      <c r="G265" s="124">
        <v>13432.0</v>
      </c>
      <c r="H265" s="125">
        <v>11610.0</v>
      </c>
      <c r="I265" s="125">
        <v>800.0</v>
      </c>
      <c r="J265" s="125">
        <v>400.0</v>
      </c>
      <c r="K265" s="125">
        <v>223.0</v>
      </c>
      <c r="L265" s="125">
        <v>400.0</v>
      </c>
      <c r="M265" s="126">
        <v>94.0</v>
      </c>
      <c r="N265" s="127">
        <v>90.0</v>
      </c>
      <c r="O265" s="127">
        <v>88.0</v>
      </c>
      <c r="P265" s="127">
        <v>84.0</v>
      </c>
      <c r="Q265" s="135" t="b">
        <v>1</v>
      </c>
      <c r="R265" s="133"/>
      <c r="S265" s="133">
        <v>8.0</v>
      </c>
      <c r="T265" s="133"/>
      <c r="U265" s="133">
        <v>5.0</v>
      </c>
      <c r="V265" s="130"/>
      <c r="W265" s="130" t="s">
        <v>84</v>
      </c>
      <c r="X265" s="130" t="s">
        <v>86</v>
      </c>
      <c r="Y265" s="147" t="s">
        <v>86</v>
      </c>
      <c r="Z265" s="131" t="b">
        <v>1</v>
      </c>
      <c r="AA265" s="131">
        <v>0.009027777777777777</v>
      </c>
      <c r="AB265" s="130" t="s">
        <v>255</v>
      </c>
      <c r="AC265" s="130" t="s">
        <v>929</v>
      </c>
      <c r="AD265" s="130" t="s">
        <v>969</v>
      </c>
      <c r="AE265" s="130" t="s">
        <v>396</v>
      </c>
      <c r="AF265" s="148" t="s">
        <v>970</v>
      </c>
      <c r="AG265" s="133" t="b">
        <v>0</v>
      </c>
      <c r="AH265" s="133">
        <v>1300.0</v>
      </c>
      <c r="AI265" s="133">
        <v>2016.0</v>
      </c>
      <c r="AJ265" s="143"/>
      <c r="AK265" s="143"/>
      <c r="AL265" s="129" t="str">
        <f>IFERROR(__xludf.DUMMYFUNCTION("""COMPUTED_VALUE"""),"Business, Family")</f>
        <v>Business, Family</v>
      </c>
      <c r="AM265" s="129" t="str">
        <f>IFERROR(__xludf.DUMMYFUNCTION("""COMPUTED_VALUE"""),"2 Bedroom Suites, Adult Pool, Arcade, Babysitting, Beach, Bicycles Available, Big Waterslides, Buffet, Evening Entertainment, Family Suite, Flowrider, Golf Course, Gym, Heated Pool, Kids Club, Kids Waterpark, Lazy River, Nightclub, Pool Slide, Spa, Swim O"&amp;"ut/Plunge Pool Rooms, Swim Up Bar, Teen Club, Tennis, Water Feature, Wifi (Free)")</f>
        <v>2 Bedroom Suites, Adult Pool, Arcade, Babysitting, Beach, Bicycles Available, Big Waterslides, Buffet, Evening Entertainment, Family Suite, Flowrider, Golf Course, Gym, Heated Pool, Kids Club, Kids Waterpark, Lazy River, Nightclub, Pool Slide, Spa, Swim Out/Plunge Pool Rooms, Swim Up Bar, Teen Club, Tennis, Water Feature, Wifi (Free)</v>
      </c>
      <c r="AN265" s="139"/>
    </row>
    <row r="266">
      <c r="A266" s="118" t="s">
        <v>971</v>
      </c>
      <c r="B266" s="119">
        <v>89.0</v>
      </c>
      <c r="C266" s="120" t="s">
        <v>68</v>
      </c>
      <c r="D266" s="121">
        <v>8456.0</v>
      </c>
      <c r="E266" s="122">
        <f>IFERROR(__xludf.DUMMYFUNCTION("""COMPUTED_VALUE"""),11678.157954399998)</f>
        <v>11678.15795</v>
      </c>
      <c r="F266" s="136">
        <v>1.06</v>
      </c>
      <c r="G266" s="124">
        <v>915.0</v>
      </c>
      <c r="H266" s="125">
        <v>723.0</v>
      </c>
      <c r="I266" s="125">
        <v>110.0</v>
      </c>
      <c r="J266" s="125">
        <v>47.0</v>
      </c>
      <c r="K266" s="125">
        <v>19.0</v>
      </c>
      <c r="L266" s="125">
        <v>16.0</v>
      </c>
      <c r="M266" s="126">
        <v>93.0</v>
      </c>
      <c r="N266" s="138">
        <v>82.0</v>
      </c>
      <c r="O266" s="127"/>
      <c r="P266" s="127">
        <v>92.0</v>
      </c>
      <c r="Q266" s="122" t="b">
        <v>1</v>
      </c>
      <c r="R266" s="128"/>
      <c r="S266" s="133">
        <v>8.0</v>
      </c>
      <c r="T266" s="133"/>
      <c r="U266" s="133">
        <v>3.5</v>
      </c>
      <c r="V266" s="129"/>
      <c r="W266" s="130" t="s">
        <v>642</v>
      </c>
      <c r="X266" s="130" t="s">
        <v>843</v>
      </c>
      <c r="Y266" s="130" t="s">
        <v>644</v>
      </c>
      <c r="Z266" s="131" t="b">
        <v>1</v>
      </c>
      <c r="AA266" s="131">
        <v>0.02638888888888889</v>
      </c>
      <c r="AB266" s="130" t="s">
        <v>451</v>
      </c>
      <c r="AC266" s="130" t="s">
        <v>972</v>
      </c>
      <c r="AD266" s="130" t="s">
        <v>973</v>
      </c>
      <c r="AE266" s="129"/>
      <c r="AF266" s="132"/>
      <c r="AG266" s="133" t="b">
        <v>0</v>
      </c>
      <c r="AH266" s="133">
        <v>34.0</v>
      </c>
      <c r="AI266" s="133">
        <v>2001.0</v>
      </c>
      <c r="AJ266" s="133">
        <v>2017.0</v>
      </c>
      <c r="AK266" s="133">
        <v>3.0</v>
      </c>
      <c r="AL266" s="129" t="str">
        <f>IFERROR(__xludf.DUMMYFUNCTION("""COMPUTED_VALUE"""),"Bay View, Quiet")</f>
        <v>Bay View, Quiet</v>
      </c>
      <c r="AM266" s="129" t="str">
        <f>IFERROR(__xludf.DUMMYFUNCTION("""COMPUTED_VALUE"""),"Beach, Gym, Snorkelling, Spa, Watersports Equipment Rentals, Wifi (Free), Yoga Classes")</f>
        <v>Beach, Gym, Snorkelling, Spa, Watersports Equipment Rentals, Wifi (Free), Yoga Classes</v>
      </c>
      <c r="AN266" s="128"/>
    </row>
    <row r="267">
      <c r="A267" s="118" t="s">
        <v>974</v>
      </c>
      <c r="B267" s="119">
        <v>88.8</v>
      </c>
      <c r="C267" s="120" t="s">
        <v>68</v>
      </c>
      <c r="D267" s="121">
        <v>3867.43</v>
      </c>
      <c r="E267" s="122">
        <f>IFERROR(__xludf.DUMMYFUNCTION("""COMPUTED_VALUE"""),5341.113814756999)</f>
        <v>5341.113815</v>
      </c>
      <c r="F267" s="136">
        <v>2.28</v>
      </c>
      <c r="G267" s="124">
        <v>9440.0</v>
      </c>
      <c r="H267" s="125">
        <v>6524.0</v>
      </c>
      <c r="I267" s="125">
        <v>1611.0</v>
      </c>
      <c r="J267" s="125">
        <v>687.0</v>
      </c>
      <c r="K267" s="125">
        <v>344.0</v>
      </c>
      <c r="L267" s="125">
        <v>276.0</v>
      </c>
      <c r="M267" s="126">
        <v>89.0</v>
      </c>
      <c r="N267" s="127">
        <v>90.0</v>
      </c>
      <c r="O267" s="127">
        <v>90.0</v>
      </c>
      <c r="P267" s="127">
        <v>86.0</v>
      </c>
      <c r="Q267" s="122" t="b">
        <v>1</v>
      </c>
      <c r="R267" s="133">
        <v>4.0</v>
      </c>
      <c r="S267" s="133">
        <v>9.0</v>
      </c>
      <c r="T267" s="133"/>
      <c r="U267" s="133">
        <v>5.0</v>
      </c>
      <c r="V267" s="129"/>
      <c r="W267" s="130" t="s">
        <v>84</v>
      </c>
      <c r="X267" s="130" t="s">
        <v>85</v>
      </c>
      <c r="Y267" s="130" t="s">
        <v>86</v>
      </c>
      <c r="Z267" s="131" t="b">
        <v>1</v>
      </c>
      <c r="AA267" s="131">
        <v>0.03611111111111111</v>
      </c>
      <c r="AB267" s="130" t="s">
        <v>362</v>
      </c>
      <c r="AC267" s="130" t="s">
        <v>308</v>
      </c>
      <c r="AD267" s="130" t="s">
        <v>975</v>
      </c>
      <c r="AE267" s="129"/>
      <c r="AF267" s="132"/>
      <c r="AG267" s="133" t="b">
        <v>0</v>
      </c>
      <c r="AH267" s="133">
        <v>201.0</v>
      </c>
      <c r="AI267" s="133">
        <v>1999.0</v>
      </c>
      <c r="AJ267" s="133">
        <v>2016.0</v>
      </c>
      <c r="AK267" s="133">
        <v>3.0</v>
      </c>
      <c r="AL267" s="129" t="str">
        <f>IFERROR(__xludf.DUMMYFUNCTION("""COMPUTED_VALUE"""),"Charming, Romantic")</f>
        <v>Charming, Romantic</v>
      </c>
      <c r="AM267" s="129" t="str">
        <f>IFERROR(__xludf.DUMMYFUNCTION("""COMPUTED_VALUE"""),"Beach, Evening Entertainment, Gym, Snorkelling, Spa, Tennis, Wifi (Free)")</f>
        <v>Beach, Evening Entertainment, Gym, Snorkelling, Spa, Tennis, Wifi (Free)</v>
      </c>
      <c r="AN267" s="128"/>
    </row>
    <row r="268">
      <c r="A268" s="118" t="s">
        <v>976</v>
      </c>
      <c r="B268" s="119">
        <v>88.8</v>
      </c>
      <c r="C268" s="134" t="s">
        <v>75</v>
      </c>
      <c r="D268" s="121">
        <v>4428.0</v>
      </c>
      <c r="E268" s="135">
        <f>IFERROR(__xludf.DUMMYFUNCTION("""COMPUTED_VALUE"""),6115.2889571999995)</f>
        <v>6115.288957</v>
      </c>
      <c r="F268" s="136">
        <v>1.99</v>
      </c>
      <c r="G268" s="124">
        <v>5058.0</v>
      </c>
      <c r="H268" s="125">
        <v>3917.0</v>
      </c>
      <c r="I268" s="125">
        <v>739.0</v>
      </c>
      <c r="J268" s="125">
        <v>201.0</v>
      </c>
      <c r="K268" s="125">
        <v>106.0</v>
      </c>
      <c r="L268" s="125">
        <v>96.0</v>
      </c>
      <c r="M268" s="126">
        <v>93.0</v>
      </c>
      <c r="N268" s="127">
        <v>90.0</v>
      </c>
      <c r="O268" s="127">
        <v>86.0</v>
      </c>
      <c r="P268" s="127">
        <v>86.0</v>
      </c>
      <c r="Q268" s="135" t="b">
        <v>1</v>
      </c>
      <c r="R268" s="133">
        <v>3.0</v>
      </c>
      <c r="S268" s="133">
        <v>6.0</v>
      </c>
      <c r="T268" s="133"/>
      <c r="U268" s="133">
        <v>4.5</v>
      </c>
      <c r="V268" s="129"/>
      <c r="W268" s="130" t="s">
        <v>84</v>
      </c>
      <c r="X268" s="130" t="s">
        <v>122</v>
      </c>
      <c r="Y268" s="130" t="s">
        <v>123</v>
      </c>
      <c r="Z268" s="131" t="b">
        <v>1</v>
      </c>
      <c r="AA268" s="131">
        <v>0.027777777777777776</v>
      </c>
      <c r="AB268" s="130" t="s">
        <v>499</v>
      </c>
      <c r="AC268" s="130" t="s">
        <v>977</v>
      </c>
      <c r="AD268" s="130" t="s">
        <v>978</v>
      </c>
      <c r="AE268" s="130"/>
      <c r="AF268" s="132" t="s">
        <v>126</v>
      </c>
      <c r="AG268" s="133" t="b">
        <v>0</v>
      </c>
      <c r="AH268" s="133">
        <v>217.0</v>
      </c>
      <c r="AI268" s="143"/>
      <c r="AJ268" s="143"/>
      <c r="AK268" s="133">
        <v>8.0</v>
      </c>
      <c r="AL268" s="129" t="str">
        <f>IFERROR(__xludf.DUMMYFUNCTION("""COMPUTED_VALUE"""),"Bay View, Harbour View")</f>
        <v>Bay View, Harbour View</v>
      </c>
      <c r="AM268" s="129" t="str">
        <f>IFERROR(__xludf.DUMMYFUNCTION("""COMPUTED_VALUE"""),"2 Bedroom Suites, Babysitting, Beach, Diving, Evening Entertainment, Family Suite, Fishing, Gym, Heated Pool, Kids Club, Lazy River, Spa, Wifi (Free)")</f>
        <v>2 Bedroom Suites, Babysitting, Beach, Diving, Evening Entertainment, Family Suite, Fishing, Gym, Heated Pool, Kids Club, Lazy River, Spa, Wifi (Free)</v>
      </c>
      <c r="AN268" s="139"/>
    </row>
    <row r="269">
      <c r="A269" s="118" t="s">
        <v>979</v>
      </c>
      <c r="B269" s="119">
        <v>88.8</v>
      </c>
      <c r="C269" s="134" t="s">
        <v>75</v>
      </c>
      <c r="D269" s="121">
        <v>6497.0</v>
      </c>
      <c r="E269" s="135">
        <f>IFERROR(__xludf.DUMMYFUNCTION("""COMPUTED_VALUE"""),8972.6812003)</f>
        <v>8972.6812</v>
      </c>
      <c r="F269" s="136">
        <v>1.35</v>
      </c>
      <c r="G269" s="124">
        <v>3000.0</v>
      </c>
      <c r="H269" s="125">
        <v>2649.0</v>
      </c>
      <c r="I269" s="125">
        <v>151.0</v>
      </c>
      <c r="J269" s="125">
        <v>68.0</v>
      </c>
      <c r="K269" s="125">
        <v>40.0</v>
      </c>
      <c r="L269" s="125">
        <v>92.0</v>
      </c>
      <c r="M269" s="126">
        <v>95.0</v>
      </c>
      <c r="N269" s="127">
        <v>80.0</v>
      </c>
      <c r="O269" s="127">
        <v>90.0</v>
      </c>
      <c r="P269" s="127">
        <v>90.0</v>
      </c>
      <c r="Q269" s="135" t="b">
        <v>1</v>
      </c>
      <c r="R269" s="133">
        <v>4.0</v>
      </c>
      <c r="S269" s="133">
        <v>8.0</v>
      </c>
      <c r="T269" s="133"/>
      <c r="U269" s="133">
        <v>5.0</v>
      </c>
      <c r="V269" s="130"/>
      <c r="W269" s="130" t="s">
        <v>84</v>
      </c>
      <c r="X269" s="130" t="s">
        <v>122</v>
      </c>
      <c r="Y269" s="130" t="s">
        <v>123</v>
      </c>
      <c r="Z269" s="131" t="b">
        <v>1</v>
      </c>
      <c r="AA269" s="131">
        <v>0.02013888888888889</v>
      </c>
      <c r="AB269" s="130" t="s">
        <v>407</v>
      </c>
      <c r="AC269" s="130" t="s">
        <v>647</v>
      </c>
      <c r="AD269" s="130" t="s">
        <v>980</v>
      </c>
      <c r="AE269" s="130"/>
      <c r="AF269" s="132" t="s">
        <v>126</v>
      </c>
      <c r="AG269" s="133" t="b">
        <v>1</v>
      </c>
      <c r="AH269" s="133">
        <v>315.0</v>
      </c>
      <c r="AI269" s="133">
        <v>2018.0</v>
      </c>
      <c r="AJ269" s="143"/>
      <c r="AK269" s="133">
        <v>10.0</v>
      </c>
      <c r="AL269" s="129" t="str">
        <f>IFERROR(__xludf.DUMMYFUNCTION("""COMPUTED_VALUE"""),"Business, Trendy")</f>
        <v>Business, Trendy</v>
      </c>
      <c r="AM269" s="129" t="str">
        <f>IFERROR(__xludf.DUMMYFUNCTION("""COMPUTED_VALUE"""),"2 Bedroom Suites, Adult Pool, Babysitting, Beach, Bicycles Available, Diving, Family Suite, Fishing, Gym, Heated Pool, Hiking, Horseback Riding, Kids Club, Room Service, Spa, Swim Up Bar, Tennis, Yoga Classes")</f>
        <v>2 Bedroom Suites, Adult Pool, Babysitting, Beach, Bicycles Available, Diving, Family Suite, Fishing, Gym, Heated Pool, Hiking, Horseback Riding, Kids Club, Room Service, Spa, Swim Up Bar, Tennis, Yoga Classes</v>
      </c>
      <c r="AN269" s="139"/>
    </row>
    <row r="270">
      <c r="A270" s="118" t="s">
        <v>981</v>
      </c>
      <c r="B270" s="119">
        <v>88.8</v>
      </c>
      <c r="C270" s="134" t="s">
        <v>75</v>
      </c>
      <c r="D270" s="150">
        <v>6590.74</v>
      </c>
      <c r="E270" s="135">
        <f>IFERROR(__xludf.DUMMYFUNCTION("""COMPUTED_VALUE"""),9102.140817925998)</f>
        <v>9102.140818</v>
      </c>
      <c r="F270" s="136">
        <v>1.34</v>
      </c>
      <c r="G270" s="124">
        <v>7053.0</v>
      </c>
      <c r="H270" s="125">
        <v>4581.0</v>
      </c>
      <c r="I270" s="125">
        <v>1611.0</v>
      </c>
      <c r="J270" s="125">
        <v>488.0</v>
      </c>
      <c r="K270" s="125">
        <v>197.0</v>
      </c>
      <c r="L270" s="125">
        <v>176.0</v>
      </c>
      <c r="M270" s="126">
        <v>89.0</v>
      </c>
      <c r="N270" s="127">
        <v>94.0</v>
      </c>
      <c r="O270" s="127">
        <v>86.0</v>
      </c>
      <c r="P270" s="127">
        <v>86.0</v>
      </c>
      <c r="Q270" s="135" t="b">
        <v>1</v>
      </c>
      <c r="R270" s="133">
        <v>4.0</v>
      </c>
      <c r="S270" s="133">
        <v>7.0</v>
      </c>
      <c r="T270" s="133"/>
      <c r="U270" s="133">
        <v>5.0</v>
      </c>
      <c r="V270" s="130"/>
      <c r="W270" s="130" t="s">
        <v>219</v>
      </c>
      <c r="X270" s="130" t="s">
        <v>713</v>
      </c>
      <c r="Y270" s="130" t="s">
        <v>221</v>
      </c>
      <c r="Z270" s="131" t="b">
        <v>1</v>
      </c>
      <c r="AA270" s="131">
        <v>0.015277777777777777</v>
      </c>
      <c r="AB270" s="130" t="s">
        <v>215</v>
      </c>
      <c r="AC270" s="130" t="s">
        <v>75</v>
      </c>
      <c r="AD270" s="130" t="s">
        <v>982</v>
      </c>
      <c r="AE270" s="130" t="s">
        <v>396</v>
      </c>
      <c r="AF270" s="132" t="s">
        <v>373</v>
      </c>
      <c r="AG270" s="133" t="b">
        <v>0</v>
      </c>
      <c r="AH270" s="133">
        <v>319.0</v>
      </c>
      <c r="AI270" s="143"/>
      <c r="AJ270" s="143"/>
      <c r="AK270" s="143"/>
      <c r="AL270" s="129" t="str">
        <f>IFERROR(__xludf.DUMMYFUNCTION("""COMPUTED_VALUE"""),"Family")</f>
        <v>Family</v>
      </c>
      <c r="AM270" s="129" t="str">
        <f>IFERROR(__xludf.DUMMYFUNCTION("""COMPUTED_VALUE"""),"2 Bedroom Suites, Babysitting, Beach, Buffet, Casino, Diving, Evening Entertainment, Family Suite, Fishing, Gym, Kids Club, Kids Waterpark, Lazy River, Nightclub, Spa, Swim Up Bar, Tennis")</f>
        <v>2 Bedroom Suites, Babysitting, Beach, Buffet, Casino, Diving, Evening Entertainment, Family Suite, Fishing, Gym, Kids Club, Kids Waterpark, Lazy River, Nightclub, Spa, Swim Up Bar, Tennis</v>
      </c>
      <c r="AN270" s="139"/>
    </row>
    <row r="271">
      <c r="A271" s="118" t="s">
        <v>983</v>
      </c>
      <c r="B271" s="119">
        <v>88.8</v>
      </c>
      <c r="C271" s="134" t="s">
        <v>75</v>
      </c>
      <c r="D271" s="150">
        <v>8677.07</v>
      </c>
      <c r="E271" s="135">
        <f>IFERROR(__xludf.DUMMYFUNCTION("""COMPUTED_VALUE"""),11983.466655792998)</f>
        <v>11983.46666</v>
      </c>
      <c r="F271" s="136">
        <v>1.01</v>
      </c>
      <c r="G271" s="124">
        <v>16572.0</v>
      </c>
      <c r="H271" s="125">
        <v>12052.0</v>
      </c>
      <c r="I271" s="125">
        <v>2982.0</v>
      </c>
      <c r="J271" s="125">
        <v>872.0</v>
      </c>
      <c r="K271" s="125">
        <v>342.0</v>
      </c>
      <c r="L271" s="125">
        <v>324.0</v>
      </c>
      <c r="M271" s="126">
        <v>91.0</v>
      </c>
      <c r="N271" s="138">
        <v>90.0</v>
      </c>
      <c r="O271" s="127">
        <v>86.0</v>
      </c>
      <c r="P271" s="127">
        <v>88.0</v>
      </c>
      <c r="Q271" s="135" t="b">
        <v>1</v>
      </c>
      <c r="R271" s="133">
        <v>3.0</v>
      </c>
      <c r="S271" s="133">
        <v>8.0</v>
      </c>
      <c r="T271" s="133"/>
      <c r="U271" s="133">
        <v>3.0</v>
      </c>
      <c r="V271" s="130"/>
      <c r="W271" s="130" t="s">
        <v>84</v>
      </c>
      <c r="X271" s="130" t="s">
        <v>86</v>
      </c>
      <c r="Y271" s="130" t="s">
        <v>86</v>
      </c>
      <c r="Z271" s="131" t="b">
        <v>1</v>
      </c>
      <c r="AA271" s="131">
        <v>0.0125</v>
      </c>
      <c r="AB271" s="130" t="s">
        <v>371</v>
      </c>
      <c r="AC271" s="130" t="s">
        <v>579</v>
      </c>
      <c r="AD271" s="130" t="s">
        <v>984</v>
      </c>
      <c r="AE271" s="130"/>
      <c r="AF271" s="132" t="s">
        <v>373</v>
      </c>
      <c r="AG271" s="133" t="b">
        <v>0</v>
      </c>
      <c r="AH271" s="133">
        <v>507.0</v>
      </c>
      <c r="AI271" s="133">
        <v>1989.0</v>
      </c>
      <c r="AJ271" s="133">
        <v>2017.0</v>
      </c>
      <c r="AK271" s="133">
        <v>8.0</v>
      </c>
      <c r="AL271" s="129" t="str">
        <f>IFERROR(__xludf.DUMMYFUNCTION("""COMPUTED_VALUE"""),"Family, Value")</f>
        <v>Family, Value</v>
      </c>
      <c r="AM271" s="129" t="str">
        <f>IFERROR(__xludf.DUMMYFUNCTION("""COMPUTED_VALUE"""),"2 Bedroom Suites, Beach, Buffet, Diving, Evening Entertainment, Family Suite, Fishing, Gym, Kids Club, Kids Waterpark, Pool Slide, Room Service, Spa, Swim Out/Plunge Pool Rooms, Swim Up Bar, Water Feature, Yoga Classes")</f>
        <v>2 Bedroom Suites, Beach, Buffet, Diving, Evening Entertainment, Family Suite, Fishing, Gym, Kids Club, Kids Waterpark, Pool Slide, Room Service, Spa, Swim Out/Plunge Pool Rooms, Swim Up Bar, Water Feature, Yoga Classes</v>
      </c>
      <c r="AN271" s="139"/>
    </row>
    <row r="272">
      <c r="A272" s="118" t="s">
        <v>985</v>
      </c>
      <c r="B272" s="119">
        <v>88.7</v>
      </c>
      <c r="C272" s="120" t="s">
        <v>68</v>
      </c>
      <c r="D272" s="142">
        <v>4144.84</v>
      </c>
      <c r="E272" s="122">
        <f>IFERROR(__xludf.DUMMYFUNCTION("""COMPUTED_VALUE"""),5724.230867515999)</f>
        <v>5724.230868</v>
      </c>
      <c r="F272" s="136">
        <v>2.1</v>
      </c>
      <c r="G272" s="124">
        <v>106.0</v>
      </c>
      <c r="H272" s="125">
        <v>90.0</v>
      </c>
      <c r="I272" s="125">
        <v>14.0</v>
      </c>
      <c r="J272" s="125">
        <v>1.0</v>
      </c>
      <c r="K272" s="125">
        <v>0.0</v>
      </c>
      <c r="L272" s="125">
        <v>1.0</v>
      </c>
      <c r="M272" s="126">
        <v>96.0</v>
      </c>
      <c r="N272" s="138">
        <v>84.0</v>
      </c>
      <c r="O272" s="127"/>
      <c r="P272" s="138">
        <v>86.0</v>
      </c>
      <c r="Q272" s="122" t="b">
        <v>1</v>
      </c>
      <c r="R272" s="133"/>
      <c r="S272" s="133" t="s">
        <v>83</v>
      </c>
      <c r="T272" s="133"/>
      <c r="U272" s="133">
        <v>5.0</v>
      </c>
      <c r="V272" s="130"/>
      <c r="W272" s="130" t="s">
        <v>219</v>
      </c>
      <c r="X272" s="130" t="s">
        <v>721</v>
      </c>
      <c r="Y272" s="144" t="s">
        <v>221</v>
      </c>
      <c r="Z272" s="131" t="b">
        <v>1</v>
      </c>
      <c r="AA272" s="131">
        <v>0.04583333333333333</v>
      </c>
      <c r="AB272" s="130"/>
      <c r="AC272" s="130" t="s">
        <v>986</v>
      </c>
      <c r="AD272" s="130" t="s">
        <v>987</v>
      </c>
      <c r="AE272" s="129"/>
      <c r="AF272" s="132"/>
      <c r="AG272" s="133" t="b">
        <v>0</v>
      </c>
      <c r="AH272" s="133">
        <v>415.0</v>
      </c>
      <c r="AI272" s="133">
        <v>2024.0</v>
      </c>
      <c r="AJ272" s="133"/>
      <c r="AK272" s="133">
        <v>4.0</v>
      </c>
      <c r="AL272" s="129" t="str">
        <f>IFERROR(__xludf.DUMMYFUNCTION("""COMPUTED_VALUE"""),"Luxury, Mid-Range")</f>
        <v>Luxury, Mid-Range</v>
      </c>
      <c r="AM272" s="129" t="str">
        <f>IFERROR(__xludf.DUMMYFUNCTION("""COMPUTED_VALUE"""),"Buffet, Evening Entertainment, Gym, Nightclub, Room Service, Snorkelling, Spa, Swim Out/Plunge Pool Rooms, Swim Up Bar, Wifi (Free), Yoga Classes")</f>
        <v>Buffet, Evening Entertainment, Gym, Nightclub, Room Service, Snorkelling, Spa, Swim Out/Plunge Pool Rooms, Swim Up Bar, Wifi (Free), Yoga Classes</v>
      </c>
      <c r="AN272" s="128"/>
    </row>
    <row r="273" hidden="1">
      <c r="A273" s="118" t="s">
        <v>988</v>
      </c>
      <c r="B273" s="119">
        <v>87.0</v>
      </c>
      <c r="C273" s="120" t="s">
        <v>68</v>
      </c>
      <c r="D273" s="142"/>
      <c r="E273" s="122"/>
      <c r="F273" s="136"/>
      <c r="G273" s="124"/>
      <c r="H273" s="133"/>
      <c r="I273" s="133"/>
      <c r="J273" s="133"/>
      <c r="K273" s="133"/>
      <c r="L273" s="133"/>
      <c r="M273" s="137"/>
      <c r="N273" s="138">
        <v>86.0</v>
      </c>
      <c r="O273" s="127"/>
      <c r="P273" s="138">
        <v>88.0</v>
      </c>
      <c r="Q273" s="122" t="b">
        <v>1</v>
      </c>
      <c r="R273" s="128"/>
      <c r="S273" s="128"/>
      <c r="T273" s="128"/>
      <c r="U273" s="128"/>
      <c r="V273" s="130" t="s">
        <v>118</v>
      </c>
      <c r="W273" s="130" t="s">
        <v>84</v>
      </c>
      <c r="X273" s="130" t="s">
        <v>85</v>
      </c>
      <c r="Y273" s="130" t="s">
        <v>86</v>
      </c>
      <c r="Z273" s="145" t="b">
        <v>0</v>
      </c>
      <c r="AA273" s="145"/>
      <c r="AB273" s="130"/>
      <c r="AC273" s="130"/>
      <c r="AD273" s="130"/>
      <c r="AE273" s="129"/>
      <c r="AF273" s="132"/>
      <c r="AG273" s="133" t="b">
        <v>0</v>
      </c>
      <c r="AH273" s="133"/>
      <c r="AI273" s="133"/>
      <c r="AJ273" s="133"/>
      <c r="AK273" s="133"/>
      <c r="AL273" s="129"/>
      <c r="AM273" s="129"/>
      <c r="AN273" s="128"/>
    </row>
    <row r="274" hidden="1">
      <c r="A274" s="118" t="s">
        <v>989</v>
      </c>
      <c r="B274" s="119">
        <v>89.0</v>
      </c>
      <c r="C274" s="134" t="s">
        <v>75</v>
      </c>
      <c r="D274" s="121"/>
      <c r="E274" s="135"/>
      <c r="F274" s="123"/>
      <c r="G274" s="124"/>
      <c r="H274" s="133"/>
      <c r="I274" s="133"/>
      <c r="J274" s="133"/>
      <c r="K274" s="133"/>
      <c r="L274" s="133"/>
      <c r="M274" s="137"/>
      <c r="N274" s="138">
        <v>90.0</v>
      </c>
      <c r="O274" s="138"/>
      <c r="P274" s="138">
        <v>88.0</v>
      </c>
      <c r="Q274" s="135" t="b">
        <v>1</v>
      </c>
      <c r="R274" s="133"/>
      <c r="S274" s="133"/>
      <c r="T274" s="133"/>
      <c r="U274" s="133"/>
      <c r="V274" s="130" t="s">
        <v>990</v>
      </c>
      <c r="W274" s="130" t="s">
        <v>84</v>
      </c>
      <c r="X274" s="130" t="s">
        <v>665</v>
      </c>
      <c r="Y274" s="144" t="s">
        <v>666</v>
      </c>
      <c r="Z274" s="131" t="b">
        <v>1</v>
      </c>
      <c r="AA274" s="131">
        <v>0.014583333333333334</v>
      </c>
      <c r="AB274" s="130"/>
      <c r="AC274" s="130"/>
      <c r="AD274" s="129" t="s">
        <v>241</v>
      </c>
      <c r="AE274" s="129"/>
      <c r="AF274" s="132"/>
      <c r="AG274" s="133" t="b">
        <v>0</v>
      </c>
      <c r="AH274" s="133"/>
      <c r="AI274" s="133"/>
      <c r="AJ274" s="133"/>
      <c r="AK274" s="133"/>
      <c r="AL274" s="129"/>
      <c r="AM274" s="129" t="str">
        <f>IFERROR(__xludf.DUMMYFUNCTION("""COMPUTED_VALUE"""),"Beach")</f>
        <v>Beach</v>
      </c>
      <c r="AN274" s="139"/>
    </row>
    <row r="275">
      <c r="A275" s="118" t="s">
        <v>991</v>
      </c>
      <c r="B275" s="119">
        <v>88.7</v>
      </c>
      <c r="C275" s="134" t="s">
        <v>75</v>
      </c>
      <c r="D275" s="121">
        <v>4334.4</v>
      </c>
      <c r="E275" s="135">
        <f>IFERROR(__xludf.DUMMYFUNCTION("""COMPUTED_VALUE"""),5986.022686559999)</f>
        <v>5986.022687</v>
      </c>
      <c r="F275" s="136">
        <v>2.01</v>
      </c>
      <c r="G275" s="124">
        <v>8908.0</v>
      </c>
      <c r="H275" s="125">
        <v>5813.0</v>
      </c>
      <c r="I275" s="125">
        <v>1861.0</v>
      </c>
      <c r="J275" s="125">
        <v>637.0</v>
      </c>
      <c r="K275" s="125">
        <v>257.0</v>
      </c>
      <c r="L275" s="125">
        <v>340.0</v>
      </c>
      <c r="M275" s="126">
        <v>88.0</v>
      </c>
      <c r="N275" s="127">
        <v>90.0</v>
      </c>
      <c r="O275" s="146"/>
      <c r="P275" s="127">
        <v>88.0</v>
      </c>
      <c r="Q275" s="135" t="b">
        <v>1</v>
      </c>
      <c r="R275" s="133"/>
      <c r="S275" s="133">
        <v>7.0</v>
      </c>
      <c r="T275" s="133"/>
      <c r="U275" s="133">
        <v>5.0</v>
      </c>
      <c r="V275" s="129"/>
      <c r="W275" s="130" t="s">
        <v>84</v>
      </c>
      <c r="X275" s="130" t="s">
        <v>86</v>
      </c>
      <c r="Y275" s="130" t="s">
        <v>86</v>
      </c>
      <c r="Z275" s="131" t="b">
        <v>1</v>
      </c>
      <c r="AA275" s="131">
        <v>0.019444444444444445</v>
      </c>
      <c r="AB275" s="130" t="s">
        <v>655</v>
      </c>
      <c r="AC275" s="130" t="s">
        <v>813</v>
      </c>
      <c r="AD275" s="130" t="s">
        <v>992</v>
      </c>
      <c r="AE275" s="130"/>
      <c r="AF275" s="132" t="s">
        <v>784</v>
      </c>
      <c r="AG275" s="133" t="b">
        <v>1</v>
      </c>
      <c r="AH275" s="133">
        <v>562.0</v>
      </c>
      <c r="AI275" s="133">
        <v>2012.0</v>
      </c>
      <c r="AJ275" s="143"/>
      <c r="AK275" s="133">
        <v>17.0</v>
      </c>
      <c r="AL275" s="129" t="str">
        <f>IFERROR(__xludf.DUMMYFUNCTION("""COMPUTED_VALUE"""),"Bay View, Modern")</f>
        <v>Bay View, Modern</v>
      </c>
      <c r="AM275" s="129" t="str">
        <f>IFERROR(__xludf.DUMMYFUNCTION("""COMPUTED_VALUE"""),"Adult Pool, Adults Only Rooms, Babysitting, Beach, Buffet, Diving, Evening Entertainment, Great for Parties, Gym, Kids Club, Spa, Swim Up Bar")</f>
        <v>Adult Pool, Adults Only Rooms, Babysitting, Beach, Buffet, Diving, Evening Entertainment, Great for Parties, Gym, Kids Club, Spa, Swim Up Bar</v>
      </c>
      <c r="AN275" s="139"/>
    </row>
    <row r="276">
      <c r="A276" s="118" t="s">
        <v>993</v>
      </c>
      <c r="B276" s="119">
        <v>88.7</v>
      </c>
      <c r="C276" s="134" t="s">
        <v>75</v>
      </c>
      <c r="D276" s="121">
        <v>4423.93</v>
      </c>
      <c r="E276" s="135">
        <f>IFERROR(__xludf.DUMMYFUNCTION("""COMPUTED_VALUE"""),6109.668084106999)</f>
        <v>6109.668084</v>
      </c>
      <c r="F276" s="136">
        <v>1.97</v>
      </c>
      <c r="G276" s="124">
        <v>1376.0</v>
      </c>
      <c r="H276" s="125">
        <v>857.0</v>
      </c>
      <c r="I276" s="125">
        <v>340.0</v>
      </c>
      <c r="J276" s="125">
        <v>95.0</v>
      </c>
      <c r="K276" s="125">
        <v>47.0</v>
      </c>
      <c r="L276" s="125">
        <v>37.0</v>
      </c>
      <c r="M276" s="126">
        <v>88.0</v>
      </c>
      <c r="N276" s="127">
        <v>90.0</v>
      </c>
      <c r="O276" s="127"/>
      <c r="P276" s="138">
        <v>88.0</v>
      </c>
      <c r="Q276" s="122" t="b">
        <v>1</v>
      </c>
      <c r="R276" s="128"/>
      <c r="S276" s="133" t="s">
        <v>83</v>
      </c>
      <c r="T276" s="133"/>
      <c r="U276" s="133">
        <v>4.0</v>
      </c>
      <c r="V276" s="130" t="s">
        <v>842</v>
      </c>
      <c r="W276" s="130" t="s">
        <v>171</v>
      </c>
      <c r="X276" s="130" t="s">
        <v>994</v>
      </c>
      <c r="Y276" s="130" t="s">
        <v>736</v>
      </c>
      <c r="Z276" s="131" t="b">
        <v>1</v>
      </c>
      <c r="AA276" s="131">
        <v>0.015277777777777777</v>
      </c>
      <c r="AB276" s="130"/>
      <c r="AC276" s="130" t="s">
        <v>92</v>
      </c>
      <c r="AD276" s="130" t="s">
        <v>995</v>
      </c>
      <c r="AE276" s="130"/>
      <c r="AF276" s="132" t="s">
        <v>297</v>
      </c>
      <c r="AG276" s="133" t="b">
        <v>0</v>
      </c>
      <c r="AH276" s="133">
        <v>26.0</v>
      </c>
      <c r="AI276" s="143"/>
      <c r="AJ276" s="133"/>
      <c r="AK276" s="133"/>
      <c r="AL276" s="129" t="str">
        <f>IFERROR(__xludf.DUMMYFUNCTION("""COMPUTED_VALUE"""),"Quiet")</f>
        <v>Quiet</v>
      </c>
      <c r="AM276" s="129" t="str">
        <f>IFERROR(__xludf.DUMMYFUNCTION("""COMPUTED_VALUE"""),"Beach, Fishing, Hiking, Pets Allowed, Spa, Watersports Equipment Rentals, Wifi (Free), Windsurfing")</f>
        <v>Beach, Fishing, Hiking, Pets Allowed, Spa, Watersports Equipment Rentals, Wifi (Free), Windsurfing</v>
      </c>
      <c r="AN276" s="139"/>
    </row>
    <row r="277">
      <c r="A277" s="118" t="s">
        <v>996</v>
      </c>
      <c r="B277" s="119">
        <v>88.7</v>
      </c>
      <c r="C277" s="120" t="s">
        <v>68</v>
      </c>
      <c r="D277" s="121">
        <v>6942.0</v>
      </c>
      <c r="E277" s="122">
        <f>IFERROR(__xludf.DUMMYFUNCTION("""COMPUTED_VALUE"""),9587.2484058)</f>
        <v>9587.248406</v>
      </c>
      <c r="F277" s="136">
        <v>1.25</v>
      </c>
      <c r="G277" s="124">
        <v>11801.0</v>
      </c>
      <c r="H277" s="125">
        <v>8222.0</v>
      </c>
      <c r="I277" s="125">
        <v>2131.0</v>
      </c>
      <c r="J277" s="125">
        <v>816.0</v>
      </c>
      <c r="K277" s="125">
        <v>364.0</v>
      </c>
      <c r="L277" s="125">
        <v>273.0</v>
      </c>
      <c r="M277" s="126">
        <v>90.0</v>
      </c>
      <c r="N277" s="127">
        <v>90.0</v>
      </c>
      <c r="O277" s="127"/>
      <c r="P277" s="127">
        <v>86.0</v>
      </c>
      <c r="Q277" s="122" t="b">
        <v>1</v>
      </c>
      <c r="R277" s="133">
        <v>4.0</v>
      </c>
      <c r="S277" s="133" t="s">
        <v>83</v>
      </c>
      <c r="T277" s="133"/>
      <c r="U277" s="133">
        <v>5.0</v>
      </c>
      <c r="V277" s="130" t="s">
        <v>148</v>
      </c>
      <c r="W277" s="130" t="s">
        <v>96</v>
      </c>
      <c r="X277" s="130" t="s">
        <v>997</v>
      </c>
      <c r="Y277" s="130" t="s">
        <v>98</v>
      </c>
      <c r="Z277" s="131" t="b">
        <v>0</v>
      </c>
      <c r="AA277" s="131">
        <v>0.06180555555555556</v>
      </c>
      <c r="AB277" s="130" t="s">
        <v>386</v>
      </c>
      <c r="AC277" s="130" t="s">
        <v>998</v>
      </c>
      <c r="AD277" s="130" t="s">
        <v>999</v>
      </c>
      <c r="AE277" s="129"/>
      <c r="AF277" s="132"/>
      <c r="AG277" s="133" t="b">
        <v>0</v>
      </c>
      <c r="AH277" s="133">
        <v>311.0</v>
      </c>
      <c r="AI277" s="133">
        <v>2000.0</v>
      </c>
      <c r="AJ277" s="133">
        <v>2015.0</v>
      </c>
      <c r="AK277" s="143"/>
      <c r="AL277" s="129" t="str">
        <f>IFERROR(__xludf.DUMMYFUNCTION("""COMPUTED_VALUE"""),"Luxury, Romantic")</f>
        <v>Luxury, Romantic</v>
      </c>
      <c r="AM277" s="129" t="str">
        <f>IFERROR(__xludf.DUMMYFUNCTION("""COMPUTED_VALUE"""),"Beach, Buffet, Diving, Evening Entertainment, Great Beach, Gym, Nightclub, Room Service, Snorkelling, Spa, Swim Out/Plunge Pool Rooms, Swim Up Bar, Tennis, Wifi (Free)")</f>
        <v>Beach, Buffet, Diving, Evening Entertainment, Great Beach, Gym, Nightclub, Room Service, Snorkelling, Spa, Swim Out/Plunge Pool Rooms, Swim Up Bar, Tennis, Wifi (Free)</v>
      </c>
      <c r="AN277" s="128"/>
    </row>
    <row r="278">
      <c r="A278" s="118" t="s">
        <v>1000</v>
      </c>
      <c r="B278" s="119">
        <v>88.5</v>
      </c>
      <c r="C278" s="134" t="s">
        <v>75</v>
      </c>
      <c r="D278" s="150">
        <v>3798.89</v>
      </c>
      <c r="E278" s="135">
        <f>IFERROR(__xludf.DUMMYFUNCTION("""COMPUTED_VALUE"""),5246.456654610999)</f>
        <v>5246.456655</v>
      </c>
      <c r="F278" s="136">
        <v>2.24</v>
      </c>
      <c r="G278" s="124">
        <v>1966.0</v>
      </c>
      <c r="H278" s="125">
        <v>1588.0</v>
      </c>
      <c r="I278" s="125">
        <v>231.0</v>
      </c>
      <c r="J278" s="125">
        <v>70.0</v>
      </c>
      <c r="K278" s="125">
        <v>38.0</v>
      </c>
      <c r="L278" s="125">
        <v>42.0</v>
      </c>
      <c r="M278" s="126">
        <v>93.0</v>
      </c>
      <c r="N278" s="127">
        <v>84.0</v>
      </c>
      <c r="O278" s="146"/>
      <c r="P278" s="146"/>
      <c r="Q278" s="137" t="b">
        <v>1</v>
      </c>
      <c r="R278" s="128"/>
      <c r="S278" s="128"/>
      <c r="T278" s="128"/>
      <c r="U278" s="133">
        <v>5.0</v>
      </c>
      <c r="V278" s="129"/>
      <c r="W278" s="130" t="s">
        <v>276</v>
      </c>
      <c r="X278" s="130" t="s">
        <v>1001</v>
      </c>
      <c r="Y278" s="130" t="s">
        <v>570</v>
      </c>
      <c r="Z278" s="131" t="b">
        <v>1</v>
      </c>
      <c r="AA278" s="131">
        <v>0.04722222222222222</v>
      </c>
      <c r="AB278" s="130" t="s">
        <v>1002</v>
      </c>
      <c r="AC278" s="129"/>
      <c r="AD278" s="130" t="s">
        <v>1003</v>
      </c>
      <c r="AE278" s="130" t="s">
        <v>396</v>
      </c>
      <c r="AF278" s="132" t="s">
        <v>373</v>
      </c>
      <c r="AG278" s="128" t="b">
        <v>0</v>
      </c>
      <c r="AH278" s="128"/>
      <c r="AI278" s="128"/>
      <c r="AJ278" s="128"/>
      <c r="AK278" s="128"/>
      <c r="AL278" s="129"/>
      <c r="AM278" s="129" t="str">
        <f>IFERROR(__xludf.DUMMYFUNCTION("""COMPUTED_VALUE"""),"2 Bedroom Suites, Adult Pool, Archery, Babysitting, Beach, Bicycles Available, Buffet, Diving, Evening Entertainment, Family Suite, Gym, Horseback Riding, Kids Club, Kids Waterpark, Nightclub, Room Service, Snorkelling, Spa, Swim Up Bar, Teen Club, Tennis"&amp;", Watersports Equipment Rentals")</f>
        <v>2 Bedroom Suites, Adult Pool, Archery, Babysitting, Beach, Bicycles Available, Buffet, Diving, Evening Entertainment, Family Suite, Gym, Horseback Riding, Kids Club, Kids Waterpark, Nightclub, Room Service, Snorkelling, Spa, Swim Up Bar, Teen Club, Tennis, Watersports Equipment Rentals</v>
      </c>
      <c r="AN278" s="139"/>
    </row>
    <row r="279">
      <c r="A279" s="140" t="s">
        <v>1004</v>
      </c>
      <c r="B279" s="119">
        <v>88.5</v>
      </c>
      <c r="C279" s="133" t="s">
        <v>75</v>
      </c>
      <c r="D279" s="142">
        <v>3848.0</v>
      </c>
      <c r="E279" s="122">
        <f>IFERROR(__xludf.DUMMYFUNCTION("""COMPUTED_VALUE"""),5314.280015199999)</f>
        <v>5314.280015</v>
      </c>
      <c r="F279" s="136">
        <v>2.21</v>
      </c>
      <c r="G279" s="124">
        <v>187.0</v>
      </c>
      <c r="H279" s="125">
        <v>150.0</v>
      </c>
      <c r="I279" s="125">
        <v>16.0</v>
      </c>
      <c r="J279" s="125">
        <v>14.0</v>
      </c>
      <c r="K279" s="125">
        <v>5.0</v>
      </c>
      <c r="L279" s="125">
        <v>2.0</v>
      </c>
      <c r="M279" s="126">
        <v>93.0</v>
      </c>
      <c r="N279" s="138">
        <v>84.0</v>
      </c>
      <c r="O279" s="146"/>
      <c r="P279" s="146"/>
      <c r="Q279" s="126" t="b">
        <v>1</v>
      </c>
      <c r="R279" s="128"/>
      <c r="S279" s="133" t="s">
        <v>83</v>
      </c>
      <c r="T279" s="128"/>
      <c r="U279" s="128">
        <v>5.0</v>
      </c>
      <c r="V279" s="129"/>
      <c r="W279" s="144" t="s">
        <v>84</v>
      </c>
      <c r="X279" s="144" t="s">
        <v>966</v>
      </c>
      <c r="Y279" s="144" t="s">
        <v>86</v>
      </c>
      <c r="Z279" s="145" t="b">
        <v>1</v>
      </c>
      <c r="AA279" s="145">
        <v>0.03125</v>
      </c>
      <c r="AB279" s="129"/>
      <c r="AC279" s="129"/>
      <c r="AD279" s="130" t="s">
        <v>1005</v>
      </c>
      <c r="AE279" s="129"/>
      <c r="AF279" s="132" t="s">
        <v>318</v>
      </c>
      <c r="AG279" s="143" t="b">
        <v>0</v>
      </c>
      <c r="AH279" s="143">
        <v>498.0</v>
      </c>
      <c r="AI279" s="143">
        <v>2024.0</v>
      </c>
      <c r="AJ279" s="143"/>
      <c r="AK279" s="143">
        <v>5.0</v>
      </c>
      <c r="AL279" s="129"/>
      <c r="AM279" s="129" t="str">
        <f>IFERROR(__xludf.DUMMYFUNCTION("""COMPUTED_VALUE"""),"2 Bedroom Suites, Adult Pool, Babysitting, Beach, Bicycles Available, Buffet, Diving, Evening Entertainment, Family Suite, Fishing, Golf Course, Gym, Heated Pool, Kids Club, Kids Waterpark, Nightclub, Pets Allowed, Room Service, Spa, Swim Out/Plunge Pool "&amp;"Rooms, Swim Up Bar, Wifi (Free), Yoga Classes")</f>
        <v>2 Bedroom Suites, Adult Pool, Babysitting, Beach, Bicycles Available, Buffet, Diving, Evening Entertainment, Family Suite, Fishing, Golf Course, Gym, Heated Pool, Kids Club, Kids Waterpark, Nightclub, Pets Allowed, Room Service, Spa, Swim Out/Plunge Pool Rooms, Swim Up Bar, Wifi (Free), Yoga Classes</v>
      </c>
      <c r="AN279" s="139"/>
    </row>
    <row r="280">
      <c r="A280" s="118" t="s">
        <v>1006</v>
      </c>
      <c r="B280" s="119">
        <v>88.5</v>
      </c>
      <c r="C280" s="134" t="s">
        <v>75</v>
      </c>
      <c r="D280" s="150">
        <v>3946.0</v>
      </c>
      <c r="E280" s="135">
        <f>IFERROR(__xludf.DUMMYFUNCTION("""COMPUTED_VALUE"""),5449.6229054)</f>
        <v>5449.622905</v>
      </c>
      <c r="F280" s="136">
        <v>2.15</v>
      </c>
      <c r="G280" s="124">
        <v>9022.0</v>
      </c>
      <c r="H280" s="125">
        <v>6575.0</v>
      </c>
      <c r="I280" s="125">
        <v>1641.0</v>
      </c>
      <c r="J280" s="125">
        <v>509.0</v>
      </c>
      <c r="K280" s="125">
        <v>158.0</v>
      </c>
      <c r="L280" s="125">
        <v>140.0</v>
      </c>
      <c r="M280" s="126">
        <v>92.0</v>
      </c>
      <c r="N280" s="127">
        <v>90.0</v>
      </c>
      <c r="O280" s="127">
        <v>86.0</v>
      </c>
      <c r="P280" s="127">
        <v>86.0</v>
      </c>
      <c r="Q280" s="135" t="b">
        <v>1</v>
      </c>
      <c r="R280" s="133">
        <v>4.0</v>
      </c>
      <c r="S280" s="133">
        <v>7.0</v>
      </c>
      <c r="T280" s="133"/>
      <c r="U280" s="133">
        <v>5.0</v>
      </c>
      <c r="V280" s="130"/>
      <c r="W280" s="130" t="s">
        <v>84</v>
      </c>
      <c r="X280" s="130" t="s">
        <v>86</v>
      </c>
      <c r="Y280" s="130" t="s">
        <v>86</v>
      </c>
      <c r="Z280" s="131" t="b">
        <v>1</v>
      </c>
      <c r="AA280" s="131">
        <v>0.015277777777777777</v>
      </c>
      <c r="AB280" s="130" t="s">
        <v>255</v>
      </c>
      <c r="AC280" s="130" t="s">
        <v>579</v>
      </c>
      <c r="AD280" s="130" t="s">
        <v>1007</v>
      </c>
      <c r="AE280" s="130" t="s">
        <v>396</v>
      </c>
      <c r="AF280" s="132" t="s">
        <v>373</v>
      </c>
      <c r="AG280" s="133" t="b">
        <v>1</v>
      </c>
      <c r="AH280" s="133">
        <v>285.0</v>
      </c>
      <c r="AI280" s="133">
        <v>1985.0</v>
      </c>
      <c r="AJ280" s="133">
        <v>2007.0</v>
      </c>
      <c r="AK280" s="133">
        <v>12.0</v>
      </c>
      <c r="AL280" s="129" t="str">
        <f>IFERROR(__xludf.DUMMYFUNCTION("""COMPUTED_VALUE"""),"Family, Value")</f>
        <v>Family, Value</v>
      </c>
      <c r="AM280" s="129" t="str">
        <f>IFERROR(__xludf.DUMMYFUNCTION("""COMPUTED_VALUE"""),"2 Bedroom Suites, Babysitting, Beach, Buffet, Evening Entertainment, Family Suite, Gym, Heated Pool, Kids Club, Lazy River, Nightclub, Pool Slide, Room Service, Spa, Swim Up Bar, Water Feature, Wifi (Free)")</f>
        <v>2 Bedroom Suites, Babysitting, Beach, Buffet, Evening Entertainment, Family Suite, Gym, Heated Pool, Kids Club, Lazy River, Nightclub, Pool Slide, Room Service, Spa, Swim Up Bar, Water Feature, Wifi (Free)</v>
      </c>
      <c r="AN280" s="139"/>
    </row>
    <row r="281">
      <c r="A281" s="118" t="s">
        <v>1008</v>
      </c>
      <c r="B281" s="119">
        <v>88.5</v>
      </c>
      <c r="C281" s="120" t="s">
        <v>68</v>
      </c>
      <c r="D281" s="121">
        <v>4095.0</v>
      </c>
      <c r="E281" s="122">
        <f>IFERROR(__xludf.DUMMYFUNCTION("""COMPUTED_VALUE"""),5655.399340499999)</f>
        <v>5655.399341</v>
      </c>
      <c r="F281" s="136">
        <v>2.08</v>
      </c>
      <c r="G281" s="124">
        <v>10808.0</v>
      </c>
      <c r="H281" s="125">
        <v>6992.0</v>
      </c>
      <c r="I281" s="125">
        <v>2185.0</v>
      </c>
      <c r="J281" s="125">
        <v>906.0</v>
      </c>
      <c r="K281" s="125">
        <v>423.0</v>
      </c>
      <c r="L281" s="125">
        <v>304.0</v>
      </c>
      <c r="M281" s="126">
        <v>88.0</v>
      </c>
      <c r="N281" s="127">
        <v>90.0</v>
      </c>
      <c r="O281" s="138">
        <v>88.0</v>
      </c>
      <c r="P281" s="127">
        <v>88.0</v>
      </c>
      <c r="Q281" s="122" t="b">
        <v>1</v>
      </c>
      <c r="R281" s="133"/>
      <c r="S281" s="133">
        <v>8.0</v>
      </c>
      <c r="T281" s="133" t="s">
        <v>247</v>
      </c>
      <c r="U281" s="133">
        <v>5.0</v>
      </c>
      <c r="V281" s="129"/>
      <c r="W281" s="130" t="s">
        <v>84</v>
      </c>
      <c r="X281" s="130" t="s">
        <v>966</v>
      </c>
      <c r="Y281" s="130" t="s">
        <v>86</v>
      </c>
      <c r="Z281" s="131" t="b">
        <v>1</v>
      </c>
      <c r="AA281" s="131">
        <v>0.027777777777777776</v>
      </c>
      <c r="AB281" s="130" t="s">
        <v>50</v>
      </c>
      <c r="AC281" s="130" t="s">
        <v>809</v>
      </c>
      <c r="AD281" s="130" t="s">
        <v>1009</v>
      </c>
      <c r="AE281" s="129"/>
      <c r="AF281" s="132"/>
      <c r="AG281" s="133" t="b">
        <v>0</v>
      </c>
      <c r="AH281" s="133">
        <v>424.0</v>
      </c>
      <c r="AI281" s="133">
        <v>2014.0</v>
      </c>
      <c r="AJ281" s="143"/>
      <c r="AK281" s="133">
        <v>5.0</v>
      </c>
      <c r="AL281" s="129" t="str">
        <f>IFERROR(__xludf.DUMMYFUNCTION("""COMPUTED_VALUE"""),"Modern, Ocean View")</f>
        <v>Modern, Ocean View</v>
      </c>
      <c r="AM281" s="129" t="str">
        <f>IFERROR(__xludf.DUMMYFUNCTION("""COMPUTED_VALUE"""),"Beach, Buffet, Evening Entertainment, Golf Course, Great Food, Gym, Heated Pool, Nightclub, Spa, Swim Out/Plunge Pool Rooms, Swim Up Bar, Tennis, Wifi (Free)")</f>
        <v>Beach, Buffet, Evening Entertainment, Golf Course, Great Food, Gym, Heated Pool, Nightclub, Spa, Swim Out/Plunge Pool Rooms, Swim Up Bar, Tennis, Wifi (Free)</v>
      </c>
      <c r="AN281" s="128"/>
    </row>
    <row r="282">
      <c r="A282" s="118" t="s">
        <v>1010</v>
      </c>
      <c r="B282" s="119">
        <v>88.3</v>
      </c>
      <c r="C282" s="134" t="s">
        <v>75</v>
      </c>
      <c r="D282" s="121">
        <v>2793.81</v>
      </c>
      <c r="E282" s="135">
        <f>IFERROR(__xludf.DUMMYFUNCTION("""COMPUTED_VALUE"""),3858.3910211189996)</f>
        <v>3858.391021</v>
      </c>
      <c r="F282" s="136">
        <v>2.97</v>
      </c>
      <c r="G282" s="124">
        <v>12398.0</v>
      </c>
      <c r="H282" s="125">
        <v>8417.0</v>
      </c>
      <c r="I282" s="125">
        <v>2341.0</v>
      </c>
      <c r="J282" s="125">
        <v>830.0</v>
      </c>
      <c r="K282" s="125">
        <v>369.0</v>
      </c>
      <c r="L282" s="125">
        <v>444.0</v>
      </c>
      <c r="M282" s="126">
        <v>89.0</v>
      </c>
      <c r="N282" s="127">
        <v>90.0</v>
      </c>
      <c r="O282" s="146"/>
      <c r="P282" s="127">
        <v>86.0</v>
      </c>
      <c r="Q282" s="135" t="b">
        <v>1</v>
      </c>
      <c r="R282" s="133"/>
      <c r="S282" s="133">
        <v>4.0</v>
      </c>
      <c r="T282" s="133"/>
      <c r="U282" s="133">
        <v>4.0</v>
      </c>
      <c r="V282" s="130" t="s">
        <v>91</v>
      </c>
      <c r="W282" s="130" t="s">
        <v>84</v>
      </c>
      <c r="X282" s="130" t="s">
        <v>86</v>
      </c>
      <c r="Y282" s="130" t="s">
        <v>86</v>
      </c>
      <c r="Z282" s="131" t="b">
        <v>1</v>
      </c>
      <c r="AA282" s="131">
        <v>0.01597222222222222</v>
      </c>
      <c r="AB282" s="130"/>
      <c r="AC282" s="130" t="s">
        <v>1011</v>
      </c>
      <c r="AD282" s="130" t="s">
        <v>1012</v>
      </c>
      <c r="AE282" s="130"/>
      <c r="AF282" s="132" t="s">
        <v>367</v>
      </c>
      <c r="AG282" s="133" t="b">
        <v>0</v>
      </c>
      <c r="AH282" s="133">
        <v>196.0</v>
      </c>
      <c r="AI282" s="143"/>
      <c r="AJ282" s="143"/>
      <c r="AK282" s="133">
        <v>6.0</v>
      </c>
      <c r="AL282" s="129" t="str">
        <f>IFERROR(__xludf.DUMMYFUNCTION("""COMPUTED_VALUE"""),"Bay View, Value")</f>
        <v>Bay View, Value</v>
      </c>
      <c r="AM282" s="129" t="str">
        <f>IFERROR(__xludf.DUMMYFUNCTION("""COMPUTED_VALUE"""),"Beach, Buffet, Evening Entertainment, Gym, Kids Club, Spa, Yoga Classes")</f>
        <v>Beach, Buffet, Evening Entertainment, Gym, Kids Club, Spa, Yoga Classes</v>
      </c>
      <c r="AN282" s="139"/>
    </row>
    <row r="283">
      <c r="A283" s="118" t="s">
        <v>1013</v>
      </c>
      <c r="B283" s="119">
        <v>88.3</v>
      </c>
      <c r="C283" s="120" t="s">
        <v>68</v>
      </c>
      <c r="D283" s="121">
        <v>3290.0</v>
      </c>
      <c r="E283" s="122">
        <f>IFERROR(__xludf.DUMMYFUNCTION("""COMPUTED_VALUE"""),4543.654170999999)</f>
        <v>4543.654171</v>
      </c>
      <c r="F283" s="136">
        <v>2.52</v>
      </c>
      <c r="G283" s="124">
        <v>4106.0</v>
      </c>
      <c r="H283" s="125">
        <v>3031.0</v>
      </c>
      <c r="I283" s="125">
        <v>595.0</v>
      </c>
      <c r="J283" s="125">
        <v>237.0</v>
      </c>
      <c r="K283" s="125">
        <v>113.0</v>
      </c>
      <c r="L283" s="125">
        <v>131.0</v>
      </c>
      <c r="M283" s="126">
        <v>91.0</v>
      </c>
      <c r="N283" s="127">
        <v>88.0</v>
      </c>
      <c r="O283" s="127">
        <v>88.0</v>
      </c>
      <c r="P283" s="127">
        <v>86.0</v>
      </c>
      <c r="Q283" s="122" t="b">
        <v>1</v>
      </c>
      <c r="R283" s="133"/>
      <c r="S283" s="133">
        <v>8.0</v>
      </c>
      <c r="T283" s="133"/>
      <c r="U283" s="133">
        <v>5.0</v>
      </c>
      <c r="V283" s="130"/>
      <c r="W283" s="130" t="s">
        <v>84</v>
      </c>
      <c r="X283" s="130" t="s">
        <v>315</v>
      </c>
      <c r="Y283" s="130" t="s">
        <v>123</v>
      </c>
      <c r="Z283" s="131" t="b">
        <v>1</v>
      </c>
      <c r="AA283" s="131">
        <v>0.01875</v>
      </c>
      <c r="AB283" s="130" t="s">
        <v>328</v>
      </c>
      <c r="AC283" s="130" t="s">
        <v>587</v>
      </c>
      <c r="AD283" s="130" t="s">
        <v>1014</v>
      </c>
      <c r="AE283" s="129"/>
      <c r="AF283" s="132"/>
      <c r="AG283" s="133" t="b">
        <v>0</v>
      </c>
      <c r="AH283" s="133">
        <v>350.0</v>
      </c>
      <c r="AI283" s="133">
        <v>1989.0</v>
      </c>
      <c r="AJ283" s="133">
        <v>2016.0</v>
      </c>
      <c r="AK283" s="133">
        <v>5.0</v>
      </c>
      <c r="AL283" s="129" t="str">
        <f>IFERROR(__xludf.DUMMYFUNCTION("""COMPUTED_VALUE"""),"Bay View, Family")</f>
        <v>Bay View, Family</v>
      </c>
      <c r="AM283" s="129" t="str">
        <f>IFERROR(__xludf.DUMMYFUNCTION("""COMPUTED_VALUE"""),"Beach, Buffet, Diving, Evening Entertainment, Gym, Heated Pool, Nightclub, Room Service, Spa, Swim Out/Plunge Pool Rooms, Swim Up Bar, Wifi (Free)")</f>
        <v>Beach, Buffet, Diving, Evening Entertainment, Gym, Heated Pool, Nightclub, Room Service, Spa, Swim Out/Plunge Pool Rooms, Swim Up Bar, Wifi (Free)</v>
      </c>
      <c r="AN283" s="128"/>
    </row>
    <row r="284">
      <c r="A284" s="118" t="s">
        <v>1015</v>
      </c>
      <c r="B284" s="119">
        <v>88.3</v>
      </c>
      <c r="C284" s="134" t="s">
        <v>75</v>
      </c>
      <c r="D284" s="150">
        <v>3426.57</v>
      </c>
      <c r="E284" s="135">
        <f>IFERROR(__xludf.DUMMYFUNCTION("""COMPUTED_VALUE"""),4732.264155843)</f>
        <v>4732.264156</v>
      </c>
      <c r="F284" s="136">
        <v>2.42</v>
      </c>
      <c r="G284" s="124">
        <v>9369.0</v>
      </c>
      <c r="H284" s="125">
        <v>5657.0</v>
      </c>
      <c r="I284" s="125">
        <v>2331.0</v>
      </c>
      <c r="J284" s="125">
        <v>826.0</v>
      </c>
      <c r="K284" s="125">
        <v>303.0</v>
      </c>
      <c r="L284" s="125">
        <v>255.0</v>
      </c>
      <c r="M284" s="126">
        <v>87.0</v>
      </c>
      <c r="N284" s="127">
        <v>96.0</v>
      </c>
      <c r="O284" s="146"/>
      <c r="P284" s="127">
        <v>82.0</v>
      </c>
      <c r="Q284" s="135" t="b">
        <v>1</v>
      </c>
      <c r="R284" s="133"/>
      <c r="S284" s="133">
        <v>6.0</v>
      </c>
      <c r="T284" s="133"/>
      <c r="U284" s="133">
        <v>5.0</v>
      </c>
      <c r="V284" s="130"/>
      <c r="W284" s="130" t="s">
        <v>84</v>
      </c>
      <c r="X284" s="130" t="s">
        <v>214</v>
      </c>
      <c r="Y284" s="130" t="s">
        <v>86</v>
      </c>
      <c r="Z284" s="131" t="b">
        <v>1</v>
      </c>
      <c r="AA284" s="131">
        <v>0.020833333333333332</v>
      </c>
      <c r="AB284" s="130" t="s">
        <v>215</v>
      </c>
      <c r="AC284" s="130" t="s">
        <v>75</v>
      </c>
      <c r="AD284" s="130" t="s">
        <v>1016</v>
      </c>
      <c r="AE284" s="130" t="s">
        <v>396</v>
      </c>
      <c r="AF284" s="132" t="s">
        <v>373</v>
      </c>
      <c r="AG284" s="143" t="b">
        <v>0</v>
      </c>
      <c r="AH284" s="143"/>
      <c r="AI284" s="143"/>
      <c r="AJ284" s="143"/>
      <c r="AK284" s="143"/>
      <c r="AL284" s="129" t="str">
        <f>IFERROR(__xludf.DUMMYFUNCTION("""COMPUTED_VALUE"""),"Family")</f>
        <v>Family</v>
      </c>
      <c r="AM284" s="129" t="str">
        <f>IFERROR(__xludf.DUMMYFUNCTION("""COMPUTED_VALUE"""),"2 Bedroom Suites, Archery, Babysitting, Beach, Bicycles Available, Buffet, Diving, Evening Entertainment, Family Suite, Golf Course, Gym, Kids Club, Lazy River, Nightclub, Spa, Swim Up Bar, Tennis, Wifi (Free), Yoga Classes")</f>
        <v>2 Bedroom Suites, Archery, Babysitting, Beach, Bicycles Available, Buffet, Diving, Evening Entertainment, Family Suite, Golf Course, Gym, Kids Club, Lazy River, Nightclub, Spa, Swim Up Bar, Tennis, Wifi (Free), Yoga Classes</v>
      </c>
      <c r="AN284" s="139"/>
    </row>
    <row r="285">
      <c r="A285" s="118" t="s">
        <v>1017</v>
      </c>
      <c r="B285" s="119">
        <v>88.3</v>
      </c>
      <c r="C285" s="134" t="s">
        <v>75</v>
      </c>
      <c r="D285" s="150">
        <v>3426.57</v>
      </c>
      <c r="E285" s="135">
        <f>IFERROR(__xludf.DUMMYFUNCTION("""COMPUTED_VALUE"""),4732.264155843)</f>
        <v>4732.264156</v>
      </c>
      <c r="F285" s="136">
        <v>2.42</v>
      </c>
      <c r="G285" s="124">
        <v>7922.0</v>
      </c>
      <c r="H285" s="125">
        <v>4672.0</v>
      </c>
      <c r="I285" s="125">
        <v>1996.0</v>
      </c>
      <c r="J285" s="125">
        <v>752.0</v>
      </c>
      <c r="K285" s="125">
        <v>299.0</v>
      </c>
      <c r="L285" s="125">
        <v>203.0</v>
      </c>
      <c r="M285" s="126">
        <v>87.0</v>
      </c>
      <c r="N285" s="127">
        <v>96.0</v>
      </c>
      <c r="O285" s="146"/>
      <c r="P285" s="127">
        <v>82.0</v>
      </c>
      <c r="Q285" s="135" t="b">
        <v>1</v>
      </c>
      <c r="R285" s="133"/>
      <c r="S285" s="133">
        <v>7.0</v>
      </c>
      <c r="T285" s="133"/>
      <c r="U285" s="133">
        <v>5.0</v>
      </c>
      <c r="V285" s="130"/>
      <c r="W285" s="130" t="s">
        <v>84</v>
      </c>
      <c r="X285" s="130" t="s">
        <v>214</v>
      </c>
      <c r="Y285" s="130" t="s">
        <v>86</v>
      </c>
      <c r="Z285" s="131" t="b">
        <v>1</v>
      </c>
      <c r="AA285" s="131">
        <v>0.021527777777777778</v>
      </c>
      <c r="AB285" s="130" t="s">
        <v>215</v>
      </c>
      <c r="AC285" s="130" t="s">
        <v>211</v>
      </c>
      <c r="AD285" s="130" t="s">
        <v>1018</v>
      </c>
      <c r="AE285" s="130" t="s">
        <v>396</v>
      </c>
      <c r="AF285" s="132" t="s">
        <v>373</v>
      </c>
      <c r="AG285" s="143" t="b">
        <v>0</v>
      </c>
      <c r="AH285" s="143"/>
      <c r="AI285" s="143"/>
      <c r="AJ285" s="143"/>
      <c r="AK285" s="143"/>
      <c r="AL285" s="129" t="str">
        <f>IFERROR(__xludf.DUMMYFUNCTION("""COMPUTED_VALUE"""),"Green, Quiet")</f>
        <v>Green, Quiet</v>
      </c>
      <c r="AM285" s="129" t="str">
        <f>IFERROR(__xludf.DUMMYFUNCTION("""COMPUTED_VALUE"""),"2 Bedroom Suites, Archery, Babysitting, Beach, Bicycles Available, Buffet, Diving, Evening Entertainment, Family Suite, Golf Course, Gym, Kids Club, Mini Golf, Nightclub, Snorkelling, Spa, Swim Up Bar, Teen Club, Wifi (Free), Yoga Classes")</f>
        <v>2 Bedroom Suites, Archery, Babysitting, Beach, Bicycles Available, Buffet, Diving, Evening Entertainment, Family Suite, Golf Course, Gym, Kids Club, Mini Golf, Nightclub, Snorkelling, Spa, Swim Up Bar, Teen Club, Wifi (Free), Yoga Classes</v>
      </c>
      <c r="AN285" s="139"/>
    </row>
    <row r="286">
      <c r="A286" s="118" t="s">
        <v>1019</v>
      </c>
      <c r="B286" s="119">
        <v>88.3</v>
      </c>
      <c r="C286" s="120" t="s">
        <v>68</v>
      </c>
      <c r="D286" s="121">
        <v>3493.0</v>
      </c>
      <c r="E286" s="122">
        <f>IFERROR(__xludf.DUMMYFUNCTION("""COMPUTED_VALUE"""),4824.007300699999)</f>
        <v>4824.007301</v>
      </c>
      <c r="F286" s="136">
        <v>2.38</v>
      </c>
      <c r="G286" s="124">
        <v>20639.0</v>
      </c>
      <c r="H286" s="125">
        <v>14770.0</v>
      </c>
      <c r="I286" s="125">
        <v>3445.0</v>
      </c>
      <c r="J286" s="125">
        <v>1442.0</v>
      </c>
      <c r="K286" s="125">
        <v>562.0</v>
      </c>
      <c r="L286" s="125">
        <v>424.0</v>
      </c>
      <c r="M286" s="126">
        <v>91.0</v>
      </c>
      <c r="N286" s="127">
        <v>88.0</v>
      </c>
      <c r="O286" s="127">
        <v>84.0</v>
      </c>
      <c r="P286" s="138">
        <v>90.0</v>
      </c>
      <c r="Q286" s="122" t="b">
        <v>1</v>
      </c>
      <c r="R286" s="133">
        <v>4.0</v>
      </c>
      <c r="S286" s="143">
        <v>8.0</v>
      </c>
      <c r="T286" s="133" t="s">
        <v>955</v>
      </c>
      <c r="U286" s="133">
        <v>5.0</v>
      </c>
      <c r="V286" s="129"/>
      <c r="W286" s="130" t="s">
        <v>193</v>
      </c>
      <c r="X286" s="130" t="s">
        <v>195</v>
      </c>
      <c r="Y286" s="130" t="s">
        <v>195</v>
      </c>
      <c r="Z286" s="131" t="b">
        <v>1</v>
      </c>
      <c r="AA286" s="131">
        <v>0.02638888888888889</v>
      </c>
      <c r="AB286" s="130" t="s">
        <v>50</v>
      </c>
      <c r="AC286" s="130" t="s">
        <v>473</v>
      </c>
      <c r="AD286" s="130" t="s">
        <v>1020</v>
      </c>
      <c r="AE286" s="129"/>
      <c r="AF286" s="132"/>
      <c r="AG286" s="143" t="b">
        <v>0</v>
      </c>
      <c r="AH286" s="143">
        <v>750.0</v>
      </c>
      <c r="AI286" s="143">
        <v>2013.0</v>
      </c>
      <c r="AJ286" s="143"/>
      <c r="AK286" s="143">
        <v>3.0</v>
      </c>
      <c r="AL286" s="129" t="str">
        <f>IFERROR(__xludf.DUMMYFUNCTION("""COMPUTED_VALUE"""),"Great View, Trendy")</f>
        <v>Great View, Trendy</v>
      </c>
      <c r="AM286" s="129" t="str">
        <f>IFERROR(__xludf.DUMMYFUNCTION("""COMPUTED_VALUE"""),"Beach, Buffet, Casino, Diving, Evening Entertainment, Great for Parties, Gym, Lazy River, Nightclub, Room Service, Snorkelling, Spa, Swim Out/Plunge Pool Rooms, Swim Up Bar, Tennis")</f>
        <v>Beach, Buffet, Casino, Diving, Evening Entertainment, Great for Parties, Gym, Lazy River, Nightclub, Room Service, Snorkelling, Spa, Swim Out/Plunge Pool Rooms, Swim Up Bar, Tennis</v>
      </c>
      <c r="AN286" s="128"/>
    </row>
    <row r="287">
      <c r="A287" s="118" t="s">
        <v>1021</v>
      </c>
      <c r="B287" s="119">
        <v>88.3</v>
      </c>
      <c r="C287" s="134" t="s">
        <v>75</v>
      </c>
      <c r="D287" s="121">
        <v>3744.36</v>
      </c>
      <c r="E287" s="135">
        <f>IFERROR(__xludf.DUMMYFUNCTION("""COMPUTED_VALUE"""),5171.148003564)</f>
        <v>5171.148004</v>
      </c>
      <c r="F287" s="136">
        <v>2.22</v>
      </c>
      <c r="G287" s="124">
        <v>8315.0</v>
      </c>
      <c r="H287" s="125">
        <v>6091.0</v>
      </c>
      <c r="I287" s="125">
        <v>1346.0</v>
      </c>
      <c r="J287" s="125">
        <v>413.0</v>
      </c>
      <c r="K287" s="125">
        <v>214.0</v>
      </c>
      <c r="L287" s="125">
        <v>256.0</v>
      </c>
      <c r="M287" s="126">
        <v>91.0</v>
      </c>
      <c r="N287" s="127">
        <v>90.0</v>
      </c>
      <c r="O287" s="146"/>
      <c r="P287" s="127">
        <v>84.0</v>
      </c>
      <c r="Q287" s="135" t="b">
        <v>1</v>
      </c>
      <c r="R287" s="133">
        <v>4.0</v>
      </c>
      <c r="S287" s="133">
        <v>7.0</v>
      </c>
      <c r="T287" s="133"/>
      <c r="U287" s="133">
        <v>4.5</v>
      </c>
      <c r="V287" s="130"/>
      <c r="W287" s="130" t="s">
        <v>84</v>
      </c>
      <c r="X287" s="130" t="s">
        <v>122</v>
      </c>
      <c r="Y287" s="130" t="s">
        <v>123</v>
      </c>
      <c r="Z287" s="131" t="b">
        <v>1</v>
      </c>
      <c r="AA287" s="131">
        <v>0.02847222222222222</v>
      </c>
      <c r="AB287" s="130" t="s">
        <v>1022</v>
      </c>
      <c r="AC287" s="130" t="s">
        <v>667</v>
      </c>
      <c r="AD287" s="130" t="s">
        <v>1023</v>
      </c>
      <c r="AE287" s="130"/>
      <c r="AF287" s="132" t="s">
        <v>126</v>
      </c>
      <c r="AG287" s="133" t="b">
        <v>0</v>
      </c>
      <c r="AH287" s="133">
        <v>150.0</v>
      </c>
      <c r="AI287" s="133">
        <v>2008.0</v>
      </c>
      <c r="AJ287" s="143"/>
      <c r="AK287" s="133">
        <v>4.0</v>
      </c>
      <c r="AL287" s="129" t="str">
        <f>IFERROR(__xludf.DUMMYFUNCTION("""COMPUTED_VALUE"""),"Charming, Family")</f>
        <v>Charming, Family</v>
      </c>
      <c r="AM287" s="129" t="str">
        <f>IFERROR(__xludf.DUMMYFUNCTION("""COMPUTED_VALUE"""),"2 Bedroom Suites, Adult Pool, Babysitting, Buffet, Diving, Family Suite, Fishing, Gym, Heated Pool, Horseback Riding, Kids Club, Kids Waterpark, Spa, Swim Out/Plunge Pool Rooms, Swim Up Bar, Wifi (Free)")</f>
        <v>2 Bedroom Suites, Adult Pool, Babysitting, Buffet, Diving, Family Suite, Fishing, Gym, Heated Pool, Horseback Riding, Kids Club, Kids Waterpark, Spa, Swim Out/Plunge Pool Rooms, Swim Up Bar, Wifi (Free)</v>
      </c>
      <c r="AN287" s="139"/>
    </row>
    <row r="288">
      <c r="A288" s="118" t="s">
        <v>925</v>
      </c>
      <c r="B288" s="119">
        <v>88.3</v>
      </c>
      <c r="C288" s="134" t="s">
        <v>75</v>
      </c>
      <c r="D288" s="121">
        <v>4228.0</v>
      </c>
      <c r="E288" s="135">
        <f>IFERROR(__xludf.DUMMYFUNCTION("""COMPUTED_VALUE"""),5839.078977199999)</f>
        <v>5839.078977</v>
      </c>
      <c r="F288" s="136">
        <v>1.96</v>
      </c>
      <c r="G288" s="124">
        <v>3162.0</v>
      </c>
      <c r="H288" s="125">
        <v>2329.0</v>
      </c>
      <c r="I288" s="125">
        <v>529.0</v>
      </c>
      <c r="J288" s="125">
        <v>162.0</v>
      </c>
      <c r="K288" s="125">
        <v>75.0</v>
      </c>
      <c r="L288" s="125">
        <v>67.0</v>
      </c>
      <c r="M288" s="126">
        <v>91.0</v>
      </c>
      <c r="N288" s="127">
        <v>88.0</v>
      </c>
      <c r="O288" s="146"/>
      <c r="P288" s="127">
        <v>86.0</v>
      </c>
      <c r="Q288" s="122" t="b">
        <v>1</v>
      </c>
      <c r="R288" s="133"/>
      <c r="S288" s="133" t="s">
        <v>83</v>
      </c>
      <c r="T288" s="133" t="s">
        <v>955</v>
      </c>
      <c r="U288" s="133">
        <v>5.0</v>
      </c>
      <c r="V288" s="129"/>
      <c r="W288" s="130" t="s">
        <v>193</v>
      </c>
      <c r="X288" s="130" t="s">
        <v>516</v>
      </c>
      <c r="Y288" s="130" t="s">
        <v>195</v>
      </c>
      <c r="Z288" s="131" t="b">
        <v>1</v>
      </c>
      <c r="AA288" s="131">
        <v>0.015277777777777777</v>
      </c>
      <c r="AB288" s="130" t="s">
        <v>50</v>
      </c>
      <c r="AC288" s="130" t="s">
        <v>365</v>
      </c>
      <c r="AD288" s="130" t="s">
        <v>1024</v>
      </c>
      <c r="AE288" s="130" t="s">
        <v>396</v>
      </c>
      <c r="AF288" s="132" t="s">
        <v>373</v>
      </c>
      <c r="AG288" s="143" t="b">
        <v>0</v>
      </c>
      <c r="AH288" s="143">
        <v>524.0</v>
      </c>
      <c r="AI288" s="143">
        <v>1997.0</v>
      </c>
      <c r="AJ288" s="143">
        <v>2004.0</v>
      </c>
      <c r="AK288" s="143">
        <v>3.0</v>
      </c>
      <c r="AL288" s="129" t="str">
        <f>IFERROR(__xludf.DUMMYFUNCTION("""COMPUTED_VALUE"""),"Business")</f>
        <v>Business</v>
      </c>
      <c r="AM288" s="129" t="str">
        <f>IFERROR(__xludf.DUMMYFUNCTION("""COMPUTED_VALUE"""),"2 Bedroom Suites, Babysitting, Beach, Big Waterslides, Buffet, Evening Entertainment, Family Suite, Gym, Kids Club, Kids Club for Under 4, Nightclub, Spa, Swim Out/Plunge Pool Rooms, Teen Club, Wifi (Free)")</f>
        <v>2 Bedroom Suites, Babysitting, Beach, Big Waterslides, Buffet, Evening Entertainment, Family Suite, Gym, Kids Club, Kids Club for Under 4, Nightclub, Spa, Swim Out/Plunge Pool Rooms, Teen Club, Wifi (Free)</v>
      </c>
      <c r="AN288" s="139"/>
    </row>
    <row r="289">
      <c r="A289" s="118" t="s">
        <v>1025</v>
      </c>
      <c r="B289" s="119">
        <v>88.3</v>
      </c>
      <c r="C289" s="134" t="s">
        <v>75</v>
      </c>
      <c r="D289" s="121">
        <v>4993.03</v>
      </c>
      <c r="E289" s="135">
        <f>IFERROR(__xludf.DUMMYFUNCTION("""COMPUTED_VALUE"""),6895.6235821969985)</f>
        <v>6895.623582</v>
      </c>
      <c r="F289" s="136">
        <v>1.66</v>
      </c>
      <c r="G289" s="124">
        <v>8362.0</v>
      </c>
      <c r="H289" s="125">
        <v>5728.0</v>
      </c>
      <c r="I289" s="125">
        <v>1415.0</v>
      </c>
      <c r="J289" s="125">
        <v>640.0</v>
      </c>
      <c r="K289" s="125">
        <v>288.0</v>
      </c>
      <c r="L289" s="125">
        <v>291.0</v>
      </c>
      <c r="M289" s="126">
        <v>89.0</v>
      </c>
      <c r="N289" s="127">
        <v>90.0</v>
      </c>
      <c r="O289" s="127">
        <v>84.0</v>
      </c>
      <c r="P289" s="138">
        <v>90.0</v>
      </c>
      <c r="Q289" s="135" t="b">
        <v>1</v>
      </c>
      <c r="R289" s="133">
        <v>4.0</v>
      </c>
      <c r="S289" s="133">
        <v>7.0</v>
      </c>
      <c r="T289" s="133"/>
      <c r="U289" s="133">
        <v>4.5</v>
      </c>
      <c r="V289" s="129"/>
      <c r="W289" s="130" t="s">
        <v>84</v>
      </c>
      <c r="X289" s="130" t="s">
        <v>119</v>
      </c>
      <c r="Y289" s="130" t="s">
        <v>120</v>
      </c>
      <c r="Z289" s="131" t="b">
        <v>1</v>
      </c>
      <c r="AA289" s="131">
        <v>0.022916666666666665</v>
      </c>
      <c r="AB289" s="130" t="s">
        <v>617</v>
      </c>
      <c r="AC289" s="130" t="s">
        <v>338</v>
      </c>
      <c r="AD289" s="130" t="s">
        <v>1026</v>
      </c>
      <c r="AE289" s="130"/>
      <c r="AF289" s="132" t="s">
        <v>318</v>
      </c>
      <c r="AG289" s="133" t="b">
        <v>1</v>
      </c>
      <c r="AH289" s="133">
        <v>444.0</v>
      </c>
      <c r="AI289" s="133">
        <v>2015.0</v>
      </c>
      <c r="AJ289" s="133"/>
      <c r="AK289" s="133">
        <v>14.0</v>
      </c>
      <c r="AL289" s="129" t="str">
        <f>IFERROR(__xludf.DUMMYFUNCTION("""COMPUTED_VALUE"""),"Great View, Modern")</f>
        <v>Great View, Modern</v>
      </c>
      <c r="AM289" s="129" t="str">
        <f>IFERROR(__xludf.DUMMYFUNCTION("""COMPUTED_VALUE"""),"Adult Pool, Adults Only Rooms, Beach, Buffet, Evening Entertainment, Gym, Kids Club, Nightclub, Pets Allowed, Room Service, Snorkelling, Spa, Swim Up Bar, Teen Club, Watersports Equipment Rentals, Wifi (Free), Yoga Classes")</f>
        <v>Adult Pool, Adults Only Rooms, Beach, Buffet, Evening Entertainment, Gym, Kids Club, Nightclub, Pets Allowed, Room Service, Snorkelling, Spa, Swim Up Bar, Teen Club, Watersports Equipment Rentals, Wifi (Free), Yoga Classes</v>
      </c>
      <c r="AN289" s="139"/>
    </row>
    <row r="290">
      <c r="A290" s="118" t="s">
        <v>1027</v>
      </c>
      <c r="B290" s="119">
        <v>88.3</v>
      </c>
      <c r="C290" s="134" t="s">
        <v>75</v>
      </c>
      <c r="D290" s="121">
        <v>5425.0</v>
      </c>
      <c r="E290" s="135">
        <f>IFERROR(__xludf.DUMMYFUNCTION("""COMPUTED_VALUE"""),7492.195707499999)</f>
        <v>7492.195708</v>
      </c>
      <c r="F290" s="136">
        <v>1.53</v>
      </c>
      <c r="G290" s="124">
        <v>2388.0</v>
      </c>
      <c r="H290" s="125">
        <v>1762.0</v>
      </c>
      <c r="I290" s="125">
        <v>274.0</v>
      </c>
      <c r="J290" s="125">
        <v>119.0</v>
      </c>
      <c r="K290" s="125">
        <v>111.0</v>
      </c>
      <c r="L290" s="125">
        <v>123.0</v>
      </c>
      <c r="M290" s="126">
        <v>89.0</v>
      </c>
      <c r="N290" s="127">
        <v>96.0</v>
      </c>
      <c r="O290" s="127">
        <v>84.0</v>
      </c>
      <c r="P290" s="127">
        <v>84.0</v>
      </c>
      <c r="Q290" s="135" t="b">
        <v>1</v>
      </c>
      <c r="R290" s="133"/>
      <c r="S290" s="133" t="s">
        <v>83</v>
      </c>
      <c r="T290" s="133"/>
      <c r="U290" s="133">
        <v>5.0</v>
      </c>
      <c r="V290" s="130"/>
      <c r="W290" s="130" t="s">
        <v>193</v>
      </c>
      <c r="X290" s="130" t="s">
        <v>225</v>
      </c>
      <c r="Y290" s="130" t="s">
        <v>195</v>
      </c>
      <c r="Z290" s="131" t="b">
        <v>1</v>
      </c>
      <c r="AA290" s="131">
        <v>0.013194444444444444</v>
      </c>
      <c r="AB290" s="130" t="s">
        <v>328</v>
      </c>
      <c r="AC290" s="130"/>
      <c r="AD290" s="130" t="s">
        <v>1028</v>
      </c>
      <c r="AE290" s="130" t="s">
        <v>396</v>
      </c>
      <c r="AF290" s="132" t="s">
        <v>297</v>
      </c>
      <c r="AG290" s="143" t="b">
        <v>0</v>
      </c>
      <c r="AH290" s="143">
        <v>600.0</v>
      </c>
      <c r="AI290" s="143"/>
      <c r="AJ290" s="143"/>
      <c r="AK290" s="143"/>
      <c r="AL290" s="129"/>
      <c r="AM290" s="129" t="str">
        <f>IFERROR(__xludf.DUMMYFUNCTION("""COMPUTED_VALUE"""),"2 Bedroom Suites, Arcade, Beach, Buffet, Diving, Evening Entertainment, Family Suite, Golf Course, Gym, Kids Club, Kids Waterpark, Mini Golf, Nightclub, Pool Slide, Room Service, Spa, Swim Out/Plunge Pool Rooms, Swim Up Bar, Tennis, Water Feature, Wifi (F"&amp;"ree), Yoga Classes")</f>
        <v>2 Bedroom Suites, Arcade, Beach, Buffet, Diving, Evening Entertainment, Family Suite, Golf Course, Gym, Kids Club, Kids Waterpark, Mini Golf, Nightclub, Pool Slide, Room Service, Spa, Swim Out/Plunge Pool Rooms, Swim Up Bar, Tennis, Water Feature, Wifi (Free), Yoga Classes</v>
      </c>
      <c r="AN290" s="139"/>
    </row>
    <row r="291">
      <c r="A291" s="118" t="s">
        <v>1029</v>
      </c>
      <c r="B291" s="119">
        <v>88.3</v>
      </c>
      <c r="C291" s="134" t="s">
        <v>75</v>
      </c>
      <c r="D291" s="121">
        <v>5827.5</v>
      </c>
      <c r="E291" s="135">
        <f>IFERROR(__xludf.DUMMYFUNCTION("""COMPUTED_VALUE"""),8048.068292249999)</f>
        <v>8048.068292</v>
      </c>
      <c r="F291" s="136">
        <v>1.42</v>
      </c>
      <c r="G291" s="124">
        <v>5519.0</v>
      </c>
      <c r="H291" s="125">
        <v>3547.0</v>
      </c>
      <c r="I291" s="125">
        <v>677.0</v>
      </c>
      <c r="J291" s="125">
        <v>460.0</v>
      </c>
      <c r="K291" s="125">
        <v>304.0</v>
      </c>
      <c r="L291" s="125">
        <v>532.0</v>
      </c>
      <c r="M291" s="126">
        <v>83.0</v>
      </c>
      <c r="N291" s="138">
        <v>98.0</v>
      </c>
      <c r="O291" s="146"/>
      <c r="P291" s="127">
        <v>84.0</v>
      </c>
      <c r="Q291" s="135" t="b">
        <v>1</v>
      </c>
      <c r="R291" s="133">
        <v>4.0</v>
      </c>
      <c r="S291" s="143">
        <v>6.0</v>
      </c>
      <c r="T291" s="133"/>
      <c r="U291" s="133">
        <v>5.0</v>
      </c>
      <c r="V291" s="130"/>
      <c r="W291" s="130" t="s">
        <v>193</v>
      </c>
      <c r="X291" s="130" t="s">
        <v>225</v>
      </c>
      <c r="Y291" s="130" t="s">
        <v>195</v>
      </c>
      <c r="Z291" s="131" t="b">
        <v>1</v>
      </c>
      <c r="AA291" s="131">
        <v>0.015277777777777777</v>
      </c>
      <c r="AB291" s="130" t="s">
        <v>1030</v>
      </c>
      <c r="AC291" s="130" t="s">
        <v>1031</v>
      </c>
      <c r="AD291" s="130" t="s">
        <v>1032</v>
      </c>
      <c r="AE291" s="130"/>
      <c r="AF291" s="132" t="s">
        <v>126</v>
      </c>
      <c r="AG291" s="143" t="b">
        <v>0</v>
      </c>
      <c r="AH291" s="143">
        <v>603.0</v>
      </c>
      <c r="AI291" s="143"/>
      <c r="AJ291" s="143"/>
      <c r="AK291" s="143">
        <v>5.0</v>
      </c>
      <c r="AL291" s="129" t="str">
        <f>IFERROR(__xludf.DUMMYFUNCTION("""COMPUTED_VALUE"""),"Ocean View, Trendy")</f>
        <v>Ocean View, Trendy</v>
      </c>
      <c r="AM291" s="129" t="str">
        <f>IFERROR(__xludf.DUMMYFUNCTION("""COMPUTED_VALUE"""),"2 Bedroom Suites, Adult Pool, Adults Only Rooms, Arcade, Babysitting, Beach, Buffet, Casino, Diving, Evening Entertainment, Family Suite, Gym, Kids Club, Kids Waterpark, Nightclub, Room Service, Swim Out/Plunge Pool Rooms, Teen Club, Wifi (Free), Windsurf"&amp;"ing")</f>
        <v>2 Bedroom Suites, Adult Pool, Adults Only Rooms, Arcade, Babysitting, Beach, Buffet, Casino, Diving, Evening Entertainment, Family Suite, Gym, Kids Club, Kids Waterpark, Nightclub, Room Service, Swim Out/Plunge Pool Rooms, Teen Club, Wifi (Free), Windsurfing</v>
      </c>
      <c r="AN291" s="139"/>
    </row>
    <row r="292">
      <c r="A292" s="118" t="s">
        <v>1033</v>
      </c>
      <c r="B292" s="119">
        <v>88.3</v>
      </c>
      <c r="C292" s="134" t="s">
        <v>75</v>
      </c>
      <c r="D292" s="121">
        <v>6324.38</v>
      </c>
      <c r="E292" s="135">
        <f>IFERROR(__xludf.DUMMYFUNCTION("""COMPUTED_VALUE"""),8734.284366561998)</f>
        <v>8734.284367</v>
      </c>
      <c r="F292" s="136">
        <v>1.31</v>
      </c>
      <c r="G292" s="124">
        <v>6517.0</v>
      </c>
      <c r="H292" s="125">
        <v>4397.0</v>
      </c>
      <c r="I292" s="125">
        <v>1270.0</v>
      </c>
      <c r="J292" s="125">
        <v>445.0</v>
      </c>
      <c r="K292" s="125">
        <v>222.0</v>
      </c>
      <c r="L292" s="125">
        <v>184.0</v>
      </c>
      <c r="M292" s="126">
        <v>89.0</v>
      </c>
      <c r="N292" s="138">
        <v>88.0</v>
      </c>
      <c r="O292" s="127">
        <v>88.0</v>
      </c>
      <c r="P292" s="127">
        <v>88.0</v>
      </c>
      <c r="Q292" s="135" t="b">
        <v>1</v>
      </c>
      <c r="R292" s="133">
        <v>4.0</v>
      </c>
      <c r="S292" s="133">
        <v>8.0</v>
      </c>
      <c r="T292" s="133" t="s">
        <v>314</v>
      </c>
      <c r="U292" s="133">
        <v>5.0</v>
      </c>
      <c r="V292" s="130"/>
      <c r="W292" s="130" t="s">
        <v>219</v>
      </c>
      <c r="X292" s="130" t="s">
        <v>291</v>
      </c>
      <c r="Y292" s="130" t="s">
        <v>221</v>
      </c>
      <c r="Z292" s="131" t="b">
        <v>1</v>
      </c>
      <c r="AA292" s="131">
        <v>0.006944444444444444</v>
      </c>
      <c r="AB292" s="130" t="s">
        <v>50</v>
      </c>
      <c r="AC292" s="130" t="s">
        <v>813</v>
      </c>
      <c r="AD292" s="130" t="s">
        <v>1034</v>
      </c>
      <c r="AE292" s="130" t="s">
        <v>134</v>
      </c>
      <c r="AF292" s="132" t="s">
        <v>373</v>
      </c>
      <c r="AG292" s="133" t="b">
        <v>0</v>
      </c>
      <c r="AH292" s="133">
        <v>327.0</v>
      </c>
      <c r="AI292" s="133">
        <v>2000.0</v>
      </c>
      <c r="AJ292" s="133">
        <v>2014.0</v>
      </c>
      <c r="AK292" s="133">
        <v>5.0</v>
      </c>
      <c r="AL292" s="129" t="str">
        <f>IFERROR(__xludf.DUMMYFUNCTION("""COMPUTED_VALUE"""),"Bay View, Modern")</f>
        <v>Bay View, Modern</v>
      </c>
      <c r="AM292" s="129" t="str">
        <f>IFERROR(__xludf.DUMMYFUNCTION("""COMPUTED_VALUE"""),"Adult Pool, Babysitting, Beach, Buffet, Evening Entertainment, Gym, Kids Club, Nightclub, Spa, Swim Out/Plunge Pool Rooms, Swim Up Bar, Tennis, Wifi (Free)")</f>
        <v>Adult Pool, Babysitting, Beach, Buffet, Evening Entertainment, Gym, Kids Club, Nightclub, Spa, Swim Out/Plunge Pool Rooms, Swim Up Bar, Tennis, Wifi (Free)</v>
      </c>
      <c r="AN292" s="139"/>
    </row>
    <row r="293">
      <c r="A293" s="140" t="s">
        <v>1035</v>
      </c>
      <c r="B293" s="119">
        <v>88.0</v>
      </c>
      <c r="C293" s="133" t="s">
        <v>75</v>
      </c>
      <c r="D293" s="142">
        <v>2462.0</v>
      </c>
      <c r="E293" s="122">
        <f>IFERROR(__xludf.DUMMYFUNCTION("""COMPUTED_VALUE"""),3400.1448537999995)</f>
        <v>3400.144854</v>
      </c>
      <c r="F293" s="136">
        <v>3.25</v>
      </c>
      <c r="G293" s="124">
        <v>2337.0</v>
      </c>
      <c r="H293" s="125">
        <v>1334.0</v>
      </c>
      <c r="I293" s="125">
        <v>615.0</v>
      </c>
      <c r="J293" s="125">
        <v>227.0</v>
      </c>
      <c r="K293" s="125">
        <v>81.0</v>
      </c>
      <c r="L293" s="125">
        <v>80.0</v>
      </c>
      <c r="M293" s="126">
        <v>86.0</v>
      </c>
      <c r="N293" s="127">
        <v>90.0</v>
      </c>
      <c r="O293" s="146"/>
      <c r="P293" s="127">
        <v>88.0</v>
      </c>
      <c r="Q293" s="126" t="b">
        <v>1</v>
      </c>
      <c r="R293" s="143"/>
      <c r="S293" s="133">
        <v>6.0</v>
      </c>
      <c r="T293" s="143"/>
      <c r="U293" s="143">
        <v>5.0</v>
      </c>
      <c r="V293" s="129"/>
      <c r="W293" s="144" t="s">
        <v>84</v>
      </c>
      <c r="X293" s="144" t="s">
        <v>665</v>
      </c>
      <c r="Y293" s="144" t="s">
        <v>666</v>
      </c>
      <c r="Z293" s="145" t="b">
        <v>1</v>
      </c>
      <c r="AA293" s="145">
        <v>0.022916666666666665</v>
      </c>
      <c r="AB293" s="129" t="s">
        <v>1036</v>
      </c>
      <c r="AC293" s="129" t="s">
        <v>714</v>
      </c>
      <c r="AD293" s="130" t="s">
        <v>1037</v>
      </c>
      <c r="AE293" s="130" t="s">
        <v>94</v>
      </c>
      <c r="AF293" s="132" t="s">
        <v>373</v>
      </c>
      <c r="AG293" s="143" t="b">
        <v>1</v>
      </c>
      <c r="AH293" s="143"/>
      <c r="AI293" s="143"/>
      <c r="AJ293" s="143"/>
      <c r="AK293" s="143"/>
      <c r="AL293" s="129" t="str">
        <f>IFERROR(__xludf.DUMMYFUNCTION("""COMPUTED_VALUE"""),"Modern, Trendy")</f>
        <v>Modern, Trendy</v>
      </c>
      <c r="AM293" s="129" t="str">
        <f>IFERROR(__xludf.DUMMYFUNCTION("""COMPUTED_VALUE"""),"Adult Pool, Archery, Beach, Buffet, Evening Entertainment, Gym, Kids Club, Kids Waterpark, Mini Golf, Snorkelling, Spa, Swim Up Bar, Tennis")</f>
        <v>Adult Pool, Archery, Beach, Buffet, Evening Entertainment, Gym, Kids Club, Kids Waterpark, Mini Golf, Snorkelling, Spa, Swim Up Bar, Tennis</v>
      </c>
      <c r="AN293" s="139"/>
    </row>
    <row r="294">
      <c r="A294" s="118" t="s">
        <v>1038</v>
      </c>
      <c r="B294" s="149">
        <v>88.0</v>
      </c>
      <c r="C294" s="120" t="s">
        <v>68</v>
      </c>
      <c r="D294" s="121">
        <v>2572.36</v>
      </c>
      <c r="E294" s="122">
        <f>IFERROR(__xludf.DUMMYFUNCTION("""COMPUTED_VALUE"""),3552.557520764)</f>
        <v>3552.557521</v>
      </c>
      <c r="F294" s="123">
        <v>3.11</v>
      </c>
      <c r="G294" s="124">
        <v>1986.0</v>
      </c>
      <c r="H294" s="125">
        <v>1346.0</v>
      </c>
      <c r="I294" s="125">
        <v>403.0</v>
      </c>
      <c r="J294" s="125">
        <v>136.0</v>
      </c>
      <c r="K294" s="125">
        <v>51.0</v>
      </c>
      <c r="L294" s="125">
        <v>50.0</v>
      </c>
      <c r="M294" s="126">
        <v>90.0</v>
      </c>
      <c r="N294" s="127">
        <v>88.0</v>
      </c>
      <c r="O294" s="127"/>
      <c r="P294" s="127">
        <v>86.0</v>
      </c>
      <c r="Q294" s="122" t="b">
        <v>1</v>
      </c>
      <c r="R294" s="133"/>
      <c r="S294" s="133" t="s">
        <v>83</v>
      </c>
      <c r="T294" s="133"/>
      <c r="U294" s="133">
        <v>5.0</v>
      </c>
      <c r="V294" s="129"/>
      <c r="W294" s="130" t="s">
        <v>84</v>
      </c>
      <c r="X294" s="130" t="s">
        <v>149</v>
      </c>
      <c r="Y294" s="130" t="s">
        <v>86</v>
      </c>
      <c r="Z294" s="131" t="b">
        <v>1</v>
      </c>
      <c r="AA294" s="131">
        <v>0.027777777777777776</v>
      </c>
      <c r="AB294" s="130" t="s">
        <v>655</v>
      </c>
      <c r="AC294" s="130"/>
      <c r="AD294" s="130" t="s">
        <v>1039</v>
      </c>
      <c r="AE294" s="130"/>
      <c r="AF294" s="132"/>
      <c r="AG294" s="133" t="b">
        <v>1</v>
      </c>
      <c r="AH294" s="133">
        <v>594.0</v>
      </c>
      <c r="AI294" s="133">
        <v>2022.0</v>
      </c>
      <c r="AJ294" s="143"/>
      <c r="AK294" s="133">
        <v>5.0</v>
      </c>
      <c r="AL294" s="129"/>
      <c r="AM294" s="129" t="str">
        <f>IFERROR(__xludf.DUMMYFUNCTION("""COMPUTED_VALUE"""),"Beach, Buffet, Evening Entertainment, Great for Parties, Gym, Nightclub, Spa, Swim Out/Plunge Pool Rooms, Swim Up Bar, Wifi (Free)")</f>
        <v>Beach, Buffet, Evening Entertainment, Great for Parties, Gym, Nightclub, Spa, Swim Out/Plunge Pool Rooms, Swim Up Bar, Wifi (Free)</v>
      </c>
      <c r="AN294" s="128"/>
    </row>
    <row r="295">
      <c r="A295" s="118" t="s">
        <v>1040</v>
      </c>
      <c r="B295" s="119">
        <v>88.0</v>
      </c>
      <c r="C295" s="134" t="s">
        <v>75</v>
      </c>
      <c r="D295" s="121">
        <v>3353.0</v>
      </c>
      <c r="E295" s="135">
        <f>IFERROR(__xludf.DUMMYFUNCTION("""COMPUTED_VALUE"""),4630.6603147)</f>
        <v>4630.660315</v>
      </c>
      <c r="F295" s="136">
        <v>2.39</v>
      </c>
      <c r="G295" s="124">
        <v>11331.0</v>
      </c>
      <c r="H295" s="125">
        <v>6888.0</v>
      </c>
      <c r="I295" s="125">
        <v>2412.0</v>
      </c>
      <c r="J295" s="125">
        <v>1006.0</v>
      </c>
      <c r="K295" s="125">
        <v>534.0</v>
      </c>
      <c r="L295" s="125">
        <v>493.0</v>
      </c>
      <c r="M295" s="126">
        <v>86.0</v>
      </c>
      <c r="N295" s="127">
        <v>96.0</v>
      </c>
      <c r="O295" s="146"/>
      <c r="P295" s="127">
        <v>82.0</v>
      </c>
      <c r="Q295" s="135" t="b">
        <v>1</v>
      </c>
      <c r="R295" s="133"/>
      <c r="S295" s="133">
        <v>6.0</v>
      </c>
      <c r="T295" s="133"/>
      <c r="U295" s="133">
        <v>4.0</v>
      </c>
      <c r="V295" s="130"/>
      <c r="W295" s="130" t="s">
        <v>84</v>
      </c>
      <c r="X295" s="130" t="s">
        <v>528</v>
      </c>
      <c r="Y295" s="130" t="s">
        <v>86</v>
      </c>
      <c r="Z295" s="131" t="b">
        <v>1</v>
      </c>
      <c r="AA295" s="131">
        <v>0.04027777777777778</v>
      </c>
      <c r="AB295" s="130" t="s">
        <v>362</v>
      </c>
      <c r="AC295" s="130" t="s">
        <v>1041</v>
      </c>
      <c r="AD295" s="130" t="s">
        <v>1042</v>
      </c>
      <c r="AE295" s="130"/>
      <c r="AF295" s="132" t="s">
        <v>373</v>
      </c>
      <c r="AG295" s="133" t="b">
        <v>0</v>
      </c>
      <c r="AH295" s="133">
        <v>481.0</v>
      </c>
      <c r="AI295" s="133">
        <v>2005.0</v>
      </c>
      <c r="AJ295" s="143"/>
      <c r="AK295" s="133">
        <v>3.0</v>
      </c>
      <c r="AL295" s="129" t="str">
        <f>IFERROR(__xludf.DUMMYFUNCTION("""COMPUTED_VALUE"""),"Family, Great View")</f>
        <v>Family, Great View</v>
      </c>
      <c r="AM295" s="129" t="str">
        <f>IFERROR(__xludf.DUMMYFUNCTION("""COMPUTED_VALUE"""),"Babysitting, Beach, Big Waterslides, Buffet, Diving, Evening Entertainment, Flowrider, Gym, Kids Club, Kids Waterpark, Mini Golf, Nightclub, Spa, Swim Up Bar, Teen Club, Tennis, Wifi (Paid)")</f>
        <v>Babysitting, Beach, Big Waterslides, Buffet, Diving, Evening Entertainment, Flowrider, Gym, Kids Club, Kids Waterpark, Mini Golf, Nightclub, Spa, Swim Up Bar, Teen Club, Tennis, Wifi (Paid)</v>
      </c>
      <c r="AN295" s="139"/>
    </row>
    <row r="296">
      <c r="A296" s="118" t="s">
        <v>1043</v>
      </c>
      <c r="B296" s="119">
        <v>88.0</v>
      </c>
      <c r="C296" s="134" t="s">
        <v>75</v>
      </c>
      <c r="D296" s="121">
        <v>3509.0</v>
      </c>
      <c r="E296" s="135">
        <f>IFERROR(__xludf.DUMMYFUNCTION("""COMPUTED_VALUE"""),4846.104099099999)</f>
        <v>4846.104099</v>
      </c>
      <c r="F296" s="136">
        <v>2.28</v>
      </c>
      <c r="G296" s="124">
        <v>5134.0</v>
      </c>
      <c r="H296" s="125">
        <v>3540.0</v>
      </c>
      <c r="I296" s="125">
        <v>1036.0</v>
      </c>
      <c r="J296" s="125">
        <v>308.0</v>
      </c>
      <c r="K296" s="125">
        <v>132.0</v>
      </c>
      <c r="L296" s="125">
        <v>118.0</v>
      </c>
      <c r="M296" s="126">
        <v>90.0</v>
      </c>
      <c r="N296" s="127">
        <v>90.0</v>
      </c>
      <c r="O296" s="146"/>
      <c r="P296" s="127">
        <v>84.0</v>
      </c>
      <c r="Q296" s="135" t="b">
        <v>1</v>
      </c>
      <c r="R296" s="133"/>
      <c r="S296" s="133">
        <v>7.0</v>
      </c>
      <c r="T296" s="133"/>
      <c r="U296" s="133">
        <v>4.0</v>
      </c>
      <c r="V296" s="130"/>
      <c r="W296" s="130" t="s">
        <v>84</v>
      </c>
      <c r="X296" s="130" t="s">
        <v>86</v>
      </c>
      <c r="Y296" s="130" t="s">
        <v>86</v>
      </c>
      <c r="Z296" s="131" t="b">
        <v>1</v>
      </c>
      <c r="AA296" s="131">
        <v>0.020833333333333332</v>
      </c>
      <c r="AB296" s="130" t="s">
        <v>371</v>
      </c>
      <c r="AC296" s="130" t="s">
        <v>1011</v>
      </c>
      <c r="AD296" s="130" t="s">
        <v>1044</v>
      </c>
      <c r="AE296" s="130"/>
      <c r="AF296" s="132" t="s">
        <v>373</v>
      </c>
      <c r="AG296" s="133" t="b">
        <v>0</v>
      </c>
      <c r="AH296" s="133">
        <v>179.0</v>
      </c>
      <c r="AI296" s="133">
        <v>2009.0</v>
      </c>
      <c r="AJ296" s="143"/>
      <c r="AK296" s="133">
        <v>5.0</v>
      </c>
      <c r="AL296" s="129" t="str">
        <f>IFERROR(__xludf.DUMMYFUNCTION("""COMPUTED_VALUE"""),"Bay View, Value")</f>
        <v>Bay View, Value</v>
      </c>
      <c r="AM296" s="129" t="str">
        <f>IFERROR(__xludf.DUMMYFUNCTION("""COMPUTED_VALUE"""),"Beach, Buffet, Evening Entertainment, Gym, Kids Club, Room Service, Snorkelling, Spa, Wifi (Free)")</f>
        <v>Beach, Buffet, Evening Entertainment, Gym, Kids Club, Room Service, Snorkelling, Spa, Wifi (Free)</v>
      </c>
      <c r="AN296" s="139"/>
    </row>
    <row r="297">
      <c r="A297" s="118" t="s">
        <v>1045</v>
      </c>
      <c r="B297" s="119">
        <v>88.0</v>
      </c>
      <c r="C297" s="120" t="s">
        <v>68</v>
      </c>
      <c r="D297" s="121">
        <v>3668.0</v>
      </c>
      <c r="E297" s="122">
        <f>IFERROR(__xludf.DUMMYFUNCTION("""COMPUTED_VALUE"""),5065.6910332)</f>
        <v>5065.691033</v>
      </c>
      <c r="F297" s="136">
        <v>2.18</v>
      </c>
      <c r="G297" s="124">
        <v>3597.0</v>
      </c>
      <c r="H297" s="125">
        <v>2861.0</v>
      </c>
      <c r="I297" s="125">
        <v>336.0</v>
      </c>
      <c r="J297" s="125">
        <v>165.0</v>
      </c>
      <c r="K297" s="125">
        <v>124.0</v>
      </c>
      <c r="L297" s="125">
        <v>113.0</v>
      </c>
      <c r="M297" s="126">
        <v>92.0</v>
      </c>
      <c r="N297" s="127">
        <v>84.0</v>
      </c>
      <c r="O297" s="127"/>
      <c r="P297" s="127">
        <v>88.0</v>
      </c>
      <c r="Q297" s="122" t="b">
        <v>1</v>
      </c>
      <c r="R297" s="128"/>
      <c r="S297" s="133" t="s">
        <v>83</v>
      </c>
      <c r="T297" s="133" t="s">
        <v>492</v>
      </c>
      <c r="U297" s="133">
        <v>4.5</v>
      </c>
      <c r="V297" s="129"/>
      <c r="W297" s="130" t="s">
        <v>84</v>
      </c>
      <c r="X297" s="130" t="s">
        <v>907</v>
      </c>
      <c r="Y297" s="130" t="s">
        <v>120</v>
      </c>
      <c r="Z297" s="131" t="b">
        <v>1</v>
      </c>
      <c r="AA297" s="131">
        <v>0.024305555555555556</v>
      </c>
      <c r="AB297" s="130" t="s">
        <v>50</v>
      </c>
      <c r="AC297" s="130" t="s">
        <v>469</v>
      </c>
      <c r="AD297" s="130" t="s">
        <v>1046</v>
      </c>
      <c r="AE297" s="129"/>
      <c r="AF297" s="132"/>
      <c r="AG297" s="133" t="b">
        <v>0</v>
      </c>
      <c r="AH297" s="133">
        <v>278.0</v>
      </c>
      <c r="AI297" s="133">
        <v>2020.0</v>
      </c>
      <c r="AJ297" s="143"/>
      <c r="AK297" s="133">
        <v>8.0</v>
      </c>
      <c r="AL297" s="129" t="str">
        <f>IFERROR(__xludf.DUMMYFUNCTION("""COMPUTED_VALUE"""),"Charming")</f>
        <v>Charming</v>
      </c>
      <c r="AM297" s="129" t="str">
        <f>IFERROR(__xludf.DUMMYFUNCTION("""COMPUTED_VALUE"""),"Beach, Buffet, Evening Entertainment, Great Food, Gym, Heated Pool, Nightclub, Pets Allowed, Room Service, Spa, Swim Up Bar, Wifi (Free)")</f>
        <v>Beach, Buffet, Evening Entertainment, Great Food, Gym, Heated Pool, Nightclub, Pets Allowed, Room Service, Spa, Swim Up Bar, Wifi (Free)</v>
      </c>
      <c r="AN297" s="128"/>
    </row>
    <row r="298">
      <c r="A298" s="118" t="s">
        <v>1047</v>
      </c>
      <c r="B298" s="119">
        <v>88.0</v>
      </c>
      <c r="C298" s="134" t="s">
        <v>75</v>
      </c>
      <c r="D298" s="150">
        <v>3843.7</v>
      </c>
      <c r="E298" s="135">
        <f>IFERROR(__xludf.DUMMYFUNCTION("""COMPUTED_VALUE"""),5308.341500629999)</f>
        <v>5308.341501</v>
      </c>
      <c r="F298" s="136">
        <v>2.08</v>
      </c>
      <c r="G298" s="124">
        <v>14226.0</v>
      </c>
      <c r="H298" s="125">
        <v>8451.0</v>
      </c>
      <c r="I298" s="125">
        <v>3349.0</v>
      </c>
      <c r="J298" s="125">
        <v>1218.0</v>
      </c>
      <c r="K298" s="125">
        <v>618.0</v>
      </c>
      <c r="L298" s="125">
        <v>593.0</v>
      </c>
      <c r="M298" s="126">
        <v>86.0</v>
      </c>
      <c r="N298" s="127">
        <v>94.0</v>
      </c>
      <c r="O298" s="146"/>
      <c r="P298" s="127">
        <v>84.0</v>
      </c>
      <c r="Q298" s="135" t="b">
        <v>1</v>
      </c>
      <c r="R298" s="133"/>
      <c r="S298" s="133">
        <v>6.0</v>
      </c>
      <c r="T298" s="133"/>
      <c r="U298" s="133">
        <v>5.0</v>
      </c>
      <c r="V298" s="129"/>
      <c r="W298" s="130" t="s">
        <v>84</v>
      </c>
      <c r="X298" s="130" t="s">
        <v>336</v>
      </c>
      <c r="Y298" s="144" t="s">
        <v>337</v>
      </c>
      <c r="Z298" s="145" t="b">
        <v>1</v>
      </c>
      <c r="AA298" s="145">
        <v>0.044444444444444446</v>
      </c>
      <c r="AB298" s="144" t="s">
        <v>753</v>
      </c>
      <c r="AC298" s="130" t="s">
        <v>587</v>
      </c>
      <c r="AD298" s="130" t="s">
        <v>1048</v>
      </c>
      <c r="AE298" s="130" t="s">
        <v>396</v>
      </c>
      <c r="AF298" s="132" t="s">
        <v>373</v>
      </c>
      <c r="AG298" s="133" t="b">
        <v>0</v>
      </c>
      <c r="AH298" s="133">
        <v>758.0</v>
      </c>
      <c r="AI298" s="133">
        <v>2001.0</v>
      </c>
      <c r="AJ298" s="133"/>
      <c r="AK298" s="133">
        <v>3.0</v>
      </c>
      <c r="AL298" s="129" t="str">
        <f>IFERROR(__xludf.DUMMYFUNCTION("""COMPUTED_VALUE"""),"Bay View, Family")</f>
        <v>Bay View, Family</v>
      </c>
      <c r="AM298" s="129" t="str">
        <f>IFERROR(__xludf.DUMMYFUNCTION("""COMPUTED_VALUE"""),"Adult Pool, Babysitting, Beach, Buffet, Casino, Diving, Evening Entertainment, Fishing, Golf Course, Gym, Kids Club, Kids Waterpark, Nightclub, Spa, Swim Out/Plunge Pool Rooms, Swim Up Bar, Tennis")</f>
        <v>Adult Pool, Babysitting, Beach, Buffet, Casino, Diving, Evening Entertainment, Fishing, Golf Course, Gym, Kids Club, Kids Waterpark, Nightclub, Spa, Swim Out/Plunge Pool Rooms, Swim Up Bar, Tennis</v>
      </c>
      <c r="AN298" s="139"/>
    </row>
    <row r="299">
      <c r="A299" s="118" t="s">
        <v>1049</v>
      </c>
      <c r="B299" s="119">
        <v>88.0</v>
      </c>
      <c r="C299" s="134" t="s">
        <v>75</v>
      </c>
      <c r="D299" s="121">
        <v>3968.37</v>
      </c>
      <c r="E299" s="135">
        <f>IFERROR(__xludf.DUMMYFUNCTION("""COMPUTED_VALUE"""),5480.516991662999)</f>
        <v>5480.516992</v>
      </c>
      <c r="F299" s="136">
        <v>2.02</v>
      </c>
      <c r="G299" s="124">
        <v>702.0</v>
      </c>
      <c r="H299" s="125">
        <v>423.0</v>
      </c>
      <c r="I299" s="125">
        <v>160.0</v>
      </c>
      <c r="J299" s="125">
        <v>56.0</v>
      </c>
      <c r="K299" s="125">
        <v>30.0</v>
      </c>
      <c r="L299" s="125">
        <v>33.0</v>
      </c>
      <c r="M299" s="126">
        <v>86.0</v>
      </c>
      <c r="N299" s="127">
        <v>88.0</v>
      </c>
      <c r="O299" s="146"/>
      <c r="P299" s="127">
        <v>90.0</v>
      </c>
      <c r="Q299" s="137" t="b">
        <v>1</v>
      </c>
      <c r="R299" s="133">
        <v>4.0</v>
      </c>
      <c r="S299" s="133">
        <v>7.0</v>
      </c>
      <c r="T299" s="133"/>
      <c r="U299" s="133">
        <v>5.0</v>
      </c>
      <c r="V299" s="129"/>
      <c r="W299" s="130" t="s">
        <v>341</v>
      </c>
      <c r="X299" s="129" t="s">
        <v>342</v>
      </c>
      <c r="Y299" s="129" t="s">
        <v>343</v>
      </c>
      <c r="Z299" s="131" t="b">
        <v>1</v>
      </c>
      <c r="AA299" s="131">
        <v>0.009722222222222222</v>
      </c>
      <c r="AB299" s="130" t="s">
        <v>451</v>
      </c>
      <c r="AC299" s="130" t="s">
        <v>927</v>
      </c>
      <c r="AD299" s="130" t="s">
        <v>1050</v>
      </c>
      <c r="AE299" s="130"/>
      <c r="AF299" s="132" t="s">
        <v>318</v>
      </c>
      <c r="AG299" s="133" t="b">
        <v>0</v>
      </c>
      <c r="AH299" s="133">
        <v>336.0</v>
      </c>
      <c r="AI299" s="133">
        <v>1992.0</v>
      </c>
      <c r="AJ299" s="133">
        <v>2019.0</v>
      </c>
      <c r="AK299" s="133">
        <v>4.0</v>
      </c>
      <c r="AL299" s="129" t="str">
        <f>IFERROR(__xludf.DUMMYFUNCTION("""COMPUTED_VALUE"""),"Bay View, Great View")</f>
        <v>Bay View, Great View</v>
      </c>
      <c r="AM299" s="129" t="str">
        <f>IFERROR(__xludf.DUMMYFUNCTION("""COMPUTED_VALUE"""),"Adult Pool, Beach, Buffet, Diving, Gym, Kids Club, Snorkelling, Watersports Equipment Rentals, Wifi (Free)")</f>
        <v>Adult Pool, Beach, Buffet, Diving, Gym, Kids Club, Snorkelling, Watersports Equipment Rentals, Wifi (Free)</v>
      </c>
      <c r="AN299" s="139"/>
    </row>
    <row r="300">
      <c r="A300" s="118" t="s">
        <v>1051</v>
      </c>
      <c r="B300" s="119">
        <v>88.0</v>
      </c>
      <c r="C300" s="134" t="s">
        <v>75</v>
      </c>
      <c r="D300" s="150">
        <v>4133.49</v>
      </c>
      <c r="E300" s="135">
        <f>IFERROR(__xludf.DUMMYFUNCTION("""COMPUTED_VALUE"""),5708.555951150999)</f>
        <v>5708.555951</v>
      </c>
      <c r="F300" s="136">
        <v>1.94</v>
      </c>
      <c r="G300" s="124">
        <v>13504.0</v>
      </c>
      <c r="H300" s="125">
        <v>8676.0</v>
      </c>
      <c r="I300" s="125">
        <v>2883.0</v>
      </c>
      <c r="J300" s="125">
        <v>1098.0</v>
      </c>
      <c r="K300" s="125">
        <v>484.0</v>
      </c>
      <c r="L300" s="125">
        <v>365.0</v>
      </c>
      <c r="M300" s="126">
        <v>88.0</v>
      </c>
      <c r="N300" s="127">
        <v>94.0</v>
      </c>
      <c r="O300" s="146"/>
      <c r="P300" s="127">
        <v>82.0</v>
      </c>
      <c r="Q300" s="135" t="b">
        <v>1</v>
      </c>
      <c r="R300" s="133"/>
      <c r="S300" s="143">
        <v>7.0</v>
      </c>
      <c r="T300" s="133"/>
      <c r="U300" s="133">
        <v>5.0</v>
      </c>
      <c r="V300" s="130"/>
      <c r="W300" s="130" t="s">
        <v>193</v>
      </c>
      <c r="X300" s="130" t="s">
        <v>225</v>
      </c>
      <c r="Y300" s="130" t="s">
        <v>195</v>
      </c>
      <c r="Z300" s="131" t="b">
        <v>1</v>
      </c>
      <c r="AA300" s="131">
        <v>0.016666666666666666</v>
      </c>
      <c r="AB300" s="130" t="s">
        <v>215</v>
      </c>
      <c r="AC300" s="130" t="s">
        <v>760</v>
      </c>
      <c r="AD300" s="130" t="s">
        <v>1052</v>
      </c>
      <c r="AE300" s="130" t="s">
        <v>396</v>
      </c>
      <c r="AF300" s="132" t="s">
        <v>373</v>
      </c>
      <c r="AG300" s="143" t="b">
        <v>0</v>
      </c>
      <c r="AH300" s="143">
        <v>614.0</v>
      </c>
      <c r="AI300" s="143"/>
      <c r="AJ300" s="133">
        <v>2016.0</v>
      </c>
      <c r="AK300" s="143"/>
      <c r="AL300" s="129" t="str">
        <f>IFERROR(__xludf.DUMMYFUNCTION("""COMPUTED_VALUE"""),"Bay View, Green")</f>
        <v>Bay View, Green</v>
      </c>
      <c r="AM300" s="129" t="str">
        <f>IFERROR(__xludf.DUMMYFUNCTION("""COMPUTED_VALUE"""),"2 Bedroom Suites, Babysitting, Beach, Buffet, Diving, Evening Entertainment, Family Suite, Gym, Kids Club, Kids Waterpark, Nightclub, Pets Allowed, Spa, Swim Up Bar, Tennis, Yoga Classes")</f>
        <v>2 Bedroom Suites, Babysitting, Beach, Buffet, Diving, Evening Entertainment, Family Suite, Gym, Kids Club, Kids Waterpark, Nightclub, Pets Allowed, Spa, Swim Up Bar, Tennis, Yoga Classes</v>
      </c>
      <c r="AN300" s="139"/>
    </row>
    <row r="301">
      <c r="A301" s="118" t="s">
        <v>1053</v>
      </c>
      <c r="B301" s="119">
        <v>88.0</v>
      </c>
      <c r="C301" s="120" t="s">
        <v>68</v>
      </c>
      <c r="D301" s="121">
        <v>4438.28</v>
      </c>
      <c r="E301" s="122">
        <f>IFERROR(__xludf.DUMMYFUNCTION("""COMPUTED_VALUE"""),6129.486150171999)</f>
        <v>6129.48615</v>
      </c>
      <c r="F301" s="136">
        <v>1.8</v>
      </c>
      <c r="G301" s="124">
        <v>3293.0</v>
      </c>
      <c r="H301" s="125">
        <v>2453.0</v>
      </c>
      <c r="I301" s="125">
        <v>431.0</v>
      </c>
      <c r="J301" s="125">
        <v>188.0</v>
      </c>
      <c r="K301" s="125">
        <v>96.0</v>
      </c>
      <c r="L301" s="125">
        <v>125.0</v>
      </c>
      <c r="M301" s="126">
        <v>90.0</v>
      </c>
      <c r="N301" s="127">
        <v>88.0</v>
      </c>
      <c r="O301" s="127"/>
      <c r="P301" s="127">
        <v>86.0</v>
      </c>
      <c r="Q301" s="122" t="b">
        <v>1</v>
      </c>
      <c r="R301" s="133"/>
      <c r="S301" s="133">
        <v>7.0</v>
      </c>
      <c r="T301" s="133"/>
      <c r="U301" s="133">
        <v>4.0</v>
      </c>
      <c r="V301" s="129"/>
      <c r="W301" s="130" t="s">
        <v>84</v>
      </c>
      <c r="X301" s="130" t="s">
        <v>85</v>
      </c>
      <c r="Y301" s="130" t="s">
        <v>86</v>
      </c>
      <c r="Z301" s="131" t="b">
        <v>1</v>
      </c>
      <c r="AA301" s="131">
        <v>0.03263888888888889</v>
      </c>
      <c r="AB301" s="129"/>
      <c r="AC301" s="130" t="s">
        <v>1054</v>
      </c>
      <c r="AD301" s="130" t="s">
        <v>1055</v>
      </c>
      <c r="AE301" s="129"/>
      <c r="AF301" s="132"/>
      <c r="AG301" s="133" t="b">
        <v>1</v>
      </c>
      <c r="AH301" s="133">
        <v>120.0</v>
      </c>
      <c r="AI301" s="133">
        <v>2017.0</v>
      </c>
      <c r="AJ301" s="143"/>
      <c r="AK301" s="133">
        <v>5.0</v>
      </c>
      <c r="AL301" s="129" t="str">
        <f>IFERROR(__xludf.DUMMYFUNCTION("""COMPUTED_VALUE"""),"Business, City View")</f>
        <v>Business, City View</v>
      </c>
      <c r="AM301" s="129" t="str">
        <f>IFERROR(__xludf.DUMMYFUNCTION("""COMPUTED_VALUE"""),"Buffet, Diving, Gym, Heated Pool, Nightclub, Room Service, Spa, Watersports Equipment Rentals, Wifi (Free), Yoga Classes")</f>
        <v>Buffet, Diving, Gym, Heated Pool, Nightclub, Room Service, Spa, Watersports Equipment Rentals, Wifi (Free), Yoga Classes</v>
      </c>
      <c r="AN301" s="128"/>
    </row>
    <row r="302">
      <c r="A302" s="118" t="s">
        <v>1056</v>
      </c>
      <c r="B302" s="119">
        <v>88.0</v>
      </c>
      <c r="C302" s="134" t="s">
        <v>75</v>
      </c>
      <c r="D302" s="150">
        <v>4515.0</v>
      </c>
      <c r="E302" s="135">
        <f>IFERROR(__xludf.DUMMYFUNCTION("""COMPUTED_VALUE"""),6235.440298499999)</f>
        <v>6235.440299</v>
      </c>
      <c r="F302" s="136">
        <v>1.77</v>
      </c>
      <c r="G302" s="124">
        <v>11428.0</v>
      </c>
      <c r="H302" s="125">
        <v>8598.0</v>
      </c>
      <c r="I302" s="125">
        <v>1744.0</v>
      </c>
      <c r="J302" s="125">
        <v>600.0</v>
      </c>
      <c r="K302" s="125">
        <v>237.0</v>
      </c>
      <c r="L302" s="125">
        <v>251.0</v>
      </c>
      <c r="M302" s="126">
        <v>92.0</v>
      </c>
      <c r="N302" s="138">
        <v>88.0</v>
      </c>
      <c r="O302" s="127">
        <v>84.0</v>
      </c>
      <c r="P302" s="127">
        <v>88.0</v>
      </c>
      <c r="Q302" s="135" t="b">
        <v>1</v>
      </c>
      <c r="R302" s="133">
        <v>4.0</v>
      </c>
      <c r="S302" s="143">
        <v>8.0</v>
      </c>
      <c r="T302" s="133" t="s">
        <v>955</v>
      </c>
      <c r="U302" s="133">
        <v>4.5</v>
      </c>
      <c r="V302" s="130"/>
      <c r="W302" s="130" t="s">
        <v>193</v>
      </c>
      <c r="X302" s="130" t="s">
        <v>195</v>
      </c>
      <c r="Y302" s="130" t="s">
        <v>195</v>
      </c>
      <c r="Z302" s="131" t="b">
        <v>1</v>
      </c>
      <c r="AA302" s="131">
        <v>0.025</v>
      </c>
      <c r="AB302" s="130" t="s">
        <v>50</v>
      </c>
      <c r="AC302" s="130" t="s">
        <v>598</v>
      </c>
      <c r="AD302" s="130" t="s">
        <v>1057</v>
      </c>
      <c r="AE302" s="130" t="s">
        <v>396</v>
      </c>
      <c r="AF302" s="132" t="s">
        <v>373</v>
      </c>
      <c r="AG302" s="143" t="b">
        <v>0</v>
      </c>
      <c r="AH302" s="143">
        <v>502.0</v>
      </c>
      <c r="AI302" s="143">
        <v>2016.0</v>
      </c>
      <c r="AJ302" s="143"/>
      <c r="AK302" s="143"/>
      <c r="AL302" s="129" t="str">
        <f>IFERROR(__xludf.DUMMYFUNCTION("""COMPUTED_VALUE"""),"Ocean View, Value")</f>
        <v>Ocean View, Value</v>
      </c>
      <c r="AM302" s="129" t="str">
        <f>IFERROR(__xludf.DUMMYFUNCTION("""COMPUTED_VALUE"""),"2 Bedroom Suites, Adult Pool, Babysitting, Beach, Big Waterslides, Buffet, Evening Entertainment, Family Suite, Gym, Kids Club, Kids Club for Under 4, Kids Waterpark, Lazy River, Spa, Swim Out/Plunge Pool Rooms, Swim Up Bar, Teen Club, Tennis, Wifi (Free)")</f>
        <v>2 Bedroom Suites, Adult Pool, Babysitting, Beach, Big Waterslides, Buffet, Evening Entertainment, Family Suite, Gym, Kids Club, Kids Club for Under 4, Kids Waterpark, Lazy River, Spa, Swim Out/Plunge Pool Rooms, Swim Up Bar, Teen Club, Tennis, Wifi (Free)</v>
      </c>
      <c r="AN302" s="139"/>
    </row>
    <row r="303">
      <c r="A303" s="118" t="s">
        <v>1058</v>
      </c>
      <c r="B303" s="119">
        <v>88.0</v>
      </c>
      <c r="C303" s="134" t="s">
        <v>75</v>
      </c>
      <c r="D303" s="121">
        <v>5174.4</v>
      </c>
      <c r="E303" s="135">
        <f>IFERROR(__xludf.DUMMYFUNCTION("""COMPUTED_VALUE"""),7146.104602559999)</f>
        <v>7146.104603</v>
      </c>
      <c r="F303" s="136">
        <v>1.55</v>
      </c>
      <c r="G303" s="124">
        <v>9443.0</v>
      </c>
      <c r="H303" s="125">
        <v>6781.0</v>
      </c>
      <c r="I303" s="125">
        <v>1583.0</v>
      </c>
      <c r="J303" s="125">
        <v>574.0</v>
      </c>
      <c r="K303" s="125">
        <v>259.0</v>
      </c>
      <c r="L303" s="125">
        <v>246.0</v>
      </c>
      <c r="M303" s="126">
        <v>90.0</v>
      </c>
      <c r="N303" s="127">
        <v>90.0</v>
      </c>
      <c r="O303" s="146"/>
      <c r="P303" s="127">
        <v>84.0</v>
      </c>
      <c r="Q303" s="135" t="b">
        <v>1</v>
      </c>
      <c r="R303" s="133">
        <v>3.0</v>
      </c>
      <c r="S303" s="133">
        <v>6.0</v>
      </c>
      <c r="T303" s="133"/>
      <c r="U303" s="133">
        <v>5.0</v>
      </c>
      <c r="V303" s="130"/>
      <c r="W303" s="130" t="s">
        <v>84</v>
      </c>
      <c r="X303" s="130" t="s">
        <v>123</v>
      </c>
      <c r="Y303" s="130" t="s">
        <v>123</v>
      </c>
      <c r="Z303" s="131" t="b">
        <v>1</v>
      </c>
      <c r="AA303" s="131">
        <v>0.025694444444444443</v>
      </c>
      <c r="AB303" s="130" t="s">
        <v>464</v>
      </c>
      <c r="AC303" s="130" t="s">
        <v>1059</v>
      </c>
      <c r="AD303" s="130" t="s">
        <v>1060</v>
      </c>
      <c r="AE303" s="130"/>
      <c r="AF303" s="132" t="s">
        <v>373</v>
      </c>
      <c r="AG303" s="133" t="b">
        <v>0</v>
      </c>
      <c r="AH303" s="133">
        <v>260.0</v>
      </c>
      <c r="AI303" s="133">
        <v>1997.0</v>
      </c>
      <c r="AJ303" s="133">
        <v>2001.0</v>
      </c>
      <c r="AK303" s="133">
        <v>6.0</v>
      </c>
      <c r="AL303" s="129" t="str">
        <f>IFERROR(__xludf.DUMMYFUNCTION("""COMPUTED_VALUE"""),"Centrally Located, Family")</f>
        <v>Centrally Located, Family</v>
      </c>
      <c r="AM303" s="129" t="str">
        <f>IFERROR(__xludf.DUMMYFUNCTION("""COMPUTED_VALUE"""),"Babysitting, Beach, Buffet, Diving, Fishing, Gym, Kids Club, Room Service, Snorkelling, Spa, Tennis, Wifi (Paid)")</f>
        <v>Babysitting, Beach, Buffet, Diving, Fishing, Gym, Kids Club, Room Service, Snorkelling, Spa, Tennis, Wifi (Paid)</v>
      </c>
      <c r="AN303" s="139"/>
    </row>
    <row r="304">
      <c r="A304" s="118" t="s">
        <v>1061</v>
      </c>
      <c r="B304" s="119">
        <v>88.0</v>
      </c>
      <c r="C304" s="134" t="s">
        <v>75</v>
      </c>
      <c r="D304" s="121">
        <v>5376.16</v>
      </c>
      <c r="E304" s="135">
        <f>IFERROR(__xludf.DUMMYFUNCTION("""COMPUTED_VALUE"""),7424.745230383999)</f>
        <v>7424.74523</v>
      </c>
      <c r="F304" s="136">
        <v>1.49</v>
      </c>
      <c r="G304" s="124">
        <v>1584.0</v>
      </c>
      <c r="H304" s="125">
        <v>1155.0</v>
      </c>
      <c r="I304" s="125">
        <v>218.0</v>
      </c>
      <c r="J304" s="125">
        <v>112.0</v>
      </c>
      <c r="K304" s="125">
        <v>56.0</v>
      </c>
      <c r="L304" s="125">
        <v>44.0</v>
      </c>
      <c r="M304" s="126">
        <v>90.0</v>
      </c>
      <c r="N304" s="127">
        <v>88.0</v>
      </c>
      <c r="O304" s="146"/>
      <c r="P304" s="127">
        <v>86.0</v>
      </c>
      <c r="Q304" s="135" t="b">
        <v>1</v>
      </c>
      <c r="R304" s="133"/>
      <c r="S304" s="133" t="s">
        <v>83</v>
      </c>
      <c r="T304" s="133"/>
      <c r="U304" s="133">
        <v>5.0</v>
      </c>
      <c r="V304" s="129"/>
      <c r="W304" s="130" t="s">
        <v>84</v>
      </c>
      <c r="X304" s="130" t="s">
        <v>210</v>
      </c>
      <c r="Y304" s="130" t="s">
        <v>86</v>
      </c>
      <c r="Z304" s="131" t="b">
        <v>1</v>
      </c>
      <c r="AA304" s="131">
        <v>0.014583333333333334</v>
      </c>
      <c r="AB304" s="130" t="s">
        <v>1062</v>
      </c>
      <c r="AC304" s="130" t="s">
        <v>677</v>
      </c>
      <c r="AD304" s="130" t="s">
        <v>1063</v>
      </c>
      <c r="AE304" s="130"/>
      <c r="AF304" s="132" t="s">
        <v>318</v>
      </c>
      <c r="AG304" s="133" t="b">
        <v>1</v>
      </c>
      <c r="AH304" s="133">
        <v>359.0</v>
      </c>
      <c r="AI304" s="133">
        <v>2020.0</v>
      </c>
      <c r="AJ304" s="143"/>
      <c r="AK304" s="133">
        <v>7.0</v>
      </c>
      <c r="AL304" s="129" t="str">
        <f>IFERROR(__xludf.DUMMYFUNCTION("""COMPUTED_VALUE"""),"Business, Ocean View")</f>
        <v>Business, Ocean View</v>
      </c>
      <c r="AM304" s="129" t="str">
        <f>IFERROR(__xludf.DUMMYFUNCTION("""COMPUTED_VALUE"""),"2 Bedroom Suites, Adult Pool, Babysitting, Beach, Buffet, Evening Entertainment, Family Suite, Gym, Kids Club, Kids Waterpark, Mini Golf, Nightclub, Pool Slide, Room Service, Spa, Swim Up Bar, Teen Club, Tennis, Water Feature, Wifi (Free), Yoga Classes")</f>
        <v>2 Bedroom Suites, Adult Pool, Babysitting, Beach, Buffet, Evening Entertainment, Family Suite, Gym, Kids Club, Kids Waterpark, Mini Golf, Nightclub, Pool Slide, Room Service, Spa, Swim Up Bar, Teen Club, Tennis, Water Feature, Wifi (Free), Yoga Classes</v>
      </c>
      <c r="AN304" s="139"/>
    </row>
    <row r="305">
      <c r="A305" s="118" t="s">
        <v>1064</v>
      </c>
      <c r="B305" s="119">
        <v>88.0</v>
      </c>
      <c r="C305" s="134" t="s">
        <v>75</v>
      </c>
      <c r="D305" s="121">
        <v>5692.78</v>
      </c>
      <c r="E305" s="135">
        <f>IFERROR(__xludf.DUMMYFUNCTION("""COMPUTED_VALUE"""),7862.013249721998)</f>
        <v>7862.01325</v>
      </c>
      <c r="F305" s="136">
        <v>1.41</v>
      </c>
      <c r="G305" s="124">
        <v>4113.0</v>
      </c>
      <c r="H305" s="125">
        <v>2750.0</v>
      </c>
      <c r="I305" s="125">
        <v>791.0</v>
      </c>
      <c r="J305" s="125">
        <v>258.0</v>
      </c>
      <c r="K305" s="125">
        <v>134.0</v>
      </c>
      <c r="L305" s="125">
        <v>180.0</v>
      </c>
      <c r="M305" s="126">
        <v>88.0</v>
      </c>
      <c r="N305" s="127">
        <v>90.0</v>
      </c>
      <c r="O305" s="146"/>
      <c r="P305" s="127">
        <v>86.0</v>
      </c>
      <c r="Q305" s="135" t="b">
        <v>1</v>
      </c>
      <c r="R305" s="133"/>
      <c r="S305" s="133">
        <v>7.0</v>
      </c>
      <c r="T305" s="133"/>
      <c r="U305" s="133">
        <v>5.0</v>
      </c>
      <c r="V305" s="130"/>
      <c r="W305" s="130" t="s">
        <v>84</v>
      </c>
      <c r="X305" s="130" t="s">
        <v>149</v>
      </c>
      <c r="Y305" s="130" t="s">
        <v>86</v>
      </c>
      <c r="Z305" s="131" t="b">
        <v>1</v>
      </c>
      <c r="AA305" s="131">
        <v>0.027777777777777776</v>
      </c>
      <c r="AB305" s="130" t="s">
        <v>655</v>
      </c>
      <c r="AC305" s="130" t="s">
        <v>1065</v>
      </c>
      <c r="AD305" s="130" t="s">
        <v>1066</v>
      </c>
      <c r="AE305" s="130"/>
      <c r="AF305" s="132" t="s">
        <v>784</v>
      </c>
      <c r="AG305" s="133" t="b">
        <v>0</v>
      </c>
      <c r="AH305" s="133">
        <v>670.0</v>
      </c>
      <c r="AI305" s="133">
        <v>2018.0</v>
      </c>
      <c r="AJ305" s="143"/>
      <c r="AK305" s="133">
        <v>5.0</v>
      </c>
      <c r="AL305" s="129" t="str">
        <f>IFERROR(__xludf.DUMMYFUNCTION("""COMPUTED_VALUE"""),"Modern, Trendy")</f>
        <v>Modern, Trendy</v>
      </c>
      <c r="AM305" s="129" t="str">
        <f>IFERROR(__xludf.DUMMYFUNCTION("""COMPUTED_VALUE"""),"Adults Only Rooms, Babysitting, Beach, Big Waterslides, Buffet, Evening Entertainment, Gym, Kids Club, Kids Waterpark, Spa, Swim Out/Plunge Pool Rooms, Swim Up Bar, Wifi (Free)")</f>
        <v>Adults Only Rooms, Babysitting, Beach, Big Waterslides, Buffet, Evening Entertainment, Gym, Kids Club, Kids Waterpark, Spa, Swim Out/Plunge Pool Rooms, Swim Up Bar, Wifi (Free)</v>
      </c>
      <c r="AN305" s="139"/>
    </row>
    <row r="306">
      <c r="A306" s="118" t="s">
        <v>1067</v>
      </c>
      <c r="B306" s="119">
        <v>88.0</v>
      </c>
      <c r="C306" s="134" t="s">
        <v>75</v>
      </c>
      <c r="D306" s="121">
        <v>6020.0</v>
      </c>
      <c r="E306" s="135">
        <f>IFERROR(__xludf.DUMMYFUNCTION("""COMPUTED_VALUE"""),8313.920397999998)</f>
        <v>8313.920398</v>
      </c>
      <c r="F306" s="136">
        <v>1.33</v>
      </c>
      <c r="G306" s="124">
        <v>5977.0</v>
      </c>
      <c r="H306" s="125">
        <v>4910.0</v>
      </c>
      <c r="I306" s="125">
        <v>670.0</v>
      </c>
      <c r="J306" s="125">
        <v>227.0</v>
      </c>
      <c r="K306" s="125">
        <v>79.0</v>
      </c>
      <c r="L306" s="125">
        <v>91.0</v>
      </c>
      <c r="M306" s="126">
        <v>94.0</v>
      </c>
      <c r="N306" s="127">
        <v>88.0</v>
      </c>
      <c r="O306" s="127">
        <v>86.0</v>
      </c>
      <c r="P306" s="127">
        <v>84.0</v>
      </c>
      <c r="Q306" s="135" t="b">
        <v>1</v>
      </c>
      <c r="R306" s="133">
        <v>4.0</v>
      </c>
      <c r="S306" s="133" t="s">
        <v>83</v>
      </c>
      <c r="T306" s="133" t="s">
        <v>955</v>
      </c>
      <c r="U306" s="133">
        <v>4.5</v>
      </c>
      <c r="V306" s="130"/>
      <c r="W306" s="130" t="s">
        <v>193</v>
      </c>
      <c r="X306" s="130" t="s">
        <v>225</v>
      </c>
      <c r="Y306" s="130" t="s">
        <v>195</v>
      </c>
      <c r="Z306" s="131" t="b">
        <v>1</v>
      </c>
      <c r="AA306" s="131">
        <v>0.015277777777777777</v>
      </c>
      <c r="AB306" s="130" t="s">
        <v>50</v>
      </c>
      <c r="AC306" s="130" t="s">
        <v>927</v>
      </c>
      <c r="AD306" s="130" t="s">
        <v>1068</v>
      </c>
      <c r="AE306" s="130" t="s">
        <v>396</v>
      </c>
      <c r="AF306" s="132" t="s">
        <v>373</v>
      </c>
      <c r="AG306" s="143" t="b">
        <v>0</v>
      </c>
      <c r="AH306" s="143">
        <v>540.0</v>
      </c>
      <c r="AI306" s="143"/>
      <c r="AJ306" s="143">
        <v>2020.0</v>
      </c>
      <c r="AK306" s="143">
        <v>3.0</v>
      </c>
      <c r="AL306" s="129" t="str">
        <f>IFERROR(__xludf.DUMMYFUNCTION("""COMPUTED_VALUE"""),"Bay View, Great View")</f>
        <v>Bay View, Great View</v>
      </c>
      <c r="AM306" s="129" t="str">
        <f>IFERROR(__xludf.DUMMYFUNCTION("""COMPUTED_VALUE"""),"2 Bedroom Suites, Babysitting, Beach, Big Waterslides, Buffet, Casino, Diving, Evening Entertainment, Family Suite, Gym, Kids Club, Kids Club for Under 4, Lazy River, Nightclub, Room Service, Snorkelling, Spa, Swim Out/Plunge Pool Rooms, Swim Up Bar, Teen"&amp;" Club, Tennis, Yoga Classes")</f>
        <v>2 Bedroom Suites, Babysitting, Beach, Big Waterslides, Buffet, Casino, Diving, Evening Entertainment, Family Suite, Gym, Kids Club, Kids Club for Under 4, Lazy River, Nightclub, Room Service, Snorkelling, Spa, Swim Out/Plunge Pool Rooms, Swim Up Bar, Teen Club, Tennis, Yoga Classes</v>
      </c>
      <c r="AN306" s="139"/>
    </row>
    <row r="307" hidden="1">
      <c r="A307" s="118" t="s">
        <v>1069</v>
      </c>
      <c r="B307" s="119">
        <v>87.0</v>
      </c>
      <c r="C307" s="120" t="s">
        <v>68</v>
      </c>
      <c r="D307" s="142"/>
      <c r="E307" s="122"/>
      <c r="F307" s="136"/>
      <c r="G307" s="124"/>
      <c r="H307" s="133"/>
      <c r="I307" s="133"/>
      <c r="J307" s="133"/>
      <c r="K307" s="133"/>
      <c r="L307" s="133"/>
      <c r="M307" s="137"/>
      <c r="N307" s="138">
        <v>88.0</v>
      </c>
      <c r="O307" s="127"/>
      <c r="P307" s="138">
        <v>86.0</v>
      </c>
      <c r="Q307" s="122" t="b">
        <v>1</v>
      </c>
      <c r="R307" s="128"/>
      <c r="S307" s="128"/>
      <c r="T307" s="128"/>
      <c r="U307" s="128"/>
      <c r="V307" s="130" t="s">
        <v>118</v>
      </c>
      <c r="W307" s="130" t="s">
        <v>193</v>
      </c>
      <c r="X307" s="130"/>
      <c r="Y307" s="130" t="s">
        <v>1070</v>
      </c>
      <c r="Z307" s="131" t="b">
        <v>0</v>
      </c>
      <c r="AA307" s="131"/>
      <c r="AB307" s="130"/>
      <c r="AC307" s="130"/>
      <c r="AD307" s="130"/>
      <c r="AE307" s="129"/>
      <c r="AF307" s="132"/>
      <c r="AG307" s="133" t="b">
        <v>0</v>
      </c>
      <c r="AH307" s="133"/>
      <c r="AI307" s="133"/>
      <c r="AJ307" s="133"/>
      <c r="AK307" s="133"/>
      <c r="AL307" s="129"/>
      <c r="AM307" s="129"/>
      <c r="AN307" s="128"/>
    </row>
    <row r="308" hidden="1">
      <c r="A308" s="118" t="s">
        <v>1071</v>
      </c>
      <c r="B308" s="119">
        <v>88.0</v>
      </c>
      <c r="C308" s="134" t="s">
        <v>75</v>
      </c>
      <c r="D308" s="142"/>
      <c r="E308" s="135"/>
      <c r="F308" s="136"/>
      <c r="G308" s="124"/>
      <c r="H308" s="133"/>
      <c r="I308" s="133"/>
      <c r="J308" s="133"/>
      <c r="K308" s="133"/>
      <c r="L308" s="133"/>
      <c r="M308" s="137"/>
      <c r="N308" s="138">
        <v>88.0</v>
      </c>
      <c r="O308" s="138">
        <v>90.0</v>
      </c>
      <c r="P308" s="138">
        <v>86.0</v>
      </c>
      <c r="Q308" s="135" t="b">
        <v>1</v>
      </c>
      <c r="R308" s="133"/>
      <c r="S308" s="133"/>
      <c r="T308" s="133"/>
      <c r="U308" s="133"/>
      <c r="V308" s="130" t="s">
        <v>531</v>
      </c>
      <c r="W308" s="130" t="s">
        <v>84</v>
      </c>
      <c r="X308" s="130" t="s">
        <v>210</v>
      </c>
      <c r="Y308" s="130" t="s">
        <v>86</v>
      </c>
      <c r="Z308" s="131" t="b">
        <v>1</v>
      </c>
      <c r="AA308" s="131">
        <v>0.01875</v>
      </c>
      <c r="AB308" s="130"/>
      <c r="AC308" s="130"/>
      <c r="AD308" s="129" t="s">
        <v>241</v>
      </c>
      <c r="AE308" s="130" t="s">
        <v>94</v>
      </c>
      <c r="AF308" s="132"/>
      <c r="AG308" s="133" t="b">
        <v>0</v>
      </c>
      <c r="AH308" s="133"/>
      <c r="AI308" s="133"/>
      <c r="AJ308" s="133"/>
      <c r="AK308" s="133"/>
      <c r="AL308" s="129"/>
      <c r="AM308" s="129" t="str">
        <f>IFERROR(__xludf.DUMMYFUNCTION("""COMPUTED_VALUE"""),"Beach")</f>
        <v>Beach</v>
      </c>
      <c r="AN308" s="139"/>
    </row>
    <row r="309" hidden="1">
      <c r="A309" s="118" t="s">
        <v>1072</v>
      </c>
      <c r="B309" s="119">
        <v>88.0</v>
      </c>
      <c r="C309" s="134" t="s">
        <v>75</v>
      </c>
      <c r="D309" s="142"/>
      <c r="E309" s="122"/>
      <c r="F309" s="136"/>
      <c r="G309" s="152"/>
      <c r="H309" s="143"/>
      <c r="I309" s="143"/>
      <c r="J309" s="143"/>
      <c r="K309" s="143"/>
      <c r="L309" s="143"/>
      <c r="M309" s="126"/>
      <c r="N309" s="138">
        <v>88.0</v>
      </c>
      <c r="O309" s="138">
        <v>88.0</v>
      </c>
      <c r="P309" s="127"/>
      <c r="Q309" s="126" t="b">
        <v>1</v>
      </c>
      <c r="R309" s="128"/>
      <c r="S309" s="128"/>
      <c r="T309" s="128"/>
      <c r="U309" s="128"/>
      <c r="V309" s="130" t="s">
        <v>118</v>
      </c>
      <c r="W309" s="130" t="s">
        <v>84</v>
      </c>
      <c r="X309" s="129"/>
      <c r="Y309" s="129"/>
      <c r="Z309" s="145" t="b">
        <v>0</v>
      </c>
      <c r="AA309" s="145"/>
      <c r="AB309" s="130"/>
      <c r="AC309" s="130"/>
      <c r="AD309" s="129"/>
      <c r="AE309" s="129"/>
      <c r="AF309" s="132"/>
      <c r="AG309" s="128" t="b">
        <v>0</v>
      </c>
      <c r="AH309" s="128"/>
      <c r="AI309" s="128"/>
      <c r="AJ309" s="128"/>
      <c r="AK309" s="128"/>
      <c r="AL309" s="129"/>
      <c r="AM309" s="129"/>
      <c r="AN309" s="139"/>
    </row>
    <row r="310">
      <c r="A310" s="118" t="s">
        <v>1073</v>
      </c>
      <c r="B310" s="119">
        <v>88.0</v>
      </c>
      <c r="C310" s="134" t="s">
        <v>75</v>
      </c>
      <c r="D310" s="121">
        <v>6175.04</v>
      </c>
      <c r="E310" s="135">
        <f>IFERROR(__xludf.DUMMYFUNCTION("""COMPUTED_VALUE"""),8528.038374495998)</f>
        <v>8528.038374</v>
      </c>
      <c r="F310" s="136">
        <v>1.3</v>
      </c>
      <c r="G310" s="124">
        <v>13156.0</v>
      </c>
      <c r="H310" s="125">
        <v>8897.0</v>
      </c>
      <c r="I310" s="125">
        <v>2296.0</v>
      </c>
      <c r="J310" s="125">
        <v>981.0</v>
      </c>
      <c r="K310" s="125">
        <v>495.0</v>
      </c>
      <c r="L310" s="125">
        <v>490.0</v>
      </c>
      <c r="M310" s="126">
        <v>88.0</v>
      </c>
      <c r="N310" s="138">
        <v>88.0</v>
      </c>
      <c r="O310" s="146"/>
      <c r="P310" s="127">
        <v>88.0</v>
      </c>
      <c r="Q310" s="135" t="b">
        <v>1</v>
      </c>
      <c r="R310" s="133">
        <v>4.0</v>
      </c>
      <c r="S310" s="133">
        <v>8.0</v>
      </c>
      <c r="T310" s="133" t="s">
        <v>314</v>
      </c>
      <c r="U310" s="133">
        <v>5.0</v>
      </c>
      <c r="V310" s="129"/>
      <c r="W310" s="130" t="s">
        <v>84</v>
      </c>
      <c r="X310" s="130" t="s">
        <v>315</v>
      </c>
      <c r="Y310" s="130" t="s">
        <v>123</v>
      </c>
      <c r="Z310" s="131" t="b">
        <v>1</v>
      </c>
      <c r="AA310" s="131">
        <v>0.01597222222222222</v>
      </c>
      <c r="AB310" s="130" t="s">
        <v>50</v>
      </c>
      <c r="AC310" s="130" t="s">
        <v>882</v>
      </c>
      <c r="AD310" s="130" t="s">
        <v>1074</v>
      </c>
      <c r="AE310" s="130" t="s">
        <v>134</v>
      </c>
      <c r="AF310" s="132" t="s">
        <v>373</v>
      </c>
      <c r="AG310" s="133" t="b">
        <v>0</v>
      </c>
      <c r="AH310" s="133">
        <v>591.0</v>
      </c>
      <c r="AI310" s="133">
        <v>2009.0</v>
      </c>
      <c r="AJ310" s="133">
        <v>2024.0</v>
      </c>
      <c r="AK310" s="133">
        <v>7.0</v>
      </c>
      <c r="AL310" s="129" t="str">
        <f>IFERROR(__xludf.DUMMYFUNCTION("""COMPUTED_VALUE"""),"Business, Green")</f>
        <v>Business, Green</v>
      </c>
      <c r="AM310" s="129" t="str">
        <f>IFERROR(__xludf.DUMMYFUNCTION("""COMPUTED_VALUE"""),"2 Bedroom Suites, Adult Pool, Babysitting, Beach, Buffet, Evening Entertainment, Family Suite, Gym, Heated Pool, Kids Club, Kids Waterpark, Nightclub, Pool Slide, Spa, Swim Out/Plunge Pool Rooms, Swim Up Bar, Teen Club, Tennis, Water Feature, Wifi (Free)")</f>
        <v>2 Bedroom Suites, Adult Pool, Babysitting, Beach, Buffet, Evening Entertainment, Family Suite, Gym, Heated Pool, Kids Club, Kids Waterpark, Nightclub, Pool Slide, Spa, Swim Out/Plunge Pool Rooms, Swim Up Bar, Teen Club, Tennis, Water Feature, Wifi (Free)</v>
      </c>
      <c r="AN310" s="139"/>
    </row>
    <row r="311">
      <c r="A311" s="118" t="s">
        <v>1075</v>
      </c>
      <c r="B311" s="119">
        <v>88.0</v>
      </c>
      <c r="C311" s="134" t="s">
        <v>75</v>
      </c>
      <c r="D311" s="121">
        <v>17409.0</v>
      </c>
      <c r="E311" s="135">
        <f>IFERROR(__xludf.DUMMYFUNCTION("""COMPUTED_VALUE"""),24042.697709099997)</f>
        <v>24042.69771</v>
      </c>
      <c r="F311" s="136">
        <v>0.46</v>
      </c>
      <c r="G311" s="124">
        <v>698.0</v>
      </c>
      <c r="H311" s="125">
        <v>473.0</v>
      </c>
      <c r="I311" s="125">
        <v>107.0</v>
      </c>
      <c r="J311" s="125">
        <v>57.0</v>
      </c>
      <c r="K311" s="125">
        <v>36.0</v>
      </c>
      <c r="L311" s="125">
        <v>26.0</v>
      </c>
      <c r="M311" s="126">
        <v>88.0</v>
      </c>
      <c r="N311" s="127">
        <v>88.0</v>
      </c>
      <c r="O311" s="146"/>
      <c r="P311" s="127">
        <v>88.0</v>
      </c>
      <c r="Q311" s="126" t="b">
        <v>1</v>
      </c>
      <c r="R311" s="128"/>
      <c r="S311" s="133">
        <v>9.0</v>
      </c>
      <c r="T311" s="133" t="s">
        <v>192</v>
      </c>
      <c r="U311" s="133">
        <v>5.0</v>
      </c>
      <c r="V311" s="130" t="s">
        <v>91</v>
      </c>
      <c r="W311" s="130" t="s">
        <v>96</v>
      </c>
      <c r="X311" s="130" t="s">
        <v>460</v>
      </c>
      <c r="Y311" s="130" t="s">
        <v>98</v>
      </c>
      <c r="Z311" s="133" t="b">
        <v>0</v>
      </c>
      <c r="AA311" s="131">
        <v>0.04513888888888889</v>
      </c>
      <c r="AB311" s="130" t="s">
        <v>50</v>
      </c>
      <c r="AC311" s="130" t="s">
        <v>587</v>
      </c>
      <c r="AD311" s="130" t="s">
        <v>1076</v>
      </c>
      <c r="AE311" s="130"/>
      <c r="AF311" s="132" t="s">
        <v>135</v>
      </c>
      <c r="AG311" s="133" t="b">
        <v>0</v>
      </c>
      <c r="AH311" s="133">
        <v>124.0</v>
      </c>
      <c r="AI311" s="133">
        <v>2006.0</v>
      </c>
      <c r="AJ311" s="133">
        <v>2022.0</v>
      </c>
      <c r="AK311" s="133">
        <v>4.0</v>
      </c>
      <c r="AL311" s="129" t="str">
        <f>IFERROR(__xludf.DUMMYFUNCTION("""COMPUTED_VALUE"""),"Bay View, Family")</f>
        <v>Bay View, Family</v>
      </c>
      <c r="AM311" s="129" t="str">
        <f>IFERROR(__xludf.DUMMYFUNCTION("""COMPUTED_VALUE"""),"Babysitting, Buffet, Fishing, Gym, Spa, Swim Out/Plunge Pool Rooms, Swim Up Bar, Wifi (Free)")</f>
        <v>Babysitting, Buffet, Fishing, Gym, Spa, Swim Out/Plunge Pool Rooms, Swim Up Bar, Wifi (Free)</v>
      </c>
      <c r="AN311" s="139"/>
    </row>
    <row r="312">
      <c r="A312" s="118" t="s">
        <v>1077</v>
      </c>
      <c r="B312" s="119">
        <v>87.8</v>
      </c>
      <c r="C312" s="134" t="s">
        <v>75</v>
      </c>
      <c r="D312" s="121">
        <v>4059.63</v>
      </c>
      <c r="E312" s="135">
        <f>IFERROR(__xludf.DUMMYFUNCTION("""COMPUTED_VALUE"""),5606.551605537)</f>
        <v>5606.551606</v>
      </c>
      <c r="F312" s="136">
        <v>1.92</v>
      </c>
      <c r="G312" s="124">
        <v>5391.0</v>
      </c>
      <c r="H312" s="125">
        <v>3862.0</v>
      </c>
      <c r="I312" s="125">
        <v>742.0</v>
      </c>
      <c r="J312" s="125">
        <v>363.0</v>
      </c>
      <c r="K312" s="125">
        <v>206.0</v>
      </c>
      <c r="L312" s="125">
        <v>221.0</v>
      </c>
      <c r="M312" s="126">
        <v>89.0</v>
      </c>
      <c r="N312" s="138">
        <v>90.0</v>
      </c>
      <c r="O312" s="127">
        <v>86.0</v>
      </c>
      <c r="P312" s="127">
        <v>86.0</v>
      </c>
      <c r="Q312" s="135" t="b">
        <v>1</v>
      </c>
      <c r="R312" s="133">
        <v>4.0</v>
      </c>
      <c r="S312" s="133">
        <v>9.0</v>
      </c>
      <c r="T312" s="133"/>
      <c r="U312" s="133">
        <v>5.0</v>
      </c>
      <c r="V312" s="130"/>
      <c r="W312" s="130" t="s">
        <v>84</v>
      </c>
      <c r="X312" s="130" t="s">
        <v>85</v>
      </c>
      <c r="Y312" s="130" t="s">
        <v>86</v>
      </c>
      <c r="Z312" s="131" t="b">
        <v>1</v>
      </c>
      <c r="AA312" s="131">
        <v>0.030555555555555555</v>
      </c>
      <c r="AB312" s="130" t="s">
        <v>50</v>
      </c>
      <c r="AC312" s="130" t="s">
        <v>714</v>
      </c>
      <c r="AD312" s="130" t="s">
        <v>1078</v>
      </c>
      <c r="AE312" s="130" t="s">
        <v>134</v>
      </c>
      <c r="AF312" s="132" t="s">
        <v>126</v>
      </c>
      <c r="AG312" s="133" t="b">
        <v>0</v>
      </c>
      <c r="AH312" s="133">
        <v>314.0</v>
      </c>
      <c r="AI312" s="133">
        <v>2014.0</v>
      </c>
      <c r="AJ312" s="143"/>
      <c r="AK312" s="133">
        <v>5.0</v>
      </c>
      <c r="AL312" s="129" t="str">
        <f>IFERROR(__xludf.DUMMYFUNCTION("""COMPUTED_VALUE"""),"Modern, Trendy")</f>
        <v>Modern, Trendy</v>
      </c>
      <c r="AM312" s="129" t="str">
        <f>IFERROR(__xludf.DUMMYFUNCTION("""COMPUTED_VALUE"""),"Adult Pool, Arcade, Babysitting, Beach, Bicycles Available, Buffet, Gym, Heated Pool, Kids Club, Nightclub, Pets Allowed, Room Service, Spa, Swim Out/Plunge Pool Rooms, Teen Club, Wifi (Free), Yoga Classes")</f>
        <v>Adult Pool, Arcade, Babysitting, Beach, Bicycles Available, Buffet, Gym, Heated Pool, Kids Club, Nightclub, Pets Allowed, Room Service, Spa, Swim Out/Plunge Pool Rooms, Teen Club, Wifi (Free), Yoga Classes</v>
      </c>
      <c r="AN312" s="139"/>
    </row>
    <row r="313">
      <c r="A313" s="118" t="s">
        <v>1079</v>
      </c>
      <c r="B313" s="119">
        <v>87.8</v>
      </c>
      <c r="C313" s="120" t="s">
        <v>68</v>
      </c>
      <c r="D313" s="121">
        <v>4775.56</v>
      </c>
      <c r="E313" s="122">
        <f>IFERROR(__xludf.DUMMYFUNCTION("""COMPUTED_VALUE"""),6595.286660444)</f>
        <v>6595.28666</v>
      </c>
      <c r="F313" s="136">
        <v>1.63</v>
      </c>
      <c r="G313" s="124">
        <v>7885.0</v>
      </c>
      <c r="H313" s="125">
        <v>5402.0</v>
      </c>
      <c r="I313" s="125">
        <v>1375.0</v>
      </c>
      <c r="J313" s="125">
        <v>591.0</v>
      </c>
      <c r="K313" s="125">
        <v>269.0</v>
      </c>
      <c r="L313" s="125">
        <v>250.0</v>
      </c>
      <c r="M313" s="126">
        <v>89.0</v>
      </c>
      <c r="N313" s="138">
        <v>88.0</v>
      </c>
      <c r="O313" s="127">
        <v>86.0</v>
      </c>
      <c r="P313" s="127">
        <v>88.0</v>
      </c>
      <c r="Q313" s="122" t="b">
        <v>1</v>
      </c>
      <c r="R313" s="133">
        <v>4.0</v>
      </c>
      <c r="S313" s="133">
        <v>8.0</v>
      </c>
      <c r="T313" s="133" t="s">
        <v>314</v>
      </c>
      <c r="U313" s="133">
        <v>5.0</v>
      </c>
      <c r="V313" s="129"/>
      <c r="W313" s="130" t="s">
        <v>219</v>
      </c>
      <c r="X313" s="130" t="s">
        <v>713</v>
      </c>
      <c r="Y313" s="144" t="s">
        <v>221</v>
      </c>
      <c r="Z313" s="131" t="b">
        <v>1</v>
      </c>
      <c r="AA313" s="131">
        <v>0.008333333333333333</v>
      </c>
      <c r="AB313" s="130" t="s">
        <v>50</v>
      </c>
      <c r="AC313" s="130" t="s">
        <v>1080</v>
      </c>
      <c r="AD313" s="130" t="s">
        <v>1081</v>
      </c>
      <c r="AE313" s="129"/>
      <c r="AF313" s="132"/>
      <c r="AG313" s="133" t="b">
        <v>0</v>
      </c>
      <c r="AH313" s="133">
        <v>234.0</v>
      </c>
      <c r="AI313" s="133">
        <v>2000.0</v>
      </c>
      <c r="AJ313" s="133">
        <v>2014.0</v>
      </c>
      <c r="AK313" s="133">
        <v>5.0</v>
      </c>
      <c r="AL313" s="129" t="str">
        <f>IFERROR(__xludf.DUMMYFUNCTION("""COMPUTED_VALUE"""),"Green, Modern")</f>
        <v>Green, Modern</v>
      </c>
      <c r="AM313" s="129" t="str">
        <f>IFERROR(__xludf.DUMMYFUNCTION("""COMPUTED_VALUE"""),"Beach, Buffet, Evening Entertainment, Gym, Nightclub, Spa, Swim Out/Plunge Pool Rooms, Swim Up Bar, Tennis, Wifi (Free)")</f>
        <v>Beach, Buffet, Evening Entertainment, Gym, Nightclub, Spa, Swim Out/Plunge Pool Rooms, Swim Up Bar, Tennis, Wifi (Free)</v>
      </c>
      <c r="AN313" s="128"/>
    </row>
    <row r="314">
      <c r="A314" s="118" t="s">
        <v>1082</v>
      </c>
      <c r="B314" s="119">
        <v>87.8</v>
      </c>
      <c r="C314" s="134" t="s">
        <v>75</v>
      </c>
      <c r="D314" s="121">
        <v>9534.0</v>
      </c>
      <c r="E314" s="135">
        <f>IFERROR(__xludf.DUMMYFUNCTION("""COMPUTED_VALUE"""),13166.929746599999)</f>
        <v>13166.92975</v>
      </c>
      <c r="F314" s="136">
        <v>0.82</v>
      </c>
      <c r="G314" s="124">
        <v>9419.0</v>
      </c>
      <c r="H314" s="125">
        <v>5726.0</v>
      </c>
      <c r="I314" s="125">
        <v>2601.0</v>
      </c>
      <c r="J314" s="125">
        <v>709.0</v>
      </c>
      <c r="K314" s="125">
        <v>226.0</v>
      </c>
      <c r="L314" s="125">
        <v>158.0</v>
      </c>
      <c r="M314" s="126">
        <v>89.0</v>
      </c>
      <c r="N314" s="138">
        <v>86.0</v>
      </c>
      <c r="O314" s="138">
        <v>88.0</v>
      </c>
      <c r="P314" s="127">
        <v>88.0</v>
      </c>
      <c r="Q314" s="135" t="b">
        <v>1</v>
      </c>
      <c r="R314" s="133"/>
      <c r="S314" s="133">
        <v>7.0</v>
      </c>
      <c r="T314" s="133"/>
      <c r="U314" s="133">
        <v>4.0</v>
      </c>
      <c r="V314" s="129"/>
      <c r="W314" s="130" t="s">
        <v>96</v>
      </c>
      <c r="X314" s="130" t="s">
        <v>97</v>
      </c>
      <c r="Y314" s="130" t="s">
        <v>98</v>
      </c>
      <c r="Z314" s="133" t="b">
        <v>0</v>
      </c>
      <c r="AA314" s="131">
        <v>0.004166666666666667</v>
      </c>
      <c r="AB314" s="129"/>
      <c r="AC314" s="130" t="s">
        <v>469</v>
      </c>
      <c r="AD314" s="130" t="s">
        <v>1083</v>
      </c>
      <c r="AE314" s="130" t="s">
        <v>396</v>
      </c>
      <c r="AF314" s="132" t="s">
        <v>126</v>
      </c>
      <c r="AG314" s="133" t="b">
        <v>0</v>
      </c>
      <c r="AH314" s="133">
        <v>250.0</v>
      </c>
      <c r="AI314" s="133">
        <v>1970.0</v>
      </c>
      <c r="AJ314" s="133">
        <v>2024.0</v>
      </c>
      <c r="AK314" s="133">
        <v>4.0</v>
      </c>
      <c r="AL314" s="129" t="str">
        <f>IFERROR(__xludf.DUMMYFUNCTION("""COMPUTED_VALUE"""),"Charming")</f>
        <v>Charming</v>
      </c>
      <c r="AM314" s="129" t="str">
        <f>IFERROR(__xludf.DUMMYFUNCTION("""COMPUTED_VALUE"""),"2 Bedroom Suites, Adult Pool, Adults Only Rooms, Babysitting, Beach, Buffet, Diving, Evening Entertainment, Family Suite, Fishing, Gym, Hiking, Horseback Riding, Kids Club, Kids Waterpark, Lazy River, Nightclub, Pool Slide, Snorkelling, Spa, Swim Up Bar, "&amp;"Teen Club, Tennis, Water Feature, Wifi (Free), Windsurfing, Yoga Classes")</f>
        <v>2 Bedroom Suites, Adult Pool, Adults Only Rooms, Babysitting, Beach, Buffet, Diving, Evening Entertainment, Family Suite, Fishing, Gym, Hiking, Horseback Riding, Kids Club, Kids Waterpark, Lazy River, Nightclub, Pool Slide, Snorkelling, Spa, Swim Up Bar, Teen Club, Tennis, Water Feature, Wifi (Free), Windsurfing, Yoga Classes</v>
      </c>
      <c r="AN314" s="139"/>
    </row>
    <row r="315">
      <c r="A315" s="118" t="s">
        <v>1084</v>
      </c>
      <c r="B315" s="119">
        <v>87.7</v>
      </c>
      <c r="C315" s="120" t="s">
        <v>68</v>
      </c>
      <c r="D315" s="121">
        <v>1324.4</v>
      </c>
      <c r="E315" s="122">
        <f>IFERROR(__xludf.DUMMYFUNCTION("""COMPUTED_VALUE"""),1829.06248756)</f>
        <v>1829.062488</v>
      </c>
      <c r="F315" s="136">
        <v>5.81</v>
      </c>
      <c r="G315" s="124">
        <v>6019.0</v>
      </c>
      <c r="H315" s="125">
        <v>4211.0</v>
      </c>
      <c r="I315" s="125">
        <v>1262.0</v>
      </c>
      <c r="J315" s="125">
        <v>355.0</v>
      </c>
      <c r="K315" s="125">
        <v>112.0</v>
      </c>
      <c r="L315" s="125">
        <v>79.0</v>
      </c>
      <c r="M315" s="126">
        <v>91.0</v>
      </c>
      <c r="N315" s="127">
        <v>88.0</v>
      </c>
      <c r="O315" s="127"/>
      <c r="P315" s="127">
        <v>84.0</v>
      </c>
      <c r="Q315" s="122" t="b">
        <v>1</v>
      </c>
      <c r="R315" s="128"/>
      <c r="S315" s="128"/>
      <c r="T315" s="128"/>
      <c r="U315" s="133">
        <v>4.0</v>
      </c>
      <c r="V315" s="129"/>
      <c r="W315" s="130" t="s">
        <v>276</v>
      </c>
      <c r="X315" s="130" t="s">
        <v>1085</v>
      </c>
      <c r="Y315" s="130" t="s">
        <v>393</v>
      </c>
      <c r="Z315" s="131" t="b">
        <v>1</v>
      </c>
      <c r="AA315" s="131">
        <v>0.034722222222222224</v>
      </c>
      <c r="AB315" s="130" t="s">
        <v>1086</v>
      </c>
      <c r="AC315" s="129"/>
      <c r="AD315" s="130" t="s">
        <v>1087</v>
      </c>
      <c r="AE315" s="129"/>
      <c r="AF315" s="132"/>
      <c r="AG315" s="133" t="b">
        <v>0</v>
      </c>
      <c r="AH315" s="133">
        <v>250.0</v>
      </c>
      <c r="AI315" s="133">
        <v>1999.0</v>
      </c>
      <c r="AJ315" s="133">
        <v>2013.0</v>
      </c>
      <c r="AK315" s="133">
        <v>2.0</v>
      </c>
      <c r="AL315" s="129"/>
      <c r="AM315" s="129" t="str">
        <f>IFERROR(__xludf.DUMMYFUNCTION("""COMPUTED_VALUE"""),"Beach, Buffet, Diving, Evening Entertainment, Gym, Nightclub, Snorkelling, Tennis")</f>
        <v>Beach, Buffet, Diving, Evening Entertainment, Gym, Nightclub, Snorkelling, Tennis</v>
      </c>
      <c r="AN315" s="128"/>
    </row>
    <row r="316">
      <c r="A316" s="118" t="s">
        <v>1088</v>
      </c>
      <c r="B316" s="149">
        <v>87.7</v>
      </c>
      <c r="C316" s="120" t="s">
        <v>68</v>
      </c>
      <c r="D316" s="121">
        <v>2041.55</v>
      </c>
      <c r="E316" s="122">
        <f>IFERROR(__xludf.DUMMYFUNCTION("""COMPUTED_VALUE"""),2819.4824233449995)</f>
        <v>2819.482423</v>
      </c>
      <c r="F316" s="123">
        <v>3.77</v>
      </c>
      <c r="G316" s="124">
        <v>15275.0</v>
      </c>
      <c r="H316" s="125">
        <v>10215.0</v>
      </c>
      <c r="I316" s="125">
        <v>2966.0</v>
      </c>
      <c r="J316" s="125">
        <v>1044.0</v>
      </c>
      <c r="K316" s="125">
        <v>591.0</v>
      </c>
      <c r="L316" s="125">
        <v>461.0</v>
      </c>
      <c r="M316" s="126">
        <v>89.0</v>
      </c>
      <c r="N316" s="127">
        <v>88.0</v>
      </c>
      <c r="O316" s="127"/>
      <c r="P316" s="127">
        <v>86.0</v>
      </c>
      <c r="Q316" s="122" t="b">
        <v>1</v>
      </c>
      <c r="R316" s="133"/>
      <c r="S316" s="133">
        <v>7.0</v>
      </c>
      <c r="T316" s="133"/>
      <c r="U316" s="133">
        <v>4.5</v>
      </c>
      <c r="V316" s="129"/>
      <c r="W316" s="130" t="s">
        <v>84</v>
      </c>
      <c r="X316" s="130" t="s">
        <v>85</v>
      </c>
      <c r="Y316" s="130" t="s">
        <v>86</v>
      </c>
      <c r="Z316" s="131" t="b">
        <v>1</v>
      </c>
      <c r="AA316" s="131">
        <v>0.03263888888888889</v>
      </c>
      <c r="AB316" s="130" t="s">
        <v>412</v>
      </c>
      <c r="AC316" s="130" t="s">
        <v>1089</v>
      </c>
      <c r="AD316" s="130" t="s">
        <v>1090</v>
      </c>
      <c r="AE316" s="130"/>
      <c r="AF316" s="132"/>
      <c r="AG316" s="133" t="b">
        <v>0</v>
      </c>
      <c r="AH316" s="133">
        <v>287.0</v>
      </c>
      <c r="AI316" s="133">
        <v>1998.0</v>
      </c>
      <c r="AJ316" s="133">
        <v>2021.0</v>
      </c>
      <c r="AK316" s="133">
        <v>3.0</v>
      </c>
      <c r="AL316" s="129" t="str">
        <f>IFERROR(__xludf.DUMMYFUNCTION("""COMPUTED_VALUE"""),"Business, Ocean View")</f>
        <v>Business, Ocean View</v>
      </c>
      <c r="AM316" s="129" t="str">
        <f>IFERROR(__xludf.DUMMYFUNCTION("""COMPUTED_VALUE"""),"Buffet, Evening Entertainment, Gym, Room Service, Spa, Swim Up Bar")</f>
        <v>Buffet, Evening Entertainment, Gym, Room Service, Spa, Swim Up Bar</v>
      </c>
      <c r="AN316" s="128"/>
    </row>
    <row r="317">
      <c r="A317" s="118" t="s">
        <v>1091</v>
      </c>
      <c r="B317" s="119">
        <v>87.7</v>
      </c>
      <c r="C317" s="134" t="s">
        <v>75</v>
      </c>
      <c r="D317" s="121">
        <v>2493.76</v>
      </c>
      <c r="E317" s="135">
        <f>IFERROR(__xludf.DUMMYFUNCTION("""COMPUTED_VALUE"""),3444.006998624)</f>
        <v>3444.006999</v>
      </c>
      <c r="F317" s="136">
        <v>3.09</v>
      </c>
      <c r="G317" s="124">
        <v>9392.0</v>
      </c>
      <c r="H317" s="125">
        <v>6451.0</v>
      </c>
      <c r="I317" s="125">
        <v>1607.0</v>
      </c>
      <c r="J317" s="125">
        <v>737.0</v>
      </c>
      <c r="K317" s="125">
        <v>370.0</v>
      </c>
      <c r="L317" s="125">
        <v>229.0</v>
      </c>
      <c r="M317" s="126">
        <v>89.0</v>
      </c>
      <c r="N317" s="127">
        <v>94.0</v>
      </c>
      <c r="O317" s="146"/>
      <c r="P317" s="127">
        <v>80.0</v>
      </c>
      <c r="Q317" s="135" t="b">
        <v>1</v>
      </c>
      <c r="R317" s="133"/>
      <c r="S317" s="133">
        <v>7.0</v>
      </c>
      <c r="T317" s="133"/>
      <c r="U317" s="133">
        <v>5.0</v>
      </c>
      <c r="V317" s="129"/>
      <c r="W317" s="130" t="s">
        <v>84</v>
      </c>
      <c r="X317" s="130" t="s">
        <v>665</v>
      </c>
      <c r="Y317" s="130" t="s">
        <v>1092</v>
      </c>
      <c r="Z317" s="131" t="b">
        <v>1</v>
      </c>
      <c r="AA317" s="131">
        <v>0.014583333333333334</v>
      </c>
      <c r="AB317" s="130" t="s">
        <v>362</v>
      </c>
      <c r="AC317" s="130" t="s">
        <v>1093</v>
      </c>
      <c r="AD317" s="130" t="s">
        <v>1094</v>
      </c>
      <c r="AE317" s="130"/>
      <c r="AF317" s="132" t="s">
        <v>1095</v>
      </c>
      <c r="AG317" s="133" t="b">
        <v>1</v>
      </c>
      <c r="AH317" s="133">
        <v>398.0</v>
      </c>
      <c r="AI317" s="133">
        <v>1983.0</v>
      </c>
      <c r="AJ317" s="133">
        <v>2014.0</v>
      </c>
      <c r="AK317" s="133">
        <v>12.0</v>
      </c>
      <c r="AL317" s="129" t="str">
        <f>IFERROR(__xludf.DUMMYFUNCTION("""COMPUTED_VALUE"""),"Centrally Located, Ocean View")</f>
        <v>Centrally Located, Ocean View</v>
      </c>
      <c r="AM317" s="129" t="str">
        <f>IFERROR(__xludf.DUMMYFUNCTION("""COMPUTED_VALUE"""),"Archery, Beach, Bicycles Available, Buffet, Evening Entertainment, Gym, Kids Club, Kids Waterpark, Nightclub, Spa, Swim Up Bar, Tennis")</f>
        <v>Archery, Beach, Bicycles Available, Buffet, Evening Entertainment, Gym, Kids Club, Kids Waterpark, Nightclub, Spa, Swim Up Bar, Tennis</v>
      </c>
      <c r="AN317" s="139"/>
    </row>
    <row r="318">
      <c r="A318" s="118" t="s">
        <v>1096</v>
      </c>
      <c r="B318" s="119">
        <v>87.7</v>
      </c>
      <c r="C318" s="134" t="s">
        <v>75</v>
      </c>
      <c r="D318" s="121">
        <v>3180.1</v>
      </c>
      <c r="E318" s="135">
        <f>IFERROR(__xludf.DUMMYFUNCTION("""COMPUTED_VALUE"""),4391.876786989999)</f>
        <v>4391.876787</v>
      </c>
      <c r="F318" s="136">
        <v>2.42</v>
      </c>
      <c r="G318" s="124">
        <v>3596.0</v>
      </c>
      <c r="H318" s="125">
        <v>1791.0</v>
      </c>
      <c r="I318" s="125">
        <v>1212.0</v>
      </c>
      <c r="J318" s="125">
        <v>349.0</v>
      </c>
      <c r="K318" s="125">
        <v>140.0</v>
      </c>
      <c r="L318" s="125">
        <v>105.0</v>
      </c>
      <c r="M318" s="137">
        <v>85.0</v>
      </c>
      <c r="N318" s="138">
        <v>88.0</v>
      </c>
      <c r="O318" s="127"/>
      <c r="P318" s="138">
        <v>90.0</v>
      </c>
      <c r="Q318" s="137" t="b">
        <v>1</v>
      </c>
      <c r="R318" s="133"/>
      <c r="S318" s="133">
        <v>7.0</v>
      </c>
      <c r="T318" s="133"/>
      <c r="U318" s="133">
        <v>4.0</v>
      </c>
      <c r="V318" s="129"/>
      <c r="W318" s="130" t="s">
        <v>1097</v>
      </c>
      <c r="X318" s="130" t="s">
        <v>1098</v>
      </c>
      <c r="Y318" s="130" t="s">
        <v>1097</v>
      </c>
      <c r="Z318" s="133" t="b">
        <v>0</v>
      </c>
      <c r="AA318" s="131">
        <v>0.002777777777777778</v>
      </c>
      <c r="AB318" s="129"/>
      <c r="AC318" s="130" t="s">
        <v>554</v>
      </c>
      <c r="AD318" s="130" t="s">
        <v>1099</v>
      </c>
      <c r="AE318" s="130"/>
      <c r="AF318" s="132" t="s">
        <v>373</v>
      </c>
      <c r="AG318" s="133" t="b">
        <v>0</v>
      </c>
      <c r="AH318" s="133">
        <v>201.0</v>
      </c>
      <c r="AI318" s="133">
        <v>1973.0</v>
      </c>
      <c r="AJ318" s="133">
        <v>2008.0</v>
      </c>
      <c r="AK318" s="133">
        <v>3.0</v>
      </c>
      <c r="AL318" s="129" t="str">
        <f>IFERROR(__xludf.DUMMYFUNCTION("""COMPUTED_VALUE"""),"Bay View, Business")</f>
        <v>Bay View, Business</v>
      </c>
      <c r="AM318" s="129" t="str">
        <f>IFERROR(__xludf.DUMMYFUNCTION("""COMPUTED_VALUE"""),"Beach, Buffet, Diving, Evening Entertainment, Fishing, Gym, Heated Pool, Hiking, Snorkelling, Spa, Watersports Equipment Rentals, Wifi (Free), Windsurfing, Yoga Classes")</f>
        <v>Beach, Buffet, Diving, Evening Entertainment, Fishing, Gym, Heated Pool, Hiking, Snorkelling, Spa, Watersports Equipment Rentals, Wifi (Free), Windsurfing, Yoga Classes</v>
      </c>
      <c r="AN318" s="139"/>
    </row>
    <row r="319">
      <c r="A319" s="118" t="s">
        <v>1100</v>
      </c>
      <c r="B319" s="119">
        <v>87.7</v>
      </c>
      <c r="C319" s="134" t="s">
        <v>75</v>
      </c>
      <c r="D319" s="121">
        <v>3565.35</v>
      </c>
      <c r="E319" s="135">
        <f>IFERROR(__xludf.DUMMYFUNCTION("""COMPUTED_VALUE"""),4923.9262609649995)</f>
        <v>4923.926261</v>
      </c>
      <c r="F319" s="136">
        <v>2.16</v>
      </c>
      <c r="G319" s="124">
        <v>16405.0</v>
      </c>
      <c r="H319" s="125">
        <v>10424.0</v>
      </c>
      <c r="I319" s="125">
        <v>3446.0</v>
      </c>
      <c r="J319" s="125">
        <v>1240.0</v>
      </c>
      <c r="K319" s="125">
        <v>638.0</v>
      </c>
      <c r="L319" s="125">
        <v>659.0</v>
      </c>
      <c r="M319" s="126">
        <v>87.0</v>
      </c>
      <c r="N319" s="127">
        <v>88.0</v>
      </c>
      <c r="O319" s="146"/>
      <c r="P319" s="127">
        <v>88.0</v>
      </c>
      <c r="Q319" s="135" t="b">
        <v>1</v>
      </c>
      <c r="R319" s="133"/>
      <c r="S319" s="133">
        <v>7.0</v>
      </c>
      <c r="T319" s="133"/>
      <c r="U319" s="133">
        <v>4.5</v>
      </c>
      <c r="V319" s="130"/>
      <c r="W319" s="130" t="s">
        <v>84</v>
      </c>
      <c r="X319" s="130" t="s">
        <v>86</v>
      </c>
      <c r="Y319" s="130" t="s">
        <v>86</v>
      </c>
      <c r="Z319" s="131" t="b">
        <v>1</v>
      </c>
      <c r="AA319" s="131">
        <v>0.01875</v>
      </c>
      <c r="AB319" s="130" t="s">
        <v>412</v>
      </c>
      <c r="AC319" s="130" t="s">
        <v>656</v>
      </c>
      <c r="AD319" s="130" t="s">
        <v>1101</v>
      </c>
      <c r="AE319" s="130"/>
      <c r="AF319" s="132" t="s">
        <v>373</v>
      </c>
      <c r="AG319" s="133" t="b">
        <v>0</v>
      </c>
      <c r="AH319" s="133">
        <v>458.0</v>
      </c>
      <c r="AI319" s="133">
        <v>1986.0</v>
      </c>
      <c r="AJ319" s="133">
        <v>2021.0</v>
      </c>
      <c r="AK319" s="133">
        <v>6.0</v>
      </c>
      <c r="AL319" s="129" t="str">
        <f>IFERROR(__xludf.DUMMYFUNCTION("""COMPUTED_VALUE"""),"Family, Green")</f>
        <v>Family, Green</v>
      </c>
      <c r="AM319" s="129" t="str">
        <f>IFERROR(__xludf.DUMMYFUNCTION("""COMPUTED_VALUE"""),"Babysitting, Beach, Buffet, Diving, Evening Entertainment, Fishing, Gym, Heated Pool, Kids Club, Kids Waterpark, Nightclub, Room Service, Spa, Teen Club")</f>
        <v>Babysitting, Beach, Buffet, Diving, Evening Entertainment, Fishing, Gym, Heated Pool, Kids Club, Kids Waterpark, Nightclub, Room Service, Spa, Teen Club</v>
      </c>
      <c r="AN319" s="139"/>
    </row>
    <row r="320">
      <c r="A320" s="140" t="s">
        <v>1102</v>
      </c>
      <c r="B320" s="119">
        <v>87.7</v>
      </c>
      <c r="C320" s="141" t="s">
        <v>68</v>
      </c>
      <c r="D320" s="142">
        <v>3798.48</v>
      </c>
      <c r="E320" s="122">
        <f>IFERROR(__xludf.DUMMYFUNCTION("""COMPUTED_VALUE"""),5245.8904241519995)</f>
        <v>5245.890424</v>
      </c>
      <c r="F320" s="136">
        <v>2.03</v>
      </c>
      <c r="G320" s="124">
        <v>1171.0</v>
      </c>
      <c r="H320" s="125">
        <v>827.0</v>
      </c>
      <c r="I320" s="125">
        <v>195.0</v>
      </c>
      <c r="J320" s="125">
        <v>68.0</v>
      </c>
      <c r="K320" s="125">
        <v>34.0</v>
      </c>
      <c r="L320" s="125">
        <v>47.0</v>
      </c>
      <c r="M320" s="126">
        <v>89.0</v>
      </c>
      <c r="N320" s="138">
        <v>84.0</v>
      </c>
      <c r="O320" s="127"/>
      <c r="P320" s="127">
        <v>90.0</v>
      </c>
      <c r="Q320" s="122" t="b">
        <v>1</v>
      </c>
      <c r="R320" s="143"/>
      <c r="S320" s="133" t="s">
        <v>83</v>
      </c>
      <c r="T320" s="143"/>
      <c r="U320" s="143">
        <v>5.0</v>
      </c>
      <c r="V320" s="144"/>
      <c r="W320" s="144" t="s">
        <v>84</v>
      </c>
      <c r="X320" s="144" t="s">
        <v>86</v>
      </c>
      <c r="Y320" s="144" t="s">
        <v>86</v>
      </c>
      <c r="Z320" s="145" t="b">
        <v>1</v>
      </c>
      <c r="AA320" s="145">
        <v>0.015277777777777777</v>
      </c>
      <c r="AB320" s="144" t="s">
        <v>655</v>
      </c>
      <c r="AC320" s="144" t="s">
        <v>1103</v>
      </c>
      <c r="AD320" s="130" t="s">
        <v>1104</v>
      </c>
      <c r="AE320" s="129"/>
      <c r="AF320" s="132"/>
      <c r="AG320" s="143" t="b">
        <v>1</v>
      </c>
      <c r="AH320" s="143">
        <v>400.0</v>
      </c>
      <c r="AI320" s="143">
        <v>2022.0</v>
      </c>
      <c r="AJ320" s="143"/>
      <c r="AK320" s="143"/>
      <c r="AL320" s="129" t="str">
        <f>IFERROR(__xludf.DUMMYFUNCTION("""COMPUTED_VALUE"""),"Mid-Range, Romantic")</f>
        <v>Mid-Range, Romantic</v>
      </c>
      <c r="AM320" s="129" t="str">
        <f>IFERROR(__xludf.DUMMYFUNCTION("""COMPUTED_VALUE"""),"Beach, Buffet, Evening Entertainment, Great for Parties, Gym, Spa, Swim Up Bar, Wifi (Free), Yoga Classes")</f>
        <v>Beach, Buffet, Evening Entertainment, Great for Parties, Gym, Spa, Swim Up Bar, Wifi (Free), Yoga Classes</v>
      </c>
      <c r="AN320" s="128"/>
    </row>
    <row r="321">
      <c r="A321" s="118" t="s">
        <v>1105</v>
      </c>
      <c r="B321" s="119">
        <v>87.7</v>
      </c>
      <c r="C321" s="134" t="s">
        <v>68</v>
      </c>
      <c r="D321" s="121">
        <v>4422.74</v>
      </c>
      <c r="E321" s="135">
        <f>IFERROR(__xludf.DUMMYFUNCTION("""COMPUTED_VALUE"""),6108.024634725999)</f>
        <v>6108.024635</v>
      </c>
      <c r="F321" s="136">
        <v>1.74</v>
      </c>
      <c r="G321" s="124">
        <v>9531.0</v>
      </c>
      <c r="H321" s="125">
        <v>6584.0</v>
      </c>
      <c r="I321" s="125">
        <v>1599.0</v>
      </c>
      <c r="J321" s="125">
        <v>680.0</v>
      </c>
      <c r="K321" s="125">
        <v>332.0</v>
      </c>
      <c r="L321" s="125">
        <v>337.0</v>
      </c>
      <c r="M321" s="126">
        <v>89.0</v>
      </c>
      <c r="N321" s="127">
        <v>94.0</v>
      </c>
      <c r="O321" s="146"/>
      <c r="P321" s="127">
        <v>80.0</v>
      </c>
      <c r="Q321" s="135" t="b">
        <v>1</v>
      </c>
      <c r="R321" s="133">
        <v>4.0</v>
      </c>
      <c r="S321" s="133">
        <v>8.0</v>
      </c>
      <c r="T321" s="133"/>
      <c r="U321" s="133">
        <v>5.0</v>
      </c>
      <c r="V321" s="130"/>
      <c r="W321" s="130" t="s">
        <v>84</v>
      </c>
      <c r="X321" s="130" t="s">
        <v>86</v>
      </c>
      <c r="Y321" s="130" t="s">
        <v>86</v>
      </c>
      <c r="Z321" s="131" t="b">
        <v>1</v>
      </c>
      <c r="AA321" s="131">
        <v>0.014583333333333334</v>
      </c>
      <c r="AB321" s="130" t="s">
        <v>553</v>
      </c>
      <c r="AC321" s="130" t="s">
        <v>885</v>
      </c>
      <c r="AD321" s="130" t="s">
        <v>241</v>
      </c>
      <c r="AE321" s="130"/>
      <c r="AF321" s="132" t="s">
        <v>373</v>
      </c>
      <c r="AG321" s="133" t="b">
        <v>1</v>
      </c>
      <c r="AH321" s="133">
        <v>215.0</v>
      </c>
      <c r="AI321" s="133">
        <v>1998.0</v>
      </c>
      <c r="AJ321" s="133">
        <v>2010.0</v>
      </c>
      <c r="AK321" s="133">
        <v>8.0</v>
      </c>
      <c r="AL321" s="129" t="str">
        <f>IFERROR(__xludf.DUMMYFUNCTION("""COMPUTED_VALUE"""),"Charming, Value")</f>
        <v>Charming, Value</v>
      </c>
      <c r="AM321" s="129" t="str">
        <f>IFERROR(__xludf.DUMMYFUNCTION("""COMPUTED_VALUE"""),"Beach")</f>
        <v>Beach</v>
      </c>
      <c r="AN321" s="139"/>
    </row>
    <row r="322">
      <c r="A322" s="118" t="s">
        <v>1106</v>
      </c>
      <c r="B322" s="119">
        <v>87.7</v>
      </c>
      <c r="C322" s="134" t="s">
        <v>75</v>
      </c>
      <c r="D322" s="121">
        <v>4687.0</v>
      </c>
      <c r="E322" s="135">
        <f>IFERROR(__xludf.DUMMYFUNCTION("""COMPUTED_VALUE"""),6472.980881299999)</f>
        <v>6472.980881</v>
      </c>
      <c r="F322" s="136">
        <v>1.64</v>
      </c>
      <c r="G322" s="124">
        <v>3038.0</v>
      </c>
      <c r="H322" s="125">
        <v>2259.0</v>
      </c>
      <c r="I322" s="125">
        <v>417.0</v>
      </c>
      <c r="J322" s="125">
        <v>182.0</v>
      </c>
      <c r="K322" s="125">
        <v>91.0</v>
      </c>
      <c r="L322" s="125">
        <v>92.0</v>
      </c>
      <c r="M322" s="126">
        <v>91.0</v>
      </c>
      <c r="N322" s="127">
        <v>88.0</v>
      </c>
      <c r="O322" s="146"/>
      <c r="P322" s="127">
        <v>84.0</v>
      </c>
      <c r="Q322" s="135" t="b">
        <v>1</v>
      </c>
      <c r="R322" s="133"/>
      <c r="S322" s="133">
        <v>8.0</v>
      </c>
      <c r="T322" s="133" t="s">
        <v>492</v>
      </c>
      <c r="U322" s="133">
        <v>5.0</v>
      </c>
      <c r="V322" s="130"/>
      <c r="W322" s="130" t="s">
        <v>84</v>
      </c>
      <c r="X322" s="130" t="s">
        <v>86</v>
      </c>
      <c r="Y322" s="130" t="s">
        <v>86</v>
      </c>
      <c r="Z322" s="131" t="b">
        <v>1</v>
      </c>
      <c r="AA322" s="131">
        <v>0.007638888888888889</v>
      </c>
      <c r="AB322" s="130" t="s">
        <v>50</v>
      </c>
      <c r="AC322" s="130" t="s">
        <v>1107</v>
      </c>
      <c r="AD322" s="130" t="s">
        <v>1108</v>
      </c>
      <c r="AE322" s="130" t="s">
        <v>396</v>
      </c>
      <c r="AF322" s="132" t="s">
        <v>318</v>
      </c>
      <c r="AG322" s="133" t="b">
        <v>1</v>
      </c>
      <c r="AH322" s="133">
        <v>416.0</v>
      </c>
      <c r="AI322" s="133">
        <v>2019.0</v>
      </c>
      <c r="AJ322" s="143"/>
      <c r="AK322" s="133">
        <v>15.0</v>
      </c>
      <c r="AL322" s="129" t="str">
        <f>IFERROR(__xludf.DUMMYFUNCTION("""COMPUTED_VALUE"""),"Business, Charming")</f>
        <v>Business, Charming</v>
      </c>
      <c r="AM322" s="129" t="str">
        <f>IFERROR(__xludf.DUMMYFUNCTION("""COMPUTED_VALUE"""),"2 Bedroom Suites, Adult Pool, Arcade, Babysitting, Beach, Buffet, Diving, Evening Entertainment, Family Suite, Flowrider, Golf Course, Gym, Heated Pool, Kids Club, Kids Club for Under 4, Kids Waterpark, Nightclub, Pets Allowed, Room Service, Snorkelling, "&amp;"Spa, Swim Out/Plunge Pool Rooms, Teen Club, Watersports Equipment Rentals, Wifi (Free), Windsurfing, Yoga Classes")</f>
        <v>2 Bedroom Suites, Adult Pool, Arcade, Babysitting, Beach, Buffet, Diving, Evening Entertainment, Family Suite, Flowrider, Golf Course, Gym, Heated Pool, Kids Club, Kids Club for Under 4, Kids Waterpark, Nightclub, Pets Allowed, Room Service, Snorkelling, Spa, Swim Out/Plunge Pool Rooms, Teen Club, Watersports Equipment Rentals, Wifi (Free), Windsurfing, Yoga Classes</v>
      </c>
      <c r="AN322" s="139"/>
    </row>
    <row r="323">
      <c r="A323" s="118" t="s">
        <v>1109</v>
      </c>
      <c r="B323" s="119">
        <v>87.7</v>
      </c>
      <c r="C323" s="134" t="s">
        <v>75</v>
      </c>
      <c r="D323" s="121">
        <v>4802.0</v>
      </c>
      <c r="E323" s="135">
        <f>IFERROR(__xludf.DUMMYFUNCTION("""COMPUTED_VALUE"""),6631.8016198)</f>
        <v>6631.80162</v>
      </c>
      <c r="F323" s="136">
        <v>1.6</v>
      </c>
      <c r="G323" s="124">
        <v>8721.0</v>
      </c>
      <c r="H323" s="125">
        <v>5722.0</v>
      </c>
      <c r="I323" s="125">
        <v>1847.0</v>
      </c>
      <c r="J323" s="125">
        <v>680.0</v>
      </c>
      <c r="K323" s="125">
        <v>288.0</v>
      </c>
      <c r="L323" s="125">
        <v>185.0</v>
      </c>
      <c r="M323" s="126">
        <v>89.0</v>
      </c>
      <c r="N323" s="127">
        <v>90.0</v>
      </c>
      <c r="O323" s="146"/>
      <c r="P323" s="127">
        <v>84.0</v>
      </c>
      <c r="Q323" s="135" t="b">
        <v>1</v>
      </c>
      <c r="R323" s="133">
        <v>3.0</v>
      </c>
      <c r="S323" s="133">
        <v>8.0</v>
      </c>
      <c r="T323" s="133" t="s">
        <v>955</v>
      </c>
      <c r="U323" s="133">
        <v>4.5</v>
      </c>
      <c r="V323" s="129"/>
      <c r="W323" s="130" t="s">
        <v>84</v>
      </c>
      <c r="X323" s="130" t="s">
        <v>1110</v>
      </c>
      <c r="Y323" s="130" t="s">
        <v>932</v>
      </c>
      <c r="Z323" s="133" t="b">
        <v>1</v>
      </c>
      <c r="AA323" s="131">
        <v>0.013888888888888888</v>
      </c>
      <c r="AB323" s="130" t="s">
        <v>50</v>
      </c>
      <c r="AC323" s="130" t="s">
        <v>929</v>
      </c>
      <c r="AD323" s="130" t="s">
        <v>1111</v>
      </c>
      <c r="AE323" s="130" t="s">
        <v>94</v>
      </c>
      <c r="AF323" s="132" t="s">
        <v>373</v>
      </c>
      <c r="AG323" s="133" t="b">
        <v>0</v>
      </c>
      <c r="AH323" s="133">
        <v>421.0</v>
      </c>
      <c r="AI323" s="133">
        <v>1989.0</v>
      </c>
      <c r="AJ323" s="133">
        <v>2008.0</v>
      </c>
      <c r="AK323" s="133">
        <v>4.0</v>
      </c>
      <c r="AL323" s="129" t="str">
        <f>IFERROR(__xludf.DUMMYFUNCTION("""COMPUTED_VALUE"""),"Business, Family")</f>
        <v>Business, Family</v>
      </c>
      <c r="AM323" s="129" t="str">
        <f>IFERROR(__xludf.DUMMYFUNCTION("""COMPUTED_VALUE"""),"Adult Pool, Archery, Babysitting, Beach, Buffet, Evening Entertainment, Fishing, Gym, Kids Club, Kids Club for Under 4, Room Service, Snorkelling, Spa, Windsurfing, Yoga Classes")</f>
        <v>Adult Pool, Archery, Babysitting, Beach, Buffet, Evening Entertainment, Fishing, Gym, Kids Club, Kids Club for Under 4, Room Service, Snorkelling, Spa, Windsurfing, Yoga Classes</v>
      </c>
      <c r="AN323" s="139"/>
    </row>
    <row r="324">
      <c r="A324" s="118" t="s">
        <v>1112</v>
      </c>
      <c r="B324" s="119">
        <v>87.7</v>
      </c>
      <c r="C324" s="134" t="s">
        <v>75</v>
      </c>
      <c r="D324" s="121">
        <v>4956.0</v>
      </c>
      <c r="E324" s="135">
        <f>IFERROR(__xludf.DUMMYFUNCTION("""COMPUTED_VALUE"""),6844.483304399999)</f>
        <v>6844.483304</v>
      </c>
      <c r="F324" s="136">
        <v>1.55</v>
      </c>
      <c r="G324" s="124">
        <v>8904.0</v>
      </c>
      <c r="H324" s="125">
        <v>7032.0</v>
      </c>
      <c r="I324" s="125">
        <v>1213.0</v>
      </c>
      <c r="J324" s="125">
        <v>342.0</v>
      </c>
      <c r="K324" s="125">
        <v>176.0</v>
      </c>
      <c r="L324" s="125">
        <v>145.0</v>
      </c>
      <c r="M324" s="126">
        <v>93.0</v>
      </c>
      <c r="N324" s="127">
        <v>86.0</v>
      </c>
      <c r="O324" s="127"/>
      <c r="P324" s="127">
        <v>84.0</v>
      </c>
      <c r="Q324" s="122" t="b">
        <v>1</v>
      </c>
      <c r="R324" s="133"/>
      <c r="S324" s="143">
        <v>8.0</v>
      </c>
      <c r="T324" s="133" t="s">
        <v>492</v>
      </c>
      <c r="U324" s="133">
        <v>5.0</v>
      </c>
      <c r="V324" s="130"/>
      <c r="W324" s="130" t="s">
        <v>193</v>
      </c>
      <c r="X324" s="130" t="s">
        <v>195</v>
      </c>
      <c r="Y324" s="130" t="s">
        <v>195</v>
      </c>
      <c r="Z324" s="131" t="b">
        <v>1</v>
      </c>
      <c r="AA324" s="131">
        <v>0.022222222222222223</v>
      </c>
      <c r="AB324" s="130" t="s">
        <v>50</v>
      </c>
      <c r="AC324" s="130" t="s">
        <v>1089</v>
      </c>
      <c r="AD324" s="130" t="s">
        <v>1113</v>
      </c>
      <c r="AE324" s="130"/>
      <c r="AF324" s="148" t="s">
        <v>1114</v>
      </c>
      <c r="AG324" s="143" t="b">
        <v>0</v>
      </c>
      <c r="AH324" s="143">
        <v>500.0</v>
      </c>
      <c r="AI324" s="143">
        <v>2020.0</v>
      </c>
      <c r="AJ324" s="143"/>
      <c r="AK324" s="143">
        <v>1.0</v>
      </c>
      <c r="AL324" s="129" t="str">
        <f>IFERROR(__xludf.DUMMYFUNCTION("""COMPUTED_VALUE"""),"Business, Ocean View")</f>
        <v>Business, Ocean View</v>
      </c>
      <c r="AM324" s="129" t="str">
        <f>IFERROR(__xludf.DUMMYFUNCTION("""COMPUTED_VALUE"""),"Adult Pool, Archery, Babysitting, Beach, Big Waterslides, Buffet, Diving, Evening Entertainment, Gym, Kids Club, Kids Club for Under 4, Kids Waterpark, Lazy River, Nightclub, Room Service, Snorkelling, Spa, Swim Up Bar, Teen Club, Tennis, Watersports Equi"&amp;"pment Rentals, Wifi (Free), Yoga Classes")</f>
        <v>Adult Pool, Archery, Babysitting, Beach, Big Waterslides, Buffet, Diving, Evening Entertainment, Gym, Kids Club, Kids Club for Under 4, Kids Waterpark, Lazy River, Nightclub, Room Service, Snorkelling, Spa, Swim Up Bar, Teen Club, Tennis, Watersports Equipment Rentals, Wifi (Free), Yoga Classes</v>
      </c>
      <c r="AN324" s="139"/>
    </row>
    <row r="325">
      <c r="A325" s="118" t="s">
        <v>1115</v>
      </c>
      <c r="B325" s="119">
        <v>87.7</v>
      </c>
      <c r="C325" s="134" t="s">
        <v>75</v>
      </c>
      <c r="D325" s="150">
        <v>4974.61</v>
      </c>
      <c r="E325" s="135">
        <f>IFERROR(__xludf.DUMMYFUNCTION("""COMPUTED_VALUE"""),6870.184643038999)</f>
        <v>6870.184643</v>
      </c>
      <c r="F325" s="136">
        <v>1.55</v>
      </c>
      <c r="G325" s="124">
        <v>7313.0</v>
      </c>
      <c r="H325" s="125">
        <v>4287.0</v>
      </c>
      <c r="I325" s="125">
        <v>1551.0</v>
      </c>
      <c r="J325" s="125">
        <v>745.0</v>
      </c>
      <c r="K325" s="125">
        <v>403.0</v>
      </c>
      <c r="L325" s="125">
        <v>326.0</v>
      </c>
      <c r="M325" s="126">
        <v>85.0</v>
      </c>
      <c r="N325" s="127">
        <v>96.0</v>
      </c>
      <c r="O325" s="146"/>
      <c r="P325" s="127">
        <v>82.0</v>
      </c>
      <c r="Q325" s="135" t="b">
        <v>1</v>
      </c>
      <c r="R325" s="133"/>
      <c r="S325" s="133">
        <v>8.0</v>
      </c>
      <c r="T325" s="133"/>
      <c r="U325" s="133">
        <v>5.0</v>
      </c>
      <c r="V325" s="130"/>
      <c r="W325" s="130" t="s">
        <v>84</v>
      </c>
      <c r="X325" s="130" t="s">
        <v>411</v>
      </c>
      <c r="Y325" s="130" t="s">
        <v>86</v>
      </c>
      <c r="Z325" s="131" t="b">
        <v>1</v>
      </c>
      <c r="AA325" s="131">
        <v>0.04375</v>
      </c>
      <c r="AB325" s="130" t="s">
        <v>412</v>
      </c>
      <c r="AC325" s="130" t="s">
        <v>1116</v>
      </c>
      <c r="AD325" s="130" t="s">
        <v>1117</v>
      </c>
      <c r="AE325" s="130"/>
      <c r="AF325" s="132" t="s">
        <v>373</v>
      </c>
      <c r="AG325" s="133" t="b">
        <v>0</v>
      </c>
      <c r="AH325" s="133">
        <v>264.0</v>
      </c>
      <c r="AI325" s="133">
        <v>2017.0</v>
      </c>
      <c r="AJ325" s="143"/>
      <c r="AK325" s="133">
        <v>3.0</v>
      </c>
      <c r="AL325" s="129" t="str">
        <f>IFERROR(__xludf.DUMMYFUNCTION("""COMPUTED_VALUE"""),"Charming, Quiet")</f>
        <v>Charming, Quiet</v>
      </c>
      <c r="AM325" s="129" t="str">
        <f>IFERROR(__xludf.DUMMYFUNCTION("""COMPUTED_VALUE"""),"Adult Pool, Adults Only Rooms, Babysitting, Beach, Buffet, Diving, Evening Entertainment, Gym, Kids Club, Kids Club for Under 4, Kids Waterpark, Mini Golf, Nightclub, Pool Slide, Spa, Swim Up Bar, Teen Club, Tennis, Water Feature")</f>
        <v>Adult Pool, Adults Only Rooms, Babysitting, Beach, Buffet, Diving, Evening Entertainment, Gym, Kids Club, Kids Club for Under 4, Kids Waterpark, Mini Golf, Nightclub, Pool Slide, Spa, Swim Up Bar, Teen Club, Tennis, Water Feature</v>
      </c>
      <c r="AN325" s="139"/>
    </row>
    <row r="326">
      <c r="A326" s="118" t="s">
        <v>1118</v>
      </c>
      <c r="B326" s="119">
        <v>87.7</v>
      </c>
      <c r="C326" s="134" t="s">
        <v>75</v>
      </c>
      <c r="D326" s="121">
        <v>5852.0</v>
      </c>
      <c r="E326" s="135">
        <f>IFERROR(__xludf.DUMMYFUNCTION("""COMPUTED_VALUE"""),8081.9040147999995)</f>
        <v>8081.904015</v>
      </c>
      <c r="F326" s="136">
        <v>1.32</v>
      </c>
      <c r="G326" s="124">
        <v>2003.0</v>
      </c>
      <c r="H326" s="125">
        <v>1578.0</v>
      </c>
      <c r="I326" s="125">
        <v>171.0</v>
      </c>
      <c r="J326" s="125">
        <v>98.0</v>
      </c>
      <c r="K326" s="125">
        <v>69.0</v>
      </c>
      <c r="L326" s="125">
        <v>88.0</v>
      </c>
      <c r="M326" s="126">
        <v>91.0</v>
      </c>
      <c r="N326" s="127">
        <v>88.0</v>
      </c>
      <c r="O326" s="146"/>
      <c r="P326" s="127">
        <v>84.0</v>
      </c>
      <c r="Q326" s="137" t="b">
        <v>1</v>
      </c>
      <c r="R326" s="128"/>
      <c r="S326" s="133" t="s">
        <v>83</v>
      </c>
      <c r="T326" s="133" t="s">
        <v>955</v>
      </c>
      <c r="U326" s="133">
        <v>5.0</v>
      </c>
      <c r="V326" s="129"/>
      <c r="W326" s="130" t="s">
        <v>1119</v>
      </c>
      <c r="X326" s="130" t="s">
        <v>1120</v>
      </c>
      <c r="Y326" s="130" t="s">
        <v>1121</v>
      </c>
      <c r="Z326" s="131" t="b">
        <v>0</v>
      </c>
      <c r="AA326" s="131">
        <v>0.016666666666666666</v>
      </c>
      <c r="AB326" s="130" t="s">
        <v>50</v>
      </c>
      <c r="AC326" s="130" t="s">
        <v>365</v>
      </c>
      <c r="AD326" s="130" t="s">
        <v>1122</v>
      </c>
      <c r="AE326" s="130"/>
      <c r="AF326" s="132" t="s">
        <v>126</v>
      </c>
      <c r="AG326" s="133" t="b">
        <v>0</v>
      </c>
      <c r="AH326" s="133">
        <v>268.0</v>
      </c>
      <c r="AI326" s="133">
        <v>2018.0</v>
      </c>
      <c r="AJ326" s="128"/>
      <c r="AK326" s="133">
        <v>6.0</v>
      </c>
      <c r="AL326" s="129" t="str">
        <f>IFERROR(__xludf.DUMMYFUNCTION("""COMPUTED_VALUE"""),"Business")</f>
        <v>Business</v>
      </c>
      <c r="AM326" s="129" t="str">
        <f>IFERROR(__xludf.DUMMYFUNCTION("""COMPUTED_VALUE"""),"Adults Only Rooms, Babysitting, Beach, Buffet, Evening Entertainment, Golf Course, Gym, Kids Club, Kids Club for Under 4, Pets Allowed, Room Service, Spa, Swim Out/Plunge Pool Rooms, Wifi (Free)")</f>
        <v>Adults Only Rooms, Babysitting, Beach, Buffet, Evening Entertainment, Golf Course, Gym, Kids Club, Kids Club for Under 4, Pets Allowed, Room Service, Spa, Swim Out/Plunge Pool Rooms, Wifi (Free)</v>
      </c>
      <c r="AN326" s="139"/>
    </row>
    <row r="327">
      <c r="A327" s="118" t="s">
        <v>1123</v>
      </c>
      <c r="B327" s="119">
        <v>87.7</v>
      </c>
      <c r="C327" s="120" t="s">
        <v>68</v>
      </c>
      <c r="D327" s="121">
        <v>6011.0</v>
      </c>
      <c r="E327" s="122">
        <f>IFERROR(__xludf.DUMMYFUNCTION("""COMPUTED_VALUE"""),8301.490948899998)</f>
        <v>8301.490949</v>
      </c>
      <c r="F327" s="136">
        <v>1.28</v>
      </c>
      <c r="G327" s="124">
        <v>7480.0</v>
      </c>
      <c r="H327" s="125">
        <v>5029.0</v>
      </c>
      <c r="I327" s="125">
        <v>1433.0</v>
      </c>
      <c r="J327" s="125">
        <v>602.0</v>
      </c>
      <c r="K327" s="125">
        <v>242.0</v>
      </c>
      <c r="L327" s="125">
        <v>175.0</v>
      </c>
      <c r="M327" s="126">
        <v>89.0</v>
      </c>
      <c r="N327" s="138">
        <v>88.0</v>
      </c>
      <c r="O327" s="127"/>
      <c r="P327" s="127">
        <v>86.0</v>
      </c>
      <c r="Q327" s="122" t="b">
        <v>1</v>
      </c>
      <c r="R327" s="133"/>
      <c r="S327" s="133" t="s">
        <v>83</v>
      </c>
      <c r="T327" s="133"/>
      <c r="U327" s="133">
        <v>4.5</v>
      </c>
      <c r="V327" s="130" t="s">
        <v>148</v>
      </c>
      <c r="W327" s="130" t="s">
        <v>96</v>
      </c>
      <c r="X327" s="130" t="s">
        <v>1124</v>
      </c>
      <c r="Y327" s="130" t="s">
        <v>98</v>
      </c>
      <c r="Z327" s="131" t="b">
        <v>0</v>
      </c>
      <c r="AA327" s="131">
        <v>0.04791666666666667</v>
      </c>
      <c r="AB327" s="130" t="s">
        <v>386</v>
      </c>
      <c r="AC327" s="130" t="s">
        <v>72</v>
      </c>
      <c r="AD327" s="130" t="s">
        <v>1125</v>
      </c>
      <c r="AE327" s="129"/>
      <c r="AF327" s="132"/>
      <c r="AG327" s="133" t="b">
        <v>0</v>
      </c>
      <c r="AH327" s="133">
        <v>169.0</v>
      </c>
      <c r="AI327" s="133">
        <v>1971.0</v>
      </c>
      <c r="AJ327" s="133">
        <v>2019.0</v>
      </c>
      <c r="AK327" s="143"/>
      <c r="AL327" s="129" t="str">
        <f>IFERROR(__xludf.DUMMYFUNCTION("""COMPUTED_VALUE"""),"Great View, Romantic")</f>
        <v>Great View, Romantic</v>
      </c>
      <c r="AM327" s="129" t="str">
        <f>IFERROR(__xludf.DUMMYFUNCTION("""COMPUTED_VALUE"""),"Beach, Buffet, Diving, Evening Entertainment, Fishing, Gym, Nightclub, Spa, Swim Out/Plunge Pool Rooms, Swim Up Bar, Tennis, Wifi (Paid)")</f>
        <v>Beach, Buffet, Diving, Evening Entertainment, Fishing, Gym, Nightclub, Spa, Swim Out/Plunge Pool Rooms, Swim Up Bar, Tennis, Wifi (Paid)</v>
      </c>
      <c r="AN327" s="128"/>
    </row>
    <row r="328">
      <c r="A328" s="118" t="s">
        <v>1126</v>
      </c>
      <c r="B328" s="119">
        <v>87.5</v>
      </c>
      <c r="C328" s="120" t="s">
        <v>68</v>
      </c>
      <c r="D328" s="121">
        <v>2294.81</v>
      </c>
      <c r="E328" s="122">
        <f>IFERROR(__xludf.DUMMYFUNCTION("""COMPUTED_VALUE"""),3169.2471210189997)</f>
        <v>3169.247121</v>
      </c>
      <c r="F328" s="136">
        <v>3.27</v>
      </c>
      <c r="G328" s="124">
        <v>14578.0</v>
      </c>
      <c r="H328" s="125">
        <v>9068.0</v>
      </c>
      <c r="I328" s="125">
        <v>3313.0</v>
      </c>
      <c r="J328" s="125">
        <v>1217.0</v>
      </c>
      <c r="K328" s="125">
        <v>570.0</v>
      </c>
      <c r="L328" s="125">
        <v>410.0</v>
      </c>
      <c r="M328" s="126">
        <v>88.0</v>
      </c>
      <c r="N328" s="127">
        <v>94.0</v>
      </c>
      <c r="O328" s="127">
        <v>82.0</v>
      </c>
      <c r="P328" s="127">
        <v>86.0</v>
      </c>
      <c r="Q328" s="122" t="b">
        <v>1</v>
      </c>
      <c r="R328" s="133"/>
      <c r="S328" s="143">
        <v>8.0</v>
      </c>
      <c r="T328" s="133"/>
      <c r="U328" s="133">
        <v>5.0</v>
      </c>
      <c r="V328" s="129"/>
      <c r="W328" s="130" t="s">
        <v>193</v>
      </c>
      <c r="X328" s="130" t="s">
        <v>225</v>
      </c>
      <c r="Y328" s="130" t="s">
        <v>195</v>
      </c>
      <c r="Z328" s="131" t="b">
        <v>1</v>
      </c>
      <c r="AA328" s="131">
        <v>0.014583333333333334</v>
      </c>
      <c r="AB328" s="130" t="s">
        <v>362</v>
      </c>
      <c r="AC328" s="130" t="s">
        <v>216</v>
      </c>
      <c r="AD328" s="130" t="s">
        <v>1127</v>
      </c>
      <c r="AE328" s="129"/>
      <c r="AF328" s="132"/>
      <c r="AG328" s="143" t="b">
        <v>0</v>
      </c>
      <c r="AH328" s="143">
        <v>589.0</v>
      </c>
      <c r="AI328" s="143">
        <v>1985.0</v>
      </c>
      <c r="AJ328" s="143">
        <v>2010.0</v>
      </c>
      <c r="AK328" s="143">
        <v>4.0</v>
      </c>
      <c r="AL328" s="129" t="str">
        <f>IFERROR(__xludf.DUMMYFUNCTION("""COMPUTED_VALUE"""),"Great View, Quiet")</f>
        <v>Great View, Quiet</v>
      </c>
      <c r="AM328" s="129" t="str">
        <f>IFERROR(__xludf.DUMMYFUNCTION("""COMPUTED_VALUE"""),"Beach, Buffet, Casino, Diving, Evening Entertainment, Golf Course, Gym, Nightclub, Spa, Swim Out/Plunge Pool Rooms, Tennis")</f>
        <v>Beach, Buffet, Casino, Diving, Evening Entertainment, Golf Course, Gym, Nightclub, Spa, Swim Out/Plunge Pool Rooms, Tennis</v>
      </c>
      <c r="AN328" s="128"/>
    </row>
    <row r="329">
      <c r="A329" s="118" t="s">
        <v>1128</v>
      </c>
      <c r="B329" s="119">
        <v>87.5</v>
      </c>
      <c r="C329" s="134" t="s">
        <v>75</v>
      </c>
      <c r="D329" s="150">
        <v>2618.0</v>
      </c>
      <c r="E329" s="135">
        <f>IFERROR(__xludf.DUMMYFUNCTION("""COMPUTED_VALUE"""),3615.5886381999994)</f>
        <v>3615.588638</v>
      </c>
      <c r="F329" s="136">
        <v>2.86</v>
      </c>
      <c r="G329" s="124">
        <v>3749.0</v>
      </c>
      <c r="H329" s="125">
        <v>2793.0</v>
      </c>
      <c r="I329" s="125">
        <v>396.0</v>
      </c>
      <c r="J329" s="125">
        <v>170.0</v>
      </c>
      <c r="K329" s="125">
        <v>164.0</v>
      </c>
      <c r="L329" s="125">
        <v>231.0</v>
      </c>
      <c r="M329" s="126">
        <v>89.0</v>
      </c>
      <c r="N329" s="138">
        <v>86.0</v>
      </c>
      <c r="O329" s="146"/>
      <c r="P329" s="146"/>
      <c r="Q329" s="137" t="b">
        <v>1</v>
      </c>
      <c r="R329" s="128"/>
      <c r="S329" s="133" t="s">
        <v>83</v>
      </c>
      <c r="T329" s="128"/>
      <c r="U329" s="133">
        <v>5.0</v>
      </c>
      <c r="V329" s="129"/>
      <c r="W329" s="130" t="s">
        <v>276</v>
      </c>
      <c r="X329" s="130" t="s">
        <v>576</v>
      </c>
      <c r="Y329" s="130" t="s">
        <v>278</v>
      </c>
      <c r="Z329" s="131" t="b">
        <v>1</v>
      </c>
      <c r="AA329" s="131">
        <v>0.07083333333333333</v>
      </c>
      <c r="AB329" s="130" t="s">
        <v>328</v>
      </c>
      <c r="AC329" s="130" t="s">
        <v>1041</v>
      </c>
      <c r="AD329" s="130" t="s">
        <v>1129</v>
      </c>
      <c r="AE329" s="130"/>
      <c r="AF329" s="132" t="s">
        <v>81</v>
      </c>
      <c r="AG329" s="128" t="b">
        <v>0</v>
      </c>
      <c r="AH329" s="128"/>
      <c r="AI329" s="128"/>
      <c r="AJ329" s="128"/>
      <c r="AK329" s="133">
        <v>3.0</v>
      </c>
      <c r="AL329" s="129" t="str">
        <f>IFERROR(__xludf.DUMMYFUNCTION("""COMPUTED_VALUE"""),"Family, Great View")</f>
        <v>Family, Great View</v>
      </c>
      <c r="AM329" s="129" t="str">
        <f>IFERROR(__xludf.DUMMYFUNCTION("""COMPUTED_VALUE"""),"Adults Only Rooms, Babysitting, Beach, Buffet, Evening Entertainment, Gym, Kids Club, Kids Waterpark, Nightclub, Spa, Swim Out/Plunge Pool Rooms, Swim Up Bar, Tennis, Wifi (Paid)")</f>
        <v>Adults Only Rooms, Babysitting, Beach, Buffet, Evening Entertainment, Gym, Kids Club, Kids Waterpark, Nightclub, Spa, Swim Out/Plunge Pool Rooms, Swim Up Bar, Tennis, Wifi (Paid)</v>
      </c>
      <c r="AN329" s="139"/>
    </row>
    <row r="330" hidden="1">
      <c r="A330" s="118" t="s">
        <v>1130</v>
      </c>
      <c r="B330" s="119">
        <v>88.0</v>
      </c>
      <c r="C330" s="134" t="s">
        <v>75</v>
      </c>
      <c r="D330" s="142"/>
      <c r="E330" s="135"/>
      <c r="F330" s="136"/>
      <c r="G330" s="152">
        <v>2401.0</v>
      </c>
      <c r="H330" s="143"/>
      <c r="I330" s="143"/>
      <c r="J330" s="143"/>
      <c r="K330" s="143"/>
      <c r="L330" s="143"/>
      <c r="M330" s="126"/>
      <c r="N330" s="127">
        <v>88.0</v>
      </c>
      <c r="O330" s="146"/>
      <c r="P330" s="146"/>
      <c r="Q330" s="126" t="b">
        <v>1</v>
      </c>
      <c r="R330" s="128"/>
      <c r="S330" s="128"/>
      <c r="T330" s="128"/>
      <c r="U330" s="128"/>
      <c r="V330" s="130" t="s">
        <v>118</v>
      </c>
      <c r="W330" s="130" t="s">
        <v>276</v>
      </c>
      <c r="X330" s="130" t="s">
        <v>635</v>
      </c>
      <c r="Y330" s="130" t="s">
        <v>278</v>
      </c>
      <c r="Z330" s="145" t="b">
        <v>0</v>
      </c>
      <c r="AA330" s="145"/>
      <c r="AB330" s="129"/>
      <c r="AC330" s="129"/>
      <c r="AD330" s="129"/>
      <c r="AE330" s="129"/>
      <c r="AF330" s="132"/>
      <c r="AG330" s="128" t="b">
        <v>0</v>
      </c>
      <c r="AH330" s="128"/>
      <c r="AI330" s="128"/>
      <c r="AJ330" s="128"/>
      <c r="AK330" s="128"/>
      <c r="AL330" s="129"/>
      <c r="AM330" s="129"/>
      <c r="AN330" s="139"/>
    </row>
    <row r="331">
      <c r="A331" s="118" t="s">
        <v>1131</v>
      </c>
      <c r="B331" s="119">
        <v>87.5</v>
      </c>
      <c r="C331" s="134" t="s">
        <v>75</v>
      </c>
      <c r="D331" s="121">
        <v>4501.0</v>
      </c>
      <c r="E331" s="135">
        <f>IFERROR(__xludf.DUMMYFUNCTION("""COMPUTED_VALUE"""),6216.105599899999)</f>
        <v>6216.1056</v>
      </c>
      <c r="F331" s="136">
        <v>1.67</v>
      </c>
      <c r="G331" s="152">
        <v>39126.0</v>
      </c>
      <c r="H331" s="125">
        <v>28407.0</v>
      </c>
      <c r="I331" s="125">
        <v>5909.0</v>
      </c>
      <c r="J331" s="125">
        <v>2330.0</v>
      </c>
      <c r="K331" s="125">
        <v>1183.0</v>
      </c>
      <c r="L331" s="125">
        <v>1471.0</v>
      </c>
      <c r="M331" s="126">
        <v>90.0</v>
      </c>
      <c r="N331" s="127">
        <v>90.0</v>
      </c>
      <c r="O331" s="127">
        <v>84.0</v>
      </c>
      <c r="P331" s="138">
        <v>86.0</v>
      </c>
      <c r="Q331" s="135" t="b">
        <v>1</v>
      </c>
      <c r="R331" s="133">
        <v>4.0</v>
      </c>
      <c r="S331" s="133">
        <v>9.0</v>
      </c>
      <c r="T331" s="133"/>
      <c r="U331" s="133">
        <v>5.0</v>
      </c>
      <c r="V331" s="130"/>
      <c r="W331" s="130" t="s">
        <v>84</v>
      </c>
      <c r="X331" s="130" t="s">
        <v>86</v>
      </c>
      <c r="Y331" s="147" t="s">
        <v>86</v>
      </c>
      <c r="Z331" s="131" t="b">
        <v>1</v>
      </c>
      <c r="AA331" s="131">
        <v>0.009722222222222222</v>
      </c>
      <c r="AB331" s="130" t="s">
        <v>255</v>
      </c>
      <c r="AC331" s="130" t="s">
        <v>75</v>
      </c>
      <c r="AD331" s="130" t="s">
        <v>1132</v>
      </c>
      <c r="AE331" s="130"/>
      <c r="AF331" s="132" t="s">
        <v>373</v>
      </c>
      <c r="AG331" s="133" t="b">
        <v>0</v>
      </c>
      <c r="AH331" s="133">
        <v>2404.0</v>
      </c>
      <c r="AI331" s="133">
        <v>1996.0</v>
      </c>
      <c r="AJ331" s="133">
        <v>2014.0</v>
      </c>
      <c r="AK331" s="143"/>
      <c r="AL331" s="129" t="str">
        <f>IFERROR(__xludf.DUMMYFUNCTION("""COMPUTED_VALUE"""),"Family")</f>
        <v>Family</v>
      </c>
      <c r="AM331" s="129" t="str">
        <f>IFERROR(__xludf.DUMMYFUNCTION("""COMPUTED_VALUE"""),"2 Bedroom Suites, Arcade, Babysitting, Beach, Bicycles Available, Buffet, Diving, Evening Entertainment, Family Suite, Flowrider, Golf Course, Gym, Kids Club, Kids Waterpark, Mini Golf, Nightclub, Pool Slide, Room Service, Spa, Swim Out/Plunge Pool Rooms,"&amp;" Swim Up Bar, Teen Club, Water Feature, Watersports Equipment Rentals")</f>
        <v>2 Bedroom Suites, Arcade, Babysitting, Beach, Bicycles Available, Buffet, Diving, Evening Entertainment, Family Suite, Flowrider, Golf Course, Gym, Kids Club, Kids Waterpark, Mini Golf, Nightclub, Pool Slide, Room Service, Spa, Swim Out/Plunge Pool Rooms, Swim Up Bar, Teen Club, Water Feature, Watersports Equipment Rentals</v>
      </c>
      <c r="AN331" s="139"/>
    </row>
    <row r="332">
      <c r="A332" s="118" t="s">
        <v>1133</v>
      </c>
      <c r="B332" s="119">
        <v>87.5</v>
      </c>
      <c r="C332" s="134" t="s">
        <v>75</v>
      </c>
      <c r="D332" s="150">
        <v>6174.0</v>
      </c>
      <c r="E332" s="135">
        <f>IFERROR(__xludf.DUMMYFUNCTION("""COMPUTED_VALUE"""),8526.602082599999)</f>
        <v>8526.602083</v>
      </c>
      <c r="F332" s="136">
        <v>1.21</v>
      </c>
      <c r="G332" s="124">
        <v>8152.0</v>
      </c>
      <c r="H332" s="125">
        <v>5478.0</v>
      </c>
      <c r="I332" s="125">
        <v>1369.0</v>
      </c>
      <c r="J332" s="125">
        <v>658.0</v>
      </c>
      <c r="K332" s="125">
        <v>331.0</v>
      </c>
      <c r="L332" s="125">
        <v>318.0</v>
      </c>
      <c r="M332" s="126">
        <v>88.0</v>
      </c>
      <c r="N332" s="127">
        <v>90.0</v>
      </c>
      <c r="O332" s="127">
        <v>88.0</v>
      </c>
      <c r="P332" s="127">
        <v>84.0</v>
      </c>
      <c r="Q332" s="135" t="b">
        <v>1</v>
      </c>
      <c r="R332" s="133"/>
      <c r="S332" s="133">
        <v>7.0</v>
      </c>
      <c r="T332" s="133" t="s">
        <v>247</v>
      </c>
      <c r="U332" s="133">
        <v>5.0</v>
      </c>
      <c r="V332" s="130"/>
      <c r="W332" s="130" t="s">
        <v>84</v>
      </c>
      <c r="X332" s="130" t="s">
        <v>149</v>
      </c>
      <c r="Y332" s="130" t="s">
        <v>86</v>
      </c>
      <c r="Z332" s="131" t="b">
        <v>1</v>
      </c>
      <c r="AA332" s="131">
        <v>0.029166666666666667</v>
      </c>
      <c r="AB332" s="130" t="s">
        <v>50</v>
      </c>
      <c r="AC332" s="130" t="s">
        <v>75</v>
      </c>
      <c r="AD332" s="130" t="s">
        <v>1134</v>
      </c>
      <c r="AE332" s="130" t="s">
        <v>396</v>
      </c>
      <c r="AF332" s="132" t="s">
        <v>126</v>
      </c>
      <c r="AG332" s="133" t="b">
        <v>0</v>
      </c>
      <c r="AH332" s="133">
        <v>502.0</v>
      </c>
      <c r="AI332" s="133">
        <v>2016.0</v>
      </c>
      <c r="AJ332" s="143"/>
      <c r="AK332" s="143"/>
      <c r="AL332" s="129" t="str">
        <f>IFERROR(__xludf.DUMMYFUNCTION("""COMPUTED_VALUE"""),"Family")</f>
        <v>Family</v>
      </c>
      <c r="AM332" s="129" t="str">
        <f>IFERROR(__xludf.DUMMYFUNCTION("""COMPUTED_VALUE"""),"2 Bedroom Suites, Babysitting, Beach, Big Waterslides, Buffet, Evening Entertainment, Family Suite, Golf Course, Gym, Kids Club, Kids Club for Under 4, Kids Waterpark, Lazy River, Mini Golf, Nightclub, Spa, Swim Up Bar, Teen Club, Wifi (Free)")</f>
        <v>2 Bedroom Suites, Babysitting, Beach, Big Waterslides, Buffet, Evening Entertainment, Family Suite, Golf Course, Gym, Kids Club, Kids Club for Under 4, Kids Waterpark, Lazy River, Mini Golf, Nightclub, Spa, Swim Up Bar, Teen Club, Wifi (Free)</v>
      </c>
      <c r="AN332" s="139"/>
    </row>
    <row r="333">
      <c r="A333" s="118" t="s">
        <v>1135</v>
      </c>
      <c r="B333" s="119">
        <v>87.3</v>
      </c>
      <c r="C333" s="134" t="s">
        <v>75</v>
      </c>
      <c r="D333" s="121">
        <v>2286.62</v>
      </c>
      <c r="E333" s="135">
        <f>IFERROR(__xludf.DUMMYFUNCTION("""COMPUTED_VALUE"""),3157.9363223379996)</f>
        <v>3157.936322</v>
      </c>
      <c r="F333" s="136">
        <v>3.19</v>
      </c>
      <c r="G333" s="124">
        <v>11957.0</v>
      </c>
      <c r="H333" s="125">
        <v>7174.0</v>
      </c>
      <c r="I333" s="125">
        <v>3320.0</v>
      </c>
      <c r="J333" s="125">
        <v>922.0</v>
      </c>
      <c r="K333" s="125">
        <v>278.0</v>
      </c>
      <c r="L333" s="125">
        <v>265.0</v>
      </c>
      <c r="M333" s="126">
        <v>88.0</v>
      </c>
      <c r="N333" s="127">
        <v>90.0</v>
      </c>
      <c r="O333" s="146"/>
      <c r="P333" s="127">
        <v>84.0</v>
      </c>
      <c r="Q333" s="135" t="b">
        <v>1</v>
      </c>
      <c r="R333" s="133"/>
      <c r="S333" s="133">
        <v>7.0</v>
      </c>
      <c r="T333" s="133"/>
      <c r="U333" s="133">
        <v>5.0</v>
      </c>
      <c r="V333" s="130"/>
      <c r="W333" s="130" t="s">
        <v>84</v>
      </c>
      <c r="X333" s="130" t="s">
        <v>85</v>
      </c>
      <c r="Y333" s="130" t="s">
        <v>86</v>
      </c>
      <c r="Z333" s="131" t="b">
        <v>1</v>
      </c>
      <c r="AA333" s="131">
        <v>0.04097222222222222</v>
      </c>
      <c r="AB333" s="130" t="s">
        <v>655</v>
      </c>
      <c r="AC333" s="130" t="s">
        <v>1136</v>
      </c>
      <c r="AD333" s="130" t="s">
        <v>1137</v>
      </c>
      <c r="AE333" s="130"/>
      <c r="AF333" s="132" t="s">
        <v>658</v>
      </c>
      <c r="AG333" s="133" t="b">
        <v>0</v>
      </c>
      <c r="AH333" s="133">
        <v>630.0</v>
      </c>
      <c r="AI333" s="133">
        <v>1998.0</v>
      </c>
      <c r="AJ333" s="133">
        <v>2018.0</v>
      </c>
      <c r="AK333" s="133">
        <v>2.0</v>
      </c>
      <c r="AL333" s="129" t="str">
        <f>IFERROR(__xludf.DUMMYFUNCTION("""COMPUTED_VALUE"""),"Classic, Family")</f>
        <v>Classic, Family</v>
      </c>
      <c r="AM333" s="129" t="str">
        <f>IFERROR(__xludf.DUMMYFUNCTION("""COMPUTED_VALUE"""),"Babysitting, Beach, Buffet, Diving, Evening Entertainment, Great for Parties, Gym, Kids Club, Kids Waterpark, Nightclub, Snorkelling, Spa, Swim Up Bar, Watersports Equipment Rentals, Windsurfing")</f>
        <v>Babysitting, Beach, Buffet, Diving, Evening Entertainment, Great for Parties, Gym, Kids Club, Kids Waterpark, Nightclub, Snorkelling, Spa, Swim Up Bar, Watersports Equipment Rentals, Windsurfing</v>
      </c>
      <c r="AN333" s="139"/>
    </row>
    <row r="334">
      <c r="A334" s="118" t="s">
        <v>1138</v>
      </c>
      <c r="B334" s="119">
        <v>87.3</v>
      </c>
      <c r="C334" s="134" t="s">
        <v>75</v>
      </c>
      <c r="D334" s="150">
        <v>3181.92</v>
      </c>
      <c r="E334" s="135">
        <f>IFERROR(__xludf.DUMMYFUNCTION("""COMPUTED_VALUE"""),4394.390297808)</f>
        <v>4394.390298</v>
      </c>
      <c r="F334" s="136">
        <v>2.29</v>
      </c>
      <c r="G334" s="124">
        <v>8430.0</v>
      </c>
      <c r="H334" s="125">
        <v>4495.0</v>
      </c>
      <c r="I334" s="125">
        <v>2632.0</v>
      </c>
      <c r="J334" s="125">
        <v>790.0</v>
      </c>
      <c r="K334" s="125">
        <v>289.0</v>
      </c>
      <c r="L334" s="125">
        <v>223.0</v>
      </c>
      <c r="M334" s="126">
        <v>86.0</v>
      </c>
      <c r="N334" s="127">
        <v>92.0</v>
      </c>
      <c r="O334" s="146"/>
      <c r="P334" s="127">
        <v>84.0</v>
      </c>
      <c r="Q334" s="135" t="b">
        <v>1</v>
      </c>
      <c r="R334" s="133"/>
      <c r="S334" s="143">
        <v>6.0</v>
      </c>
      <c r="T334" s="133"/>
      <c r="U334" s="133">
        <v>5.0</v>
      </c>
      <c r="V334" s="129"/>
      <c r="W334" s="130" t="s">
        <v>193</v>
      </c>
      <c r="X334" s="130" t="s">
        <v>1139</v>
      </c>
      <c r="Y334" s="130" t="s">
        <v>229</v>
      </c>
      <c r="Z334" s="131" t="b">
        <v>1</v>
      </c>
      <c r="AA334" s="131">
        <v>0.03125</v>
      </c>
      <c r="AB334" s="130" t="s">
        <v>753</v>
      </c>
      <c r="AC334" s="130" t="s">
        <v>207</v>
      </c>
      <c r="AD334" s="130" t="s">
        <v>1140</v>
      </c>
      <c r="AE334" s="130" t="s">
        <v>396</v>
      </c>
      <c r="AF334" s="132" t="s">
        <v>231</v>
      </c>
      <c r="AG334" s="143" t="b">
        <v>0</v>
      </c>
      <c r="AH334" s="143">
        <v>606.0</v>
      </c>
      <c r="AI334" s="143">
        <v>1978.0</v>
      </c>
      <c r="AJ334" s="143">
        <v>2008.0</v>
      </c>
      <c r="AK334" s="143">
        <v>3.0</v>
      </c>
      <c r="AL334" s="129" t="str">
        <f>IFERROR(__xludf.DUMMYFUNCTION("""COMPUTED_VALUE"""),"Family, Green")</f>
        <v>Family, Green</v>
      </c>
      <c r="AM334" s="129" t="str">
        <f>IFERROR(__xludf.DUMMYFUNCTION("""COMPUTED_VALUE"""),"Babysitting, Beach, Buffet, Diving, Evening Entertainment, Great Beach, Gym, Kids Club, Kids Waterpark, Nightclub, Spa, Teen Club, Tennis")</f>
        <v>Babysitting, Beach, Buffet, Diving, Evening Entertainment, Great Beach, Gym, Kids Club, Kids Waterpark, Nightclub, Spa, Teen Club, Tennis</v>
      </c>
      <c r="AN334" s="139"/>
    </row>
    <row r="335">
      <c r="A335" s="118" t="s">
        <v>1141</v>
      </c>
      <c r="B335" s="119">
        <v>87.3</v>
      </c>
      <c r="C335" s="134" t="s">
        <v>75</v>
      </c>
      <c r="D335" s="121">
        <v>3326.17</v>
      </c>
      <c r="E335" s="135">
        <f>IFERROR(__xludf.DUMMYFUNCTION("""COMPUTED_VALUE"""),4593.606745882999)</f>
        <v>4593.606746</v>
      </c>
      <c r="F335" s="136">
        <v>2.19</v>
      </c>
      <c r="G335" s="124">
        <v>10402.0</v>
      </c>
      <c r="H335" s="125">
        <v>5513.0</v>
      </c>
      <c r="I335" s="125">
        <v>3068.0</v>
      </c>
      <c r="J335" s="125">
        <v>1093.0</v>
      </c>
      <c r="K335" s="125">
        <v>401.0</v>
      </c>
      <c r="L335" s="125">
        <v>334.0</v>
      </c>
      <c r="M335" s="126">
        <v>85.0</v>
      </c>
      <c r="N335" s="127">
        <v>90.0</v>
      </c>
      <c r="O335" s="127">
        <v>88.0</v>
      </c>
      <c r="P335" s="127">
        <v>86.0</v>
      </c>
      <c r="Q335" s="135" t="b">
        <v>1</v>
      </c>
      <c r="R335" s="133"/>
      <c r="S335" s="133">
        <v>7.0</v>
      </c>
      <c r="T335" s="133"/>
      <c r="U335" s="133">
        <v>4.5</v>
      </c>
      <c r="V335" s="130"/>
      <c r="W335" s="130" t="s">
        <v>84</v>
      </c>
      <c r="X335" s="130" t="s">
        <v>210</v>
      </c>
      <c r="Y335" s="130" t="s">
        <v>86</v>
      </c>
      <c r="Z335" s="131" t="b">
        <v>1</v>
      </c>
      <c r="AA335" s="131">
        <v>0.02361111111111111</v>
      </c>
      <c r="AB335" s="130" t="s">
        <v>545</v>
      </c>
      <c r="AC335" s="130" t="s">
        <v>1142</v>
      </c>
      <c r="AD335" s="130" t="s">
        <v>1143</v>
      </c>
      <c r="AE335" s="130"/>
      <c r="AF335" s="132" t="s">
        <v>297</v>
      </c>
      <c r="AG335" s="133" t="b">
        <v>0</v>
      </c>
      <c r="AH335" s="133">
        <v>342.0</v>
      </c>
      <c r="AI335" s="133">
        <v>2006.0</v>
      </c>
      <c r="AJ335" s="133">
        <v>2017.0</v>
      </c>
      <c r="AK335" s="133">
        <v>9.0</v>
      </c>
      <c r="AL335" s="129" t="str">
        <f>IFERROR(__xludf.DUMMYFUNCTION("""COMPUTED_VALUE"""),"Family, Harbour View")</f>
        <v>Family, Harbour View</v>
      </c>
      <c r="AM335" s="129" t="str">
        <f>IFERROR(__xludf.DUMMYFUNCTION("""COMPUTED_VALUE"""),"2 Bedroom Suites, Beach, Buffet, Diving, Evening Entertainment, Family Suite, Fishing, Gym, Heated Pool, Kids Club, Nightclub, Pool Slide, Spa, Swim Up Bar, Teen Club, Water Feature, Wifi (Paid), Yoga Classes")</f>
        <v>2 Bedroom Suites, Beach, Buffet, Diving, Evening Entertainment, Family Suite, Fishing, Gym, Heated Pool, Kids Club, Nightclub, Pool Slide, Spa, Swim Up Bar, Teen Club, Water Feature, Wifi (Paid), Yoga Classes</v>
      </c>
      <c r="AN335" s="139"/>
    </row>
    <row r="336">
      <c r="A336" s="118" t="s">
        <v>1144</v>
      </c>
      <c r="B336" s="119">
        <v>87.3</v>
      </c>
      <c r="C336" s="134" t="s">
        <v>75</v>
      </c>
      <c r="D336" s="121">
        <v>3390.66</v>
      </c>
      <c r="E336" s="135">
        <f>IFERROR(__xludf.DUMMYFUNCTION("""COMPUTED_VALUE"""),4682.670653933999)</f>
        <v>4682.670654</v>
      </c>
      <c r="F336" s="136">
        <v>2.15</v>
      </c>
      <c r="G336" s="124">
        <v>12515.0</v>
      </c>
      <c r="H336" s="125">
        <v>6258.0</v>
      </c>
      <c r="I336" s="125">
        <v>3971.0</v>
      </c>
      <c r="J336" s="125">
        <v>1301.0</v>
      </c>
      <c r="K336" s="125">
        <v>545.0</v>
      </c>
      <c r="L336" s="125">
        <v>440.0</v>
      </c>
      <c r="M336" s="126">
        <v>84.0</v>
      </c>
      <c r="N336" s="127">
        <v>94.0</v>
      </c>
      <c r="O336" s="146"/>
      <c r="P336" s="127">
        <v>84.0</v>
      </c>
      <c r="Q336" s="135" t="b">
        <v>1</v>
      </c>
      <c r="R336" s="133"/>
      <c r="S336" s="133">
        <v>6.0</v>
      </c>
      <c r="T336" s="133"/>
      <c r="U336" s="133">
        <v>5.0</v>
      </c>
      <c r="V336" s="130"/>
      <c r="W336" s="130" t="s">
        <v>84</v>
      </c>
      <c r="X336" s="130" t="s">
        <v>248</v>
      </c>
      <c r="Y336" s="130" t="s">
        <v>86</v>
      </c>
      <c r="Z336" s="131" t="b">
        <v>1</v>
      </c>
      <c r="AA336" s="131">
        <v>0.024305555555555556</v>
      </c>
      <c r="AB336" s="130"/>
      <c r="AC336" s="130" t="s">
        <v>207</v>
      </c>
      <c r="AD336" s="130" t="s">
        <v>1145</v>
      </c>
      <c r="AE336" s="130"/>
      <c r="AF336" s="132" t="s">
        <v>373</v>
      </c>
      <c r="AG336" s="133" t="b">
        <v>0</v>
      </c>
      <c r="AH336" s="133">
        <v>404.0</v>
      </c>
      <c r="AI336" s="133">
        <v>2007.0</v>
      </c>
      <c r="AJ336" s="133">
        <v>2009.0</v>
      </c>
      <c r="AK336" s="133">
        <v>3.0</v>
      </c>
      <c r="AL336" s="129" t="str">
        <f>IFERROR(__xludf.DUMMYFUNCTION("""COMPUTED_VALUE"""),"Family, Green")</f>
        <v>Family, Green</v>
      </c>
      <c r="AM336" s="129" t="str">
        <f>IFERROR(__xludf.DUMMYFUNCTION("""COMPUTED_VALUE"""),"Adults Only Rooms, Babysitting, Beach, Buffet, Diving, Evening Entertainment, Great Beach, Gym, Kids Club, Nightclub, Snorkelling, Spa, Swim Out/Plunge Pool Rooms, Tennis, Wifi (Free)")</f>
        <v>Adults Only Rooms, Babysitting, Beach, Buffet, Diving, Evening Entertainment, Great Beach, Gym, Kids Club, Nightclub, Snorkelling, Spa, Swim Out/Plunge Pool Rooms, Tennis, Wifi (Free)</v>
      </c>
      <c r="AN336" s="139"/>
    </row>
    <row r="337">
      <c r="A337" s="140" t="s">
        <v>1146</v>
      </c>
      <c r="B337" s="119">
        <v>87.3</v>
      </c>
      <c r="C337" s="133" t="s">
        <v>75</v>
      </c>
      <c r="D337" s="142">
        <v>3437.09</v>
      </c>
      <c r="E337" s="122">
        <f>IFERROR(__xludf.DUMMYFUNCTION("""COMPUTED_VALUE"""),4746.7928007909995)</f>
        <v>4746.792801</v>
      </c>
      <c r="F337" s="136">
        <v>2.12</v>
      </c>
      <c r="G337" s="124">
        <v>2934.0</v>
      </c>
      <c r="H337" s="125">
        <v>1739.0</v>
      </c>
      <c r="I337" s="125">
        <v>720.0</v>
      </c>
      <c r="J337" s="125">
        <v>246.0</v>
      </c>
      <c r="K337" s="125">
        <v>123.0</v>
      </c>
      <c r="L337" s="125">
        <v>106.0</v>
      </c>
      <c r="M337" s="126">
        <v>86.0</v>
      </c>
      <c r="N337" s="127">
        <v>90.0</v>
      </c>
      <c r="O337" s="146"/>
      <c r="P337" s="138">
        <v>86.0</v>
      </c>
      <c r="Q337" s="126" t="b">
        <v>1</v>
      </c>
      <c r="R337" s="143"/>
      <c r="S337" s="143">
        <v>4.0</v>
      </c>
      <c r="T337" s="143"/>
      <c r="U337" s="143">
        <v>3.5</v>
      </c>
      <c r="V337" s="129"/>
      <c r="W337" s="144" t="s">
        <v>84</v>
      </c>
      <c r="X337" s="144" t="s">
        <v>122</v>
      </c>
      <c r="Y337" s="144" t="s">
        <v>123</v>
      </c>
      <c r="Z337" s="145" t="b">
        <v>1</v>
      </c>
      <c r="AA337" s="145">
        <v>0.03263888888888889</v>
      </c>
      <c r="AB337" s="129" t="s">
        <v>428</v>
      </c>
      <c r="AC337" s="129" t="s">
        <v>1147</v>
      </c>
      <c r="AD337" s="130" t="s">
        <v>1148</v>
      </c>
      <c r="AE337" s="130" t="s">
        <v>94</v>
      </c>
      <c r="AF337" s="132" t="s">
        <v>788</v>
      </c>
      <c r="AG337" s="143" t="b">
        <v>1</v>
      </c>
      <c r="AH337" s="143">
        <v>100.0</v>
      </c>
      <c r="AI337" s="143">
        <v>1974.0</v>
      </c>
      <c r="AJ337" s="143">
        <v>1994.0</v>
      </c>
      <c r="AK337" s="143">
        <v>5.0</v>
      </c>
      <c r="AL337" s="129" t="str">
        <f>IFERROR(__xludf.DUMMYFUNCTION("""COMPUTED_VALUE"""),"Classic, Hidden Gem")</f>
        <v>Classic, Hidden Gem</v>
      </c>
      <c r="AM337" s="129" t="str">
        <f>IFERROR(__xludf.DUMMYFUNCTION("""COMPUTED_VALUE"""),"Beach, Diving, Evening Entertainment, Fishing, Gym, Heated Pool, Kids Club, Snorkelling, Spa, Swim Up Bar")</f>
        <v>Beach, Diving, Evening Entertainment, Fishing, Gym, Heated Pool, Kids Club, Snorkelling, Spa, Swim Up Bar</v>
      </c>
      <c r="AN337" s="139"/>
    </row>
    <row r="338">
      <c r="A338" s="118" t="s">
        <v>1149</v>
      </c>
      <c r="B338" s="119">
        <v>87.3</v>
      </c>
      <c r="C338" s="134" t="s">
        <v>75</v>
      </c>
      <c r="D338" s="121">
        <v>3784.0</v>
      </c>
      <c r="E338" s="135">
        <f>IFERROR(__xludf.DUMMYFUNCTION("""COMPUTED_VALUE"""),5225.8928215999995)</f>
        <v>5225.892822</v>
      </c>
      <c r="F338" s="136">
        <v>1.93</v>
      </c>
      <c r="G338" s="124">
        <v>6779.0</v>
      </c>
      <c r="H338" s="125">
        <v>5295.0</v>
      </c>
      <c r="I338" s="125">
        <v>982.0</v>
      </c>
      <c r="J338" s="125">
        <v>249.0</v>
      </c>
      <c r="K338" s="125">
        <v>125.0</v>
      </c>
      <c r="L338" s="125">
        <v>128.0</v>
      </c>
      <c r="M338" s="126">
        <v>93.0</v>
      </c>
      <c r="N338" s="138">
        <v>90.0</v>
      </c>
      <c r="O338" s="127">
        <v>86.0</v>
      </c>
      <c r="P338" s="127">
        <v>80.0</v>
      </c>
      <c r="Q338" s="135" t="b">
        <v>1</v>
      </c>
      <c r="R338" s="133"/>
      <c r="S338" s="133">
        <v>7.0</v>
      </c>
      <c r="T338" s="133"/>
      <c r="U338" s="133">
        <v>4.0</v>
      </c>
      <c r="V338" s="129"/>
      <c r="W338" s="130" t="s">
        <v>84</v>
      </c>
      <c r="X338" s="130" t="s">
        <v>726</v>
      </c>
      <c r="Y338" s="130" t="s">
        <v>120</v>
      </c>
      <c r="Z338" s="131" t="b">
        <v>1</v>
      </c>
      <c r="AA338" s="131">
        <v>0.014583333333333334</v>
      </c>
      <c r="AB338" s="130" t="s">
        <v>499</v>
      </c>
      <c r="AC338" s="130" t="s">
        <v>1150</v>
      </c>
      <c r="AD338" s="130" t="s">
        <v>1151</v>
      </c>
      <c r="AE338" s="130"/>
      <c r="AF338" s="132" t="s">
        <v>126</v>
      </c>
      <c r="AG338" s="133" t="b">
        <v>1</v>
      </c>
      <c r="AH338" s="133">
        <v>275.0</v>
      </c>
      <c r="AI338" s="133">
        <v>2004.0</v>
      </c>
      <c r="AJ338" s="143"/>
      <c r="AK338" s="133">
        <v>8.0</v>
      </c>
      <c r="AL338" s="129" t="str">
        <f>IFERROR(__xludf.DUMMYFUNCTION("""COMPUTED_VALUE"""),"Great View, Ocean View")</f>
        <v>Great View, Ocean View</v>
      </c>
      <c r="AM338" s="129" t="str">
        <f>IFERROR(__xludf.DUMMYFUNCTION("""COMPUTED_VALUE"""),"2 Bedroom Suites, Babysitting, Beach, Evening Entertainment, Family Suite, Gym, Heated Pool, Kids Club, Spa")</f>
        <v>2 Bedroom Suites, Babysitting, Beach, Evening Entertainment, Family Suite, Gym, Heated Pool, Kids Club, Spa</v>
      </c>
      <c r="AN338" s="139"/>
    </row>
    <row r="339">
      <c r="A339" s="118" t="s">
        <v>1152</v>
      </c>
      <c r="B339" s="119">
        <v>87.3</v>
      </c>
      <c r="C339" s="134" t="s">
        <v>75</v>
      </c>
      <c r="D339" s="150">
        <v>3961.0</v>
      </c>
      <c r="E339" s="135">
        <f>IFERROR(__xludf.DUMMYFUNCTION("""COMPUTED_VALUE"""),5470.338653899999)</f>
        <v>5470.338654</v>
      </c>
      <c r="F339" s="136">
        <v>1.84</v>
      </c>
      <c r="G339" s="124">
        <v>17906.0</v>
      </c>
      <c r="H339" s="125">
        <v>12932.0</v>
      </c>
      <c r="I339" s="125">
        <v>2672.0</v>
      </c>
      <c r="J339" s="125">
        <v>1120.0</v>
      </c>
      <c r="K339" s="125">
        <v>544.0</v>
      </c>
      <c r="L339" s="125">
        <v>638.0</v>
      </c>
      <c r="M339" s="126">
        <v>90.0</v>
      </c>
      <c r="N339" s="127">
        <v>90.0</v>
      </c>
      <c r="O339" s="146"/>
      <c r="P339" s="127">
        <v>82.0</v>
      </c>
      <c r="Q339" s="135" t="b">
        <v>1</v>
      </c>
      <c r="R339" s="133"/>
      <c r="S339" s="133">
        <v>8.0</v>
      </c>
      <c r="T339" s="133"/>
      <c r="U339" s="133">
        <v>5.0</v>
      </c>
      <c r="V339" s="130"/>
      <c r="W339" s="130" t="s">
        <v>84</v>
      </c>
      <c r="X339" s="130" t="s">
        <v>85</v>
      </c>
      <c r="Y339" s="147" t="s">
        <v>86</v>
      </c>
      <c r="Z339" s="131" t="b">
        <v>1</v>
      </c>
      <c r="AA339" s="131">
        <v>0.027083333333333334</v>
      </c>
      <c r="AB339" s="130" t="s">
        <v>87</v>
      </c>
      <c r="AC339" s="130" t="s">
        <v>75</v>
      </c>
      <c r="AD339" s="130" t="s">
        <v>1153</v>
      </c>
      <c r="AE339" s="130"/>
      <c r="AF339" s="132" t="s">
        <v>373</v>
      </c>
      <c r="AG339" s="133" t="b">
        <v>0</v>
      </c>
      <c r="AH339" s="133">
        <v>662.0</v>
      </c>
      <c r="AI339" s="133">
        <v>2008.0</v>
      </c>
      <c r="AJ339" s="133">
        <v>2011.0</v>
      </c>
      <c r="AK339" s="133">
        <v>3.0</v>
      </c>
      <c r="AL339" s="129" t="str">
        <f>IFERROR(__xludf.DUMMYFUNCTION("""COMPUTED_VALUE"""),"Family")</f>
        <v>Family</v>
      </c>
      <c r="AM339" s="129" t="str">
        <f>IFERROR(__xludf.DUMMYFUNCTION("""COMPUTED_VALUE"""),"2 Bedroom Suites, Babysitting, Beach, Buffet, Diving, Evening Entertainment, Family Suite, Gym, Kids Club, Nightclub, Room Service, Snorkelling, Spa, Swim Out/Plunge Pool Rooms, Swim Up Bar, Teen Club, Tennis, Watersports Equipment Rentals, Wifi (Free)")</f>
        <v>2 Bedroom Suites, Babysitting, Beach, Buffet, Diving, Evening Entertainment, Family Suite, Gym, Kids Club, Nightclub, Room Service, Snorkelling, Spa, Swim Out/Plunge Pool Rooms, Swim Up Bar, Teen Club, Tennis, Watersports Equipment Rentals, Wifi (Free)</v>
      </c>
      <c r="AN339" s="139"/>
    </row>
    <row r="340">
      <c r="A340" s="118" t="s">
        <v>1154</v>
      </c>
      <c r="B340" s="119">
        <v>87.3</v>
      </c>
      <c r="C340" s="134" t="s">
        <v>75</v>
      </c>
      <c r="D340" s="121">
        <v>4283.75</v>
      </c>
      <c r="E340" s="135">
        <f>IFERROR(__xludf.DUMMYFUNCTION("""COMPUTED_VALUE"""),5916.072509125)</f>
        <v>5916.072509</v>
      </c>
      <c r="F340" s="136">
        <v>1.7</v>
      </c>
      <c r="G340" s="124">
        <v>11179.0</v>
      </c>
      <c r="H340" s="125">
        <v>6699.0</v>
      </c>
      <c r="I340" s="125">
        <v>2445.0</v>
      </c>
      <c r="J340" s="125">
        <v>1010.0</v>
      </c>
      <c r="K340" s="125">
        <v>558.0</v>
      </c>
      <c r="L340" s="125">
        <v>467.0</v>
      </c>
      <c r="M340" s="126">
        <v>86.0</v>
      </c>
      <c r="N340" s="127">
        <v>94.0</v>
      </c>
      <c r="O340" s="146"/>
      <c r="P340" s="127">
        <v>82.0</v>
      </c>
      <c r="Q340" s="135" t="b">
        <v>1</v>
      </c>
      <c r="R340" s="133"/>
      <c r="S340" s="133">
        <v>6.0</v>
      </c>
      <c r="T340" s="133"/>
      <c r="U340" s="133">
        <v>5.0</v>
      </c>
      <c r="V340" s="130"/>
      <c r="W340" s="130" t="s">
        <v>84</v>
      </c>
      <c r="X340" s="130" t="s">
        <v>1155</v>
      </c>
      <c r="Y340" s="130" t="s">
        <v>86</v>
      </c>
      <c r="Z340" s="131" t="b">
        <v>1</v>
      </c>
      <c r="AA340" s="131">
        <v>0.04652777777777778</v>
      </c>
      <c r="AB340" s="130" t="s">
        <v>412</v>
      </c>
      <c r="AC340" s="130" t="s">
        <v>1156</v>
      </c>
      <c r="AD340" s="130" t="s">
        <v>1157</v>
      </c>
      <c r="AE340" s="130" t="s">
        <v>396</v>
      </c>
      <c r="AF340" s="132" t="s">
        <v>373</v>
      </c>
      <c r="AG340" s="133" t="b">
        <v>0</v>
      </c>
      <c r="AH340" s="133">
        <v>413.0</v>
      </c>
      <c r="AI340" s="133">
        <v>2002.0</v>
      </c>
      <c r="AJ340" s="133">
        <v>2004.0</v>
      </c>
      <c r="AK340" s="133">
        <v>2.0</v>
      </c>
      <c r="AL340" s="129" t="str">
        <f>IFERROR(__xludf.DUMMYFUNCTION("""COMPUTED_VALUE"""),"Business, Lagoon View")</f>
        <v>Business, Lagoon View</v>
      </c>
      <c r="AM340" s="129" t="str">
        <f>IFERROR(__xludf.DUMMYFUNCTION("""COMPUTED_VALUE"""),"Adult Pool, Babysitting, Beach, Buffet, Diving, Evening Entertainment, Gym, Kids Club, Kids Club for Under 4, Kids Waterpark, Snorkelling, Spa, Swim Up Bar, Teen Club, Tennis")</f>
        <v>Adult Pool, Babysitting, Beach, Buffet, Diving, Evening Entertainment, Gym, Kids Club, Kids Club for Under 4, Kids Waterpark, Snorkelling, Spa, Swim Up Bar, Teen Club, Tennis</v>
      </c>
      <c r="AN340" s="139"/>
    </row>
    <row r="341">
      <c r="A341" s="118" t="s">
        <v>1158</v>
      </c>
      <c r="B341" s="119">
        <v>87.3</v>
      </c>
      <c r="C341" s="134" t="s">
        <v>75</v>
      </c>
      <c r="D341" s="121">
        <v>4312.0</v>
      </c>
      <c r="E341" s="135">
        <f>IFERROR(__xludf.DUMMYFUNCTION("""COMPUTED_VALUE"""),5955.087168799999)</f>
        <v>5955.087169</v>
      </c>
      <c r="F341" s="136">
        <v>1.69</v>
      </c>
      <c r="G341" s="124">
        <v>3825.0</v>
      </c>
      <c r="H341" s="125">
        <v>2396.0</v>
      </c>
      <c r="I341" s="125">
        <v>563.0</v>
      </c>
      <c r="J341" s="125">
        <v>363.0</v>
      </c>
      <c r="K341" s="125">
        <v>214.0</v>
      </c>
      <c r="L341" s="125">
        <v>290.0</v>
      </c>
      <c r="M341" s="126">
        <v>84.0</v>
      </c>
      <c r="N341" s="127">
        <v>94.0</v>
      </c>
      <c r="O341" s="146"/>
      <c r="P341" s="127">
        <v>84.0</v>
      </c>
      <c r="Q341" s="135" t="b">
        <v>1</v>
      </c>
      <c r="R341" s="133"/>
      <c r="S341" s="143"/>
      <c r="T341" s="133"/>
      <c r="U341" s="133">
        <v>5.0</v>
      </c>
      <c r="V341" s="130"/>
      <c r="W341" s="130" t="s">
        <v>84</v>
      </c>
      <c r="X341" s="130" t="s">
        <v>149</v>
      </c>
      <c r="Y341" s="130" t="s">
        <v>86</v>
      </c>
      <c r="Z341" s="131" t="b">
        <v>1</v>
      </c>
      <c r="AA341" s="131">
        <v>0.029166666666666667</v>
      </c>
      <c r="AB341" s="130"/>
      <c r="AC341" s="130"/>
      <c r="AD341" s="130" t="s">
        <v>1159</v>
      </c>
      <c r="AE341" s="130"/>
      <c r="AF341" s="132" t="s">
        <v>181</v>
      </c>
      <c r="AG341" s="143" t="b">
        <v>0</v>
      </c>
      <c r="AH341" s="143"/>
      <c r="AI341" s="143"/>
      <c r="AJ341" s="143"/>
      <c r="AK341" s="143"/>
      <c r="AL341" s="129"/>
      <c r="AM341" s="129" t="str">
        <f>IFERROR(__xludf.DUMMYFUNCTION("""COMPUTED_VALUE"""),"Adults Only Rooms, Babysitting, Beach, Buffet, Evening Entertainment, Gym, Kids Club, Nightclub, Spa, Swim Out/Plunge Pool Rooms, Swim Up Bar, Teen Club, Wifi (Free)")</f>
        <v>Adults Only Rooms, Babysitting, Beach, Buffet, Evening Entertainment, Gym, Kids Club, Nightclub, Spa, Swim Out/Plunge Pool Rooms, Swim Up Bar, Teen Club, Wifi (Free)</v>
      </c>
      <c r="AN341" s="139"/>
    </row>
    <row r="342">
      <c r="A342" s="118" t="s">
        <v>1160</v>
      </c>
      <c r="B342" s="119">
        <v>87.3</v>
      </c>
      <c r="C342" s="134" t="s">
        <v>75</v>
      </c>
      <c r="D342" s="121">
        <v>4615.06</v>
      </c>
      <c r="E342" s="135">
        <f>IFERROR(__xludf.DUMMYFUNCTION("""COMPUTED_VALUE"""),6373.628151494)</f>
        <v>6373.628151</v>
      </c>
      <c r="F342" s="136">
        <v>1.58</v>
      </c>
      <c r="G342" s="124">
        <v>9278.0</v>
      </c>
      <c r="H342" s="125">
        <v>6101.0</v>
      </c>
      <c r="I342" s="125">
        <v>1806.0</v>
      </c>
      <c r="J342" s="125">
        <v>738.0</v>
      </c>
      <c r="K342" s="125">
        <v>287.0</v>
      </c>
      <c r="L342" s="125">
        <v>348.0</v>
      </c>
      <c r="M342" s="126">
        <v>88.0</v>
      </c>
      <c r="N342" s="127">
        <v>94.0</v>
      </c>
      <c r="O342" s="146"/>
      <c r="P342" s="127">
        <v>80.0</v>
      </c>
      <c r="Q342" s="135" t="b">
        <v>1</v>
      </c>
      <c r="R342" s="133"/>
      <c r="S342" s="133">
        <v>8.0</v>
      </c>
      <c r="T342" s="133"/>
      <c r="U342" s="133">
        <v>5.0</v>
      </c>
      <c r="V342" s="130"/>
      <c r="W342" s="130" t="s">
        <v>84</v>
      </c>
      <c r="X342" s="130" t="s">
        <v>86</v>
      </c>
      <c r="Y342" s="130" t="s">
        <v>86</v>
      </c>
      <c r="Z342" s="131" t="b">
        <v>1</v>
      </c>
      <c r="AA342" s="131">
        <v>0.011805555555555555</v>
      </c>
      <c r="AB342" s="130" t="s">
        <v>215</v>
      </c>
      <c r="AC342" s="130" t="s">
        <v>75</v>
      </c>
      <c r="AD342" s="130" t="s">
        <v>1161</v>
      </c>
      <c r="AE342" s="130" t="s">
        <v>396</v>
      </c>
      <c r="AF342" s="132" t="s">
        <v>373</v>
      </c>
      <c r="AG342" s="133" t="b">
        <v>1</v>
      </c>
      <c r="AH342" s="133">
        <v>426.0</v>
      </c>
      <c r="AI342" s="143"/>
      <c r="AJ342" s="143"/>
      <c r="AK342" s="143"/>
      <c r="AL342" s="129" t="str">
        <f>IFERROR(__xludf.DUMMYFUNCTION("""COMPUTED_VALUE"""),"Family")</f>
        <v>Family</v>
      </c>
      <c r="AM342" s="129" t="str">
        <f>IFERROR(__xludf.DUMMYFUNCTION("""COMPUTED_VALUE"""),"2 Bedroom Suites, Babysitting, Beach, Buffet, Diving, Evening Entertainment, Family Suite, Golf Course, Gym, Kids Club, Kids Waterpark, Lazy River, Spa, Swim Out/Plunge Pool Rooms, Swim Up Bar, Teen Club, Tennis")</f>
        <v>2 Bedroom Suites, Babysitting, Beach, Buffet, Diving, Evening Entertainment, Family Suite, Golf Course, Gym, Kids Club, Kids Waterpark, Lazy River, Spa, Swim Out/Plunge Pool Rooms, Swim Up Bar, Teen Club, Tennis</v>
      </c>
      <c r="AN342" s="139"/>
    </row>
    <row r="343">
      <c r="A343" s="118" t="s">
        <v>1162</v>
      </c>
      <c r="B343" s="119">
        <v>87.3</v>
      </c>
      <c r="C343" s="134" t="s">
        <v>75</v>
      </c>
      <c r="D343" s="121">
        <v>5045.0</v>
      </c>
      <c r="E343" s="135">
        <f>IFERROR(__xludf.DUMMYFUNCTION("""COMPUTED_VALUE"""),6967.396745499999)</f>
        <v>6967.396746</v>
      </c>
      <c r="F343" s="136">
        <v>1.45</v>
      </c>
      <c r="G343" s="124">
        <v>7693.0</v>
      </c>
      <c r="H343" s="125">
        <v>4421.0</v>
      </c>
      <c r="I343" s="125">
        <v>1710.0</v>
      </c>
      <c r="J343" s="125">
        <v>832.0</v>
      </c>
      <c r="K343" s="125">
        <v>410.0</v>
      </c>
      <c r="L343" s="125">
        <v>324.0</v>
      </c>
      <c r="M343" s="126">
        <v>85.0</v>
      </c>
      <c r="N343" s="127">
        <v>90.0</v>
      </c>
      <c r="O343" s="127">
        <v>88.0</v>
      </c>
      <c r="P343" s="127">
        <v>86.0</v>
      </c>
      <c r="Q343" s="135" t="b">
        <v>1</v>
      </c>
      <c r="R343" s="133">
        <v>4.0</v>
      </c>
      <c r="S343" s="133">
        <v>9.0</v>
      </c>
      <c r="T343" s="133" t="s">
        <v>492</v>
      </c>
      <c r="U343" s="133">
        <v>4.5</v>
      </c>
      <c r="V343" s="129"/>
      <c r="W343" s="130" t="s">
        <v>171</v>
      </c>
      <c r="X343" s="130" t="s">
        <v>1163</v>
      </c>
      <c r="Y343" s="130" t="s">
        <v>736</v>
      </c>
      <c r="Z343" s="131" t="b">
        <v>1</v>
      </c>
      <c r="AA343" s="131">
        <v>0.06319444444444444</v>
      </c>
      <c r="AB343" s="130" t="s">
        <v>50</v>
      </c>
      <c r="AC343" s="129"/>
      <c r="AD343" s="130" t="s">
        <v>1164</v>
      </c>
      <c r="AE343" s="130" t="s">
        <v>94</v>
      </c>
      <c r="AF343" s="132" t="s">
        <v>373</v>
      </c>
      <c r="AG343" s="133" t="b">
        <v>0</v>
      </c>
      <c r="AH343" s="133">
        <v>447.0</v>
      </c>
      <c r="AI343" s="133">
        <v>2014.0</v>
      </c>
      <c r="AJ343" s="143"/>
      <c r="AK343" s="133">
        <v>7.0</v>
      </c>
      <c r="AL343" s="129"/>
      <c r="AM343" s="129" t="str">
        <f>IFERROR(__xludf.DUMMYFUNCTION("""COMPUTED_VALUE"""),"Adult Pool, Babysitting, Beach, Buffet, Evening Entertainment, Gym, Kids Club, Kids Club for Under 4, Nightclub, Pool Slide, Spa, Swim Out/Plunge Pool Rooms, Swim Up Bar, Teen Club, Water Feature")</f>
        <v>Adult Pool, Babysitting, Beach, Buffet, Evening Entertainment, Gym, Kids Club, Kids Club for Under 4, Nightclub, Pool Slide, Spa, Swim Out/Plunge Pool Rooms, Swim Up Bar, Teen Club, Water Feature</v>
      </c>
      <c r="AN343" s="139"/>
    </row>
    <row r="344">
      <c r="A344" s="118" t="s">
        <v>1165</v>
      </c>
      <c r="B344" s="119">
        <v>87.3</v>
      </c>
      <c r="C344" s="134" t="s">
        <v>75</v>
      </c>
      <c r="D344" s="150">
        <v>6010.7</v>
      </c>
      <c r="E344" s="135">
        <f>IFERROR(__xludf.DUMMYFUNCTION("""COMPUTED_VALUE"""),8301.076633929999)</f>
        <v>8301.076634</v>
      </c>
      <c r="F344" s="136">
        <v>1.21</v>
      </c>
      <c r="G344" s="124">
        <v>10075.0</v>
      </c>
      <c r="H344" s="125">
        <v>5845.0</v>
      </c>
      <c r="I344" s="125">
        <v>2467.0</v>
      </c>
      <c r="J344" s="125">
        <v>955.0</v>
      </c>
      <c r="K344" s="125">
        <v>455.0</v>
      </c>
      <c r="L344" s="125">
        <v>353.0</v>
      </c>
      <c r="M344" s="126">
        <v>86.0</v>
      </c>
      <c r="N344" s="127">
        <v>96.0</v>
      </c>
      <c r="O344" s="146"/>
      <c r="P344" s="127">
        <v>80.0</v>
      </c>
      <c r="Q344" s="135" t="b">
        <v>1</v>
      </c>
      <c r="R344" s="133"/>
      <c r="S344" s="133">
        <v>6.0</v>
      </c>
      <c r="T344" s="133"/>
      <c r="U344" s="133">
        <v>5.0</v>
      </c>
      <c r="V344" s="130"/>
      <c r="W344" s="130" t="s">
        <v>84</v>
      </c>
      <c r="X344" s="130" t="s">
        <v>336</v>
      </c>
      <c r="Y344" s="130" t="s">
        <v>86</v>
      </c>
      <c r="Z344" s="131" t="b">
        <v>1</v>
      </c>
      <c r="AA344" s="131">
        <v>0.04583333333333333</v>
      </c>
      <c r="AB344" s="130" t="s">
        <v>412</v>
      </c>
      <c r="AC344" s="130" t="s">
        <v>394</v>
      </c>
      <c r="AD344" s="130" t="s">
        <v>1166</v>
      </c>
      <c r="AE344" s="130"/>
      <c r="AF344" s="132" t="s">
        <v>373</v>
      </c>
      <c r="AG344" s="133" t="b">
        <v>0</v>
      </c>
      <c r="AH344" s="133">
        <v>423.0</v>
      </c>
      <c r="AI344" s="133">
        <v>2002.0</v>
      </c>
      <c r="AJ344" s="133">
        <v>2006.0</v>
      </c>
      <c r="AK344" s="133">
        <v>2.0</v>
      </c>
      <c r="AL344" s="129" t="str">
        <f>IFERROR(__xludf.DUMMYFUNCTION("""COMPUTED_VALUE"""),"Family, Quiet")</f>
        <v>Family, Quiet</v>
      </c>
      <c r="AM344" s="129" t="str">
        <f>IFERROR(__xludf.DUMMYFUNCTION("""COMPUTED_VALUE"""),"Adult Pool, Babysitting, Beach, Buffet, Diving, Evening Entertainment, Gym, Kids Club, Kids Club for Under 4, Kids Waterpark, Spa, Swim Out/Plunge Pool Rooms, Swim Up Bar, Teen Club, Tennis")</f>
        <v>Adult Pool, Babysitting, Beach, Buffet, Diving, Evening Entertainment, Gym, Kids Club, Kids Club for Under 4, Kids Waterpark, Spa, Swim Out/Plunge Pool Rooms, Swim Up Bar, Teen Club, Tennis</v>
      </c>
      <c r="AN344" s="139"/>
    </row>
    <row r="345">
      <c r="A345" s="118" t="s">
        <v>1167</v>
      </c>
      <c r="B345" s="119">
        <v>87.3</v>
      </c>
      <c r="C345" s="134" t="s">
        <v>75</v>
      </c>
      <c r="D345" s="121">
        <v>6206.2</v>
      </c>
      <c r="E345" s="135">
        <f>IFERROR(__xludf.DUMMYFUNCTION("""COMPUTED_VALUE"""),8571.071889379999)</f>
        <v>8571.071889</v>
      </c>
      <c r="F345" s="136">
        <v>1.18</v>
      </c>
      <c r="G345" s="124">
        <v>4493.0</v>
      </c>
      <c r="H345" s="125">
        <v>1869.0</v>
      </c>
      <c r="I345" s="125">
        <v>1717.0</v>
      </c>
      <c r="J345" s="125">
        <v>566.0</v>
      </c>
      <c r="K345" s="125">
        <v>217.0</v>
      </c>
      <c r="L345" s="125">
        <v>124.0</v>
      </c>
      <c r="M345" s="126">
        <v>82.0</v>
      </c>
      <c r="N345" s="127">
        <v>90.0</v>
      </c>
      <c r="O345" s="127"/>
      <c r="P345" s="127">
        <v>90.0</v>
      </c>
      <c r="Q345" s="122" t="b">
        <v>1</v>
      </c>
      <c r="R345" s="128"/>
      <c r="S345" s="133">
        <v>7.0</v>
      </c>
      <c r="T345" s="133"/>
      <c r="U345" s="133">
        <v>3.5</v>
      </c>
      <c r="V345" s="129"/>
      <c r="W345" s="130" t="s">
        <v>270</v>
      </c>
      <c r="X345" s="130" t="s">
        <v>1168</v>
      </c>
      <c r="Y345" s="130" t="s">
        <v>272</v>
      </c>
      <c r="Z345" s="145" t="b">
        <v>1</v>
      </c>
      <c r="AA345" s="145">
        <v>0.007638888888888889</v>
      </c>
      <c r="AB345" s="129"/>
      <c r="AC345" s="130" t="s">
        <v>1169</v>
      </c>
      <c r="AD345" s="130" t="s">
        <v>1170</v>
      </c>
      <c r="AE345" s="130" t="s">
        <v>94</v>
      </c>
      <c r="AF345" s="132" t="s">
        <v>126</v>
      </c>
      <c r="AG345" s="133" t="b">
        <v>0</v>
      </c>
      <c r="AH345" s="133">
        <v>97.0</v>
      </c>
      <c r="AI345" s="133">
        <v>1974.0</v>
      </c>
      <c r="AJ345" s="133">
        <v>2020.0</v>
      </c>
      <c r="AK345" s="133">
        <v>2.0</v>
      </c>
      <c r="AL345" s="129" t="str">
        <f>IFERROR(__xludf.DUMMYFUNCTION("""COMPUTED_VALUE"""),"Great View, Ocean View")</f>
        <v>Great View, Ocean View</v>
      </c>
      <c r="AM345" s="129" t="str">
        <f>IFERROR(__xludf.DUMMYFUNCTION("""COMPUTED_VALUE"""),"Beach, Bicycles Available, Buffet, Evening Entertainment, Gym, Kids Club, Snorkelling, Spa, Tennis, Windsurfing")</f>
        <v>Beach, Bicycles Available, Buffet, Evening Entertainment, Gym, Kids Club, Snorkelling, Spa, Tennis, Windsurfing</v>
      </c>
      <c r="AN345" s="139"/>
    </row>
    <row r="346">
      <c r="A346" s="118" t="s">
        <v>1171</v>
      </c>
      <c r="B346" s="119">
        <v>87.3</v>
      </c>
      <c r="C346" s="134" t="s">
        <v>75</v>
      </c>
      <c r="D346" s="150">
        <v>6366.0</v>
      </c>
      <c r="E346" s="135">
        <f>IFERROR(__xludf.DUMMYFUNCTION("""COMPUTED_VALUE"""),8791.7636634)</f>
        <v>8791.763663</v>
      </c>
      <c r="F346" s="136">
        <v>1.15</v>
      </c>
      <c r="G346" s="124">
        <v>19731.0</v>
      </c>
      <c r="H346" s="125">
        <v>14153.0</v>
      </c>
      <c r="I346" s="125">
        <v>2900.0</v>
      </c>
      <c r="J346" s="125">
        <v>1255.0</v>
      </c>
      <c r="K346" s="125">
        <v>641.0</v>
      </c>
      <c r="L346" s="125">
        <v>783.0</v>
      </c>
      <c r="M346" s="126">
        <v>89.0</v>
      </c>
      <c r="N346" s="127">
        <v>94.0</v>
      </c>
      <c r="O346" s="127">
        <v>90.0</v>
      </c>
      <c r="P346" s="127">
        <v>76.0</v>
      </c>
      <c r="Q346" s="135" t="b">
        <v>1</v>
      </c>
      <c r="R346" s="133">
        <v>4.0</v>
      </c>
      <c r="S346" s="133">
        <v>8.0</v>
      </c>
      <c r="T346" s="133"/>
      <c r="U346" s="133">
        <v>5.0</v>
      </c>
      <c r="V346" s="130"/>
      <c r="W346" s="130" t="s">
        <v>84</v>
      </c>
      <c r="X346" s="130" t="s">
        <v>86</v>
      </c>
      <c r="Y346" s="130" t="s">
        <v>86</v>
      </c>
      <c r="Z346" s="131" t="b">
        <v>1</v>
      </c>
      <c r="AA346" s="131">
        <v>0.014583333333333334</v>
      </c>
      <c r="AB346" s="130" t="s">
        <v>881</v>
      </c>
      <c r="AC346" s="130" t="s">
        <v>1172</v>
      </c>
      <c r="AD346" s="130" t="s">
        <v>1173</v>
      </c>
      <c r="AE346" s="130" t="s">
        <v>396</v>
      </c>
      <c r="AF346" s="132" t="s">
        <v>373</v>
      </c>
      <c r="AG346" s="133" t="b">
        <v>1</v>
      </c>
      <c r="AH346" s="133">
        <v>601.0</v>
      </c>
      <c r="AI346" s="133">
        <v>1984.0</v>
      </c>
      <c r="AJ346" s="133">
        <v>2006.0</v>
      </c>
      <c r="AK346" s="133">
        <v>12.0</v>
      </c>
      <c r="AL346" s="129" t="str">
        <f>IFERROR(__xludf.DUMMYFUNCTION("""COMPUTED_VALUE"""),"Ocean View, Trendy")</f>
        <v>Ocean View, Trendy</v>
      </c>
      <c r="AM346" s="129" t="str">
        <f>IFERROR(__xludf.DUMMYFUNCTION("""COMPUTED_VALUE"""),"2 Bedroom Suites, Beach, Buffet, Evening Entertainment, Family Suite, Gym, Kids Club, Kids Waterpark, Pets Allowed, Room Service, Spa, Swim Up Bar, Tennis, Wifi (Free)")</f>
        <v>2 Bedroom Suites, Beach, Buffet, Evening Entertainment, Family Suite, Gym, Kids Club, Kids Waterpark, Pets Allowed, Room Service, Spa, Swim Up Bar, Tennis, Wifi (Free)</v>
      </c>
      <c r="AN346" s="139"/>
    </row>
    <row r="347">
      <c r="A347" s="118" t="s">
        <v>1174</v>
      </c>
      <c r="B347" s="119">
        <v>87.3</v>
      </c>
      <c r="C347" s="120" t="s">
        <v>68</v>
      </c>
      <c r="D347" s="121">
        <v>7063.0</v>
      </c>
      <c r="E347" s="122">
        <f>IFERROR(__xludf.DUMMYFUNCTION("""COMPUTED_VALUE"""),9754.355443699998)</f>
        <v>9754.355444</v>
      </c>
      <c r="F347" s="136">
        <v>1.03</v>
      </c>
      <c r="G347" s="124">
        <v>8905.0</v>
      </c>
      <c r="H347" s="125">
        <v>5947.0</v>
      </c>
      <c r="I347" s="125">
        <v>1622.0</v>
      </c>
      <c r="J347" s="125">
        <v>703.0</v>
      </c>
      <c r="K347" s="125">
        <v>354.0</v>
      </c>
      <c r="L347" s="125">
        <v>280.0</v>
      </c>
      <c r="M347" s="126">
        <v>88.0</v>
      </c>
      <c r="N347" s="138">
        <v>88.0</v>
      </c>
      <c r="O347" s="127"/>
      <c r="P347" s="127">
        <v>86.0</v>
      </c>
      <c r="Q347" s="122" t="b">
        <v>1</v>
      </c>
      <c r="R347" s="133">
        <v>4.0</v>
      </c>
      <c r="S347" s="133" t="s">
        <v>83</v>
      </c>
      <c r="T347" s="133"/>
      <c r="U347" s="133">
        <v>4.5</v>
      </c>
      <c r="V347" s="130" t="s">
        <v>148</v>
      </c>
      <c r="W347" s="130" t="s">
        <v>219</v>
      </c>
      <c r="X347" s="130" t="s">
        <v>713</v>
      </c>
      <c r="Y347" s="144" t="s">
        <v>221</v>
      </c>
      <c r="Z347" s="131" t="b">
        <v>1</v>
      </c>
      <c r="AA347" s="131">
        <v>0.004861111111111111</v>
      </c>
      <c r="AB347" s="130" t="s">
        <v>386</v>
      </c>
      <c r="AC347" s="130" t="s">
        <v>598</v>
      </c>
      <c r="AD347" s="130" t="s">
        <v>1175</v>
      </c>
      <c r="AE347" s="129"/>
      <c r="AF347" s="132"/>
      <c r="AG347" s="133" t="b">
        <v>0</v>
      </c>
      <c r="AH347" s="133">
        <v>255.0</v>
      </c>
      <c r="AI347" s="133">
        <v>1981.0</v>
      </c>
      <c r="AJ347" s="133">
        <v>2016.0</v>
      </c>
      <c r="AK347" s="143"/>
      <c r="AL347" s="129" t="str">
        <f>IFERROR(__xludf.DUMMYFUNCTION("""COMPUTED_VALUE"""),"Ocean View, Value")</f>
        <v>Ocean View, Value</v>
      </c>
      <c r="AM347" s="129" t="str">
        <f>IFERROR(__xludf.DUMMYFUNCTION("""COMPUTED_VALUE"""),"Beach, Buffet, Diving, Evening Entertainment, Gym, Nightclub, Room Service, Spa, Swim Out/Plunge Pool Rooms, Swim Up Bar, Tennis")</f>
        <v>Beach, Buffet, Diving, Evening Entertainment, Gym, Nightclub, Room Service, Spa, Swim Out/Plunge Pool Rooms, Swim Up Bar, Tennis</v>
      </c>
      <c r="AN347" s="128"/>
    </row>
    <row r="348">
      <c r="A348" s="118" t="s">
        <v>1176</v>
      </c>
      <c r="B348" s="119">
        <v>87.0</v>
      </c>
      <c r="C348" s="134" t="s">
        <v>75</v>
      </c>
      <c r="D348" s="121">
        <v>1941.91</v>
      </c>
      <c r="E348" s="135">
        <f>IFERROR(__xludf.DUMMYFUNCTION("""COMPUTED_VALUE"""),2681.8746113089996)</f>
        <v>2681.874611</v>
      </c>
      <c r="F348" s="136">
        <v>3.6</v>
      </c>
      <c r="G348" s="124">
        <v>9227.0</v>
      </c>
      <c r="H348" s="125">
        <v>5167.0</v>
      </c>
      <c r="I348" s="125">
        <v>2368.0</v>
      </c>
      <c r="J348" s="125">
        <v>897.0</v>
      </c>
      <c r="K348" s="125">
        <v>448.0</v>
      </c>
      <c r="L348" s="125">
        <v>347.0</v>
      </c>
      <c r="M348" s="126">
        <v>85.0</v>
      </c>
      <c r="N348" s="127">
        <v>94.0</v>
      </c>
      <c r="O348" s="146"/>
      <c r="P348" s="127">
        <v>82.0</v>
      </c>
      <c r="Q348" s="135" t="b">
        <v>1</v>
      </c>
      <c r="R348" s="133"/>
      <c r="S348" s="133">
        <v>7.0</v>
      </c>
      <c r="T348" s="133"/>
      <c r="U348" s="133">
        <v>4.5</v>
      </c>
      <c r="V348" s="130"/>
      <c r="W348" s="130" t="s">
        <v>84</v>
      </c>
      <c r="X348" s="130" t="s">
        <v>932</v>
      </c>
      <c r="Y348" s="130" t="s">
        <v>932</v>
      </c>
      <c r="Z348" s="133" t="b">
        <v>1</v>
      </c>
      <c r="AA348" s="131">
        <v>0.014583333333333334</v>
      </c>
      <c r="AB348" s="130" t="s">
        <v>362</v>
      </c>
      <c r="AC348" s="130" t="s">
        <v>696</v>
      </c>
      <c r="AD348" s="130" t="s">
        <v>1177</v>
      </c>
      <c r="AE348" s="130"/>
      <c r="AF348" s="132" t="s">
        <v>373</v>
      </c>
      <c r="AG348" s="133" t="b">
        <v>0</v>
      </c>
      <c r="AH348" s="133">
        <v>351.0</v>
      </c>
      <c r="AI348" s="133">
        <v>1998.0</v>
      </c>
      <c r="AJ348" s="133">
        <v>2015.0</v>
      </c>
      <c r="AK348" s="133">
        <v>6.0</v>
      </c>
      <c r="AL348" s="129" t="str">
        <f>IFERROR(__xludf.DUMMYFUNCTION("""COMPUTED_VALUE"""),"Bay View, Family")</f>
        <v>Bay View, Family</v>
      </c>
      <c r="AM348" s="129" t="str">
        <f>IFERROR(__xludf.DUMMYFUNCTION("""COMPUTED_VALUE"""),"Adult Pool, Beach, Buffet, Evening Entertainment, Gym, Kids Club, Kids Waterpark, Mini Golf, Nightclub, Room Service, Spa, Swim Up Bar, Teen Club, Tennis")</f>
        <v>Adult Pool, Beach, Buffet, Evening Entertainment, Gym, Kids Club, Kids Waterpark, Mini Golf, Nightclub, Room Service, Spa, Swim Up Bar, Teen Club, Tennis</v>
      </c>
      <c r="AN348" s="139"/>
    </row>
    <row r="349">
      <c r="A349" s="118" t="s">
        <v>1178</v>
      </c>
      <c r="B349" s="119">
        <v>87.0</v>
      </c>
      <c r="C349" s="134" t="s">
        <v>75</v>
      </c>
      <c r="D349" s="121">
        <v>2059.51</v>
      </c>
      <c r="E349" s="135">
        <f>IFERROR(__xludf.DUMMYFUNCTION("""COMPUTED_VALUE"""),2844.286079549)</f>
        <v>2844.28608</v>
      </c>
      <c r="F349" s="136">
        <v>3.4</v>
      </c>
      <c r="G349" s="124">
        <v>6813.0</v>
      </c>
      <c r="H349" s="125">
        <v>3463.0</v>
      </c>
      <c r="I349" s="125">
        <v>1973.0</v>
      </c>
      <c r="J349" s="125">
        <v>809.0</v>
      </c>
      <c r="K349" s="125">
        <v>307.0</v>
      </c>
      <c r="L349" s="125">
        <v>261.0</v>
      </c>
      <c r="M349" s="126">
        <v>84.0</v>
      </c>
      <c r="N349" s="127">
        <v>90.0</v>
      </c>
      <c r="O349" s="146"/>
      <c r="P349" s="146"/>
      <c r="Q349" s="126" t="b">
        <v>1</v>
      </c>
      <c r="R349" s="128"/>
      <c r="S349" s="128"/>
      <c r="T349" s="128"/>
      <c r="U349" s="133">
        <v>4.0</v>
      </c>
      <c r="V349" s="129"/>
      <c r="W349" s="130" t="s">
        <v>276</v>
      </c>
      <c r="X349" s="130" t="s">
        <v>393</v>
      </c>
      <c r="Y349" s="130" t="s">
        <v>393</v>
      </c>
      <c r="Z349" s="131" t="b">
        <v>1</v>
      </c>
      <c r="AA349" s="131">
        <v>0.024305555555555556</v>
      </c>
      <c r="AB349" s="130" t="s">
        <v>1179</v>
      </c>
      <c r="AC349" s="130" t="s">
        <v>1180</v>
      </c>
      <c r="AD349" s="130" t="s">
        <v>1181</v>
      </c>
      <c r="AE349" s="130"/>
      <c r="AF349" s="132" t="s">
        <v>1095</v>
      </c>
      <c r="AG349" s="128" t="b">
        <v>0</v>
      </c>
      <c r="AH349" s="128"/>
      <c r="AI349" s="128"/>
      <c r="AJ349" s="128"/>
      <c r="AK349" s="128"/>
      <c r="AL349" s="129" t="str">
        <f>IFERROR(__xludf.DUMMYFUNCTION("""COMPUTED_VALUE"""),"Family, Mid-Range")</f>
        <v>Family, Mid-Range</v>
      </c>
      <c r="AM349" s="129" t="str">
        <f>IFERROR(__xludf.DUMMYFUNCTION("""COMPUTED_VALUE"""),"Babysitting, Beach, Buffet, Evening Entertainment, Fishing, Great Beach, Gym, Kids Club, Nightclub, Tennis, Windsurfing, Yoga Classes")</f>
        <v>Babysitting, Beach, Buffet, Evening Entertainment, Fishing, Great Beach, Gym, Kids Club, Nightclub, Tennis, Windsurfing, Yoga Classes</v>
      </c>
      <c r="AN349" s="139"/>
    </row>
    <row r="350">
      <c r="A350" s="118" t="s">
        <v>1182</v>
      </c>
      <c r="B350" s="119">
        <v>87.0</v>
      </c>
      <c r="C350" s="134" t="s">
        <v>75</v>
      </c>
      <c r="D350" s="121">
        <v>2302.23</v>
      </c>
      <c r="E350" s="135">
        <f>IFERROR(__xludf.DUMMYFUNCTION("""COMPUTED_VALUE"""),3179.4945112769997)</f>
        <v>3179.494511</v>
      </c>
      <c r="F350" s="136">
        <v>3.04</v>
      </c>
      <c r="G350" s="124">
        <v>4558.0</v>
      </c>
      <c r="H350" s="125">
        <v>3066.0</v>
      </c>
      <c r="I350" s="125">
        <v>842.0</v>
      </c>
      <c r="J350" s="125">
        <v>339.0</v>
      </c>
      <c r="K350" s="125">
        <v>153.0</v>
      </c>
      <c r="L350" s="125">
        <v>158.0</v>
      </c>
      <c r="M350" s="126">
        <v>89.0</v>
      </c>
      <c r="N350" s="127">
        <v>90.0</v>
      </c>
      <c r="O350" s="146"/>
      <c r="P350" s="127">
        <v>82.0</v>
      </c>
      <c r="Q350" s="135" t="b">
        <v>1</v>
      </c>
      <c r="R350" s="133" t="s">
        <v>1183</v>
      </c>
      <c r="S350" s="133">
        <v>4.0</v>
      </c>
      <c r="T350" s="133"/>
      <c r="U350" s="133">
        <v>4.0</v>
      </c>
      <c r="V350" s="130" t="s">
        <v>842</v>
      </c>
      <c r="W350" s="130" t="s">
        <v>84</v>
      </c>
      <c r="X350" s="130" t="s">
        <v>467</v>
      </c>
      <c r="Y350" s="130" t="s">
        <v>468</v>
      </c>
      <c r="Z350" s="131" t="b">
        <v>0</v>
      </c>
      <c r="AA350" s="131">
        <v>0.02361111111111111</v>
      </c>
      <c r="AB350" s="130"/>
      <c r="AC350" s="130" t="s">
        <v>579</v>
      </c>
      <c r="AD350" s="130" t="s">
        <v>1184</v>
      </c>
      <c r="AE350" s="130" t="s">
        <v>396</v>
      </c>
      <c r="AF350" s="132" t="s">
        <v>373</v>
      </c>
      <c r="AG350" s="133" t="b">
        <v>0</v>
      </c>
      <c r="AH350" s="133">
        <v>80.0</v>
      </c>
      <c r="AI350" s="133">
        <v>1955.0</v>
      </c>
      <c r="AJ350" s="133">
        <v>1999.0</v>
      </c>
      <c r="AK350" s="133">
        <v>5.0</v>
      </c>
      <c r="AL350" s="129" t="str">
        <f>IFERROR(__xludf.DUMMYFUNCTION("""COMPUTED_VALUE"""),"Family, Value")</f>
        <v>Family, Value</v>
      </c>
      <c r="AM350" s="129" t="str">
        <f>IFERROR(__xludf.DUMMYFUNCTION("""COMPUTED_VALUE"""),"2 Bedroom Suites, Babysitting, Beach, Buffet, Diving, Evening Entertainment, Family Suite, Fishing, Gym, Heated Pool, Hiking, Kids Club, Kids Waterpark, Room Service, Spa, Wifi (Free), Windsurfing")</f>
        <v>2 Bedroom Suites, Babysitting, Beach, Buffet, Diving, Evening Entertainment, Family Suite, Fishing, Gym, Heated Pool, Hiking, Kids Club, Kids Waterpark, Room Service, Spa, Wifi (Free), Windsurfing</v>
      </c>
      <c r="AN350" s="139"/>
    </row>
    <row r="351">
      <c r="A351" s="118" t="s">
        <v>1185</v>
      </c>
      <c r="B351" s="119">
        <v>87.0</v>
      </c>
      <c r="C351" s="134" t="s">
        <v>75</v>
      </c>
      <c r="D351" s="121">
        <v>2784.0</v>
      </c>
      <c r="E351" s="135">
        <f>IFERROR(__xludf.DUMMYFUNCTION("""COMPUTED_VALUE"""),3844.8429215999995)</f>
        <v>3844.842922</v>
      </c>
      <c r="F351" s="136">
        <v>2.51</v>
      </c>
      <c r="G351" s="124">
        <v>15352.0</v>
      </c>
      <c r="H351" s="125">
        <v>10008.0</v>
      </c>
      <c r="I351" s="125">
        <v>3163.0</v>
      </c>
      <c r="J351" s="125">
        <v>1217.0</v>
      </c>
      <c r="K351" s="125">
        <v>484.0</v>
      </c>
      <c r="L351" s="125">
        <v>481.0</v>
      </c>
      <c r="M351" s="126">
        <v>88.0</v>
      </c>
      <c r="N351" s="127">
        <v>86.0</v>
      </c>
      <c r="O351" s="146"/>
      <c r="P351" s="127"/>
      <c r="Q351" s="135" t="b">
        <v>1</v>
      </c>
      <c r="R351" s="133"/>
      <c r="S351" s="143"/>
      <c r="T351" s="133"/>
      <c r="U351" s="133"/>
      <c r="V351" s="130"/>
      <c r="W351" s="130" t="s">
        <v>84</v>
      </c>
      <c r="X351" s="130" t="s">
        <v>210</v>
      </c>
      <c r="Y351" s="130" t="s">
        <v>86</v>
      </c>
      <c r="Z351" s="131" t="b">
        <v>1</v>
      </c>
      <c r="AA351" s="131">
        <v>0.013888888888888888</v>
      </c>
      <c r="AB351" s="130" t="s">
        <v>407</v>
      </c>
      <c r="AC351" s="130" t="s">
        <v>1186</v>
      </c>
      <c r="AD351" s="130" t="s">
        <v>1187</v>
      </c>
      <c r="AE351" s="130" t="s">
        <v>396</v>
      </c>
      <c r="AF351" s="148" t="s">
        <v>126</v>
      </c>
      <c r="AG351" s="143" t="b">
        <v>0</v>
      </c>
      <c r="AH351" s="143"/>
      <c r="AI351" s="143"/>
      <c r="AJ351" s="143"/>
      <c r="AK351" s="143"/>
      <c r="AL351" s="129" t="str">
        <f>IFERROR(__xludf.DUMMYFUNCTION("""COMPUTED_VALUE"""),"Bay View, Luxury")</f>
        <v>Bay View, Luxury</v>
      </c>
      <c r="AM351" s="129" t="str">
        <f>IFERROR(__xludf.DUMMYFUNCTION("""COMPUTED_VALUE"""),"2 Bedroom Suites, Adult Pool, Babysitting, Beach, Buffet, Diving, Evening Entertainment, Family Suite, Fishing, Gym, Kids Club, Kids Waterpark, Spa, Swim Out/Plunge Pool Rooms, Swim Up Bar, Wifi (Free)")</f>
        <v>2 Bedroom Suites, Adult Pool, Babysitting, Beach, Buffet, Diving, Evening Entertainment, Family Suite, Fishing, Gym, Kids Club, Kids Waterpark, Spa, Swim Out/Plunge Pool Rooms, Swim Up Bar, Wifi (Free)</v>
      </c>
      <c r="AN351" s="139"/>
    </row>
    <row r="352">
      <c r="A352" s="118" t="s">
        <v>1188</v>
      </c>
      <c r="B352" s="149">
        <v>87.0</v>
      </c>
      <c r="C352" s="120" t="s">
        <v>68</v>
      </c>
      <c r="D352" s="121">
        <v>2848.0</v>
      </c>
      <c r="E352" s="122">
        <f>IFERROR(__xludf.DUMMYFUNCTION("""COMPUTED_VALUE"""),3933.2301151999995)</f>
        <v>3933.230115</v>
      </c>
      <c r="F352" s="136">
        <v>2.46</v>
      </c>
      <c r="G352" s="124">
        <v>9334.0</v>
      </c>
      <c r="H352" s="125">
        <v>6880.0</v>
      </c>
      <c r="I352" s="125">
        <v>1223.0</v>
      </c>
      <c r="J352" s="125">
        <v>509.0</v>
      </c>
      <c r="K352" s="125">
        <v>360.0</v>
      </c>
      <c r="L352" s="125">
        <v>357.0</v>
      </c>
      <c r="M352" s="126">
        <v>90.0</v>
      </c>
      <c r="N352" s="127">
        <v>96.0</v>
      </c>
      <c r="O352" s="127">
        <v>82.0</v>
      </c>
      <c r="P352" s="127">
        <v>80.0</v>
      </c>
      <c r="Q352" s="122" t="b">
        <v>1</v>
      </c>
      <c r="R352" s="133"/>
      <c r="S352" s="143">
        <v>7.0</v>
      </c>
      <c r="T352" s="133"/>
      <c r="U352" s="133">
        <v>5.0</v>
      </c>
      <c r="V352" s="129"/>
      <c r="W352" s="130" t="s">
        <v>193</v>
      </c>
      <c r="X352" s="130" t="s">
        <v>195</v>
      </c>
      <c r="Y352" s="130" t="s">
        <v>195</v>
      </c>
      <c r="Z352" s="131" t="b">
        <v>1</v>
      </c>
      <c r="AA352" s="131">
        <v>0.013888888888888888</v>
      </c>
      <c r="AB352" s="130" t="s">
        <v>328</v>
      </c>
      <c r="AC352" s="130" t="s">
        <v>236</v>
      </c>
      <c r="AD352" s="130" t="s">
        <v>1189</v>
      </c>
      <c r="AE352" s="129"/>
      <c r="AF352" s="132"/>
      <c r="AG352" s="143" t="b">
        <v>0</v>
      </c>
      <c r="AH352" s="143"/>
      <c r="AI352" s="143"/>
      <c r="AJ352" s="143"/>
      <c r="AK352" s="143"/>
      <c r="AL352" s="129" t="str">
        <f>IFERROR(__xludf.DUMMYFUNCTION("""COMPUTED_VALUE"""),"Charming, Romantic")</f>
        <v>Charming, Romantic</v>
      </c>
      <c r="AM352" s="129" t="str">
        <f>IFERROR(__xludf.DUMMYFUNCTION("""COMPUTED_VALUE"""),"Beach, Bicycles Available, Buffet, Casino, Evening Entertainment, Gym, Snorkelling, Spa, Swim Up Bar, Tennis, Watersports Equipment Rentals, Wifi (Free), Yoga Classes")</f>
        <v>Beach, Bicycles Available, Buffet, Casino, Evening Entertainment, Gym, Snorkelling, Spa, Swim Up Bar, Tennis, Watersports Equipment Rentals, Wifi (Free), Yoga Classes</v>
      </c>
      <c r="AN352" s="128"/>
    </row>
    <row r="353">
      <c r="A353" s="140" t="s">
        <v>1190</v>
      </c>
      <c r="B353" s="119">
        <v>87.0</v>
      </c>
      <c r="C353" s="133" t="s">
        <v>75</v>
      </c>
      <c r="D353" s="142">
        <v>2949.61</v>
      </c>
      <c r="E353" s="122">
        <f>IFERROR(__xludf.DUMMYFUNCTION("""COMPUTED_VALUE"""),4073.5585955389997)</f>
        <v>4073.558596</v>
      </c>
      <c r="F353" s="136">
        <v>2.37</v>
      </c>
      <c r="G353" s="124">
        <v>1156.0</v>
      </c>
      <c r="H353" s="125">
        <v>850.0</v>
      </c>
      <c r="I353" s="125">
        <v>206.0</v>
      </c>
      <c r="J353" s="125">
        <v>65.0</v>
      </c>
      <c r="K353" s="125">
        <v>16.0</v>
      </c>
      <c r="L353" s="125">
        <v>20.0</v>
      </c>
      <c r="M353" s="126">
        <v>92.0</v>
      </c>
      <c r="N353" s="127">
        <v>82.0</v>
      </c>
      <c r="O353" s="146"/>
      <c r="P353" s="146"/>
      <c r="Q353" s="126" t="b">
        <v>1</v>
      </c>
      <c r="R353" s="128"/>
      <c r="S353" s="143">
        <v>7.0</v>
      </c>
      <c r="T353" s="128"/>
      <c r="U353" s="143">
        <v>4.0</v>
      </c>
      <c r="V353" s="129"/>
      <c r="W353" s="144" t="s">
        <v>276</v>
      </c>
      <c r="X353" s="144" t="s">
        <v>1191</v>
      </c>
      <c r="Y353" s="144" t="s">
        <v>1192</v>
      </c>
      <c r="Z353" s="133" t="b">
        <v>0</v>
      </c>
      <c r="AA353" s="133"/>
      <c r="AB353" s="130" t="s">
        <v>1086</v>
      </c>
      <c r="AC353" s="129"/>
      <c r="AD353" s="130" t="s">
        <v>1193</v>
      </c>
      <c r="AE353" s="130" t="s">
        <v>94</v>
      </c>
      <c r="AF353" s="132" t="s">
        <v>81</v>
      </c>
      <c r="AG353" s="143" t="b">
        <v>0</v>
      </c>
      <c r="AH353" s="143">
        <v>296.0</v>
      </c>
      <c r="AI353" s="143">
        <v>2000.0</v>
      </c>
      <c r="AJ353" s="143">
        <v>2001.0</v>
      </c>
      <c r="AK353" s="143">
        <v>2.0</v>
      </c>
      <c r="AL353" s="129"/>
      <c r="AM353" s="129" t="str">
        <f>IFERROR(__xludf.DUMMYFUNCTION("""COMPUTED_VALUE"""),"Beach, Buffet, Evening Entertainment, Gym, Kids Club")</f>
        <v>Beach, Buffet, Evening Entertainment, Gym, Kids Club</v>
      </c>
      <c r="AN353" s="139"/>
    </row>
    <row r="354">
      <c r="A354" s="118" t="s">
        <v>1194</v>
      </c>
      <c r="B354" s="119">
        <v>87.0</v>
      </c>
      <c r="C354" s="134" t="s">
        <v>75</v>
      </c>
      <c r="D354" s="121">
        <v>3061.69</v>
      </c>
      <c r="E354" s="135">
        <f>IFERROR(__xludf.DUMMYFUNCTION("""COMPUTED_VALUE"""),4228.346668331)</f>
        <v>4228.346668</v>
      </c>
      <c r="F354" s="136">
        <v>2.29</v>
      </c>
      <c r="G354" s="124">
        <v>10152.0</v>
      </c>
      <c r="H354" s="125">
        <v>5959.0</v>
      </c>
      <c r="I354" s="125">
        <v>2614.0</v>
      </c>
      <c r="J354" s="125">
        <v>967.0</v>
      </c>
      <c r="K354" s="125">
        <v>337.0</v>
      </c>
      <c r="L354" s="125">
        <v>275.0</v>
      </c>
      <c r="M354" s="126">
        <v>87.0</v>
      </c>
      <c r="N354" s="127">
        <v>94.0</v>
      </c>
      <c r="O354" s="146"/>
      <c r="P354" s="127">
        <v>80.0</v>
      </c>
      <c r="Q354" s="135" t="b">
        <v>1</v>
      </c>
      <c r="R354" s="133"/>
      <c r="S354" s="143">
        <v>6.0</v>
      </c>
      <c r="T354" s="133"/>
      <c r="U354" s="133">
        <v>5.0</v>
      </c>
      <c r="V354" s="130" t="s">
        <v>842</v>
      </c>
      <c r="W354" s="130" t="s">
        <v>193</v>
      </c>
      <c r="X354" s="130" t="s">
        <v>225</v>
      </c>
      <c r="Y354" s="130" t="s">
        <v>195</v>
      </c>
      <c r="Z354" s="131" t="b">
        <v>1</v>
      </c>
      <c r="AA354" s="131">
        <v>0.017361111111111112</v>
      </c>
      <c r="AB354" s="130" t="s">
        <v>215</v>
      </c>
      <c r="AC354" s="130" t="s">
        <v>75</v>
      </c>
      <c r="AD354" s="130" t="s">
        <v>1195</v>
      </c>
      <c r="AE354" s="130" t="s">
        <v>396</v>
      </c>
      <c r="AF354" s="132" t="s">
        <v>373</v>
      </c>
      <c r="AG354" s="143" t="b">
        <v>0</v>
      </c>
      <c r="AH354" s="143">
        <v>490.0</v>
      </c>
      <c r="AI354" s="143"/>
      <c r="AJ354" s="143"/>
      <c r="AK354" s="143"/>
      <c r="AL354" s="129" t="str">
        <f>IFERROR(__xludf.DUMMYFUNCTION("""COMPUTED_VALUE"""),"Family")</f>
        <v>Family</v>
      </c>
      <c r="AM354" s="129" t="str">
        <f>IFERROR(__xludf.DUMMYFUNCTION("""COMPUTED_VALUE"""),"2 Bedroom Suites, Babysitting, Beach, Buffet, Casino, Evening Entertainment, Family Suite, Golf Course, Gym, Kids Club, Kids Waterpark, Nightclub, Spa, Teen Club, Tennis")</f>
        <v>2 Bedroom Suites, Babysitting, Beach, Buffet, Casino, Evening Entertainment, Family Suite, Golf Course, Gym, Kids Club, Kids Waterpark, Nightclub, Spa, Teen Club, Tennis</v>
      </c>
      <c r="AN354" s="139"/>
    </row>
    <row r="355">
      <c r="A355" s="118" t="s">
        <v>1196</v>
      </c>
      <c r="B355" s="119">
        <v>87.0</v>
      </c>
      <c r="C355" s="134" t="s">
        <v>75</v>
      </c>
      <c r="D355" s="121">
        <v>3236.38</v>
      </c>
      <c r="E355" s="135">
        <f>IFERROR(__xludf.DUMMYFUNCTION("""COMPUTED_VALUE"""),4469.602275362)</f>
        <v>4469.602275</v>
      </c>
      <c r="F355" s="136">
        <v>2.16</v>
      </c>
      <c r="G355" s="124">
        <v>1324.0</v>
      </c>
      <c r="H355" s="125">
        <v>1091.0</v>
      </c>
      <c r="I355" s="125">
        <v>158.0</v>
      </c>
      <c r="J355" s="125">
        <v>44.0</v>
      </c>
      <c r="K355" s="125">
        <v>17.0</v>
      </c>
      <c r="L355" s="125">
        <v>14.0</v>
      </c>
      <c r="M355" s="126">
        <v>95.0</v>
      </c>
      <c r="N355" s="127">
        <v>92.0</v>
      </c>
      <c r="O355" s="146"/>
      <c r="P355" s="127">
        <v>74.0</v>
      </c>
      <c r="Q355" s="135" t="b">
        <v>1</v>
      </c>
      <c r="R355" s="133"/>
      <c r="S355" s="143"/>
      <c r="T355" s="133"/>
      <c r="U355" s="133">
        <v>3.5</v>
      </c>
      <c r="V355" s="129"/>
      <c r="W355" s="130" t="s">
        <v>84</v>
      </c>
      <c r="X355" s="130" t="s">
        <v>1197</v>
      </c>
      <c r="Y355" s="130" t="s">
        <v>120</v>
      </c>
      <c r="Z355" s="131" t="b">
        <v>1</v>
      </c>
      <c r="AA355" s="131">
        <v>0.03958333333333333</v>
      </c>
      <c r="AB355" s="130" t="s">
        <v>412</v>
      </c>
      <c r="AC355" s="130" t="s">
        <v>898</v>
      </c>
      <c r="AD355" s="130" t="s">
        <v>1198</v>
      </c>
      <c r="AE355" s="130"/>
      <c r="AF355" s="132" t="s">
        <v>373</v>
      </c>
      <c r="AG355" s="133" t="b">
        <v>0</v>
      </c>
      <c r="AH355" s="133">
        <v>146.0</v>
      </c>
      <c r="AI355" s="133">
        <v>2020.0</v>
      </c>
      <c r="AJ355" s="143"/>
      <c r="AK355" s="133">
        <v>6.0</v>
      </c>
      <c r="AL355" s="129" t="str">
        <f>IFERROR(__xludf.DUMMYFUNCTION("""COMPUTED_VALUE"""),"Business, Charming")</f>
        <v>Business, Charming</v>
      </c>
      <c r="AM355" s="129" t="str">
        <f>IFERROR(__xludf.DUMMYFUNCTION("""COMPUTED_VALUE"""),"Beach, Buffet, Wifi (Free)")</f>
        <v>Beach, Buffet, Wifi (Free)</v>
      </c>
      <c r="AN355" s="139"/>
    </row>
    <row r="356">
      <c r="A356" s="118" t="s">
        <v>1199</v>
      </c>
      <c r="B356" s="119">
        <v>87.0</v>
      </c>
      <c r="C356" s="134" t="s">
        <v>75</v>
      </c>
      <c r="D356" s="121">
        <v>3528.0</v>
      </c>
      <c r="E356" s="135">
        <f>IFERROR(__xludf.DUMMYFUNCTION("""COMPUTED_VALUE"""),4872.344047199999)</f>
        <v>4872.344047</v>
      </c>
      <c r="F356" s="136">
        <v>1.98</v>
      </c>
      <c r="G356" s="124">
        <v>693.0</v>
      </c>
      <c r="H356" s="125">
        <v>477.0</v>
      </c>
      <c r="I356" s="125">
        <v>126.0</v>
      </c>
      <c r="J356" s="125">
        <v>33.0</v>
      </c>
      <c r="K356" s="125">
        <v>22.0</v>
      </c>
      <c r="L356" s="125">
        <v>35.0</v>
      </c>
      <c r="M356" s="126">
        <v>89.0</v>
      </c>
      <c r="N356" s="127">
        <v>88.0</v>
      </c>
      <c r="O356" s="146"/>
      <c r="P356" s="138">
        <v>84.0</v>
      </c>
      <c r="Q356" s="122" t="b">
        <v>1</v>
      </c>
      <c r="R356" s="133"/>
      <c r="S356" s="133">
        <v>6.0</v>
      </c>
      <c r="T356" s="133"/>
      <c r="U356" s="133">
        <v>4.5</v>
      </c>
      <c r="V356" s="129"/>
      <c r="W356" s="130" t="s">
        <v>84</v>
      </c>
      <c r="X356" s="130" t="s">
        <v>86</v>
      </c>
      <c r="Y356" s="130" t="s">
        <v>86</v>
      </c>
      <c r="Z356" s="131" t="b">
        <v>1</v>
      </c>
      <c r="AA356" s="131">
        <v>0.021527777777777778</v>
      </c>
      <c r="AB356" s="130" t="s">
        <v>655</v>
      </c>
      <c r="AC356" s="130" t="s">
        <v>1200</v>
      </c>
      <c r="AD356" s="130" t="s">
        <v>1201</v>
      </c>
      <c r="AE356" s="130"/>
      <c r="AF356" s="132" t="s">
        <v>181</v>
      </c>
      <c r="AG356" s="133" t="b">
        <v>1</v>
      </c>
      <c r="AH356" s="133">
        <v>506.0</v>
      </c>
      <c r="AI356" s="133">
        <v>1998.0</v>
      </c>
      <c r="AJ356" s="133">
        <v>2022.0</v>
      </c>
      <c r="AK356" s="133">
        <v>10.0</v>
      </c>
      <c r="AL356" s="129" t="str">
        <f>IFERROR(__xludf.DUMMYFUNCTION("""COMPUTED_VALUE"""),"Bay View, Ocean View")</f>
        <v>Bay View, Ocean View</v>
      </c>
      <c r="AM356" s="129" t="str">
        <f>IFERROR(__xludf.DUMMYFUNCTION("""COMPUTED_VALUE"""),"Adults Only Rooms, Beach, Buffet, Diving, Evening Entertainment, Great for Parties, Gym, Kids Club, Spa, Swim Out/Plunge Pool Rooms, Swim Up Bar, Tennis, Wifi (Paid)")</f>
        <v>Adults Only Rooms, Beach, Buffet, Diving, Evening Entertainment, Great for Parties, Gym, Kids Club, Spa, Swim Out/Plunge Pool Rooms, Swim Up Bar, Tennis, Wifi (Paid)</v>
      </c>
      <c r="AN356" s="139"/>
    </row>
    <row r="357">
      <c r="A357" s="118" t="s">
        <v>1202</v>
      </c>
      <c r="B357" s="119">
        <v>87.0</v>
      </c>
      <c r="C357" s="134" t="s">
        <v>75</v>
      </c>
      <c r="D357" s="121">
        <v>3630.6</v>
      </c>
      <c r="E357" s="135">
        <f>IFERROR(__xludf.DUMMYFUNCTION("""COMPUTED_VALUE"""),5014.039766939999)</f>
        <v>5014.039767</v>
      </c>
      <c r="F357" s="136">
        <v>1.93</v>
      </c>
      <c r="G357" s="124">
        <v>22778.0</v>
      </c>
      <c r="H357" s="125">
        <v>13953.0</v>
      </c>
      <c r="I357" s="125">
        <v>5199.0</v>
      </c>
      <c r="J357" s="125">
        <v>2098.0</v>
      </c>
      <c r="K357" s="125">
        <v>793.0</v>
      </c>
      <c r="L357" s="125">
        <v>735.0</v>
      </c>
      <c r="M357" s="126">
        <v>87.0</v>
      </c>
      <c r="N357" s="127">
        <v>92.0</v>
      </c>
      <c r="O357" s="146"/>
      <c r="P357" s="127">
        <v>82.0</v>
      </c>
      <c r="Q357" s="135" t="b">
        <v>1</v>
      </c>
      <c r="R357" s="133"/>
      <c r="S357" s="133">
        <v>7.0</v>
      </c>
      <c r="T357" s="133"/>
      <c r="U357" s="133">
        <v>5.0</v>
      </c>
      <c r="V357" s="130"/>
      <c r="W357" s="130" t="s">
        <v>84</v>
      </c>
      <c r="X357" s="130" t="s">
        <v>210</v>
      </c>
      <c r="Y357" s="147" t="s">
        <v>86</v>
      </c>
      <c r="Z357" s="131" t="b">
        <v>1</v>
      </c>
      <c r="AA357" s="131">
        <v>0.01875</v>
      </c>
      <c r="AB357" s="130" t="s">
        <v>759</v>
      </c>
      <c r="AC357" s="130" t="s">
        <v>1203</v>
      </c>
      <c r="AD357" s="130" t="s">
        <v>1204</v>
      </c>
      <c r="AE357" s="130"/>
      <c r="AF357" s="132" t="s">
        <v>135</v>
      </c>
      <c r="AG357" s="133" t="b">
        <v>0</v>
      </c>
      <c r="AH357" s="133">
        <v>591.0</v>
      </c>
      <c r="AI357" s="133">
        <v>2007.0</v>
      </c>
      <c r="AJ357" s="143"/>
      <c r="AK357" s="143"/>
      <c r="AL357" s="129" t="str">
        <f>IFERROR(__xludf.DUMMYFUNCTION("""COMPUTED_VALUE"""),"Family, Ocean View")</f>
        <v>Family, Ocean View</v>
      </c>
      <c r="AM357" s="129" t="str">
        <f>IFERROR(__xludf.DUMMYFUNCTION("""COMPUTED_VALUE"""),"Adults Only Rooms, Archery, Babysitting, Beach, Buffet, Diving, Evening Entertainment, Fishing, Gym, Kids Club, Kids Waterpark, Nightclub, Room Service, Spa, Swim Up Bar, Teen Club, Tennis, Wifi (Free)")</f>
        <v>Adults Only Rooms, Archery, Babysitting, Beach, Buffet, Diving, Evening Entertainment, Fishing, Gym, Kids Club, Kids Waterpark, Nightclub, Room Service, Spa, Swim Up Bar, Teen Club, Tennis, Wifi (Free)</v>
      </c>
      <c r="AN357" s="139"/>
    </row>
    <row r="358">
      <c r="A358" s="118" t="s">
        <v>1205</v>
      </c>
      <c r="B358" s="119">
        <v>87.0</v>
      </c>
      <c r="C358" s="134" t="s">
        <v>75</v>
      </c>
      <c r="D358" s="121">
        <v>3633.8</v>
      </c>
      <c r="E358" s="135">
        <f>IFERROR(__xludf.DUMMYFUNCTION("""COMPUTED_VALUE"""),5018.45912662)</f>
        <v>5018.459127</v>
      </c>
      <c r="F358" s="136">
        <v>1.93</v>
      </c>
      <c r="G358" s="124">
        <v>15460.0</v>
      </c>
      <c r="H358" s="125">
        <v>10613.0</v>
      </c>
      <c r="I358" s="125">
        <v>2076.0</v>
      </c>
      <c r="J358" s="125">
        <v>1164.0</v>
      </c>
      <c r="K358" s="125">
        <v>665.0</v>
      </c>
      <c r="L358" s="125">
        <v>944.0</v>
      </c>
      <c r="M358" s="126">
        <v>87.0</v>
      </c>
      <c r="N358" s="138">
        <v>92.0</v>
      </c>
      <c r="O358" s="146"/>
      <c r="P358" s="138">
        <v>82.0</v>
      </c>
      <c r="Q358" s="122" t="b">
        <v>1</v>
      </c>
      <c r="R358" s="133"/>
      <c r="S358" s="133">
        <v>6.0</v>
      </c>
      <c r="T358" s="133"/>
      <c r="U358" s="133">
        <v>5.0</v>
      </c>
      <c r="V358" s="130"/>
      <c r="W358" s="130" t="s">
        <v>84</v>
      </c>
      <c r="X358" s="130" t="s">
        <v>85</v>
      </c>
      <c r="Y358" s="147" t="s">
        <v>86</v>
      </c>
      <c r="Z358" s="131" t="b">
        <v>1</v>
      </c>
      <c r="AA358" s="131">
        <v>0.02847222222222222</v>
      </c>
      <c r="AB358" s="130" t="s">
        <v>759</v>
      </c>
      <c r="AC358" s="130" t="s">
        <v>718</v>
      </c>
      <c r="AD358" s="130" t="s">
        <v>1206</v>
      </c>
      <c r="AE358" s="130"/>
      <c r="AF358" s="132" t="s">
        <v>181</v>
      </c>
      <c r="AG358" s="133" t="b">
        <v>0</v>
      </c>
      <c r="AH358" s="133">
        <v>974.0</v>
      </c>
      <c r="AI358" s="133">
        <v>2016.0</v>
      </c>
      <c r="AJ358" s="143"/>
      <c r="AK358" s="143"/>
      <c r="AL358" s="129" t="str">
        <f>IFERROR(__xludf.DUMMYFUNCTION("""COMPUTED_VALUE"""),"Family, Modern")</f>
        <v>Family, Modern</v>
      </c>
      <c r="AM358" s="129" t="str">
        <f>IFERROR(__xludf.DUMMYFUNCTION("""COMPUTED_VALUE"""),"Adult Pool, Adults Only Rooms, Babysitting, Beach, Buffet, Evening Entertainment, Gym, Kids Club, Kids Waterpark, Nightclub, Spa, Swim Out/Plunge Pool Rooms, Swim Up Bar, Teen Club, Tennis, Wifi (Free)")</f>
        <v>Adult Pool, Adults Only Rooms, Babysitting, Beach, Buffet, Evening Entertainment, Gym, Kids Club, Kids Waterpark, Nightclub, Spa, Swim Out/Plunge Pool Rooms, Swim Up Bar, Teen Club, Tennis, Wifi (Free)</v>
      </c>
      <c r="AN358" s="139"/>
    </row>
    <row r="359">
      <c r="A359" s="118" t="s">
        <v>1207</v>
      </c>
      <c r="B359" s="119">
        <v>87.0</v>
      </c>
      <c r="C359" s="134" t="s">
        <v>75</v>
      </c>
      <c r="D359" s="150">
        <v>3861.69</v>
      </c>
      <c r="E359" s="135">
        <f>IFERROR(__xludf.DUMMYFUNCTION("""COMPUTED_VALUE"""),5333.186588330999)</f>
        <v>5333.186588</v>
      </c>
      <c r="F359" s="136">
        <v>1.81</v>
      </c>
      <c r="G359" s="124">
        <v>22298.0</v>
      </c>
      <c r="H359" s="125">
        <v>15617.0</v>
      </c>
      <c r="I359" s="125">
        <v>2985.0</v>
      </c>
      <c r="J359" s="125">
        <v>1589.0</v>
      </c>
      <c r="K359" s="125">
        <v>913.0</v>
      </c>
      <c r="L359" s="125">
        <v>1195.0</v>
      </c>
      <c r="M359" s="126">
        <v>88.0</v>
      </c>
      <c r="N359" s="127">
        <v>92.0</v>
      </c>
      <c r="O359" s="127">
        <v>88.0</v>
      </c>
      <c r="P359" s="127">
        <v>80.0</v>
      </c>
      <c r="Q359" s="135" t="b">
        <v>1</v>
      </c>
      <c r="R359" s="133"/>
      <c r="S359" s="133">
        <v>7.0</v>
      </c>
      <c r="T359" s="133"/>
      <c r="U359" s="133">
        <v>5.0</v>
      </c>
      <c r="V359" s="130"/>
      <c r="W359" s="130" t="s">
        <v>84</v>
      </c>
      <c r="X359" s="130" t="s">
        <v>528</v>
      </c>
      <c r="Y359" s="130" t="s">
        <v>86</v>
      </c>
      <c r="Z359" s="131" t="b">
        <v>1</v>
      </c>
      <c r="AA359" s="131">
        <v>0.04236111111111111</v>
      </c>
      <c r="AB359" s="130" t="s">
        <v>881</v>
      </c>
      <c r="AC359" s="130" t="s">
        <v>792</v>
      </c>
      <c r="AD359" s="130" t="s">
        <v>1208</v>
      </c>
      <c r="AE359" s="130"/>
      <c r="AF359" s="132" t="s">
        <v>373</v>
      </c>
      <c r="AG359" s="133" t="b">
        <v>0</v>
      </c>
      <c r="AH359" s="133">
        <v>870.0</v>
      </c>
      <c r="AI359" s="133"/>
      <c r="AJ359" s="133">
        <v>2014.0</v>
      </c>
      <c r="AK359" s="133">
        <v>3.0</v>
      </c>
      <c r="AL359" s="129" t="str">
        <f>IFERROR(__xludf.DUMMYFUNCTION("""COMPUTED_VALUE"""),"Business, Green")</f>
        <v>Business, Green</v>
      </c>
      <c r="AM359" s="129" t="str">
        <f>IFERROR(__xludf.DUMMYFUNCTION("""COMPUTED_VALUE"""),"2 Bedroom Suites, Adult Pool, Adults Only Rooms, Arcade, Babysitting, Beach, Big Waterslides, Buffet, Diving, Evening Entertainment, Family Suite, Fishing, Gym, Kids Club, Kids Waterpark, Lazy River, Nightclub, Room Service, Spa, Swim Up Bar, Tennis, Wifi"&amp;" (Free)")</f>
        <v>2 Bedroom Suites, Adult Pool, Adults Only Rooms, Arcade, Babysitting, Beach, Big Waterslides, Buffet, Diving, Evening Entertainment, Family Suite, Fishing, Gym, Kids Club, Kids Waterpark, Lazy River, Nightclub, Room Service, Spa, Swim Up Bar, Tennis, Wifi (Free)</v>
      </c>
      <c r="AN359" s="139"/>
    </row>
    <row r="360">
      <c r="A360" s="118" t="s">
        <v>1209</v>
      </c>
      <c r="B360" s="119">
        <v>87.0</v>
      </c>
      <c r="C360" s="134" t="s">
        <v>75</v>
      </c>
      <c r="D360" s="121">
        <v>3870.0</v>
      </c>
      <c r="E360" s="122">
        <f>IFERROR(__xludf.DUMMYFUNCTION("""COMPUTED_VALUE"""),5344.663113)</f>
        <v>5344.663113</v>
      </c>
      <c r="F360" s="136">
        <v>1.81</v>
      </c>
      <c r="G360" s="124">
        <v>989.0</v>
      </c>
      <c r="H360" s="125">
        <v>774.0</v>
      </c>
      <c r="I360" s="125">
        <v>110.0</v>
      </c>
      <c r="J360" s="125">
        <v>42.0</v>
      </c>
      <c r="K360" s="125">
        <v>18.0</v>
      </c>
      <c r="L360" s="125">
        <v>45.0</v>
      </c>
      <c r="M360" s="126">
        <v>91.0</v>
      </c>
      <c r="N360" s="138">
        <v>84.0</v>
      </c>
      <c r="O360" s="127"/>
      <c r="P360" s="138">
        <v>86.0</v>
      </c>
      <c r="Q360" s="126" t="b">
        <v>1</v>
      </c>
      <c r="R360" s="128"/>
      <c r="S360" s="133" t="s">
        <v>83</v>
      </c>
      <c r="T360" s="128"/>
      <c r="U360" s="128"/>
      <c r="V360" s="130"/>
      <c r="W360" s="144" t="s">
        <v>193</v>
      </c>
      <c r="X360" s="130" t="s">
        <v>195</v>
      </c>
      <c r="Y360" s="130" t="s">
        <v>195</v>
      </c>
      <c r="Z360" s="133" t="b">
        <v>1</v>
      </c>
      <c r="AA360" s="131">
        <v>0.02847222222222222</v>
      </c>
      <c r="AB360" s="130" t="s">
        <v>412</v>
      </c>
      <c r="AC360" s="147" t="s">
        <v>1210</v>
      </c>
      <c r="AD360" s="147" t="s">
        <v>1211</v>
      </c>
      <c r="AE360" s="129"/>
      <c r="AF360" s="148" t="s">
        <v>373</v>
      </c>
      <c r="AG360" s="143" t="b">
        <v>0</v>
      </c>
      <c r="AH360" s="133">
        <v>620.0</v>
      </c>
      <c r="AI360" s="133">
        <v>2002.0</v>
      </c>
      <c r="AJ360" s="133">
        <v>2024.0</v>
      </c>
      <c r="AK360" s="133">
        <v>3.0</v>
      </c>
      <c r="AL360" s="129" t="str">
        <f>IFERROR(__xludf.DUMMYFUNCTION("""COMPUTED_VALUE"""),"Business, Mid-Range")</f>
        <v>Business, Mid-Range</v>
      </c>
      <c r="AM360" s="129" t="str">
        <f>IFERROR(__xludf.DUMMYFUNCTION("""COMPUTED_VALUE"""),"2 Bedroom Suites, Beach, Buffet, Evening Entertainment, Gym, Kids Club, Nightclub, Spa, Swim Up Bar, Teen Club, Tennis, Wifi (Free)")</f>
        <v>2 Bedroom Suites, Beach, Buffet, Evening Entertainment, Gym, Kids Club, Nightclub, Spa, Swim Up Bar, Teen Club, Tennis, Wifi (Free)</v>
      </c>
      <c r="AN360" s="139"/>
    </row>
    <row r="361">
      <c r="A361" s="118" t="s">
        <v>1212</v>
      </c>
      <c r="B361" s="119">
        <v>87.0</v>
      </c>
      <c r="C361" s="134" t="s">
        <v>75</v>
      </c>
      <c r="D361" s="121">
        <v>3920.0</v>
      </c>
      <c r="E361" s="135">
        <f>IFERROR(__xludf.DUMMYFUNCTION("""COMPUTED_VALUE"""),5413.7156079999995)</f>
        <v>5413.715608</v>
      </c>
      <c r="F361" s="136">
        <v>1.79</v>
      </c>
      <c r="G361" s="124">
        <v>399.0</v>
      </c>
      <c r="H361" s="125">
        <v>197.0</v>
      </c>
      <c r="I361" s="125">
        <v>107.0</v>
      </c>
      <c r="J361" s="125">
        <v>54.0</v>
      </c>
      <c r="K361" s="125">
        <v>21.0</v>
      </c>
      <c r="L361" s="125">
        <v>20.0</v>
      </c>
      <c r="M361" s="137">
        <v>82.0</v>
      </c>
      <c r="N361" s="138">
        <v>92.0</v>
      </c>
      <c r="O361" s="127"/>
      <c r="P361" s="138"/>
      <c r="Q361" s="135" t="b">
        <v>1</v>
      </c>
      <c r="R361" s="133"/>
      <c r="S361" s="133">
        <v>6.0</v>
      </c>
      <c r="T361" s="133"/>
      <c r="U361" s="133">
        <v>5.0</v>
      </c>
      <c r="V361" s="130"/>
      <c r="W361" s="130" t="s">
        <v>193</v>
      </c>
      <c r="X361" s="130" t="s">
        <v>195</v>
      </c>
      <c r="Y361" s="130" t="s">
        <v>195</v>
      </c>
      <c r="Z361" s="131" t="b">
        <v>1</v>
      </c>
      <c r="AA361" s="131">
        <v>0.01875</v>
      </c>
      <c r="AB361" s="130"/>
      <c r="AC361" s="130" t="s">
        <v>1041</v>
      </c>
      <c r="AD361" s="130" t="s">
        <v>1213</v>
      </c>
      <c r="AE361" s="130"/>
      <c r="AF361" s="132" t="s">
        <v>373</v>
      </c>
      <c r="AG361" s="133" t="b">
        <v>0</v>
      </c>
      <c r="AH361" s="133">
        <v>47.0</v>
      </c>
      <c r="AI361" s="133">
        <v>2006.0</v>
      </c>
      <c r="AJ361" s="133">
        <v>2008.0</v>
      </c>
      <c r="AK361" s="133">
        <v>3.0</v>
      </c>
      <c r="AL361" s="129" t="str">
        <f>IFERROR(__xludf.DUMMYFUNCTION("""COMPUTED_VALUE"""),"Family, Great View")</f>
        <v>Family, Great View</v>
      </c>
      <c r="AM361" s="129" t="str">
        <f>IFERROR(__xludf.DUMMYFUNCTION("""COMPUTED_VALUE"""),"Babysitting, Beach, Buffet, Casino, Diving, Gym, Kids Club, Spa, Tennis, Watersports Equipment Rentals, Windsurfing")</f>
        <v>Babysitting, Beach, Buffet, Casino, Diving, Gym, Kids Club, Spa, Tennis, Watersports Equipment Rentals, Windsurfing</v>
      </c>
      <c r="AN361" s="139"/>
    </row>
    <row r="362">
      <c r="A362" s="118" t="s">
        <v>1214</v>
      </c>
      <c r="B362" s="119">
        <v>87.0</v>
      </c>
      <c r="C362" s="134" t="s">
        <v>75</v>
      </c>
      <c r="D362" s="150">
        <v>3934.0</v>
      </c>
      <c r="E362" s="135">
        <f>IFERROR(__xludf.DUMMYFUNCTION("""COMPUTED_VALUE"""),5433.050306599999)</f>
        <v>5433.050307</v>
      </c>
      <c r="F362" s="136">
        <v>1.78</v>
      </c>
      <c r="G362" s="124">
        <v>17288.0</v>
      </c>
      <c r="H362" s="125">
        <v>11057.0</v>
      </c>
      <c r="I362" s="125">
        <v>3839.0</v>
      </c>
      <c r="J362" s="125">
        <v>1366.0</v>
      </c>
      <c r="K362" s="125">
        <v>582.0</v>
      </c>
      <c r="L362" s="125">
        <v>447.0</v>
      </c>
      <c r="M362" s="126">
        <v>88.0</v>
      </c>
      <c r="N362" s="127">
        <v>88.0</v>
      </c>
      <c r="O362" s="127">
        <v>88.0</v>
      </c>
      <c r="P362" s="127">
        <v>84.0</v>
      </c>
      <c r="Q362" s="135" t="b">
        <v>1</v>
      </c>
      <c r="R362" s="133"/>
      <c r="S362" s="133">
        <v>8.0</v>
      </c>
      <c r="T362" s="133" t="s">
        <v>955</v>
      </c>
      <c r="U362" s="133">
        <v>4.5</v>
      </c>
      <c r="V362" s="130" t="s">
        <v>91</v>
      </c>
      <c r="W362" s="130" t="s">
        <v>84</v>
      </c>
      <c r="X362" s="130" t="s">
        <v>210</v>
      </c>
      <c r="Y362" s="130" t="s">
        <v>86</v>
      </c>
      <c r="Z362" s="131" t="b">
        <v>1</v>
      </c>
      <c r="AA362" s="131">
        <v>0.019444444444444445</v>
      </c>
      <c r="AB362" s="130" t="s">
        <v>50</v>
      </c>
      <c r="AC362" s="130" t="s">
        <v>598</v>
      </c>
      <c r="AD362" s="130" t="s">
        <v>1215</v>
      </c>
      <c r="AE362" s="130" t="s">
        <v>396</v>
      </c>
      <c r="AF362" s="132" t="s">
        <v>373</v>
      </c>
      <c r="AG362" s="133" t="b">
        <v>0</v>
      </c>
      <c r="AH362" s="133">
        <v>550.0</v>
      </c>
      <c r="AI362" s="133">
        <v>2009.0</v>
      </c>
      <c r="AJ362" s="133">
        <v>2020.0</v>
      </c>
      <c r="AK362" s="133">
        <v>4.0</v>
      </c>
      <c r="AL362" s="129" t="str">
        <f>IFERROR(__xludf.DUMMYFUNCTION("""COMPUTED_VALUE"""),"Ocean View, Value")</f>
        <v>Ocean View, Value</v>
      </c>
      <c r="AM362" s="129" t="str">
        <f>IFERROR(__xludf.DUMMYFUNCTION("""COMPUTED_VALUE"""),"2 Bedroom Suites, Adult Pool, Archery, Babysitting, Beach, Bicycles Available, Buffet, Diving, Evening Entertainment, Family Suite, Fishing, Gym, Heated Pool, Kids Club, Kids Club for Under 4, Lazy River, Nightclub, Spa, Swim Up Bar, Teen Club, Tennis, Wi"&amp;"fi (Free)")</f>
        <v>2 Bedroom Suites, Adult Pool, Archery, Babysitting, Beach, Bicycles Available, Buffet, Diving, Evening Entertainment, Family Suite, Fishing, Gym, Heated Pool, Kids Club, Kids Club for Under 4, Lazy River, Nightclub, Spa, Swim Up Bar, Teen Club, Tennis, Wifi (Free)</v>
      </c>
      <c r="AN362" s="139"/>
    </row>
    <row r="363">
      <c r="A363" s="118" t="s">
        <v>1216</v>
      </c>
      <c r="B363" s="119">
        <v>87.0</v>
      </c>
      <c r="C363" s="134" t="s">
        <v>75</v>
      </c>
      <c r="D363" s="150">
        <v>4053.36</v>
      </c>
      <c r="E363" s="135">
        <f>IFERROR(__xludf.DUMMYFUNCTION("""COMPUTED_VALUE"""),5597.892422663999)</f>
        <v>5597.892423</v>
      </c>
      <c r="F363" s="136">
        <v>1.73</v>
      </c>
      <c r="G363" s="124">
        <v>13504.0</v>
      </c>
      <c r="H363" s="125">
        <v>9057.0</v>
      </c>
      <c r="I363" s="125">
        <v>2199.0</v>
      </c>
      <c r="J363" s="125">
        <v>1030.0</v>
      </c>
      <c r="K363" s="125">
        <v>642.0</v>
      </c>
      <c r="L363" s="125">
        <v>576.0</v>
      </c>
      <c r="M363" s="126">
        <v>87.0</v>
      </c>
      <c r="N363" s="138">
        <v>96.0</v>
      </c>
      <c r="O363" s="146"/>
      <c r="P363" s="127">
        <v>78.0</v>
      </c>
      <c r="Q363" s="135" t="b">
        <v>1</v>
      </c>
      <c r="R363" s="133"/>
      <c r="S363" s="143">
        <v>7.0</v>
      </c>
      <c r="T363" s="133"/>
      <c r="U363" s="133">
        <v>5.0</v>
      </c>
      <c r="V363" s="130"/>
      <c r="W363" s="130" t="s">
        <v>193</v>
      </c>
      <c r="X363" s="130" t="s">
        <v>225</v>
      </c>
      <c r="Y363" s="130" t="s">
        <v>195</v>
      </c>
      <c r="Z363" s="131" t="b">
        <v>1</v>
      </c>
      <c r="AA363" s="131">
        <v>0.01875</v>
      </c>
      <c r="AB363" s="130" t="s">
        <v>412</v>
      </c>
      <c r="AC363" s="130" t="s">
        <v>959</v>
      </c>
      <c r="AD363" s="130" t="s">
        <v>1217</v>
      </c>
      <c r="AE363" s="130"/>
      <c r="AF363" s="132" t="s">
        <v>231</v>
      </c>
      <c r="AG363" s="143" t="b">
        <v>0</v>
      </c>
      <c r="AH363" s="143">
        <v>366.0</v>
      </c>
      <c r="AI363" s="143">
        <v>1994.0</v>
      </c>
      <c r="AJ363" s="143"/>
      <c r="AK363" s="143">
        <v>3.0</v>
      </c>
      <c r="AL363" s="129" t="str">
        <f>IFERROR(__xludf.DUMMYFUNCTION("""COMPUTED_VALUE"""),"Green, Value")</f>
        <v>Green, Value</v>
      </c>
      <c r="AM363" s="129" t="str">
        <f>IFERROR(__xludf.DUMMYFUNCTION("""COMPUTED_VALUE"""),"Adult Pool, Babysitting, Beach, Buffet, Casino, Diving, Evening Entertainment, Fishing, Gym, Kids Club, Kids Club for Under 4, Kids Waterpark, Nightclub, Snorkelling, Spa, Swim Out/Plunge Pool Rooms, Swim Up Bar, Teen Club, Tennis")</f>
        <v>Adult Pool, Babysitting, Beach, Buffet, Casino, Diving, Evening Entertainment, Fishing, Gym, Kids Club, Kids Club for Under 4, Kids Waterpark, Nightclub, Snorkelling, Spa, Swim Out/Plunge Pool Rooms, Swim Up Bar, Teen Club, Tennis</v>
      </c>
      <c r="AN363" s="139"/>
    </row>
    <row r="364">
      <c r="A364" s="118" t="s">
        <v>1218</v>
      </c>
      <c r="B364" s="119">
        <v>87.0</v>
      </c>
      <c r="C364" s="120" t="s">
        <v>68</v>
      </c>
      <c r="D364" s="121">
        <v>4555.0</v>
      </c>
      <c r="E364" s="122">
        <f>IFERROR(__xludf.DUMMYFUNCTION("""COMPUTED_VALUE"""),6290.682294499999)</f>
        <v>6290.682295</v>
      </c>
      <c r="F364" s="136">
        <v>1.54</v>
      </c>
      <c r="G364" s="124">
        <v>2675.0</v>
      </c>
      <c r="H364" s="125">
        <v>2196.0</v>
      </c>
      <c r="I364" s="125">
        <v>256.0</v>
      </c>
      <c r="J364" s="125">
        <v>115.0</v>
      </c>
      <c r="K364" s="125">
        <v>61.0</v>
      </c>
      <c r="L364" s="125">
        <v>49.0</v>
      </c>
      <c r="M364" s="126">
        <v>94.0</v>
      </c>
      <c r="N364" s="127">
        <v>88.0</v>
      </c>
      <c r="O364" s="127">
        <v>82.0</v>
      </c>
      <c r="P364" s="127">
        <v>84.0</v>
      </c>
      <c r="Q364" s="122" t="b">
        <v>1</v>
      </c>
      <c r="R364" s="133"/>
      <c r="S364" s="133" t="s">
        <v>83</v>
      </c>
      <c r="T364" s="133"/>
      <c r="U364" s="133">
        <v>5.0</v>
      </c>
      <c r="V364" s="129"/>
      <c r="W364" s="130" t="s">
        <v>84</v>
      </c>
      <c r="X364" s="130" t="s">
        <v>907</v>
      </c>
      <c r="Y364" s="130" t="s">
        <v>120</v>
      </c>
      <c r="Z364" s="131" t="b">
        <v>1</v>
      </c>
      <c r="AA364" s="131">
        <v>0.034722222222222224</v>
      </c>
      <c r="AB364" s="129"/>
      <c r="AC364" s="130" t="s">
        <v>927</v>
      </c>
      <c r="AD364" s="130" t="s">
        <v>1219</v>
      </c>
      <c r="AE364" s="129"/>
      <c r="AF364" s="132"/>
      <c r="AG364" s="133" t="b">
        <v>0</v>
      </c>
      <c r="AH364" s="133">
        <v>80.0</v>
      </c>
      <c r="AI364" s="133">
        <v>1998.0</v>
      </c>
      <c r="AJ364" s="133">
        <v>2013.0</v>
      </c>
      <c r="AK364" s="133">
        <v>2.0</v>
      </c>
      <c r="AL364" s="129" t="str">
        <f>IFERROR(__xludf.DUMMYFUNCTION("""COMPUTED_VALUE"""),"Bay View, Great View")</f>
        <v>Bay View, Great View</v>
      </c>
      <c r="AM364" s="129" t="str">
        <f>IFERROR(__xludf.DUMMYFUNCTION("""COMPUTED_VALUE"""),"Beach, Buffet, Evening Entertainment, Gym, Heated Pool, Hiking, Room Service, Snorkelling, Spa, Swim Out/Plunge Pool Rooms, Swim Up Bar, Wifi (Paid), Yoga Classes")</f>
        <v>Beach, Buffet, Evening Entertainment, Gym, Heated Pool, Hiking, Room Service, Snorkelling, Spa, Swim Out/Plunge Pool Rooms, Swim Up Bar, Wifi (Paid), Yoga Classes</v>
      </c>
      <c r="AN364" s="128"/>
    </row>
    <row r="365">
      <c r="A365" s="118" t="s">
        <v>1220</v>
      </c>
      <c r="B365" s="119">
        <v>87.0</v>
      </c>
      <c r="C365" s="133" t="s">
        <v>68</v>
      </c>
      <c r="D365" s="121">
        <v>5073.0</v>
      </c>
      <c r="E365" s="122">
        <f>IFERROR(__xludf.DUMMYFUNCTION("""COMPUTED_VALUE"""),7006.0661427)</f>
        <v>7006.066143</v>
      </c>
      <c r="F365" s="136">
        <v>1.38</v>
      </c>
      <c r="G365" s="124">
        <v>0.0</v>
      </c>
      <c r="H365" s="155"/>
      <c r="I365" s="155"/>
      <c r="J365" s="155"/>
      <c r="K365" s="155"/>
      <c r="L365" s="155"/>
      <c r="M365" s="126"/>
      <c r="N365" s="138">
        <v>88.0</v>
      </c>
      <c r="O365" s="127"/>
      <c r="P365" s="138">
        <v>86.0</v>
      </c>
      <c r="Q365" s="126" t="b">
        <v>1</v>
      </c>
      <c r="R365" s="128"/>
      <c r="S365" s="128"/>
      <c r="T365" s="128"/>
      <c r="U365" s="133">
        <v>5.0</v>
      </c>
      <c r="V365" s="129"/>
      <c r="W365" s="130" t="s">
        <v>84</v>
      </c>
      <c r="X365" s="130" t="s">
        <v>210</v>
      </c>
      <c r="Y365" s="130" t="s">
        <v>86</v>
      </c>
      <c r="Z365" s="133" t="b">
        <v>1</v>
      </c>
      <c r="AA365" s="131">
        <v>0.017361111111111112</v>
      </c>
      <c r="AB365" s="130" t="s">
        <v>451</v>
      </c>
      <c r="AC365" s="129"/>
      <c r="AD365" s="129"/>
      <c r="AE365" s="129"/>
      <c r="AF365" s="132"/>
      <c r="AG365" s="128" t="b">
        <v>0</v>
      </c>
      <c r="AH365" s="133">
        <v>100.0</v>
      </c>
      <c r="AI365" s="133">
        <v>2021.0</v>
      </c>
      <c r="AJ365" s="133">
        <v>2024.0</v>
      </c>
      <c r="AK365" s="133">
        <v>3.0</v>
      </c>
      <c r="AL365" s="129"/>
      <c r="AM365" s="129"/>
      <c r="AN365" s="139"/>
    </row>
    <row r="366" hidden="1">
      <c r="A366" s="118" t="s">
        <v>1221</v>
      </c>
      <c r="B366" s="119">
        <v>86.0</v>
      </c>
      <c r="C366" s="134" t="s">
        <v>75</v>
      </c>
      <c r="D366" s="121"/>
      <c r="E366" s="135"/>
      <c r="F366" s="123"/>
      <c r="G366" s="124"/>
      <c r="H366" s="133"/>
      <c r="I366" s="133"/>
      <c r="J366" s="133"/>
      <c r="K366" s="133"/>
      <c r="L366" s="133"/>
      <c r="M366" s="137"/>
      <c r="N366" s="138">
        <v>86.0</v>
      </c>
      <c r="O366" s="138"/>
      <c r="P366" s="138"/>
      <c r="Q366" s="135" t="b">
        <v>1</v>
      </c>
      <c r="R366" s="133"/>
      <c r="S366" s="133"/>
      <c r="T366" s="133"/>
      <c r="U366" s="133"/>
      <c r="V366" s="130" t="s">
        <v>531</v>
      </c>
      <c r="W366" s="130" t="s">
        <v>193</v>
      </c>
      <c r="X366" s="130" t="s">
        <v>195</v>
      </c>
      <c r="Y366" s="130" t="s">
        <v>195</v>
      </c>
      <c r="Z366" s="131" t="b">
        <v>1</v>
      </c>
      <c r="AA366" s="131">
        <v>0.011111111111111112</v>
      </c>
      <c r="AB366" s="130"/>
      <c r="AC366" s="130"/>
      <c r="AD366" s="130" t="s">
        <v>241</v>
      </c>
      <c r="AE366" s="130" t="s">
        <v>396</v>
      </c>
      <c r="AF366" s="132"/>
      <c r="AG366" s="133" t="b">
        <v>0</v>
      </c>
      <c r="AH366" s="133"/>
      <c r="AI366" s="133"/>
      <c r="AJ366" s="133"/>
      <c r="AK366" s="133"/>
      <c r="AL366" s="129"/>
      <c r="AM366" s="129" t="str">
        <f>IFERROR(__xludf.DUMMYFUNCTION("""COMPUTED_VALUE"""),"Beach")</f>
        <v>Beach</v>
      </c>
      <c r="AN366" s="139"/>
    </row>
    <row r="367">
      <c r="A367" s="118" t="s">
        <v>1222</v>
      </c>
      <c r="B367" s="119">
        <v>87.0</v>
      </c>
      <c r="C367" s="134" t="s">
        <v>75</v>
      </c>
      <c r="D367" s="150">
        <v>5379.0</v>
      </c>
      <c r="E367" s="135">
        <f>IFERROR(__xludf.DUMMYFUNCTION("""COMPUTED_VALUE"""),7428.667412099999)</f>
        <v>7428.667412</v>
      </c>
      <c r="F367" s="136">
        <v>1.3</v>
      </c>
      <c r="G367" s="124">
        <v>12845.0</v>
      </c>
      <c r="H367" s="125">
        <v>8353.0</v>
      </c>
      <c r="I367" s="125">
        <v>2631.0</v>
      </c>
      <c r="J367" s="125">
        <v>1038.0</v>
      </c>
      <c r="K367" s="125">
        <v>448.0</v>
      </c>
      <c r="L367" s="125">
        <v>375.0</v>
      </c>
      <c r="M367" s="126">
        <v>88.0</v>
      </c>
      <c r="N367" s="127">
        <v>88.0</v>
      </c>
      <c r="O367" s="127">
        <v>86.0</v>
      </c>
      <c r="P367" s="127">
        <v>86.0</v>
      </c>
      <c r="Q367" s="135" t="b">
        <v>1</v>
      </c>
      <c r="R367" s="133"/>
      <c r="S367" s="133">
        <v>8.0</v>
      </c>
      <c r="T367" s="133" t="s">
        <v>492</v>
      </c>
      <c r="U367" s="133">
        <v>5.0</v>
      </c>
      <c r="V367" s="129"/>
      <c r="W367" s="130" t="s">
        <v>84</v>
      </c>
      <c r="X367" s="130" t="s">
        <v>210</v>
      </c>
      <c r="Y367" s="130" t="s">
        <v>86</v>
      </c>
      <c r="Z367" s="131" t="b">
        <v>1</v>
      </c>
      <c r="AA367" s="131">
        <v>0.017361111111111112</v>
      </c>
      <c r="AB367" s="130" t="s">
        <v>50</v>
      </c>
      <c r="AC367" s="130" t="s">
        <v>718</v>
      </c>
      <c r="AD367" s="130" t="s">
        <v>1223</v>
      </c>
      <c r="AE367" s="130" t="s">
        <v>396</v>
      </c>
      <c r="AF367" s="132" t="s">
        <v>373</v>
      </c>
      <c r="AG367" s="133" t="b">
        <v>0</v>
      </c>
      <c r="AH367" s="133">
        <v>486.0</v>
      </c>
      <c r="AI367" s="133">
        <v>2009.0</v>
      </c>
      <c r="AJ367" s="133">
        <v>2019.0</v>
      </c>
      <c r="AK367" s="133">
        <v>5.0</v>
      </c>
      <c r="AL367" s="129" t="str">
        <f>IFERROR(__xludf.DUMMYFUNCTION("""COMPUTED_VALUE"""),"Family, Modern")</f>
        <v>Family, Modern</v>
      </c>
      <c r="AM367" s="129" t="str">
        <f>IFERROR(__xludf.DUMMYFUNCTION("""COMPUTED_VALUE"""),"2 Bedroom Suites, Babysitting, Beach, Buffet, Diving, Evening Entertainment, Family Suite, Gym, Heated Pool, Kids Club, Kids Club for Under 4, Lazy River, Nightclub, Pool Slide, Room Service, Spa, Swim Out/Plunge Pool Rooms, Swim Up Bar, Teen Club, Water "&amp;"Feature, Wifi (Free)")</f>
        <v>2 Bedroom Suites, Babysitting, Beach, Buffet, Diving, Evening Entertainment, Family Suite, Gym, Heated Pool, Kids Club, Kids Club for Under 4, Lazy River, Nightclub, Pool Slide, Room Service, Spa, Swim Out/Plunge Pool Rooms, Swim Up Bar, Teen Club, Water Feature, Wifi (Free)</v>
      </c>
      <c r="AN367" s="139"/>
    </row>
    <row r="368">
      <c r="A368" s="118" t="s">
        <v>1224</v>
      </c>
      <c r="B368" s="119">
        <v>87.0</v>
      </c>
      <c r="C368" s="134" t="s">
        <v>75</v>
      </c>
      <c r="D368" s="121">
        <v>6906.2</v>
      </c>
      <c r="E368" s="135">
        <f>IFERROR(__xludf.DUMMYFUNCTION("""COMPUTED_VALUE"""),9537.806819379999)</f>
        <v>9537.806819</v>
      </c>
      <c r="F368" s="136">
        <v>1.01</v>
      </c>
      <c r="G368" s="124">
        <v>3915.0</v>
      </c>
      <c r="H368" s="125">
        <v>1669.0</v>
      </c>
      <c r="I368" s="125">
        <v>1377.0</v>
      </c>
      <c r="J368" s="125">
        <v>507.0</v>
      </c>
      <c r="K368" s="125">
        <v>208.0</v>
      </c>
      <c r="L368" s="125">
        <v>155.0</v>
      </c>
      <c r="M368" s="137">
        <v>81.0</v>
      </c>
      <c r="N368" s="138">
        <v>90.0</v>
      </c>
      <c r="O368" s="138"/>
      <c r="P368" s="138">
        <v>90.0</v>
      </c>
      <c r="Q368" s="135" t="b">
        <v>1</v>
      </c>
      <c r="R368" s="133"/>
      <c r="S368" s="133">
        <v>7.0</v>
      </c>
      <c r="T368" s="133"/>
      <c r="U368" s="133">
        <v>3.0</v>
      </c>
      <c r="V368" s="130"/>
      <c r="W368" s="130" t="s">
        <v>270</v>
      </c>
      <c r="X368" s="130" t="s">
        <v>270</v>
      </c>
      <c r="Y368" s="130" t="s">
        <v>272</v>
      </c>
      <c r="Z368" s="131" t="b">
        <v>1</v>
      </c>
      <c r="AA368" s="131">
        <v>0.009722222222222222</v>
      </c>
      <c r="AB368" s="130"/>
      <c r="AC368" s="130" t="s">
        <v>375</v>
      </c>
      <c r="AD368" s="130" t="s">
        <v>1225</v>
      </c>
      <c r="AE368" s="130" t="s">
        <v>94</v>
      </c>
      <c r="AF368" s="132" t="s">
        <v>126</v>
      </c>
      <c r="AG368" s="133" t="b">
        <v>0</v>
      </c>
      <c r="AH368" s="133">
        <v>265.0</v>
      </c>
      <c r="AI368" s="133">
        <v>1969.0</v>
      </c>
      <c r="AJ368" s="133">
        <v>2019.0</v>
      </c>
      <c r="AK368" s="133">
        <v>2.0</v>
      </c>
      <c r="AL368" s="129" t="str">
        <f>IFERROR(__xludf.DUMMYFUNCTION("""COMPUTED_VALUE"""),"Green, Ocean View")</f>
        <v>Green, Ocean View</v>
      </c>
      <c r="AM368" s="129" t="str">
        <f>IFERROR(__xludf.DUMMYFUNCTION("""COMPUTED_VALUE"""),"Beach, Buffet, Evening Entertainment, Gym, Kids Club, Spa")</f>
        <v>Beach, Buffet, Evening Entertainment, Gym, Kids Club, Spa</v>
      </c>
      <c r="AN368" s="139"/>
    </row>
    <row r="369">
      <c r="A369" s="118" t="s">
        <v>1226</v>
      </c>
      <c r="B369" s="119">
        <v>87.0</v>
      </c>
      <c r="C369" s="134" t="s">
        <v>75</v>
      </c>
      <c r="D369" s="121">
        <v>14431.52</v>
      </c>
      <c r="E369" s="135">
        <f>IFERROR(__xludf.DUMMYFUNCTION("""COMPUTED_VALUE"""),19930.649252847998)</f>
        <v>19930.64925</v>
      </c>
      <c r="F369" s="136">
        <v>0.49</v>
      </c>
      <c r="G369" s="124">
        <v>2305.0</v>
      </c>
      <c r="H369" s="125">
        <v>1357.0</v>
      </c>
      <c r="I369" s="125">
        <v>584.0</v>
      </c>
      <c r="J369" s="125">
        <v>212.0</v>
      </c>
      <c r="K369" s="125">
        <v>79.0</v>
      </c>
      <c r="L369" s="125">
        <v>73.0</v>
      </c>
      <c r="M369" s="137">
        <v>87.0</v>
      </c>
      <c r="N369" s="138">
        <v>88.0</v>
      </c>
      <c r="O369" s="138"/>
      <c r="P369" s="138">
        <v>86.0</v>
      </c>
      <c r="Q369" s="135" t="b">
        <v>1</v>
      </c>
      <c r="R369" s="133"/>
      <c r="S369" s="133">
        <v>6.0</v>
      </c>
      <c r="T369" s="133"/>
      <c r="U369" s="133">
        <v>4.0</v>
      </c>
      <c r="V369" s="130"/>
      <c r="W369" s="130" t="s">
        <v>642</v>
      </c>
      <c r="X369" s="130" t="s">
        <v>642</v>
      </c>
      <c r="Y369" s="130" t="s">
        <v>644</v>
      </c>
      <c r="Z369" s="131" t="b">
        <v>1</v>
      </c>
      <c r="AA369" s="131">
        <v>0.022222222222222223</v>
      </c>
      <c r="AB369" s="130"/>
      <c r="AC369" s="130" t="s">
        <v>1059</v>
      </c>
      <c r="AD369" s="130" t="s">
        <v>1227</v>
      </c>
      <c r="AE369" s="130"/>
      <c r="AF369" s="132" t="s">
        <v>135</v>
      </c>
      <c r="AG369" s="133" t="b">
        <v>0</v>
      </c>
      <c r="AH369" s="133">
        <v>67.0</v>
      </c>
      <c r="AI369" s="133">
        <v>1993.0</v>
      </c>
      <c r="AJ369" s="133">
        <v>2014.0</v>
      </c>
      <c r="AK369" s="133">
        <v>4.0</v>
      </c>
      <c r="AL369" s="129" t="str">
        <f>IFERROR(__xludf.DUMMYFUNCTION("""COMPUTED_VALUE"""),"Centrally Located, Family")</f>
        <v>Centrally Located, Family</v>
      </c>
      <c r="AM369" s="129" t="str">
        <f>IFERROR(__xludf.DUMMYFUNCTION("""COMPUTED_VALUE"""),"Babysitting, Beach, Buffet, Diving, Gym, Horseback Riding, Room Service, Snorkelling, Spa")</f>
        <v>Babysitting, Beach, Buffet, Diving, Gym, Horseback Riding, Room Service, Snorkelling, Spa</v>
      </c>
      <c r="AN369" s="139"/>
    </row>
    <row r="370">
      <c r="A370" s="118" t="s">
        <v>1228</v>
      </c>
      <c r="B370" s="119">
        <v>86.8</v>
      </c>
      <c r="C370" s="134" t="s">
        <v>75</v>
      </c>
      <c r="D370" s="121">
        <v>3909.0</v>
      </c>
      <c r="E370" s="135">
        <f>IFERROR(__xludf.DUMMYFUNCTION("""COMPUTED_VALUE"""),5398.524059099999)</f>
        <v>5398.524059</v>
      </c>
      <c r="F370" s="136">
        <v>1.74</v>
      </c>
      <c r="G370" s="124">
        <v>8290.0</v>
      </c>
      <c r="H370" s="125">
        <v>5563.0</v>
      </c>
      <c r="I370" s="125">
        <v>1576.0</v>
      </c>
      <c r="J370" s="125">
        <v>594.0</v>
      </c>
      <c r="K370" s="125">
        <v>298.0</v>
      </c>
      <c r="L370" s="125">
        <v>259.0</v>
      </c>
      <c r="M370" s="126">
        <v>89.0</v>
      </c>
      <c r="N370" s="138">
        <v>86.0</v>
      </c>
      <c r="O370" s="127">
        <v>86.0</v>
      </c>
      <c r="P370" s="127">
        <v>86.0</v>
      </c>
      <c r="Q370" s="135" t="b">
        <v>1</v>
      </c>
      <c r="R370" s="133">
        <v>4.0</v>
      </c>
      <c r="S370" s="133">
        <v>7.0</v>
      </c>
      <c r="T370" s="133"/>
      <c r="U370" s="133">
        <v>4.0</v>
      </c>
      <c r="V370" s="130"/>
      <c r="W370" s="130" t="s">
        <v>84</v>
      </c>
      <c r="X370" s="130" t="s">
        <v>966</v>
      </c>
      <c r="Y370" s="130" t="s">
        <v>86</v>
      </c>
      <c r="Z370" s="131" t="b">
        <v>1</v>
      </c>
      <c r="AA370" s="131">
        <v>0.029861111111111113</v>
      </c>
      <c r="AB370" s="130" t="s">
        <v>499</v>
      </c>
      <c r="AC370" s="130" t="s">
        <v>1229</v>
      </c>
      <c r="AD370" s="130" t="s">
        <v>1230</v>
      </c>
      <c r="AE370" s="130"/>
      <c r="AF370" s="132" t="s">
        <v>126</v>
      </c>
      <c r="AG370" s="133" t="b">
        <v>1</v>
      </c>
      <c r="AH370" s="133">
        <v>415.0</v>
      </c>
      <c r="AI370" s="133">
        <v>2010.0</v>
      </c>
      <c r="AJ370" s="143"/>
      <c r="AK370" s="133">
        <v>9.0</v>
      </c>
      <c r="AL370" s="129" t="str">
        <f>IFERROR(__xludf.DUMMYFUNCTION("""COMPUTED_VALUE"""),"Modern, Ocean View")</f>
        <v>Modern, Ocean View</v>
      </c>
      <c r="AM370" s="129" t="str">
        <f>IFERROR(__xludf.DUMMYFUNCTION("""COMPUTED_VALUE"""),"2 Bedroom Suites, Adult Pool, Beach, Buffet, Diving, Family Suite, Great Food, Gym, Heated Pool, Kids Club, Pool Slide, Room Service, Snorkelling, Spa, Water Feature, Wifi (Paid), Yoga Classes")</f>
        <v>2 Bedroom Suites, Adult Pool, Beach, Buffet, Diving, Family Suite, Great Food, Gym, Heated Pool, Kids Club, Pool Slide, Room Service, Snorkelling, Spa, Water Feature, Wifi (Paid), Yoga Classes</v>
      </c>
      <c r="AN370" s="139"/>
    </row>
    <row r="371">
      <c r="A371" s="118" t="s">
        <v>1231</v>
      </c>
      <c r="B371" s="119">
        <v>86.8</v>
      </c>
      <c r="C371" s="134" t="s">
        <v>75</v>
      </c>
      <c r="D371" s="121">
        <v>3955.0</v>
      </c>
      <c r="E371" s="135">
        <f>IFERROR(__xludf.DUMMYFUNCTION("""COMPUTED_VALUE"""),5462.0523545)</f>
        <v>5462.052355</v>
      </c>
      <c r="F371" s="136">
        <v>1.72</v>
      </c>
      <c r="G371" s="124">
        <v>11103.0</v>
      </c>
      <c r="H371" s="125">
        <v>7254.0</v>
      </c>
      <c r="I371" s="125">
        <v>2391.0</v>
      </c>
      <c r="J371" s="125">
        <v>801.0</v>
      </c>
      <c r="K371" s="125">
        <v>346.0</v>
      </c>
      <c r="L371" s="125">
        <v>311.0</v>
      </c>
      <c r="M371" s="126">
        <v>89.0</v>
      </c>
      <c r="N371" s="127">
        <v>88.0</v>
      </c>
      <c r="O371" s="127">
        <v>82.0</v>
      </c>
      <c r="P371" s="127">
        <v>88.0</v>
      </c>
      <c r="Q371" s="135" t="b">
        <v>1</v>
      </c>
      <c r="R371" s="133">
        <v>4.0</v>
      </c>
      <c r="S371" s="143">
        <v>7.0</v>
      </c>
      <c r="T371" s="133" t="s">
        <v>955</v>
      </c>
      <c r="U371" s="133">
        <v>5.0</v>
      </c>
      <c r="V371" s="130"/>
      <c r="W371" s="130" t="s">
        <v>193</v>
      </c>
      <c r="X371" s="130" t="s">
        <v>557</v>
      </c>
      <c r="Y371" s="130" t="s">
        <v>195</v>
      </c>
      <c r="Z371" s="131" t="b">
        <v>1</v>
      </c>
      <c r="AA371" s="131">
        <v>0.03680555555555556</v>
      </c>
      <c r="AB371" s="130" t="s">
        <v>50</v>
      </c>
      <c r="AC371" s="130" t="s">
        <v>1203</v>
      </c>
      <c r="AD371" s="130" t="s">
        <v>1232</v>
      </c>
      <c r="AE371" s="130"/>
      <c r="AF371" s="132" t="s">
        <v>373</v>
      </c>
      <c r="AG371" s="143" t="b">
        <v>0</v>
      </c>
      <c r="AH371" s="143">
        <v>484.0</v>
      </c>
      <c r="AI371" s="143">
        <v>2016.0</v>
      </c>
      <c r="AJ371" s="143"/>
      <c r="AK371" s="143"/>
      <c r="AL371" s="129" t="str">
        <f>IFERROR(__xludf.DUMMYFUNCTION("""COMPUTED_VALUE"""),"Family, Ocean View")</f>
        <v>Family, Ocean View</v>
      </c>
      <c r="AM371" s="129" t="str">
        <f>IFERROR(__xludf.DUMMYFUNCTION("""COMPUTED_VALUE"""),"Babysitting, Beach, Buffet, Diving, Evening Entertainment, Gym, Kids Club, Kids Club for Under 4, Kids Waterpark, Nightclub, Room Service, Snorkelling, Spa, Swim Out/Plunge Pool Rooms, Swim Up Bar, Teen Club, Watersports Equipment Rentals, Wifi (Free), Yo"&amp;"ga Classes")</f>
        <v>Babysitting, Beach, Buffet, Diving, Evening Entertainment, Gym, Kids Club, Kids Club for Under 4, Kids Waterpark, Nightclub, Room Service, Snorkelling, Spa, Swim Out/Plunge Pool Rooms, Swim Up Bar, Teen Club, Watersports Equipment Rentals, Wifi (Free), Yoga Classes</v>
      </c>
      <c r="AN371" s="139"/>
    </row>
    <row r="372">
      <c r="A372" s="118" t="s">
        <v>1233</v>
      </c>
      <c r="B372" s="119">
        <v>86.8</v>
      </c>
      <c r="C372" s="134" t="s">
        <v>75</v>
      </c>
      <c r="D372" s="121">
        <v>4023.0</v>
      </c>
      <c r="E372" s="135">
        <f>IFERROR(__xludf.DUMMYFUNCTION("""COMPUTED_VALUE"""),5555.9637477)</f>
        <v>5555.963748</v>
      </c>
      <c r="F372" s="136">
        <v>1.69</v>
      </c>
      <c r="G372" s="124">
        <v>8662.0</v>
      </c>
      <c r="H372" s="125">
        <v>6249.0</v>
      </c>
      <c r="I372" s="125">
        <v>1423.0</v>
      </c>
      <c r="J372" s="125">
        <v>545.0</v>
      </c>
      <c r="K372" s="125">
        <v>229.0</v>
      </c>
      <c r="L372" s="125">
        <v>216.0</v>
      </c>
      <c r="M372" s="126">
        <v>91.0</v>
      </c>
      <c r="N372" s="127">
        <v>90.0</v>
      </c>
      <c r="O372" s="127">
        <v>84.0</v>
      </c>
      <c r="P372" s="127">
        <v>82.0</v>
      </c>
      <c r="Q372" s="135" t="b">
        <v>1</v>
      </c>
      <c r="R372" s="133">
        <v>4.0</v>
      </c>
      <c r="S372" s="133">
        <v>8.0</v>
      </c>
      <c r="T372" s="133" t="s">
        <v>492</v>
      </c>
      <c r="U372" s="133">
        <v>5.0</v>
      </c>
      <c r="V372" s="129"/>
      <c r="W372" s="130" t="s">
        <v>84</v>
      </c>
      <c r="X372" s="130" t="s">
        <v>119</v>
      </c>
      <c r="Y372" s="130" t="s">
        <v>120</v>
      </c>
      <c r="Z372" s="131" t="b">
        <v>1</v>
      </c>
      <c r="AA372" s="131">
        <v>0.009722222222222222</v>
      </c>
      <c r="AB372" s="130" t="s">
        <v>50</v>
      </c>
      <c r="AC372" s="130" t="s">
        <v>956</v>
      </c>
      <c r="AD372" s="130" t="s">
        <v>1234</v>
      </c>
      <c r="AE372" s="130" t="s">
        <v>94</v>
      </c>
      <c r="AF372" s="132" t="s">
        <v>373</v>
      </c>
      <c r="AG372" s="133" t="b">
        <v>1</v>
      </c>
      <c r="AH372" s="133">
        <v>327.0</v>
      </c>
      <c r="AI372" s="133">
        <v>2012.0</v>
      </c>
      <c r="AJ372" s="133">
        <v>2018.0</v>
      </c>
      <c r="AK372" s="133">
        <v>15.0</v>
      </c>
      <c r="AL372" s="129" t="str">
        <f>IFERROR(__xludf.DUMMYFUNCTION("""COMPUTED_VALUE"""),"Great View, Trendy")</f>
        <v>Great View, Trendy</v>
      </c>
      <c r="AM372" s="129" t="str">
        <f>IFERROR(__xludf.DUMMYFUNCTION("""COMPUTED_VALUE"""),"Adult Pool, Babysitting, Beach, Buffet, Diving, Evening Entertainment, Fishing, Gym, Heated Pool, Kids Club, Kids Club for Under 4, Nightclub, Pool Slide, Spa, Swim Out/Plunge Pool Rooms, Swim Up Bar, Teen Club, Tennis, Water Feature")</f>
        <v>Adult Pool, Babysitting, Beach, Buffet, Diving, Evening Entertainment, Fishing, Gym, Heated Pool, Kids Club, Kids Club for Under 4, Nightclub, Pool Slide, Spa, Swim Out/Plunge Pool Rooms, Swim Up Bar, Teen Club, Tennis, Water Feature</v>
      </c>
      <c r="AN372" s="139"/>
    </row>
    <row r="373">
      <c r="A373" s="118" t="s">
        <v>1235</v>
      </c>
      <c r="B373" s="119">
        <v>86.8</v>
      </c>
      <c r="C373" s="134" t="s">
        <v>75</v>
      </c>
      <c r="D373" s="121">
        <v>7843.0</v>
      </c>
      <c r="E373" s="135">
        <f>IFERROR(__xludf.DUMMYFUNCTION("""COMPUTED_VALUE"""),10831.574365699998)</f>
        <v>10831.57437</v>
      </c>
      <c r="F373" s="136">
        <v>0.87</v>
      </c>
      <c r="G373" s="124">
        <v>8280.0</v>
      </c>
      <c r="H373" s="125">
        <v>6227.0</v>
      </c>
      <c r="I373" s="125">
        <v>898.0</v>
      </c>
      <c r="J373" s="125">
        <v>433.0</v>
      </c>
      <c r="K373" s="125">
        <v>281.0</v>
      </c>
      <c r="L373" s="125">
        <v>441.0</v>
      </c>
      <c r="M373" s="126">
        <v>89.0</v>
      </c>
      <c r="N373" s="127">
        <v>94.0</v>
      </c>
      <c r="O373" s="127">
        <v>82.0</v>
      </c>
      <c r="P373" s="127">
        <v>82.0</v>
      </c>
      <c r="Q373" s="135" t="b">
        <v>1</v>
      </c>
      <c r="R373" s="133">
        <v>4.0</v>
      </c>
      <c r="S373" s="133">
        <v>7.0</v>
      </c>
      <c r="T373" s="133"/>
      <c r="U373" s="133">
        <v>4.0</v>
      </c>
      <c r="V373" s="129"/>
      <c r="W373" s="130" t="s">
        <v>84</v>
      </c>
      <c r="X373" s="130" t="s">
        <v>122</v>
      </c>
      <c r="Y373" s="130" t="s">
        <v>123</v>
      </c>
      <c r="Z373" s="131" t="b">
        <v>1</v>
      </c>
      <c r="AA373" s="131">
        <v>0.018055555555555554</v>
      </c>
      <c r="AB373" s="130" t="s">
        <v>881</v>
      </c>
      <c r="AC373" s="130" t="s">
        <v>1236</v>
      </c>
      <c r="AD373" s="130" t="s">
        <v>1237</v>
      </c>
      <c r="AE373" s="130"/>
      <c r="AF373" s="132" t="s">
        <v>318</v>
      </c>
      <c r="AG373" s="133" t="b">
        <v>1</v>
      </c>
      <c r="AH373" s="133">
        <v>639.0</v>
      </c>
      <c r="AI373" s="133">
        <v>2018.0</v>
      </c>
      <c r="AJ373" s="143"/>
      <c r="AK373" s="143"/>
      <c r="AL373" s="129" t="str">
        <f>IFERROR(__xludf.DUMMYFUNCTION("""COMPUTED_VALUE"""),"Business, Family")</f>
        <v>Business, Family</v>
      </c>
      <c r="AM373" s="129" t="str">
        <f>IFERROR(__xludf.DUMMYFUNCTION("""COMPUTED_VALUE"""),"Babysitting, Beach, Big Waterslides, Buffet, Evening Entertainment, Gym, Heated Pool, Kids Club, Nightclub, Pets Allowed, Room Service, Spa, Swim Out/Plunge Pool Rooms, Swim Up Bar, Teen Club, Tennis, Wifi (Free)")</f>
        <v>Babysitting, Beach, Big Waterslides, Buffet, Evening Entertainment, Gym, Heated Pool, Kids Club, Nightclub, Pets Allowed, Room Service, Spa, Swim Out/Plunge Pool Rooms, Swim Up Bar, Teen Club, Tennis, Wifi (Free)</v>
      </c>
      <c r="AN373" s="139"/>
    </row>
    <row r="374">
      <c r="A374" s="118" t="s">
        <v>1238</v>
      </c>
      <c r="B374" s="149">
        <v>86.7</v>
      </c>
      <c r="C374" s="120" t="s">
        <v>68</v>
      </c>
      <c r="D374" s="121">
        <v>2547.09</v>
      </c>
      <c r="E374" s="122">
        <f>IFERROR(__xludf.DUMMYFUNCTION("""COMPUTED_VALUE"""),3517.658389791)</f>
        <v>3517.65839</v>
      </c>
      <c r="F374" s="123">
        <v>2.63</v>
      </c>
      <c r="G374" s="124">
        <v>9659.0</v>
      </c>
      <c r="H374" s="125">
        <v>5265.0</v>
      </c>
      <c r="I374" s="125">
        <v>2493.0</v>
      </c>
      <c r="J374" s="125">
        <v>1059.0</v>
      </c>
      <c r="K374" s="125">
        <v>440.0</v>
      </c>
      <c r="L374" s="125">
        <v>403.0</v>
      </c>
      <c r="M374" s="126">
        <v>84.0</v>
      </c>
      <c r="N374" s="127">
        <v>94.0</v>
      </c>
      <c r="O374" s="127"/>
      <c r="P374" s="127">
        <v>82.0</v>
      </c>
      <c r="Q374" s="122" t="b">
        <v>1</v>
      </c>
      <c r="R374" s="133"/>
      <c r="S374" s="143">
        <v>6.0</v>
      </c>
      <c r="T374" s="133"/>
      <c r="U374" s="133">
        <v>5.0</v>
      </c>
      <c r="V374" s="129"/>
      <c r="W374" s="130" t="s">
        <v>193</v>
      </c>
      <c r="X374" s="130" t="s">
        <v>195</v>
      </c>
      <c r="Y374" s="130" t="s">
        <v>195</v>
      </c>
      <c r="Z374" s="131" t="b">
        <v>1</v>
      </c>
      <c r="AA374" s="131">
        <v>0.011805555555555555</v>
      </c>
      <c r="AB374" s="129"/>
      <c r="AC374" s="130" t="s">
        <v>1116</v>
      </c>
      <c r="AD374" s="130" t="s">
        <v>1239</v>
      </c>
      <c r="AE374" s="130"/>
      <c r="AF374" s="132"/>
      <c r="AG374" s="143" t="b">
        <v>0</v>
      </c>
      <c r="AH374" s="143">
        <v>688.0</v>
      </c>
      <c r="AI374" s="143">
        <v>1998.0</v>
      </c>
      <c r="AJ374" s="143">
        <v>2013.0</v>
      </c>
      <c r="AK374" s="143">
        <v>3.0</v>
      </c>
      <c r="AL374" s="129" t="str">
        <f>IFERROR(__xludf.DUMMYFUNCTION("""COMPUTED_VALUE"""),"Charming, Quiet")</f>
        <v>Charming, Quiet</v>
      </c>
      <c r="AM374" s="129" t="str">
        <f>IFERROR(__xludf.DUMMYFUNCTION("""COMPUTED_VALUE"""),"Beach, Buffet, Casino, Evening Entertainment, Golf Course, Gym, Mini Golf, Nightclub, Spa, Swim Out/Plunge Pool Rooms, Swim Up Bar, Tennis")</f>
        <v>Beach, Buffet, Casino, Evening Entertainment, Golf Course, Gym, Mini Golf, Nightclub, Spa, Swim Out/Plunge Pool Rooms, Swim Up Bar, Tennis</v>
      </c>
      <c r="AN374" s="128"/>
    </row>
    <row r="375">
      <c r="A375" s="118" t="s">
        <v>1240</v>
      </c>
      <c r="B375" s="119">
        <v>86.7</v>
      </c>
      <c r="C375" s="134" t="s">
        <v>75</v>
      </c>
      <c r="D375" s="121">
        <v>2683.26</v>
      </c>
      <c r="E375" s="135">
        <f>IFERROR(__xludf.DUMMYFUNCTION("""COMPUTED_VALUE"""),3705.715954674)</f>
        <v>3705.715955</v>
      </c>
      <c r="F375" s="136">
        <v>2.5</v>
      </c>
      <c r="G375" s="124">
        <v>1356.0</v>
      </c>
      <c r="H375" s="125">
        <v>986.0</v>
      </c>
      <c r="I375" s="125">
        <v>155.0</v>
      </c>
      <c r="J375" s="125">
        <v>73.0</v>
      </c>
      <c r="K375" s="125">
        <v>60.0</v>
      </c>
      <c r="L375" s="125">
        <v>83.0</v>
      </c>
      <c r="M375" s="126">
        <v>88.0</v>
      </c>
      <c r="N375" s="127">
        <v>86.0</v>
      </c>
      <c r="O375" s="146"/>
      <c r="P375" s="127">
        <v>86.0</v>
      </c>
      <c r="Q375" s="122" t="b">
        <v>1</v>
      </c>
      <c r="R375" s="128"/>
      <c r="S375" s="133">
        <v>7.0</v>
      </c>
      <c r="T375" s="133"/>
      <c r="U375" s="133">
        <v>4.0</v>
      </c>
      <c r="V375" s="129"/>
      <c r="W375" s="130" t="s">
        <v>84</v>
      </c>
      <c r="X375" s="130" t="s">
        <v>448</v>
      </c>
      <c r="Y375" s="130" t="s">
        <v>448</v>
      </c>
      <c r="Z375" s="131" t="b">
        <v>1</v>
      </c>
      <c r="AA375" s="131">
        <v>0.00625</v>
      </c>
      <c r="AB375" s="130" t="s">
        <v>451</v>
      </c>
      <c r="AC375" s="130" t="s">
        <v>473</v>
      </c>
      <c r="AD375" s="130" t="s">
        <v>1241</v>
      </c>
      <c r="AE375" s="130"/>
      <c r="AF375" s="132" t="s">
        <v>231</v>
      </c>
      <c r="AG375" s="133" t="b">
        <v>1</v>
      </c>
      <c r="AH375" s="133">
        <v>152.0</v>
      </c>
      <c r="AI375" s="133">
        <v>2016.0</v>
      </c>
      <c r="AJ375" s="143"/>
      <c r="AK375" s="133">
        <v>14.0</v>
      </c>
      <c r="AL375" s="129" t="str">
        <f>IFERROR(__xludf.DUMMYFUNCTION("""COMPUTED_VALUE"""),"Great View, Trendy")</f>
        <v>Great View, Trendy</v>
      </c>
      <c r="AM375" s="129" t="str">
        <f>IFERROR(__xludf.DUMMYFUNCTION("""COMPUTED_VALUE"""),"Babysitting, Beach, Buffet, Diving, Gym, Kids Club, Pets Allowed, Snorkelling, Spa, Swim Out/Plunge Pool Rooms, Watersports Equipment Rentals, Wifi (Free)")</f>
        <v>Babysitting, Beach, Buffet, Diving, Gym, Kids Club, Pets Allowed, Snorkelling, Spa, Swim Out/Plunge Pool Rooms, Watersports Equipment Rentals, Wifi (Free)</v>
      </c>
      <c r="AN375" s="139"/>
    </row>
    <row r="376">
      <c r="A376" s="118" t="s">
        <v>1242</v>
      </c>
      <c r="B376" s="119">
        <v>86.7</v>
      </c>
      <c r="C376" s="134" t="s">
        <v>75</v>
      </c>
      <c r="D376" s="121">
        <v>3061.69</v>
      </c>
      <c r="E376" s="135">
        <f>IFERROR(__xludf.DUMMYFUNCTION("""COMPUTED_VALUE"""),4228.346668331)</f>
        <v>4228.346668</v>
      </c>
      <c r="F376" s="136">
        <v>2.19</v>
      </c>
      <c r="G376" s="124">
        <v>9212.0</v>
      </c>
      <c r="H376" s="125">
        <v>5145.0</v>
      </c>
      <c r="I376" s="125">
        <v>2424.0</v>
      </c>
      <c r="J376" s="125">
        <v>993.0</v>
      </c>
      <c r="K376" s="125">
        <v>353.0</v>
      </c>
      <c r="L376" s="125">
        <v>297.0</v>
      </c>
      <c r="M376" s="126">
        <v>86.0</v>
      </c>
      <c r="N376" s="127">
        <v>94.0</v>
      </c>
      <c r="O376" s="146"/>
      <c r="P376" s="127">
        <v>80.0</v>
      </c>
      <c r="Q376" s="135" t="b">
        <v>1</v>
      </c>
      <c r="R376" s="133"/>
      <c r="S376" s="143">
        <v>6.0</v>
      </c>
      <c r="T376" s="133"/>
      <c r="U376" s="133">
        <v>5.0</v>
      </c>
      <c r="V376" s="130" t="s">
        <v>842</v>
      </c>
      <c r="W376" s="130" t="s">
        <v>193</v>
      </c>
      <c r="X376" s="130" t="s">
        <v>195</v>
      </c>
      <c r="Y376" s="130" t="s">
        <v>195</v>
      </c>
      <c r="Z376" s="131" t="b">
        <v>1</v>
      </c>
      <c r="AA376" s="131">
        <v>0.017361111111111112</v>
      </c>
      <c r="AB376" s="130" t="s">
        <v>215</v>
      </c>
      <c r="AC376" s="130" t="s">
        <v>75</v>
      </c>
      <c r="AD376" s="130" t="s">
        <v>1243</v>
      </c>
      <c r="AE376" s="130" t="s">
        <v>396</v>
      </c>
      <c r="AF376" s="132" t="s">
        <v>373</v>
      </c>
      <c r="AG376" s="143" t="b">
        <v>0</v>
      </c>
      <c r="AH376" s="143">
        <v>427.0</v>
      </c>
      <c r="AI376" s="143"/>
      <c r="AJ376" s="143"/>
      <c r="AK376" s="143"/>
      <c r="AL376" s="129" t="str">
        <f>IFERROR(__xludf.DUMMYFUNCTION("""COMPUTED_VALUE"""),"Family")</f>
        <v>Family</v>
      </c>
      <c r="AM376" s="129" t="str">
        <f>IFERROR(__xludf.DUMMYFUNCTION("""COMPUTED_VALUE"""),"2 Bedroom Suites, Babysitting, Beach, Buffet, Casino, Diving, Evening Entertainment, Family Suite, Golf Course, Gym, Kids Club, Kids Waterpark, Nightclub, Spa, Teen Club, Tennis")</f>
        <v>2 Bedroom Suites, Babysitting, Beach, Buffet, Casino, Diving, Evening Entertainment, Family Suite, Golf Course, Gym, Kids Club, Kids Waterpark, Nightclub, Spa, Teen Club, Tennis</v>
      </c>
      <c r="AN376" s="139"/>
    </row>
    <row r="377">
      <c r="A377" s="118" t="s">
        <v>1244</v>
      </c>
      <c r="B377" s="119">
        <v>86.7</v>
      </c>
      <c r="C377" s="134" t="s">
        <v>75</v>
      </c>
      <c r="D377" s="150">
        <v>3580.92</v>
      </c>
      <c r="E377" s="135">
        <f>IFERROR(__xludf.DUMMYFUNCTION("""COMPUTED_VALUE"""),4945.429207908)</f>
        <v>4945.429208</v>
      </c>
      <c r="F377" s="136">
        <v>1.87</v>
      </c>
      <c r="G377" s="124">
        <v>16562.0</v>
      </c>
      <c r="H377" s="125">
        <v>8955.0</v>
      </c>
      <c r="I377" s="125">
        <v>4400.0</v>
      </c>
      <c r="J377" s="125">
        <v>1781.0</v>
      </c>
      <c r="K377" s="125">
        <v>762.0</v>
      </c>
      <c r="L377" s="125">
        <v>665.0</v>
      </c>
      <c r="M377" s="126">
        <v>84.0</v>
      </c>
      <c r="N377" s="127">
        <v>92.0</v>
      </c>
      <c r="O377" s="146"/>
      <c r="P377" s="127">
        <v>84.0</v>
      </c>
      <c r="Q377" s="135" t="b">
        <v>1</v>
      </c>
      <c r="R377" s="133"/>
      <c r="S377" s="133">
        <v>7.0</v>
      </c>
      <c r="T377" s="133"/>
      <c r="U377" s="133">
        <v>5.0</v>
      </c>
      <c r="V377" s="129"/>
      <c r="W377" s="130" t="s">
        <v>84</v>
      </c>
      <c r="X377" s="130" t="s">
        <v>1245</v>
      </c>
      <c r="Y377" s="144" t="s">
        <v>337</v>
      </c>
      <c r="Z377" s="145" t="b">
        <v>1</v>
      </c>
      <c r="AA377" s="145">
        <v>0.044444444444444446</v>
      </c>
      <c r="AB377" s="144" t="s">
        <v>753</v>
      </c>
      <c r="AC377" s="129"/>
      <c r="AD377" s="130" t="s">
        <v>1246</v>
      </c>
      <c r="AE377" s="130"/>
      <c r="AF377" s="132" t="s">
        <v>231</v>
      </c>
      <c r="AG377" s="133" t="b">
        <v>0</v>
      </c>
      <c r="AH377" s="133">
        <v>774.0</v>
      </c>
      <c r="AI377" s="133">
        <v>1999.0</v>
      </c>
      <c r="AJ377" s="133">
        <v>2020.0</v>
      </c>
      <c r="AK377" s="133">
        <v>3.0</v>
      </c>
      <c r="AL377" s="129"/>
      <c r="AM377" s="129" t="str">
        <f>IFERROR(__xludf.DUMMYFUNCTION("""COMPUTED_VALUE"""),"2 Bedroom Suites, Arcade, Babysitting, Beach, Buffet, Casino, Diving, Evening Entertainment, Family Suite, Golf Course, Gym, Kids Club, Kids Waterpark, Nightclub, Spa, Swim Up Bar, Teen Club, Tennis")</f>
        <v>2 Bedroom Suites, Arcade, Babysitting, Beach, Buffet, Casino, Diving, Evening Entertainment, Family Suite, Golf Course, Gym, Kids Club, Kids Waterpark, Nightclub, Spa, Swim Up Bar, Teen Club, Tennis</v>
      </c>
      <c r="AN377" s="139"/>
    </row>
    <row r="378">
      <c r="A378" s="118" t="s">
        <v>1247</v>
      </c>
      <c r="B378" s="119">
        <v>86.7</v>
      </c>
      <c r="C378" s="134" t="s">
        <v>75</v>
      </c>
      <c r="D378" s="121">
        <v>3627.0</v>
      </c>
      <c r="E378" s="135">
        <f>IFERROR(__xludf.DUMMYFUNCTION("""COMPUTED_VALUE"""),5009.067987299999)</f>
        <v>5009.067987</v>
      </c>
      <c r="F378" s="136">
        <v>1.85</v>
      </c>
      <c r="G378" s="124">
        <v>3018.0</v>
      </c>
      <c r="H378" s="125">
        <v>2143.0</v>
      </c>
      <c r="I378" s="125">
        <v>507.0</v>
      </c>
      <c r="J378" s="125">
        <v>194.0</v>
      </c>
      <c r="K378" s="125">
        <v>81.0</v>
      </c>
      <c r="L378" s="125">
        <v>94.0</v>
      </c>
      <c r="M378" s="126">
        <v>90.0</v>
      </c>
      <c r="N378" s="127">
        <v>88.0</v>
      </c>
      <c r="O378" s="146"/>
      <c r="P378" s="127">
        <v>82.0</v>
      </c>
      <c r="Q378" s="135" t="b">
        <v>1</v>
      </c>
      <c r="R378" s="133"/>
      <c r="S378" s="133">
        <v>6.0</v>
      </c>
      <c r="T378" s="133"/>
      <c r="U378" s="133">
        <v>4.0</v>
      </c>
      <c r="V378" s="130"/>
      <c r="W378" s="130" t="s">
        <v>84</v>
      </c>
      <c r="X378" s="130" t="s">
        <v>86</v>
      </c>
      <c r="Y378" s="147" t="s">
        <v>86</v>
      </c>
      <c r="Z378" s="131" t="b">
        <v>1</v>
      </c>
      <c r="AA378" s="131">
        <v>0.009722222222222222</v>
      </c>
      <c r="AB378" s="130"/>
      <c r="AC378" s="130" t="s">
        <v>1011</v>
      </c>
      <c r="AD378" s="130" t="s">
        <v>1248</v>
      </c>
      <c r="AE378" s="130"/>
      <c r="AF378" s="132" t="s">
        <v>373</v>
      </c>
      <c r="AG378" s="133" t="b">
        <v>1</v>
      </c>
      <c r="AH378" s="133">
        <v>168.0</v>
      </c>
      <c r="AI378" s="133">
        <v>1988.0</v>
      </c>
      <c r="AJ378" s="133">
        <v>2017.0</v>
      </c>
      <c r="AK378" s="143"/>
      <c r="AL378" s="129" t="str">
        <f>IFERROR(__xludf.DUMMYFUNCTION("""COMPUTED_VALUE"""),"Bay View, Value")</f>
        <v>Bay View, Value</v>
      </c>
      <c r="AM378" s="129" t="str">
        <f>IFERROR(__xludf.DUMMYFUNCTION("""COMPUTED_VALUE"""),"Beach, Buffet, Evening Entertainment, Gym, Kids Club, Pets Allowed, Snorkelling, Spa, Swim Up Bar, Tennis")</f>
        <v>Beach, Buffet, Evening Entertainment, Gym, Kids Club, Pets Allowed, Snorkelling, Spa, Swim Up Bar, Tennis</v>
      </c>
      <c r="AN378" s="139"/>
    </row>
    <row r="379">
      <c r="A379" s="118" t="s">
        <v>1249</v>
      </c>
      <c r="B379" s="119">
        <v>86.7</v>
      </c>
      <c r="C379" s="134" t="s">
        <v>75</v>
      </c>
      <c r="D379" s="121">
        <v>4190.78</v>
      </c>
      <c r="E379" s="135">
        <f>IFERROR(__xludf.DUMMYFUNCTION("""COMPUTED_VALUE"""),5787.676299921999)</f>
        <v>5787.6763</v>
      </c>
      <c r="F379" s="136">
        <v>1.6</v>
      </c>
      <c r="G379" s="124">
        <v>16348.0</v>
      </c>
      <c r="H379" s="125">
        <v>9825.0</v>
      </c>
      <c r="I379" s="125">
        <v>3754.0</v>
      </c>
      <c r="J379" s="125">
        <v>1394.0</v>
      </c>
      <c r="K379" s="125">
        <v>691.0</v>
      </c>
      <c r="L379" s="125">
        <v>686.0</v>
      </c>
      <c r="M379" s="126">
        <v>86.0</v>
      </c>
      <c r="N379" s="127">
        <v>92.0</v>
      </c>
      <c r="O379" s="146"/>
      <c r="P379" s="127">
        <v>82.0</v>
      </c>
      <c r="Q379" s="135" t="b">
        <v>1</v>
      </c>
      <c r="R379" s="133"/>
      <c r="S379" s="133">
        <v>7.0</v>
      </c>
      <c r="T379" s="133"/>
      <c r="U379" s="133">
        <v>5.0</v>
      </c>
      <c r="V379" s="130"/>
      <c r="W379" s="130" t="s">
        <v>84</v>
      </c>
      <c r="X379" s="130" t="s">
        <v>86</v>
      </c>
      <c r="Y379" s="130" t="s">
        <v>86</v>
      </c>
      <c r="Z379" s="131" t="b">
        <v>1</v>
      </c>
      <c r="AA379" s="131">
        <v>0.016666666666666666</v>
      </c>
      <c r="AB379" s="130"/>
      <c r="AC379" s="130" t="s">
        <v>533</v>
      </c>
      <c r="AD379" s="130" t="s">
        <v>1250</v>
      </c>
      <c r="AE379" s="130"/>
      <c r="AF379" s="132" t="s">
        <v>373</v>
      </c>
      <c r="AG379" s="133" t="b">
        <v>1</v>
      </c>
      <c r="AH379" s="133">
        <v>311.0</v>
      </c>
      <c r="AI379" s="133">
        <v>1975.0</v>
      </c>
      <c r="AJ379" s="133">
        <v>2010.0</v>
      </c>
      <c r="AK379" s="133">
        <v>7.0</v>
      </c>
      <c r="AL379" s="129" t="str">
        <f>IFERROR(__xludf.DUMMYFUNCTION("""COMPUTED_VALUE"""),"Great View, Green")</f>
        <v>Great View, Green</v>
      </c>
      <c r="AM379" s="129" t="str">
        <f>IFERROR(__xludf.DUMMYFUNCTION("""COMPUTED_VALUE"""),"Adult Pool, Beach, Buffet, Evening Entertainment, Gym, Kids Club, Lazy River, Room Service, Spa, Swim Out/Plunge Pool Rooms, Swim Up Bar")</f>
        <v>Adult Pool, Beach, Buffet, Evening Entertainment, Gym, Kids Club, Lazy River, Room Service, Spa, Swim Out/Plunge Pool Rooms, Swim Up Bar</v>
      </c>
      <c r="AN379" s="139"/>
    </row>
    <row r="380">
      <c r="A380" s="118" t="s">
        <v>1251</v>
      </c>
      <c r="B380" s="119">
        <v>86.7</v>
      </c>
      <c r="C380" s="134" t="s">
        <v>75</v>
      </c>
      <c r="D380" s="121">
        <v>4389.0</v>
      </c>
      <c r="E380" s="135">
        <f>IFERROR(__xludf.DUMMYFUNCTION("""COMPUTED_VALUE"""),6061.428011099999)</f>
        <v>6061.428011</v>
      </c>
      <c r="F380" s="136">
        <v>1.53</v>
      </c>
      <c r="G380" s="124">
        <v>931.0</v>
      </c>
      <c r="H380" s="125">
        <v>617.0</v>
      </c>
      <c r="I380" s="125">
        <v>133.0</v>
      </c>
      <c r="J380" s="125">
        <v>67.0</v>
      </c>
      <c r="K380" s="125">
        <v>49.0</v>
      </c>
      <c r="L380" s="125">
        <v>65.0</v>
      </c>
      <c r="M380" s="126">
        <v>86.0</v>
      </c>
      <c r="N380" s="127">
        <v>86.0</v>
      </c>
      <c r="O380" s="146"/>
      <c r="P380" s="127">
        <v>88.0</v>
      </c>
      <c r="Q380" s="126" t="b">
        <v>1</v>
      </c>
      <c r="R380" s="128"/>
      <c r="S380" s="133" t="s">
        <v>83</v>
      </c>
      <c r="T380" s="133"/>
      <c r="U380" s="133">
        <v>4.0</v>
      </c>
      <c r="V380" s="129"/>
      <c r="W380" s="130" t="s">
        <v>84</v>
      </c>
      <c r="X380" s="130" t="s">
        <v>1252</v>
      </c>
      <c r="Y380" s="130" t="s">
        <v>86</v>
      </c>
      <c r="Z380" s="131" t="b">
        <v>1</v>
      </c>
      <c r="AA380" s="131"/>
      <c r="AB380" s="129"/>
      <c r="AC380" s="130" t="s">
        <v>1169</v>
      </c>
      <c r="AD380" s="130" t="s">
        <v>1253</v>
      </c>
      <c r="AE380" s="130"/>
      <c r="AF380" s="132" t="s">
        <v>373</v>
      </c>
      <c r="AG380" s="133" t="b">
        <v>0</v>
      </c>
      <c r="AH380" s="133">
        <v>52.0</v>
      </c>
      <c r="AI380" s="143"/>
      <c r="AJ380" s="143"/>
      <c r="AK380" s="133">
        <v>2.0</v>
      </c>
      <c r="AL380" s="129" t="str">
        <f>IFERROR(__xludf.DUMMYFUNCTION("""COMPUTED_VALUE"""),"Great View, Ocean View")</f>
        <v>Great View, Ocean View</v>
      </c>
      <c r="AM380" s="129" t="str">
        <f>IFERROR(__xludf.DUMMYFUNCTION("""COMPUTED_VALUE"""),"Beach, Bicycles Available, Buffet, Diving, Snorkelling, Swim Out/Plunge Pool Rooms, Swim Up Bar")</f>
        <v>Beach, Bicycles Available, Buffet, Diving, Snorkelling, Swim Out/Plunge Pool Rooms, Swim Up Bar</v>
      </c>
      <c r="AN380" s="139"/>
    </row>
    <row r="381">
      <c r="A381" s="118" t="s">
        <v>1254</v>
      </c>
      <c r="B381" s="119">
        <v>86.7</v>
      </c>
      <c r="C381" s="134" t="s">
        <v>75</v>
      </c>
      <c r="D381" s="121">
        <v>5657.3</v>
      </c>
      <c r="E381" s="135">
        <f>IFERROR(__xludf.DUMMYFUNCTION("""COMPUTED_VALUE"""),7813.013599269999)</f>
        <v>7813.013599</v>
      </c>
      <c r="F381" s="136">
        <v>1.18</v>
      </c>
      <c r="G381" s="124">
        <v>3123.0</v>
      </c>
      <c r="H381" s="125">
        <v>2010.0</v>
      </c>
      <c r="I381" s="125">
        <v>685.0</v>
      </c>
      <c r="J381" s="125">
        <v>238.0</v>
      </c>
      <c r="K381" s="125">
        <v>104.0</v>
      </c>
      <c r="L381" s="125">
        <v>86.0</v>
      </c>
      <c r="M381" s="137">
        <v>88.0</v>
      </c>
      <c r="N381" s="138">
        <v>88.0</v>
      </c>
      <c r="O381" s="138"/>
      <c r="P381" s="138">
        <v>84.0</v>
      </c>
      <c r="Q381" s="135" t="b">
        <v>1</v>
      </c>
      <c r="R381" s="133">
        <v>3.0</v>
      </c>
      <c r="S381" s="133">
        <v>7.0</v>
      </c>
      <c r="T381" s="133"/>
      <c r="U381" s="133">
        <v>4.5</v>
      </c>
      <c r="V381" s="129"/>
      <c r="W381" s="130" t="s">
        <v>84</v>
      </c>
      <c r="X381" s="130" t="s">
        <v>448</v>
      </c>
      <c r="Y381" s="130" t="s">
        <v>448</v>
      </c>
      <c r="Z381" s="131" t="b">
        <v>1</v>
      </c>
      <c r="AA381" s="131">
        <v>0.0125</v>
      </c>
      <c r="AB381" s="130" t="s">
        <v>371</v>
      </c>
      <c r="AC381" s="130" t="s">
        <v>813</v>
      </c>
      <c r="AD381" s="130" t="s">
        <v>1255</v>
      </c>
      <c r="AE381" s="130"/>
      <c r="AF381" s="132" t="s">
        <v>373</v>
      </c>
      <c r="AG381" s="133" t="b">
        <v>0</v>
      </c>
      <c r="AH381" s="133">
        <v>102.0</v>
      </c>
      <c r="AI381" s="133"/>
      <c r="AJ381" s="133">
        <v>2014.0</v>
      </c>
      <c r="AK381" s="133">
        <v>7.0</v>
      </c>
      <c r="AL381" s="129" t="str">
        <f>IFERROR(__xludf.DUMMYFUNCTION("""COMPUTED_VALUE"""),"Bay View, Modern")</f>
        <v>Bay View, Modern</v>
      </c>
      <c r="AM381" s="129" t="str">
        <f>IFERROR(__xludf.DUMMYFUNCTION("""COMPUTED_VALUE"""),"2 Bedroom Suites, Beach, Buffet, Diving, Evening Entertainment, Family Suite, Gym, Kids Club, Snorkelling, Spa, Swim Out/Plunge Pool Rooms, Swim Up Bar, Wifi (Free)")</f>
        <v>2 Bedroom Suites, Beach, Buffet, Diving, Evening Entertainment, Family Suite, Gym, Kids Club, Snorkelling, Spa, Swim Out/Plunge Pool Rooms, Swim Up Bar, Wifi (Free)</v>
      </c>
      <c r="AN381" s="139"/>
    </row>
    <row r="382">
      <c r="A382" s="118" t="s">
        <v>1256</v>
      </c>
      <c r="B382" s="149">
        <v>86.7</v>
      </c>
      <c r="C382" s="120" t="s">
        <v>68</v>
      </c>
      <c r="D382" s="121">
        <v>6342.0</v>
      </c>
      <c r="E382" s="122">
        <f>IFERROR(__xludf.DUMMYFUNCTION("""COMPUTED_VALUE"""),8758.618465799998)</f>
        <v>8758.618466</v>
      </c>
      <c r="F382" s="123">
        <v>1.06</v>
      </c>
      <c r="G382" s="124">
        <v>11216.0</v>
      </c>
      <c r="H382" s="125">
        <v>7894.0</v>
      </c>
      <c r="I382" s="125">
        <v>1929.0</v>
      </c>
      <c r="J382" s="125">
        <v>752.0</v>
      </c>
      <c r="K382" s="125">
        <v>361.0</v>
      </c>
      <c r="L382" s="125">
        <v>281.0</v>
      </c>
      <c r="M382" s="126">
        <v>90.0</v>
      </c>
      <c r="N382" s="127">
        <v>88.0</v>
      </c>
      <c r="O382" s="127"/>
      <c r="P382" s="127">
        <v>82.0</v>
      </c>
      <c r="Q382" s="122" t="b">
        <v>1</v>
      </c>
      <c r="R382" s="133">
        <v>4.0</v>
      </c>
      <c r="S382" s="133" t="s">
        <v>83</v>
      </c>
      <c r="T382" s="133"/>
      <c r="U382" s="133">
        <v>5.0</v>
      </c>
      <c r="V382" s="130" t="s">
        <v>148</v>
      </c>
      <c r="W382" s="130" t="s">
        <v>219</v>
      </c>
      <c r="X382" s="130" t="s">
        <v>220</v>
      </c>
      <c r="Y382" s="144" t="s">
        <v>221</v>
      </c>
      <c r="Z382" s="131" t="b">
        <v>1</v>
      </c>
      <c r="AA382" s="131">
        <v>0.05416666666666667</v>
      </c>
      <c r="AB382" s="130" t="s">
        <v>386</v>
      </c>
      <c r="AC382" s="130" t="s">
        <v>595</v>
      </c>
      <c r="AD382" s="130" t="s">
        <v>1257</v>
      </c>
      <c r="AE382" s="130"/>
      <c r="AF382" s="132"/>
      <c r="AG382" s="133" t="b">
        <v>0</v>
      </c>
      <c r="AH382" s="133">
        <v>226.0</v>
      </c>
      <c r="AI382" s="133">
        <v>1988.0</v>
      </c>
      <c r="AJ382" s="133">
        <v>2016.0</v>
      </c>
      <c r="AK382" s="143"/>
      <c r="AL382" s="129" t="str">
        <f>IFERROR(__xludf.DUMMYFUNCTION("""COMPUTED_VALUE"""),"Green, Ocean View")</f>
        <v>Green, Ocean View</v>
      </c>
      <c r="AM382" s="129" t="str">
        <f>IFERROR(__xludf.DUMMYFUNCTION("""COMPUTED_VALUE"""),"Beach, Buffet, Diving, Evening Entertainment, Gym, Nightclub, Room Service, Snorkelling, Spa, Swim Out/Plunge Pool Rooms, Swim Up Bar, Wifi (Free)")</f>
        <v>Beach, Buffet, Diving, Evening Entertainment, Gym, Nightclub, Room Service, Snorkelling, Spa, Swim Out/Plunge Pool Rooms, Swim Up Bar, Wifi (Free)</v>
      </c>
      <c r="AN382" s="128"/>
    </row>
    <row r="383">
      <c r="A383" s="118" t="s">
        <v>1258</v>
      </c>
      <c r="B383" s="119">
        <v>86.7</v>
      </c>
      <c r="C383" s="134" t="s">
        <v>75</v>
      </c>
      <c r="D383" s="121">
        <v>8119.3</v>
      </c>
      <c r="E383" s="135">
        <f>IFERROR(__xludf.DUMMYFUNCTION("""COMPUTED_VALUE"""),11213.158453069998)</f>
        <v>11213.15845</v>
      </c>
      <c r="F383" s="136">
        <v>0.83</v>
      </c>
      <c r="G383" s="124">
        <v>1905.0</v>
      </c>
      <c r="H383" s="125">
        <v>1235.0</v>
      </c>
      <c r="I383" s="125">
        <v>391.0</v>
      </c>
      <c r="J383" s="125">
        <v>142.0</v>
      </c>
      <c r="K383" s="125">
        <v>73.0</v>
      </c>
      <c r="L383" s="125">
        <v>66.0</v>
      </c>
      <c r="M383" s="126">
        <v>88.0</v>
      </c>
      <c r="N383" s="127">
        <v>88.0</v>
      </c>
      <c r="O383" s="146"/>
      <c r="P383" s="127">
        <v>84.0</v>
      </c>
      <c r="Q383" s="122" t="b">
        <v>1</v>
      </c>
      <c r="R383" s="133"/>
      <c r="S383" s="133">
        <v>6.0</v>
      </c>
      <c r="T383" s="133"/>
      <c r="U383" s="133">
        <v>4.0</v>
      </c>
      <c r="V383" s="130"/>
      <c r="W383" s="130" t="s">
        <v>642</v>
      </c>
      <c r="X383" s="130" t="s">
        <v>642</v>
      </c>
      <c r="Y383" s="130" t="s">
        <v>644</v>
      </c>
      <c r="Z383" s="131" t="b">
        <v>1</v>
      </c>
      <c r="AA383" s="131">
        <v>0.009722222222222222</v>
      </c>
      <c r="AB383" s="130"/>
      <c r="AC383" s="130" t="s">
        <v>434</v>
      </c>
      <c r="AD383" s="130" t="s">
        <v>1259</v>
      </c>
      <c r="AE383" s="130"/>
      <c r="AF383" s="132" t="s">
        <v>1260</v>
      </c>
      <c r="AG383" s="133" t="b">
        <v>0</v>
      </c>
      <c r="AH383" s="133">
        <v>122.0</v>
      </c>
      <c r="AI383" s="133">
        <v>1985.0</v>
      </c>
      <c r="AJ383" s="133">
        <v>2017.0</v>
      </c>
      <c r="AK383" s="133">
        <v>3.0</v>
      </c>
      <c r="AL383" s="129" t="str">
        <f>IFERROR(__xludf.DUMMYFUNCTION("""COMPUTED_VALUE"""),"Ocean View, Quiet")</f>
        <v>Ocean View, Quiet</v>
      </c>
      <c r="AM383" s="129" t="str">
        <f>IFERROR(__xludf.DUMMYFUNCTION("""COMPUTED_VALUE"""),"2 Bedroom Suites, Adult Pool, Babysitting, Beach, Buffet, Evening Entertainment, Family Suite, Gym, Kids Club, Spa, Teen Club, Wifi (Free)")</f>
        <v>2 Bedroom Suites, Adult Pool, Babysitting, Beach, Buffet, Evening Entertainment, Family Suite, Gym, Kids Club, Spa, Teen Club, Wifi (Free)</v>
      </c>
      <c r="AN383" s="128"/>
    </row>
    <row r="384">
      <c r="A384" s="118" t="s">
        <v>1261</v>
      </c>
      <c r="B384" s="119">
        <v>86.7</v>
      </c>
      <c r="C384" s="134" t="s">
        <v>75</v>
      </c>
      <c r="D384" s="121">
        <v>61256.0</v>
      </c>
      <c r="E384" s="135">
        <f>IFERROR(__xludf.DUMMYFUNCTION("""COMPUTED_VALUE"""),84597.59267439999)</f>
        <v>84597.59267</v>
      </c>
      <c r="F384" s="136">
        <v>0.11</v>
      </c>
      <c r="G384" s="124">
        <v>3227.0</v>
      </c>
      <c r="H384" s="125">
        <v>1959.0</v>
      </c>
      <c r="I384" s="125">
        <v>696.0</v>
      </c>
      <c r="J384" s="125">
        <v>315.0</v>
      </c>
      <c r="K384" s="125">
        <v>151.0</v>
      </c>
      <c r="L384" s="125">
        <v>110.0</v>
      </c>
      <c r="M384" s="126">
        <v>86.0</v>
      </c>
      <c r="N384" s="127">
        <v>90.0</v>
      </c>
      <c r="O384" s="146"/>
      <c r="P384" s="127">
        <v>84.0</v>
      </c>
      <c r="Q384" s="135" t="b">
        <v>1</v>
      </c>
      <c r="R384" s="133"/>
      <c r="S384" s="133">
        <v>8.0</v>
      </c>
      <c r="T384" s="133"/>
      <c r="U384" s="133">
        <v>4.0</v>
      </c>
      <c r="V384" s="129"/>
      <c r="W384" s="130" t="s">
        <v>84</v>
      </c>
      <c r="X384" s="130" t="s">
        <v>1262</v>
      </c>
      <c r="Y384" s="130" t="s">
        <v>1263</v>
      </c>
      <c r="Z384" s="131" t="b">
        <v>0</v>
      </c>
      <c r="AA384" s="131">
        <v>0.011111111111111112</v>
      </c>
      <c r="AB384" s="129"/>
      <c r="AC384" s="130" t="s">
        <v>1136</v>
      </c>
      <c r="AD384" s="130" t="s">
        <v>1264</v>
      </c>
      <c r="AE384" s="130"/>
      <c r="AF384" s="132" t="s">
        <v>297</v>
      </c>
      <c r="AG384" s="133" t="b">
        <v>0</v>
      </c>
      <c r="AH384" s="133">
        <v>229.0</v>
      </c>
      <c r="AI384" s="133">
        <v>1957.0</v>
      </c>
      <c r="AJ384" s="133">
        <v>2003.0</v>
      </c>
      <c r="AK384" s="133">
        <v>5.0</v>
      </c>
      <c r="AL384" s="129" t="str">
        <f>IFERROR(__xludf.DUMMYFUNCTION("""COMPUTED_VALUE"""),"Classic, Family")</f>
        <v>Classic, Family</v>
      </c>
      <c r="AM384" s="129" t="str">
        <f>IFERROR(__xludf.DUMMYFUNCTION("""COMPUTED_VALUE"""),"Beach, Buffet, Golf Course, Gym, Kids Club, Pets Allowed, Room Service, Tennis, Wifi (Free)")</f>
        <v>Beach, Buffet, Golf Course, Gym, Kids Club, Pets Allowed, Room Service, Tennis, Wifi (Free)</v>
      </c>
      <c r="AN384" s="139"/>
    </row>
    <row r="385">
      <c r="A385" s="118" t="s">
        <v>1265</v>
      </c>
      <c r="B385" s="119">
        <v>86.5</v>
      </c>
      <c r="C385" s="134" t="s">
        <v>75</v>
      </c>
      <c r="D385" s="121">
        <v>1099.0</v>
      </c>
      <c r="E385" s="135">
        <f>IFERROR(__xludf.DUMMYFUNCTION("""COMPUTED_VALUE"""),1517.7738401)</f>
        <v>1517.77384</v>
      </c>
      <c r="F385" s="136">
        <v>5.91</v>
      </c>
      <c r="G385" s="124">
        <v>1157.0</v>
      </c>
      <c r="H385" s="125">
        <v>710.0</v>
      </c>
      <c r="I385" s="125">
        <v>232.0</v>
      </c>
      <c r="J385" s="125">
        <v>101.0</v>
      </c>
      <c r="K385" s="125">
        <v>60.0</v>
      </c>
      <c r="L385" s="125">
        <v>58.0</v>
      </c>
      <c r="M385" s="126">
        <v>85.0</v>
      </c>
      <c r="N385" s="138">
        <v>88.0</v>
      </c>
      <c r="O385" s="146"/>
      <c r="P385" s="146"/>
      <c r="Q385" s="137" t="b">
        <v>1</v>
      </c>
      <c r="R385" s="128"/>
      <c r="S385" s="128"/>
      <c r="T385" s="128"/>
      <c r="U385" s="133">
        <v>4.0</v>
      </c>
      <c r="V385" s="130"/>
      <c r="W385" s="130" t="s">
        <v>276</v>
      </c>
      <c r="X385" s="130" t="s">
        <v>327</v>
      </c>
      <c r="Y385" s="130" t="s">
        <v>327</v>
      </c>
      <c r="Z385" s="131" t="b">
        <v>1</v>
      </c>
      <c r="AA385" s="131">
        <v>0.018055555555555554</v>
      </c>
      <c r="AB385" s="130"/>
      <c r="AC385" s="130" t="s">
        <v>442</v>
      </c>
      <c r="AD385" s="130" t="s">
        <v>1266</v>
      </c>
      <c r="AE385" s="130"/>
      <c r="AF385" s="148" t="s">
        <v>373</v>
      </c>
      <c r="AG385" s="128" t="b">
        <v>1</v>
      </c>
      <c r="AH385" s="128"/>
      <c r="AI385" s="128"/>
      <c r="AJ385" s="128"/>
      <c r="AK385" s="128"/>
      <c r="AL385" s="129" t="str">
        <f>IFERROR(__xludf.DUMMYFUNCTION("""COMPUTED_VALUE"""),"Ocean View")</f>
        <v>Ocean View</v>
      </c>
      <c r="AM385" s="129" t="str">
        <f>IFERROR(__xludf.DUMMYFUNCTION("""COMPUTED_VALUE"""),"Babysitting, Beach, Buffet, Evening Entertainment, Gym, Kids Club, Swim Up Bar, Tennis, Wifi (Free)")</f>
        <v>Babysitting, Beach, Buffet, Evening Entertainment, Gym, Kids Club, Swim Up Bar, Tennis, Wifi (Free)</v>
      </c>
      <c r="AN385" s="139"/>
    </row>
    <row r="386">
      <c r="A386" s="118" t="s">
        <v>1267</v>
      </c>
      <c r="B386" s="119">
        <v>86.5</v>
      </c>
      <c r="C386" s="134" t="s">
        <v>75</v>
      </c>
      <c r="D386" s="150">
        <v>1201.2</v>
      </c>
      <c r="E386" s="135">
        <f>IFERROR(__xludf.DUMMYFUNCTION("""COMPUTED_VALUE"""),1658.91713988)</f>
        <v>1658.91714</v>
      </c>
      <c r="F386" s="136">
        <v>5.41</v>
      </c>
      <c r="G386" s="124">
        <v>1146.0</v>
      </c>
      <c r="H386" s="125">
        <v>829.0</v>
      </c>
      <c r="I386" s="125">
        <v>162.0</v>
      </c>
      <c r="J386" s="125">
        <v>50.0</v>
      </c>
      <c r="K386" s="125">
        <v>54.0</v>
      </c>
      <c r="L386" s="125">
        <v>51.0</v>
      </c>
      <c r="M386" s="126">
        <v>89.0</v>
      </c>
      <c r="N386" s="138">
        <v>84.0</v>
      </c>
      <c r="O386" s="146"/>
      <c r="P386" s="146"/>
      <c r="Q386" s="126" t="b">
        <v>1</v>
      </c>
      <c r="R386" s="128"/>
      <c r="S386" s="128"/>
      <c r="T386" s="128"/>
      <c r="U386" s="133">
        <v>5.0</v>
      </c>
      <c r="V386" s="129"/>
      <c r="W386" s="130" t="s">
        <v>276</v>
      </c>
      <c r="X386" s="130" t="s">
        <v>570</v>
      </c>
      <c r="Y386" s="130" t="s">
        <v>570</v>
      </c>
      <c r="Z386" s="131" t="b">
        <v>1</v>
      </c>
      <c r="AA386" s="131">
        <v>0.05555555555555555</v>
      </c>
      <c r="AB386" s="130" t="s">
        <v>1086</v>
      </c>
      <c r="AC386" s="130" t="s">
        <v>442</v>
      </c>
      <c r="AD386" s="130" t="s">
        <v>1268</v>
      </c>
      <c r="AE386" s="130" t="s">
        <v>94</v>
      </c>
      <c r="AF386" s="132" t="s">
        <v>126</v>
      </c>
      <c r="AG386" s="128" t="b">
        <v>0</v>
      </c>
      <c r="AH386" s="128"/>
      <c r="AI386" s="128"/>
      <c r="AJ386" s="128"/>
      <c r="AK386" s="128"/>
      <c r="AL386" s="129" t="str">
        <f>IFERROR(__xludf.DUMMYFUNCTION("""COMPUTED_VALUE"""),"Ocean View")</f>
        <v>Ocean View</v>
      </c>
      <c r="AM386" s="129" t="str">
        <f>IFERROR(__xludf.DUMMYFUNCTION("""COMPUTED_VALUE"""),"Adult Pool, Babysitting, Beach, Buffet, Diving, Evening Entertainment, Gym, Kids Club, Nightclub, Spa, Swim Up Bar, Teen Club, Tennis, Wifi (Free), Windsurfing")</f>
        <v>Adult Pool, Babysitting, Beach, Buffet, Diving, Evening Entertainment, Gym, Kids Club, Nightclub, Spa, Swim Up Bar, Teen Club, Tennis, Wifi (Free), Windsurfing</v>
      </c>
      <c r="AN386" s="139"/>
    </row>
    <row r="387">
      <c r="A387" s="151" t="s">
        <v>1269</v>
      </c>
      <c r="B387" s="119">
        <v>86.5</v>
      </c>
      <c r="C387" s="133" t="s">
        <v>75</v>
      </c>
      <c r="D387" s="150">
        <v>1378.12</v>
      </c>
      <c r="E387" s="135">
        <f>IFERROR(__xludf.DUMMYFUNCTION("""COMPUTED_VALUE"""),1903.2524881879997)</f>
        <v>1903.252488</v>
      </c>
      <c r="F387" s="136">
        <v>4.72</v>
      </c>
      <c r="G387" s="124">
        <v>1625.0</v>
      </c>
      <c r="H387" s="125">
        <v>1326.0</v>
      </c>
      <c r="I387" s="125">
        <v>227.0</v>
      </c>
      <c r="J387" s="125">
        <v>46.0</v>
      </c>
      <c r="K387" s="125">
        <v>19.0</v>
      </c>
      <c r="L387" s="125">
        <v>12.0</v>
      </c>
      <c r="M387" s="126">
        <v>95.0</v>
      </c>
      <c r="N387" s="138">
        <v>78.0</v>
      </c>
      <c r="O387" s="146"/>
      <c r="P387" s="146"/>
      <c r="Q387" s="135" t="b">
        <v>1</v>
      </c>
      <c r="R387" s="128"/>
      <c r="S387" s="128"/>
      <c r="T387" s="128"/>
      <c r="U387" s="133">
        <v>4.0</v>
      </c>
      <c r="V387" s="130" t="s">
        <v>91</v>
      </c>
      <c r="W387" s="129" t="s">
        <v>276</v>
      </c>
      <c r="X387" s="130" t="s">
        <v>1191</v>
      </c>
      <c r="Y387" s="130" t="s">
        <v>1192</v>
      </c>
      <c r="Z387" s="133" t="b">
        <v>0</v>
      </c>
      <c r="AA387" s="133"/>
      <c r="AB387" s="130"/>
      <c r="AC387" s="129"/>
      <c r="AD387" s="130" t="s">
        <v>1270</v>
      </c>
      <c r="AE387" s="130" t="s">
        <v>94</v>
      </c>
      <c r="AF387" s="132" t="s">
        <v>81</v>
      </c>
      <c r="AG387" s="128" t="b">
        <v>0</v>
      </c>
      <c r="AH387" s="128"/>
      <c r="AI387" s="128"/>
      <c r="AJ387" s="128"/>
      <c r="AK387" s="128"/>
      <c r="AL387" s="129"/>
      <c r="AM387" s="129" t="str">
        <f>IFERROR(__xludf.DUMMYFUNCTION("""COMPUTED_VALUE"""),"Beach, Buffet, Evening Entertainment, Kids Club, Wifi (Free)")</f>
        <v>Beach, Buffet, Evening Entertainment, Kids Club, Wifi (Free)</v>
      </c>
      <c r="AN387" s="139"/>
    </row>
    <row r="388">
      <c r="A388" s="118" t="s">
        <v>1271</v>
      </c>
      <c r="B388" s="119">
        <v>86.5</v>
      </c>
      <c r="C388" s="134" t="s">
        <v>75</v>
      </c>
      <c r="D388" s="150">
        <v>4501.0</v>
      </c>
      <c r="E388" s="135">
        <f>IFERROR(__xludf.DUMMYFUNCTION("""COMPUTED_VALUE"""),6216.105599899999)</f>
        <v>6216.1056</v>
      </c>
      <c r="F388" s="136">
        <v>1.44</v>
      </c>
      <c r="G388" s="124">
        <v>39299.0</v>
      </c>
      <c r="H388" s="125">
        <v>28407.0</v>
      </c>
      <c r="I388" s="125">
        <v>5909.0</v>
      </c>
      <c r="J388" s="125">
        <v>2330.0</v>
      </c>
      <c r="K388" s="125">
        <v>1183.0</v>
      </c>
      <c r="L388" s="125">
        <v>1471.0</v>
      </c>
      <c r="M388" s="126">
        <v>90.0</v>
      </c>
      <c r="N388" s="127">
        <v>90.0</v>
      </c>
      <c r="O388" s="127">
        <v>84.0</v>
      </c>
      <c r="P388" s="127">
        <v>82.0</v>
      </c>
      <c r="Q388" s="135" t="b">
        <v>1</v>
      </c>
      <c r="R388" s="133">
        <v>4.0</v>
      </c>
      <c r="S388" s="133">
        <v>9.0</v>
      </c>
      <c r="T388" s="133"/>
      <c r="U388" s="133">
        <v>5.0</v>
      </c>
      <c r="V388" s="130"/>
      <c r="W388" s="130" t="s">
        <v>84</v>
      </c>
      <c r="X388" s="130" t="s">
        <v>86</v>
      </c>
      <c r="Y388" s="147" t="s">
        <v>86</v>
      </c>
      <c r="Z388" s="131" t="b">
        <v>1</v>
      </c>
      <c r="AA388" s="131">
        <v>0.011111111111111112</v>
      </c>
      <c r="AB388" s="130" t="s">
        <v>255</v>
      </c>
      <c r="AC388" s="130" t="s">
        <v>75</v>
      </c>
      <c r="AD388" s="130" t="s">
        <v>1272</v>
      </c>
      <c r="AE388" s="130" t="s">
        <v>396</v>
      </c>
      <c r="AF388" s="132" t="s">
        <v>373</v>
      </c>
      <c r="AG388" s="133" t="b">
        <v>0</v>
      </c>
      <c r="AH388" s="133">
        <v>2404.0</v>
      </c>
      <c r="AI388" s="133">
        <v>1996.0</v>
      </c>
      <c r="AJ388" s="133">
        <v>2014.0</v>
      </c>
      <c r="AK388" s="143"/>
      <c r="AL388" s="129" t="str">
        <f>IFERROR(__xludf.DUMMYFUNCTION("""COMPUTED_VALUE"""),"Family")</f>
        <v>Family</v>
      </c>
      <c r="AM388" s="129" t="str">
        <f>IFERROR(__xludf.DUMMYFUNCTION("""COMPUTED_VALUE"""),"2 Bedroom Suites, Arcade, Babysitting, Beach, Bicycles Available, Buffet, Diving, Evening Entertainment, Family Suite, Flowrider, Golf Course, Gym, Kids Club, Kids Waterpark, Mini Golf, Nightclub, Pool Slide, Room Service, Spa, Swim Out/Plunge Pool Rooms,"&amp;" Swim Up Bar, Teen Club, Tennis, Water Feature, Watersports Equipment Rentals, Wifi (Paid)")</f>
        <v>2 Bedroom Suites, Arcade, Babysitting, Beach, Bicycles Available, Buffet, Diving, Evening Entertainment, Family Suite, Flowrider, Golf Course, Gym, Kids Club, Kids Waterpark, Mini Golf, Nightclub, Pool Slide, Room Service, Spa, Swim Out/Plunge Pool Rooms, Swim Up Bar, Teen Club, Tennis, Water Feature, Watersports Equipment Rentals, Wifi (Paid)</v>
      </c>
      <c r="AN388" s="139"/>
    </row>
    <row r="389">
      <c r="A389" s="118" t="s">
        <v>1273</v>
      </c>
      <c r="B389" s="119">
        <v>86.5</v>
      </c>
      <c r="C389" s="134" t="s">
        <v>75</v>
      </c>
      <c r="D389" s="121">
        <v>7664.0</v>
      </c>
      <c r="E389" s="135">
        <f>IFERROR(__xludf.DUMMYFUNCTION("""COMPUTED_VALUE"""),10584.366433599998)</f>
        <v>10584.36643</v>
      </c>
      <c r="F389" s="136">
        <v>0.85</v>
      </c>
      <c r="G389" s="124">
        <v>7861.0</v>
      </c>
      <c r="H389" s="125">
        <v>5929.0</v>
      </c>
      <c r="I389" s="125">
        <v>1295.0</v>
      </c>
      <c r="J389" s="125">
        <v>349.0</v>
      </c>
      <c r="K389" s="125">
        <v>138.0</v>
      </c>
      <c r="L389" s="125">
        <v>151.0</v>
      </c>
      <c r="M389" s="126">
        <v>92.0</v>
      </c>
      <c r="N389" s="127">
        <v>90.0</v>
      </c>
      <c r="O389" s="138">
        <v>82.0</v>
      </c>
      <c r="P389" s="127">
        <v>82.0</v>
      </c>
      <c r="Q389" s="135" t="b">
        <v>1</v>
      </c>
      <c r="R389" s="133">
        <v>4.0</v>
      </c>
      <c r="S389" s="133">
        <v>7.0</v>
      </c>
      <c r="T389" s="133"/>
      <c r="U389" s="133">
        <v>4.0</v>
      </c>
      <c r="V389" s="129"/>
      <c r="W389" s="130" t="s">
        <v>84</v>
      </c>
      <c r="X389" s="130" t="s">
        <v>119</v>
      </c>
      <c r="Y389" s="130" t="s">
        <v>120</v>
      </c>
      <c r="Z389" s="131" t="b">
        <v>1</v>
      </c>
      <c r="AA389" s="131">
        <v>0.006944444444444444</v>
      </c>
      <c r="AB389" s="130" t="s">
        <v>371</v>
      </c>
      <c r="AC389" s="130" t="s">
        <v>1169</v>
      </c>
      <c r="AD389" s="130" t="s">
        <v>1274</v>
      </c>
      <c r="AE389" s="130"/>
      <c r="AF389" s="132" t="s">
        <v>373</v>
      </c>
      <c r="AG389" s="133" t="b">
        <v>1</v>
      </c>
      <c r="AH389" s="133">
        <v>291.0</v>
      </c>
      <c r="AI389" s="133">
        <v>1979.0</v>
      </c>
      <c r="AJ389" s="133">
        <v>2021.0</v>
      </c>
      <c r="AK389" s="133">
        <v>9.0</v>
      </c>
      <c r="AL389" s="129" t="str">
        <f>IFERROR(__xludf.DUMMYFUNCTION("""COMPUTED_VALUE"""),"Great View, Ocean View")</f>
        <v>Great View, Ocean View</v>
      </c>
      <c r="AM389" s="129" t="str">
        <f>IFERROR(__xludf.DUMMYFUNCTION("""COMPUTED_VALUE"""),"Babysitting, Beach, Buffet, Evening Entertainment, Gym, Heated Pool, Kids Club, Room Service, Spa, Swim Up Bar, Teen Club, Wifi (Free)")</f>
        <v>Babysitting, Beach, Buffet, Evening Entertainment, Gym, Heated Pool, Kids Club, Room Service, Spa, Swim Up Bar, Teen Club, Wifi (Free)</v>
      </c>
      <c r="AN389" s="139"/>
    </row>
    <row r="390">
      <c r="A390" s="118" t="s">
        <v>1275</v>
      </c>
      <c r="B390" s="119">
        <v>86.5</v>
      </c>
      <c r="C390" s="134" t="s">
        <v>75</v>
      </c>
      <c r="D390" s="121">
        <v>11689.96</v>
      </c>
      <c r="E390" s="135">
        <f>IFERROR(__xludf.DUMMYFUNCTION("""COMPUTED_VALUE"""),16144.418089003997)</f>
        <v>16144.41809</v>
      </c>
      <c r="F390" s="136">
        <v>0.56</v>
      </c>
      <c r="G390" s="124">
        <v>2541.0</v>
      </c>
      <c r="H390" s="125">
        <v>2211.0</v>
      </c>
      <c r="I390" s="125">
        <v>131.0</v>
      </c>
      <c r="J390" s="125">
        <v>65.0</v>
      </c>
      <c r="K390" s="125">
        <v>52.0</v>
      </c>
      <c r="L390" s="125">
        <v>86.0</v>
      </c>
      <c r="M390" s="126">
        <v>94.0</v>
      </c>
      <c r="N390" s="127">
        <v>84.0</v>
      </c>
      <c r="O390" s="127">
        <v>84.0</v>
      </c>
      <c r="P390" s="127">
        <v>84.0</v>
      </c>
      <c r="Q390" s="135" t="b">
        <v>1</v>
      </c>
      <c r="R390" s="133"/>
      <c r="S390" s="133" t="s">
        <v>83</v>
      </c>
      <c r="T390" s="133"/>
      <c r="U390" s="133">
        <v>5.0</v>
      </c>
      <c r="V390" s="129"/>
      <c r="W390" s="130" t="s">
        <v>84</v>
      </c>
      <c r="X390" s="130" t="s">
        <v>214</v>
      </c>
      <c r="Y390" s="130" t="s">
        <v>86</v>
      </c>
      <c r="Z390" s="131" t="b">
        <v>1</v>
      </c>
      <c r="AA390" s="131">
        <v>0.018055555555555554</v>
      </c>
      <c r="AB390" s="130" t="s">
        <v>1276</v>
      </c>
      <c r="AC390" s="130" t="s">
        <v>442</v>
      </c>
      <c r="AD390" s="130" t="s">
        <v>1277</v>
      </c>
      <c r="AE390" s="130" t="s">
        <v>94</v>
      </c>
      <c r="AF390" s="148" t="s">
        <v>1278</v>
      </c>
      <c r="AG390" s="133" t="b">
        <v>1</v>
      </c>
      <c r="AH390" s="133">
        <v>280.0</v>
      </c>
      <c r="AI390" s="133">
        <v>2021.0</v>
      </c>
      <c r="AJ390" s="143"/>
      <c r="AK390" s="143"/>
      <c r="AL390" s="129" t="str">
        <f>IFERROR(__xludf.DUMMYFUNCTION("""COMPUTED_VALUE"""),"Ocean View")</f>
        <v>Ocean View</v>
      </c>
      <c r="AM390" s="129" t="str">
        <f>IFERROR(__xludf.DUMMYFUNCTION("""COMPUTED_VALUE"""),"Adult Pool, Babysitting, Big Waterslides, Buffet, Evening Entertainment, Gym, Kids Club, Kids Waterpark, Lazy River, Room Service, Snorkelling, Spa, Swim Out/Plunge Pool Rooms, Wifi (Free)")</f>
        <v>Adult Pool, Babysitting, Big Waterslides, Buffet, Evening Entertainment, Gym, Kids Club, Kids Waterpark, Lazy River, Room Service, Snorkelling, Spa, Swim Out/Plunge Pool Rooms, Wifi (Free)</v>
      </c>
      <c r="AN390" s="139"/>
    </row>
    <row r="391">
      <c r="A391" s="118" t="s">
        <v>1279</v>
      </c>
      <c r="B391" s="119">
        <v>86.5</v>
      </c>
      <c r="C391" s="134" t="s">
        <v>75</v>
      </c>
      <c r="D391" s="142"/>
      <c r="E391" s="135"/>
      <c r="F391" s="136"/>
      <c r="G391" s="124">
        <v>1479.0</v>
      </c>
      <c r="H391" s="125">
        <v>704.0</v>
      </c>
      <c r="I391" s="125">
        <v>495.0</v>
      </c>
      <c r="J391" s="125">
        <v>143.0</v>
      </c>
      <c r="K391" s="125">
        <v>63.0</v>
      </c>
      <c r="L391" s="125">
        <v>74.0</v>
      </c>
      <c r="M391" s="137">
        <v>83.0</v>
      </c>
      <c r="N391" s="138">
        <v>90.0</v>
      </c>
      <c r="O391" s="127"/>
      <c r="P391" s="127"/>
      <c r="Q391" s="135" t="b">
        <v>1</v>
      </c>
      <c r="R391" s="133"/>
      <c r="S391" s="133" t="s">
        <v>83</v>
      </c>
      <c r="T391" s="133"/>
      <c r="U391" s="133"/>
      <c r="V391" s="130" t="s">
        <v>479</v>
      </c>
      <c r="W391" s="130" t="s">
        <v>84</v>
      </c>
      <c r="X391" s="129"/>
      <c r="Y391" s="130" t="s">
        <v>86</v>
      </c>
      <c r="Z391" s="133" t="b">
        <v>1</v>
      </c>
      <c r="AA391" s="145"/>
      <c r="AB391" s="130"/>
      <c r="AC391" s="130"/>
      <c r="AD391" s="147" t="s">
        <v>1280</v>
      </c>
      <c r="AE391" s="129"/>
      <c r="AF391" s="132"/>
      <c r="AG391" s="133" t="b">
        <v>0</v>
      </c>
      <c r="AH391" s="133"/>
      <c r="AI391" s="133"/>
      <c r="AJ391" s="133">
        <v>2012.0</v>
      </c>
      <c r="AK391" s="133"/>
      <c r="AL391" s="129"/>
      <c r="AM391" s="129" t="str">
        <f>IFERROR(__xludf.DUMMYFUNCTION("""COMPUTED_VALUE"""),"Babysitting, Beach, Buffet, Evening Entertainment, Kids Club, Swim Up Bar, Wifi (Paid)")</f>
        <v>Babysitting, Beach, Buffet, Evening Entertainment, Kids Club, Swim Up Bar, Wifi (Paid)</v>
      </c>
      <c r="AN391" s="139"/>
    </row>
    <row r="392">
      <c r="A392" s="118" t="s">
        <v>1281</v>
      </c>
      <c r="B392" s="119">
        <v>86.3</v>
      </c>
      <c r="C392" s="120" t="s">
        <v>68</v>
      </c>
      <c r="D392" s="121">
        <v>1925.56</v>
      </c>
      <c r="E392" s="122">
        <f>IFERROR(__xludf.DUMMYFUNCTION("""COMPUTED_VALUE"""),2659.2944454439994)</f>
        <v>2659.294445</v>
      </c>
      <c r="F392" s="136">
        <v>3.27</v>
      </c>
      <c r="G392" s="124">
        <v>11160.0</v>
      </c>
      <c r="H392" s="125">
        <v>7779.0</v>
      </c>
      <c r="I392" s="125">
        <v>2187.0</v>
      </c>
      <c r="J392" s="125">
        <v>791.0</v>
      </c>
      <c r="K392" s="125">
        <v>239.0</v>
      </c>
      <c r="L392" s="125">
        <v>165.0</v>
      </c>
      <c r="M392" s="126">
        <v>91.0</v>
      </c>
      <c r="N392" s="127">
        <v>86.0</v>
      </c>
      <c r="O392" s="127"/>
      <c r="P392" s="127">
        <v>82.0</v>
      </c>
      <c r="Q392" s="122" t="b">
        <v>1</v>
      </c>
      <c r="R392" s="128"/>
      <c r="S392" s="133">
        <v>7.0</v>
      </c>
      <c r="T392" s="128"/>
      <c r="U392" s="133">
        <v>5.0</v>
      </c>
      <c r="V392" s="129"/>
      <c r="W392" s="130" t="s">
        <v>276</v>
      </c>
      <c r="X392" s="130" t="s">
        <v>393</v>
      </c>
      <c r="Y392" s="130" t="s">
        <v>393</v>
      </c>
      <c r="Z392" s="131" t="b">
        <v>1</v>
      </c>
      <c r="AA392" s="131">
        <v>0.02361111111111111</v>
      </c>
      <c r="AB392" s="130" t="s">
        <v>632</v>
      </c>
      <c r="AC392" s="130" t="s">
        <v>754</v>
      </c>
      <c r="AD392" s="130" t="s">
        <v>1282</v>
      </c>
      <c r="AE392" s="129"/>
      <c r="AF392" s="132"/>
      <c r="AG392" s="133" t="b">
        <v>0</v>
      </c>
      <c r="AH392" s="133">
        <v>404.0</v>
      </c>
      <c r="AI392" s="133">
        <v>2002.0</v>
      </c>
      <c r="AJ392" s="133">
        <v>2015.0</v>
      </c>
      <c r="AK392" s="133">
        <v>3.0</v>
      </c>
      <c r="AL392" s="129" t="str">
        <f>IFERROR(__xludf.DUMMYFUNCTION("""COMPUTED_VALUE"""),"Quiet, Romantic")</f>
        <v>Quiet, Romantic</v>
      </c>
      <c r="AM392" s="129" t="str">
        <f>IFERROR(__xludf.DUMMYFUNCTION("""COMPUTED_VALUE"""),"Beach, Buffet, Diving, Evening Entertainment, Great Beach, Gym, Nightclub, Room Service, Snorkelling, Spa, Swim Up Bar, Watersports Equipment Rentals, Yoga Classes")</f>
        <v>Beach, Buffet, Diving, Evening Entertainment, Great Beach, Gym, Nightclub, Room Service, Snorkelling, Spa, Swim Up Bar, Watersports Equipment Rentals, Yoga Classes</v>
      </c>
      <c r="AN392" s="128"/>
    </row>
    <row r="393">
      <c r="A393" s="118" t="s">
        <v>1283</v>
      </c>
      <c r="B393" s="119">
        <v>86.3</v>
      </c>
      <c r="C393" s="120" t="s">
        <v>68</v>
      </c>
      <c r="D393" s="121">
        <v>2841.16</v>
      </c>
      <c r="E393" s="122">
        <f>IFERROR(__xludf.DUMMYFUNCTION("""COMPUTED_VALUE"""),3923.7837338839995)</f>
        <v>3923.783734</v>
      </c>
      <c r="F393" s="136">
        <v>2.22</v>
      </c>
      <c r="G393" s="124">
        <v>8788.0</v>
      </c>
      <c r="H393" s="125">
        <v>5294.0</v>
      </c>
      <c r="I393" s="125">
        <v>2157.0</v>
      </c>
      <c r="J393" s="125">
        <v>805.0</v>
      </c>
      <c r="K393" s="125">
        <v>305.0</v>
      </c>
      <c r="L393" s="125">
        <v>230.0</v>
      </c>
      <c r="M393" s="126">
        <v>87.0</v>
      </c>
      <c r="N393" s="127">
        <v>92.0</v>
      </c>
      <c r="O393" s="127"/>
      <c r="P393" s="138">
        <v>80.0</v>
      </c>
      <c r="Q393" s="122" t="b">
        <v>1</v>
      </c>
      <c r="R393" s="133"/>
      <c r="S393" s="143">
        <v>6.0</v>
      </c>
      <c r="T393" s="133"/>
      <c r="U393" s="133">
        <v>5.0</v>
      </c>
      <c r="V393" s="129"/>
      <c r="W393" s="130" t="s">
        <v>193</v>
      </c>
      <c r="X393" s="130" t="s">
        <v>195</v>
      </c>
      <c r="Y393" s="130" t="s">
        <v>195</v>
      </c>
      <c r="Z393" s="131" t="b">
        <v>1</v>
      </c>
      <c r="AA393" s="131">
        <v>0.019444444444444445</v>
      </c>
      <c r="AB393" s="129"/>
      <c r="AC393" s="130" t="s">
        <v>885</v>
      </c>
      <c r="AD393" s="130" t="s">
        <v>1284</v>
      </c>
      <c r="AE393" s="129"/>
      <c r="AF393" s="132"/>
      <c r="AG393" s="143" t="b">
        <v>0</v>
      </c>
      <c r="AH393" s="143">
        <v>263.0</v>
      </c>
      <c r="AI393" s="143"/>
      <c r="AJ393" s="143"/>
      <c r="AK393" s="143">
        <v>2.0</v>
      </c>
      <c r="AL393" s="129" t="str">
        <f>IFERROR(__xludf.DUMMYFUNCTION("""COMPUTED_VALUE"""),"Charming, Value")</f>
        <v>Charming, Value</v>
      </c>
      <c r="AM393" s="129" t="str">
        <f>IFERROR(__xludf.DUMMYFUNCTION("""COMPUTED_VALUE"""),"Beach, Buffet, Diving, Evening Entertainment, Gym, Spa, Swim Up Bar, Tennis, Wifi (Paid)")</f>
        <v>Beach, Buffet, Diving, Evening Entertainment, Gym, Spa, Swim Up Bar, Tennis, Wifi (Paid)</v>
      </c>
      <c r="AN393" s="128"/>
    </row>
    <row r="394">
      <c r="A394" s="156" t="s">
        <v>1285</v>
      </c>
      <c r="B394" s="119">
        <v>86.3</v>
      </c>
      <c r="C394" s="133" t="s">
        <v>75</v>
      </c>
      <c r="D394" s="121">
        <v>3236.38</v>
      </c>
      <c r="E394" s="122">
        <f>IFERROR(__xludf.DUMMYFUNCTION("""COMPUTED_VALUE"""),4469.602275362)</f>
        <v>4469.602275</v>
      </c>
      <c r="F394" s="136">
        <v>1.95</v>
      </c>
      <c r="G394" s="124">
        <v>1321.0</v>
      </c>
      <c r="H394" s="125">
        <v>1079.0</v>
      </c>
      <c r="I394" s="125">
        <v>176.0</v>
      </c>
      <c r="J394" s="125">
        <v>40.0</v>
      </c>
      <c r="K394" s="125">
        <v>15.0</v>
      </c>
      <c r="L394" s="125">
        <v>11.0</v>
      </c>
      <c r="M394" s="126">
        <v>95.0</v>
      </c>
      <c r="N394" s="127">
        <v>92.0</v>
      </c>
      <c r="O394" s="146"/>
      <c r="P394" s="138">
        <v>72.0</v>
      </c>
      <c r="Q394" s="122" t="b">
        <v>1</v>
      </c>
      <c r="R394" s="143"/>
      <c r="S394" s="143"/>
      <c r="T394" s="143"/>
      <c r="U394" s="143">
        <v>3.0</v>
      </c>
      <c r="V394" s="129"/>
      <c r="W394" s="144" t="s">
        <v>84</v>
      </c>
      <c r="X394" s="144" t="s">
        <v>1197</v>
      </c>
      <c r="Y394" s="129" t="s">
        <v>120</v>
      </c>
      <c r="Z394" s="145" t="b">
        <v>1</v>
      </c>
      <c r="AA394" s="145">
        <v>0.04375</v>
      </c>
      <c r="AB394" s="130" t="s">
        <v>412</v>
      </c>
      <c r="AC394" s="130" t="s">
        <v>1286</v>
      </c>
      <c r="AD394" s="130" t="s">
        <v>1287</v>
      </c>
      <c r="AE394" s="130"/>
      <c r="AF394" s="132" t="s">
        <v>373</v>
      </c>
      <c r="AG394" s="143" t="b">
        <v>1</v>
      </c>
      <c r="AH394" s="143"/>
      <c r="AI394" s="143"/>
      <c r="AJ394" s="143"/>
      <c r="AK394" s="143"/>
      <c r="AL394" s="129" t="str">
        <f>IFERROR(__xludf.DUMMYFUNCTION("""COMPUTED_VALUE"""),"Charming, Mid-Range")</f>
        <v>Charming, Mid-Range</v>
      </c>
      <c r="AM394" s="129" t="str">
        <f>IFERROR(__xludf.DUMMYFUNCTION("""COMPUTED_VALUE"""),"Beach, Buffet, Evening Entertainment, Wifi (Free)")</f>
        <v>Beach, Buffet, Evening Entertainment, Wifi (Free)</v>
      </c>
      <c r="AN394" s="139"/>
    </row>
    <row r="395" hidden="1">
      <c r="A395" s="118" t="s">
        <v>1288</v>
      </c>
      <c r="B395" s="119">
        <v>85.0</v>
      </c>
      <c r="C395" s="134" t="s">
        <v>75</v>
      </c>
      <c r="D395" s="121"/>
      <c r="E395" s="135"/>
      <c r="F395" s="123"/>
      <c r="G395" s="124"/>
      <c r="H395" s="133"/>
      <c r="I395" s="133"/>
      <c r="J395" s="133"/>
      <c r="K395" s="133"/>
      <c r="L395" s="133"/>
      <c r="M395" s="137"/>
      <c r="N395" s="138">
        <v>88.0</v>
      </c>
      <c r="O395" s="138"/>
      <c r="P395" s="138">
        <v>82.0</v>
      </c>
      <c r="Q395" s="135" t="b">
        <v>1</v>
      </c>
      <c r="R395" s="133"/>
      <c r="S395" s="133"/>
      <c r="T395" s="133"/>
      <c r="U395" s="133"/>
      <c r="V395" s="130" t="s">
        <v>1289</v>
      </c>
      <c r="W395" s="130" t="s">
        <v>84</v>
      </c>
      <c r="X395" s="130" t="s">
        <v>665</v>
      </c>
      <c r="Y395" s="144" t="s">
        <v>666</v>
      </c>
      <c r="Z395" s="145" t="b">
        <v>1</v>
      </c>
      <c r="AA395" s="145"/>
      <c r="AB395" s="130"/>
      <c r="AC395" s="130"/>
      <c r="AD395" s="129"/>
      <c r="AE395" s="129"/>
      <c r="AF395" s="132"/>
      <c r="AG395" s="133" t="b">
        <v>0</v>
      </c>
      <c r="AH395" s="133"/>
      <c r="AI395" s="133"/>
      <c r="AJ395" s="133"/>
      <c r="AK395" s="133"/>
      <c r="AL395" s="129"/>
      <c r="AM395" s="129"/>
      <c r="AN395" s="139"/>
    </row>
    <row r="396">
      <c r="A396" s="140" t="s">
        <v>1290</v>
      </c>
      <c r="B396" s="119">
        <v>86.3</v>
      </c>
      <c r="C396" s="133" t="s">
        <v>75</v>
      </c>
      <c r="D396" s="142">
        <v>3353.0</v>
      </c>
      <c r="E396" s="122">
        <f>IFERROR(__xludf.DUMMYFUNCTION("""COMPUTED_VALUE"""),4630.6603147)</f>
        <v>4630.660315</v>
      </c>
      <c r="F396" s="136">
        <v>1.88</v>
      </c>
      <c r="G396" s="124">
        <v>15868.0</v>
      </c>
      <c r="H396" s="125">
        <v>8992.0</v>
      </c>
      <c r="I396" s="125">
        <v>3839.0</v>
      </c>
      <c r="J396" s="125">
        <v>1531.0</v>
      </c>
      <c r="K396" s="125">
        <v>793.0</v>
      </c>
      <c r="L396" s="125">
        <v>716.0</v>
      </c>
      <c r="M396" s="126">
        <v>85.0</v>
      </c>
      <c r="N396" s="127">
        <v>94.0</v>
      </c>
      <c r="O396" s="146"/>
      <c r="P396" s="127">
        <v>80.0</v>
      </c>
      <c r="Q396" s="122" t="b">
        <v>1</v>
      </c>
      <c r="R396" s="143"/>
      <c r="S396" s="143">
        <v>7.0</v>
      </c>
      <c r="T396" s="143"/>
      <c r="U396" s="143">
        <v>5.0</v>
      </c>
      <c r="V396" s="130"/>
      <c r="W396" s="130" t="s">
        <v>84</v>
      </c>
      <c r="X396" s="130" t="s">
        <v>361</v>
      </c>
      <c r="Y396" s="130" t="s">
        <v>86</v>
      </c>
      <c r="Z396" s="131" t="b">
        <v>1</v>
      </c>
      <c r="AA396" s="131">
        <v>0.043055555555555555</v>
      </c>
      <c r="AB396" s="130" t="s">
        <v>362</v>
      </c>
      <c r="AC396" s="130" t="s">
        <v>207</v>
      </c>
      <c r="AD396" s="130" t="s">
        <v>1291</v>
      </c>
      <c r="AE396" s="130"/>
      <c r="AF396" s="132" t="s">
        <v>373</v>
      </c>
      <c r="AG396" s="133" t="b">
        <v>0</v>
      </c>
      <c r="AH396" s="133">
        <v>630.0</v>
      </c>
      <c r="AI396" s="133">
        <v>1999.0</v>
      </c>
      <c r="AJ396" s="133">
        <v>2013.0</v>
      </c>
      <c r="AK396" s="133">
        <v>3.0</v>
      </c>
      <c r="AL396" s="129" t="str">
        <f>IFERROR(__xludf.DUMMYFUNCTION("""COMPUTED_VALUE"""),"Family, Green")</f>
        <v>Family, Green</v>
      </c>
      <c r="AM396" s="129" t="str">
        <f>IFERROR(__xludf.DUMMYFUNCTION("""COMPUTED_VALUE"""),"Adult Pool, Babysitting, Beach, Buffet, Diving, Evening Entertainment, Gym, Kids Club, Kids Waterpark, Mini Golf, Nightclub, Pool Slide, Room Service, Snorkelling, Spa, Swim Out/Plunge Pool Rooms, Swim Up Bar, Tennis, Water Feature, Wifi (Paid)")</f>
        <v>Adult Pool, Babysitting, Beach, Buffet, Diving, Evening Entertainment, Gym, Kids Club, Kids Waterpark, Mini Golf, Nightclub, Pool Slide, Room Service, Snorkelling, Spa, Swim Out/Plunge Pool Rooms, Swim Up Bar, Tennis, Water Feature, Wifi (Paid)</v>
      </c>
      <c r="AN396" s="139"/>
    </row>
    <row r="397">
      <c r="A397" s="118" t="s">
        <v>1292</v>
      </c>
      <c r="B397" s="119">
        <v>86.3</v>
      </c>
      <c r="C397" s="134" t="s">
        <v>75</v>
      </c>
      <c r="D397" s="121">
        <v>7510.0</v>
      </c>
      <c r="E397" s="135">
        <f>IFERROR(__xludf.DUMMYFUNCTION("""COMPUTED_VALUE"""),10371.684748999998)</f>
        <v>10371.68475</v>
      </c>
      <c r="F397" s="136">
        <v>0.84</v>
      </c>
      <c r="G397" s="124">
        <v>843.0</v>
      </c>
      <c r="H397" s="125">
        <v>524.0</v>
      </c>
      <c r="I397" s="125">
        <v>232.0</v>
      </c>
      <c r="J397" s="125">
        <v>48.0</v>
      </c>
      <c r="K397" s="125">
        <v>21.0</v>
      </c>
      <c r="L397" s="125">
        <v>18.0</v>
      </c>
      <c r="M397" s="137">
        <v>89.0</v>
      </c>
      <c r="N397" s="138">
        <v>84.0</v>
      </c>
      <c r="O397" s="127"/>
      <c r="P397" s="138">
        <v>86.0</v>
      </c>
      <c r="Q397" s="135" t="b">
        <v>1</v>
      </c>
      <c r="R397" s="133"/>
      <c r="S397" s="133">
        <v>7.0</v>
      </c>
      <c r="T397" s="133"/>
      <c r="U397" s="133">
        <v>3.0</v>
      </c>
      <c r="V397" s="130"/>
      <c r="W397" s="130" t="s">
        <v>219</v>
      </c>
      <c r="X397" s="130" t="s">
        <v>1293</v>
      </c>
      <c r="Y397" s="130" t="s">
        <v>221</v>
      </c>
      <c r="Z397" s="131" t="b">
        <v>1</v>
      </c>
      <c r="AA397" s="131">
        <v>0.04791666666666667</v>
      </c>
      <c r="AB397" s="130"/>
      <c r="AC397" s="130" t="s">
        <v>75</v>
      </c>
      <c r="AD397" s="130" t="s">
        <v>1294</v>
      </c>
      <c r="AE397" s="130"/>
      <c r="AF397" s="132" t="s">
        <v>1295</v>
      </c>
      <c r="AG397" s="133" t="b">
        <v>0</v>
      </c>
      <c r="AH397" s="133">
        <v>78.0</v>
      </c>
      <c r="AI397" s="133">
        <v>1990.0</v>
      </c>
      <c r="AJ397" s="133">
        <v>2013.0</v>
      </c>
      <c r="AK397" s="133">
        <v>2.0</v>
      </c>
      <c r="AL397" s="129" t="str">
        <f>IFERROR(__xludf.DUMMYFUNCTION("""COMPUTED_VALUE"""),"Family")</f>
        <v>Family</v>
      </c>
      <c r="AM397" s="129" t="str">
        <f>IFERROR(__xludf.DUMMYFUNCTION("""COMPUTED_VALUE"""),"2 Bedroom Suites, Babysitting, Beach, Buffet, Diving, Evening Entertainment, Family Suite, Fishing, Gym, Kids Club, Mini Golf, Nightclub, Pool Slide, Snorkelling, Spa, Tennis, Water Feature, Wifi (Free), Yoga Classes")</f>
        <v>2 Bedroom Suites, Babysitting, Beach, Buffet, Diving, Evening Entertainment, Family Suite, Fishing, Gym, Kids Club, Mini Golf, Nightclub, Pool Slide, Snorkelling, Spa, Tennis, Water Feature, Wifi (Free), Yoga Classes</v>
      </c>
      <c r="AN397" s="139"/>
    </row>
    <row r="398">
      <c r="A398" s="118" t="s">
        <v>1296</v>
      </c>
      <c r="B398" s="119">
        <v>86.0</v>
      </c>
      <c r="C398" s="120" t="s">
        <v>68</v>
      </c>
      <c r="D398" s="121">
        <v>1451.8</v>
      </c>
      <c r="E398" s="122">
        <f>IFERROR(__xludf.DUMMYFUNCTION("""COMPUTED_VALUE"""),2005.0082448199996)</f>
        <v>2005.008245</v>
      </c>
      <c r="F398" s="136">
        <v>4.13</v>
      </c>
      <c r="G398" s="124">
        <v>2310.0</v>
      </c>
      <c r="H398" s="125">
        <v>1512.0</v>
      </c>
      <c r="I398" s="125">
        <v>397.0</v>
      </c>
      <c r="J398" s="125">
        <v>162.0</v>
      </c>
      <c r="K398" s="125">
        <v>110.0</v>
      </c>
      <c r="L398" s="125">
        <v>133.0</v>
      </c>
      <c r="M398" s="126">
        <v>86.0</v>
      </c>
      <c r="N398" s="127">
        <v>86.0</v>
      </c>
      <c r="O398" s="127"/>
      <c r="P398" s="127"/>
      <c r="Q398" s="122" t="b">
        <v>1</v>
      </c>
      <c r="R398" s="128"/>
      <c r="S398" s="128"/>
      <c r="T398" s="128"/>
      <c r="U398" s="133">
        <v>5.0</v>
      </c>
      <c r="V398" s="129"/>
      <c r="W398" s="130" t="s">
        <v>276</v>
      </c>
      <c r="X398" s="130" t="s">
        <v>421</v>
      </c>
      <c r="Y398" s="130" t="s">
        <v>327</v>
      </c>
      <c r="Z398" s="131" t="b">
        <v>1</v>
      </c>
      <c r="AA398" s="131">
        <v>0.025</v>
      </c>
      <c r="AB398" s="129"/>
      <c r="AC398" s="130" t="s">
        <v>196</v>
      </c>
      <c r="AD398" s="147" t="s">
        <v>1297</v>
      </c>
      <c r="AE398" s="129"/>
      <c r="AF398" s="132"/>
      <c r="AG398" s="128" t="b">
        <v>0</v>
      </c>
      <c r="AH398" s="128"/>
      <c r="AI398" s="128"/>
      <c r="AJ398" s="128"/>
      <c r="AK398" s="128"/>
      <c r="AL398" s="129" t="str">
        <f>IFERROR(__xludf.DUMMYFUNCTION("""COMPUTED_VALUE"""),"Ocean View, Romantic")</f>
        <v>Ocean View, Romantic</v>
      </c>
      <c r="AM398" s="129" t="str">
        <f>IFERROR(__xludf.DUMMYFUNCTION("""COMPUTED_VALUE"""),"Beach, Buffet, Diving, Evening Entertainment, Fishing, Gym, Horseback Riding, Snorkelling, Swim Up Bar, Tennis, Watersports Equipment Rentals, Windsurfing")</f>
        <v>Beach, Buffet, Diving, Evening Entertainment, Fishing, Gym, Horseback Riding, Snorkelling, Swim Up Bar, Tennis, Watersports Equipment Rentals, Windsurfing</v>
      </c>
      <c r="AN398" s="128"/>
    </row>
    <row r="399">
      <c r="A399" s="118" t="s">
        <v>1298</v>
      </c>
      <c r="B399" s="119">
        <v>86.0</v>
      </c>
      <c r="C399" s="134" t="s">
        <v>75</v>
      </c>
      <c r="D399" s="121">
        <v>1540.0</v>
      </c>
      <c r="E399" s="135">
        <f>IFERROR(__xludf.DUMMYFUNCTION("""COMPUTED_VALUE"""),2126.8168459999997)</f>
        <v>2126.816846</v>
      </c>
      <c r="F399" s="136">
        <v>3.9</v>
      </c>
      <c r="G399" s="124">
        <v>9733.0</v>
      </c>
      <c r="H399" s="125">
        <v>5182.0</v>
      </c>
      <c r="I399" s="125">
        <v>2698.0</v>
      </c>
      <c r="J399" s="125">
        <v>1052.0</v>
      </c>
      <c r="K399" s="125">
        <v>424.0</v>
      </c>
      <c r="L399" s="125">
        <v>379.0</v>
      </c>
      <c r="M399" s="126">
        <v>84.0</v>
      </c>
      <c r="N399" s="127">
        <v>88.0</v>
      </c>
      <c r="O399" s="146"/>
      <c r="P399" s="146"/>
      <c r="Q399" s="126" t="b">
        <v>1</v>
      </c>
      <c r="R399" s="128"/>
      <c r="S399" s="133">
        <v>6.0</v>
      </c>
      <c r="T399" s="128"/>
      <c r="U399" s="133">
        <v>5.0</v>
      </c>
      <c r="V399" s="130" t="s">
        <v>91</v>
      </c>
      <c r="W399" s="130" t="s">
        <v>276</v>
      </c>
      <c r="X399" s="130" t="s">
        <v>393</v>
      </c>
      <c r="Y399" s="130" t="s">
        <v>393</v>
      </c>
      <c r="Z399" s="131" t="b">
        <v>1</v>
      </c>
      <c r="AA399" s="131">
        <v>0.020833333333333332</v>
      </c>
      <c r="AB399" s="130" t="s">
        <v>328</v>
      </c>
      <c r="AC399" s="130" t="s">
        <v>696</v>
      </c>
      <c r="AD399" s="130" t="s">
        <v>1299</v>
      </c>
      <c r="AE399" s="130" t="s">
        <v>94</v>
      </c>
      <c r="AF399" s="132" t="s">
        <v>81</v>
      </c>
      <c r="AG399" s="133" t="b">
        <v>0</v>
      </c>
      <c r="AH399" s="133">
        <v>490.0</v>
      </c>
      <c r="AI399" s="133">
        <v>1991.0</v>
      </c>
      <c r="AJ399" s="133">
        <v>2013.0</v>
      </c>
      <c r="AK399" s="133">
        <v>6.0</v>
      </c>
      <c r="AL399" s="129" t="str">
        <f>IFERROR(__xludf.DUMMYFUNCTION("""COMPUTED_VALUE"""),"Bay View, Family")</f>
        <v>Bay View, Family</v>
      </c>
      <c r="AM399" s="129" t="str">
        <f>IFERROR(__xludf.DUMMYFUNCTION("""COMPUTED_VALUE"""),"Babysitting, Beach, Buffet, Diving, Evening Entertainment, Great Beach, Gym, Kids Club, Nightclub, Snorkelling, Spa, Swim Up Bar, Tennis")</f>
        <v>Babysitting, Beach, Buffet, Diving, Evening Entertainment, Great Beach, Gym, Kids Club, Nightclub, Snorkelling, Spa, Swim Up Bar, Tennis</v>
      </c>
      <c r="AN399" s="139"/>
    </row>
    <row r="400">
      <c r="A400" s="118" t="s">
        <v>1300</v>
      </c>
      <c r="B400" s="119">
        <v>86.0</v>
      </c>
      <c r="C400" s="134" t="s">
        <v>75</v>
      </c>
      <c r="D400" s="121">
        <v>1914.0</v>
      </c>
      <c r="E400" s="135">
        <f>IFERROR(__xludf.DUMMYFUNCTION("""COMPUTED_VALUE"""),2643.3295086)</f>
        <v>2643.329509</v>
      </c>
      <c r="F400" s="136">
        <v>3.13</v>
      </c>
      <c r="G400" s="124">
        <v>4052.0</v>
      </c>
      <c r="H400" s="125">
        <v>2931.0</v>
      </c>
      <c r="I400" s="125">
        <v>618.0</v>
      </c>
      <c r="J400" s="125">
        <v>287.0</v>
      </c>
      <c r="K400" s="125">
        <v>114.0</v>
      </c>
      <c r="L400" s="125">
        <v>102.0</v>
      </c>
      <c r="M400" s="137">
        <v>90.0</v>
      </c>
      <c r="N400" s="138">
        <v>84.0</v>
      </c>
      <c r="O400" s="138"/>
      <c r="P400" s="138">
        <v>84.0</v>
      </c>
      <c r="Q400" s="135" t="b">
        <v>1</v>
      </c>
      <c r="R400" s="133"/>
      <c r="S400" s="133">
        <v>4.0</v>
      </c>
      <c r="T400" s="133"/>
      <c r="U400" s="133">
        <v>4.5</v>
      </c>
      <c r="V400" s="130"/>
      <c r="W400" s="130" t="s">
        <v>84</v>
      </c>
      <c r="X400" s="130" t="s">
        <v>665</v>
      </c>
      <c r="Y400" s="130" t="s">
        <v>1092</v>
      </c>
      <c r="Z400" s="131" t="b">
        <v>1</v>
      </c>
      <c r="AA400" s="131">
        <v>0.01597222222222222</v>
      </c>
      <c r="AB400" s="130" t="s">
        <v>1301</v>
      </c>
      <c r="AC400" s="130" t="s">
        <v>1302</v>
      </c>
      <c r="AD400" s="130" t="s">
        <v>1303</v>
      </c>
      <c r="AE400" s="144"/>
      <c r="AF400" s="148" t="s">
        <v>297</v>
      </c>
      <c r="AG400" s="143" t="b">
        <v>1</v>
      </c>
      <c r="AH400" s="133">
        <v>219.0</v>
      </c>
      <c r="AI400" s="133">
        <v>1978.0</v>
      </c>
      <c r="AJ400" s="133">
        <v>2005.0</v>
      </c>
      <c r="AK400" s="133">
        <v>11.0</v>
      </c>
      <c r="AL400" s="129" t="str">
        <f>IFERROR(__xludf.DUMMYFUNCTION("""COMPUTED_VALUE"""),"Family, Mid-Range")</f>
        <v>Family, Mid-Range</v>
      </c>
      <c r="AM400" s="129" t="str">
        <f>IFERROR(__xludf.DUMMYFUNCTION("""COMPUTED_VALUE"""),"2 Bedroom Suites, Adult Pool, Babysitting, Beach, Bicycles Available, Buffet, Evening Entertainment, Gym, Heated Pool, Kids Club, Kids Waterpark, Spa, Swim Up Bar, Tennis")</f>
        <v>2 Bedroom Suites, Adult Pool, Babysitting, Beach, Bicycles Available, Buffet, Evening Entertainment, Gym, Heated Pool, Kids Club, Kids Waterpark, Spa, Swim Up Bar, Tennis</v>
      </c>
      <c r="AN400" s="139"/>
    </row>
    <row r="401">
      <c r="A401" s="118" t="s">
        <v>1304</v>
      </c>
      <c r="B401" s="119">
        <v>86.0</v>
      </c>
      <c r="C401" s="134" t="s">
        <v>75</v>
      </c>
      <c r="D401" s="150">
        <v>2485.0</v>
      </c>
      <c r="E401" s="135">
        <f>IFERROR(__xludf.DUMMYFUNCTION("""COMPUTED_VALUE"""),3431.9090014999997)</f>
        <v>3431.909002</v>
      </c>
      <c r="F401" s="136">
        <v>2.41</v>
      </c>
      <c r="G401" s="124">
        <v>11744.0</v>
      </c>
      <c r="H401" s="125">
        <v>6269.0</v>
      </c>
      <c r="I401" s="125">
        <v>3522.0</v>
      </c>
      <c r="J401" s="125">
        <v>1188.0</v>
      </c>
      <c r="K401" s="125">
        <v>474.0</v>
      </c>
      <c r="L401" s="125">
        <v>293.0</v>
      </c>
      <c r="M401" s="126">
        <v>86.0</v>
      </c>
      <c r="N401" s="127">
        <v>86.0</v>
      </c>
      <c r="O401" s="146"/>
      <c r="P401" s="146"/>
      <c r="Q401" s="135" t="b">
        <v>1</v>
      </c>
      <c r="R401" s="128"/>
      <c r="S401" s="133">
        <v>4.0</v>
      </c>
      <c r="T401" s="128"/>
      <c r="U401" s="133">
        <v>4.5</v>
      </c>
      <c r="V401" s="129"/>
      <c r="W401" s="130" t="s">
        <v>276</v>
      </c>
      <c r="X401" s="130" t="s">
        <v>393</v>
      </c>
      <c r="Y401" s="130" t="s">
        <v>393</v>
      </c>
      <c r="Z401" s="131" t="b">
        <v>1</v>
      </c>
      <c r="AA401" s="131">
        <v>0.021527777777777778</v>
      </c>
      <c r="AB401" s="129"/>
      <c r="AC401" s="130" t="s">
        <v>579</v>
      </c>
      <c r="AD401" s="130" t="s">
        <v>1305</v>
      </c>
      <c r="AE401" s="130"/>
      <c r="AF401" s="132" t="s">
        <v>81</v>
      </c>
      <c r="AG401" s="133" t="b">
        <v>0</v>
      </c>
      <c r="AH401" s="133">
        <v>608.0</v>
      </c>
      <c r="AI401" s="133">
        <v>1990.0</v>
      </c>
      <c r="AJ401" s="133">
        <v>2002.0</v>
      </c>
      <c r="AK401" s="133">
        <v>4.0</v>
      </c>
      <c r="AL401" s="129" t="str">
        <f>IFERROR(__xludf.DUMMYFUNCTION("""COMPUTED_VALUE"""),"Family, Value")</f>
        <v>Family, Value</v>
      </c>
      <c r="AM401" s="129" t="str">
        <f>IFERROR(__xludf.DUMMYFUNCTION("""COMPUTED_VALUE"""),"2 Bedroom Suites, Babysitting, Beach, Buffet, Diving, Evening Entertainment, Family Suite, Great Beach, Gym, Kids Club, Mini Golf, Nightclub, Snorkelling, Tennis, Yoga Classes")</f>
        <v>2 Bedroom Suites, Babysitting, Beach, Buffet, Diving, Evening Entertainment, Family Suite, Great Beach, Gym, Kids Club, Mini Golf, Nightclub, Snorkelling, Tennis, Yoga Classes</v>
      </c>
      <c r="AN401" s="139"/>
    </row>
    <row r="402">
      <c r="A402" s="118" t="s">
        <v>1306</v>
      </c>
      <c r="B402" s="119">
        <v>86.0</v>
      </c>
      <c r="C402" s="134" t="s">
        <v>75</v>
      </c>
      <c r="D402" s="121">
        <v>2548.0</v>
      </c>
      <c r="E402" s="135">
        <f>IFERROR(__xludf.DUMMYFUNCTION("""COMPUTED_VALUE"""),3518.9151451999996)</f>
        <v>3518.915145</v>
      </c>
      <c r="F402" s="136">
        <v>2.35</v>
      </c>
      <c r="G402" s="124">
        <v>8878.0</v>
      </c>
      <c r="H402" s="125">
        <v>4414.0</v>
      </c>
      <c r="I402" s="125">
        <v>2771.0</v>
      </c>
      <c r="J402" s="125">
        <v>1063.0</v>
      </c>
      <c r="K402" s="125">
        <v>360.0</v>
      </c>
      <c r="L402" s="125">
        <v>272.0</v>
      </c>
      <c r="M402" s="126">
        <v>84.0</v>
      </c>
      <c r="N402" s="127">
        <v>90.0</v>
      </c>
      <c r="O402" s="146"/>
      <c r="P402" s="127">
        <v>84.0</v>
      </c>
      <c r="Q402" s="135" t="b">
        <v>1</v>
      </c>
      <c r="R402" s="133"/>
      <c r="S402" s="133">
        <v>6.0</v>
      </c>
      <c r="T402" s="133"/>
      <c r="U402" s="133">
        <v>5.0</v>
      </c>
      <c r="V402" s="130"/>
      <c r="W402" s="130" t="s">
        <v>84</v>
      </c>
      <c r="X402" s="130" t="s">
        <v>85</v>
      </c>
      <c r="Y402" s="130" t="s">
        <v>86</v>
      </c>
      <c r="Z402" s="131" t="b">
        <v>1</v>
      </c>
      <c r="AA402" s="131">
        <v>0.04375</v>
      </c>
      <c r="AB402" s="130" t="s">
        <v>655</v>
      </c>
      <c r="AC402" s="130" t="s">
        <v>75</v>
      </c>
      <c r="AD402" s="130" t="s">
        <v>1307</v>
      </c>
      <c r="AE402" s="130"/>
      <c r="AF402" s="132" t="s">
        <v>658</v>
      </c>
      <c r="AG402" s="133" t="b">
        <v>0</v>
      </c>
      <c r="AH402" s="133">
        <v>507.0</v>
      </c>
      <c r="AI402" s="133">
        <v>1997.0</v>
      </c>
      <c r="AJ402" s="133">
        <v>2013.0</v>
      </c>
      <c r="AK402" s="133">
        <v>3.0</v>
      </c>
      <c r="AL402" s="129" t="str">
        <f>IFERROR(__xludf.DUMMYFUNCTION("""COMPUTED_VALUE"""),"Family")</f>
        <v>Family</v>
      </c>
      <c r="AM402" s="129" t="str">
        <f>IFERROR(__xludf.DUMMYFUNCTION("""COMPUTED_VALUE"""),"Babysitting, Beach, Buffet, Diving, Evening Entertainment, Gym, Kids Club, Kids Waterpark, Nightclub, Snorkelling, Spa, Swim Up Bar, Watersports Equipment Rentals, Windsurfing")</f>
        <v>Babysitting, Beach, Buffet, Diving, Evening Entertainment, Gym, Kids Club, Kids Waterpark, Nightclub, Snorkelling, Spa, Swim Up Bar, Watersports Equipment Rentals, Windsurfing</v>
      </c>
      <c r="AN402" s="139"/>
    </row>
    <row r="403">
      <c r="A403" s="118" t="s">
        <v>1308</v>
      </c>
      <c r="B403" s="119">
        <v>86.0</v>
      </c>
      <c r="C403" s="134" t="s">
        <v>75</v>
      </c>
      <c r="D403" s="121">
        <v>2584.0</v>
      </c>
      <c r="E403" s="135">
        <f>IFERROR(__xludf.DUMMYFUNCTION("""COMPUTED_VALUE"""),3568.6329415999994)</f>
        <v>3568.632942</v>
      </c>
      <c r="F403" s="136">
        <v>2.32</v>
      </c>
      <c r="G403" s="124">
        <v>958.0</v>
      </c>
      <c r="H403" s="125">
        <v>714.0</v>
      </c>
      <c r="I403" s="125">
        <v>122.0</v>
      </c>
      <c r="J403" s="125">
        <v>56.0</v>
      </c>
      <c r="K403" s="125">
        <v>33.0</v>
      </c>
      <c r="L403" s="125">
        <v>33.0</v>
      </c>
      <c r="M403" s="126">
        <v>90.0</v>
      </c>
      <c r="N403" s="127">
        <v>84.0</v>
      </c>
      <c r="O403" s="146"/>
      <c r="P403" s="127">
        <v>84.0</v>
      </c>
      <c r="Q403" s="126" t="b">
        <v>1</v>
      </c>
      <c r="R403" s="133">
        <v>4.0</v>
      </c>
      <c r="S403" s="133" t="s">
        <v>83</v>
      </c>
      <c r="T403" s="133"/>
      <c r="U403" s="133">
        <v>5.0</v>
      </c>
      <c r="V403" s="129"/>
      <c r="W403" s="130" t="s">
        <v>84</v>
      </c>
      <c r="X403" s="130" t="s">
        <v>1309</v>
      </c>
      <c r="Y403" s="130" t="s">
        <v>120</v>
      </c>
      <c r="Z403" s="131" t="b">
        <v>1</v>
      </c>
      <c r="AA403" s="131">
        <v>0.025694444444444443</v>
      </c>
      <c r="AB403" s="130" t="s">
        <v>451</v>
      </c>
      <c r="AC403" s="130" t="s">
        <v>1310</v>
      </c>
      <c r="AD403" s="130" t="s">
        <v>1311</v>
      </c>
      <c r="AE403" s="130"/>
      <c r="AF403" s="132" t="s">
        <v>126</v>
      </c>
      <c r="AG403" s="133" t="b">
        <v>1</v>
      </c>
      <c r="AH403" s="133">
        <v>117.0</v>
      </c>
      <c r="AI403" s="133">
        <v>2021.0</v>
      </c>
      <c r="AJ403" s="143"/>
      <c r="AK403" s="133">
        <v>5.0</v>
      </c>
      <c r="AL403" s="129" t="str">
        <f>IFERROR(__xludf.DUMMYFUNCTION("""COMPUTED_VALUE"""),"Mid-Range, Quaint")</f>
        <v>Mid-Range, Quaint</v>
      </c>
      <c r="AM403" s="129" t="str">
        <f>IFERROR(__xludf.DUMMYFUNCTION("""COMPUTED_VALUE"""),"Beach, Buffet, Gym, Lazy River, Spa, Wifi (Free)")</f>
        <v>Beach, Buffet, Gym, Lazy River, Spa, Wifi (Free)</v>
      </c>
      <c r="AN403" s="139"/>
    </row>
    <row r="404">
      <c r="A404" s="118" t="s">
        <v>1312</v>
      </c>
      <c r="B404" s="119">
        <v>86.0</v>
      </c>
      <c r="C404" s="134" t="s">
        <v>75</v>
      </c>
      <c r="D404" s="121">
        <v>3236.38</v>
      </c>
      <c r="E404" s="135">
        <f>IFERROR(__xludf.DUMMYFUNCTION("""COMPUTED_VALUE"""),4469.602275362)</f>
        <v>4469.602275</v>
      </c>
      <c r="F404" s="136">
        <v>1.85</v>
      </c>
      <c r="G404" s="124">
        <v>2972.0</v>
      </c>
      <c r="H404" s="125">
        <v>1739.0</v>
      </c>
      <c r="I404" s="125">
        <v>841.0</v>
      </c>
      <c r="J404" s="125">
        <v>238.0</v>
      </c>
      <c r="K404" s="125">
        <v>79.0</v>
      </c>
      <c r="L404" s="125">
        <v>75.0</v>
      </c>
      <c r="M404" s="126">
        <v>88.0</v>
      </c>
      <c r="N404" s="127">
        <v>92.0</v>
      </c>
      <c r="O404" s="146"/>
      <c r="P404" s="127">
        <v>78.0</v>
      </c>
      <c r="Q404" s="135" t="b">
        <v>1</v>
      </c>
      <c r="R404" s="133"/>
      <c r="S404" s="133" t="s">
        <v>83</v>
      </c>
      <c r="T404" s="133"/>
      <c r="U404" s="133">
        <v>3.0</v>
      </c>
      <c r="V404" s="129"/>
      <c r="W404" s="130" t="s">
        <v>84</v>
      </c>
      <c r="X404" s="130" t="s">
        <v>1197</v>
      </c>
      <c r="Y404" s="130" t="s">
        <v>120</v>
      </c>
      <c r="Z404" s="131" t="b">
        <v>1</v>
      </c>
      <c r="AA404" s="131">
        <v>0.04027777777777778</v>
      </c>
      <c r="AB404" s="130" t="s">
        <v>412</v>
      </c>
      <c r="AC404" s="130" t="s">
        <v>1313</v>
      </c>
      <c r="AD404" s="130" t="s">
        <v>1314</v>
      </c>
      <c r="AE404" s="130"/>
      <c r="AF404" s="132" t="s">
        <v>373</v>
      </c>
      <c r="AG404" s="133" t="b">
        <v>0</v>
      </c>
      <c r="AH404" s="133">
        <v>240.0</v>
      </c>
      <c r="AI404" s="133">
        <v>1996.0</v>
      </c>
      <c r="AJ404" s="143"/>
      <c r="AK404" s="133">
        <v>4.0</v>
      </c>
      <c r="AL404" s="129" t="str">
        <f>IFERROR(__xludf.DUMMYFUNCTION("""COMPUTED_VALUE"""),"Bay View, Centrally Located")</f>
        <v>Bay View, Centrally Located</v>
      </c>
      <c r="AM404" s="129" t="str">
        <f>IFERROR(__xludf.DUMMYFUNCTION("""COMPUTED_VALUE"""),"Adult Pool, Beach, Buffet, Evening Entertainment, Fishing, Gym, Kids Club, Spa, Tennis")</f>
        <v>Adult Pool, Beach, Buffet, Evening Entertainment, Fishing, Gym, Kids Club, Spa, Tennis</v>
      </c>
      <c r="AN404" s="139"/>
    </row>
    <row r="405">
      <c r="A405" s="118" t="s">
        <v>1315</v>
      </c>
      <c r="B405" s="119">
        <v>86.0</v>
      </c>
      <c r="C405" s="120" t="s">
        <v>68</v>
      </c>
      <c r="D405" s="121">
        <v>4025.7</v>
      </c>
      <c r="E405" s="122">
        <f>IFERROR(__xludf.DUMMYFUNCTION("""COMPUTED_VALUE"""),5559.692582429999)</f>
        <v>5559.692582</v>
      </c>
      <c r="F405" s="136">
        <v>1.49</v>
      </c>
      <c r="G405" s="124">
        <v>1106.0</v>
      </c>
      <c r="H405" s="125">
        <v>649.0</v>
      </c>
      <c r="I405" s="125">
        <v>207.0</v>
      </c>
      <c r="J405" s="125">
        <v>135.0</v>
      </c>
      <c r="K405" s="125">
        <v>50.0</v>
      </c>
      <c r="L405" s="125">
        <v>67.0</v>
      </c>
      <c r="M405" s="126">
        <v>84.0</v>
      </c>
      <c r="N405" s="138">
        <v>86.0</v>
      </c>
      <c r="O405" s="127"/>
      <c r="P405" s="138">
        <v>88.0</v>
      </c>
      <c r="Q405" s="122" t="b">
        <v>1</v>
      </c>
      <c r="R405" s="128"/>
      <c r="S405" s="133">
        <v>8.0</v>
      </c>
      <c r="T405" s="133" t="s">
        <v>492</v>
      </c>
      <c r="U405" s="133">
        <v>5.0</v>
      </c>
      <c r="V405" s="129"/>
      <c r="W405" s="130" t="s">
        <v>84</v>
      </c>
      <c r="X405" s="130" t="s">
        <v>411</v>
      </c>
      <c r="Y405" s="130" t="s">
        <v>86</v>
      </c>
      <c r="Z405" s="131" t="b">
        <v>1</v>
      </c>
      <c r="AA405" s="131">
        <v>0.025694444444444443</v>
      </c>
      <c r="AB405" s="130" t="s">
        <v>50</v>
      </c>
      <c r="AC405" s="129"/>
      <c r="AD405" s="130" t="s">
        <v>1316</v>
      </c>
      <c r="AE405" s="129"/>
      <c r="AF405" s="132"/>
      <c r="AG405" s="133" t="b">
        <v>0</v>
      </c>
      <c r="AH405" s="133">
        <v>291.0</v>
      </c>
      <c r="AI405" s="133">
        <v>2003.0</v>
      </c>
      <c r="AJ405" s="133">
        <v>2022.0</v>
      </c>
      <c r="AK405" s="133">
        <v>4.0</v>
      </c>
      <c r="AL405" s="129"/>
      <c r="AM405" s="129" t="str">
        <f>IFERROR(__xludf.DUMMYFUNCTION("""COMPUTED_VALUE"""),"Beach, Buffet, Evening Entertainment, Gym, Spa, Swim Out/Plunge Pool Rooms, Wifi (Free)")</f>
        <v>Beach, Buffet, Evening Entertainment, Gym, Spa, Swim Out/Plunge Pool Rooms, Wifi (Free)</v>
      </c>
      <c r="AN405" s="128"/>
    </row>
    <row r="406">
      <c r="A406" s="118" t="s">
        <v>1317</v>
      </c>
      <c r="B406" s="119">
        <v>86.0</v>
      </c>
      <c r="C406" s="134" t="s">
        <v>75</v>
      </c>
      <c r="D406" s="121">
        <v>4140.91</v>
      </c>
      <c r="E406" s="135">
        <f>IFERROR(__xludf.DUMMYFUNCTION("""COMPUTED_VALUE"""),5718.803341408999)</f>
        <v>5718.803341</v>
      </c>
      <c r="F406" s="136">
        <v>1.45</v>
      </c>
      <c r="G406" s="124">
        <v>4321.0</v>
      </c>
      <c r="H406" s="125">
        <v>2871.0</v>
      </c>
      <c r="I406" s="125">
        <v>835.0</v>
      </c>
      <c r="J406" s="125">
        <v>335.0</v>
      </c>
      <c r="K406" s="125">
        <v>132.0</v>
      </c>
      <c r="L406" s="125">
        <v>153.0</v>
      </c>
      <c r="M406" s="126">
        <v>88.0</v>
      </c>
      <c r="N406" s="127">
        <v>84.0</v>
      </c>
      <c r="O406" s="127">
        <v>86.0</v>
      </c>
      <c r="P406" s="127">
        <v>86.0</v>
      </c>
      <c r="Q406" s="135" t="b">
        <v>1</v>
      </c>
      <c r="R406" s="133"/>
      <c r="S406" s="133">
        <v>7.0</v>
      </c>
      <c r="T406" s="133"/>
      <c r="U406" s="133">
        <v>4.0</v>
      </c>
      <c r="V406" s="130"/>
      <c r="W406" s="130" t="s">
        <v>84</v>
      </c>
      <c r="X406" s="130" t="s">
        <v>210</v>
      </c>
      <c r="Y406" s="147" t="s">
        <v>86</v>
      </c>
      <c r="Z406" s="131" t="b">
        <v>1</v>
      </c>
      <c r="AA406" s="131">
        <v>0.02361111111111111</v>
      </c>
      <c r="AB406" s="130" t="s">
        <v>545</v>
      </c>
      <c r="AC406" s="130" t="s">
        <v>203</v>
      </c>
      <c r="AD406" s="130" t="s">
        <v>1318</v>
      </c>
      <c r="AE406" s="130"/>
      <c r="AF406" s="132" t="s">
        <v>297</v>
      </c>
      <c r="AG406" s="133" t="b">
        <v>0</v>
      </c>
      <c r="AH406" s="133">
        <v>290.0</v>
      </c>
      <c r="AI406" s="133">
        <v>2017.0</v>
      </c>
      <c r="AJ406" s="143"/>
      <c r="AK406" s="133">
        <v>5.0</v>
      </c>
      <c r="AL406" s="129" t="str">
        <f>IFERROR(__xludf.DUMMYFUNCTION("""COMPUTED_VALUE"""),"Family, Great View")</f>
        <v>Family, Great View</v>
      </c>
      <c r="AM406" s="129" t="str">
        <f>IFERROR(__xludf.DUMMYFUNCTION("""COMPUTED_VALUE"""),"Adult Pool, Babysitting, Beach, Bicycles Available, Buffet, Evening Entertainment, Gym, Kids Club, Pool Slide, Spa, Swim Out/Plunge Pool Rooms, Swim Up Bar, Teen Club, Water Feature, Wifi (Paid)")</f>
        <v>Adult Pool, Babysitting, Beach, Bicycles Available, Buffet, Evening Entertainment, Gym, Kids Club, Pool Slide, Spa, Swim Out/Plunge Pool Rooms, Swim Up Bar, Teen Club, Water Feature, Wifi (Paid)</v>
      </c>
      <c r="AN406" s="139"/>
    </row>
    <row r="407">
      <c r="A407" s="118" t="s">
        <v>1319</v>
      </c>
      <c r="B407" s="119">
        <v>86.0</v>
      </c>
      <c r="C407" s="134" t="s">
        <v>75</v>
      </c>
      <c r="D407" s="121">
        <v>4752.75</v>
      </c>
      <c r="E407" s="135">
        <f>IFERROR(__xludf.DUMMYFUNCTION("""COMPUTED_VALUE"""),6563.784912224999)</f>
        <v>6563.784912</v>
      </c>
      <c r="F407" s="136">
        <v>1.26</v>
      </c>
      <c r="G407" s="124">
        <v>9267.0</v>
      </c>
      <c r="H407" s="125">
        <v>5648.0</v>
      </c>
      <c r="I407" s="125">
        <v>1948.0</v>
      </c>
      <c r="J407" s="125">
        <v>897.0</v>
      </c>
      <c r="K407" s="125">
        <v>387.0</v>
      </c>
      <c r="L407" s="125">
        <v>389.0</v>
      </c>
      <c r="M407" s="126">
        <v>86.0</v>
      </c>
      <c r="N407" s="127">
        <v>92.0</v>
      </c>
      <c r="O407" s="146"/>
      <c r="P407" s="138">
        <v>80.0</v>
      </c>
      <c r="Q407" s="122" t="b">
        <v>1</v>
      </c>
      <c r="R407" s="133">
        <v>3.0</v>
      </c>
      <c r="S407" s="143">
        <v>7.0</v>
      </c>
      <c r="T407" s="133"/>
      <c r="U407" s="133">
        <v>5.0</v>
      </c>
      <c r="V407" s="130"/>
      <c r="W407" s="130" t="s">
        <v>193</v>
      </c>
      <c r="X407" s="130" t="s">
        <v>195</v>
      </c>
      <c r="Y407" s="130" t="s">
        <v>195</v>
      </c>
      <c r="Z407" s="131" t="b">
        <v>1</v>
      </c>
      <c r="AA407" s="131">
        <v>0.01875</v>
      </c>
      <c r="AB407" s="130" t="s">
        <v>753</v>
      </c>
      <c r="AC407" s="130" t="s">
        <v>75</v>
      </c>
      <c r="AD407" s="130" t="s">
        <v>1320</v>
      </c>
      <c r="AE407" s="130" t="s">
        <v>396</v>
      </c>
      <c r="AF407" s="132" t="s">
        <v>373</v>
      </c>
      <c r="AG407" s="143" t="b">
        <v>0</v>
      </c>
      <c r="AH407" s="143">
        <v>570.0</v>
      </c>
      <c r="AI407" s="143">
        <v>2008.0</v>
      </c>
      <c r="AJ407" s="143">
        <v>2023.0</v>
      </c>
      <c r="AK407" s="143">
        <v>3.0</v>
      </c>
      <c r="AL407" s="129" t="str">
        <f>IFERROR(__xludf.DUMMYFUNCTION("""COMPUTED_VALUE"""),"Family")</f>
        <v>Family</v>
      </c>
      <c r="AM407" s="129" t="str">
        <f>IFERROR(__xludf.DUMMYFUNCTION("""COMPUTED_VALUE"""),"Adult Pool, Beach, Buffet, Diving, Evening Entertainment, Gym, Kids Club, Kids Waterpark, Nightclub, Spa, Swim Out/Plunge Pool Rooms, Swim Up Bar, Teen Club, Tennis")</f>
        <v>Adult Pool, Beach, Buffet, Diving, Evening Entertainment, Gym, Kids Club, Kids Waterpark, Nightclub, Spa, Swim Out/Plunge Pool Rooms, Swim Up Bar, Teen Club, Tennis</v>
      </c>
      <c r="AN407" s="128"/>
    </row>
    <row r="408">
      <c r="A408" s="118" t="s">
        <v>1321</v>
      </c>
      <c r="B408" s="119">
        <v>86.0</v>
      </c>
      <c r="C408" s="134" t="s">
        <v>75</v>
      </c>
      <c r="D408" s="150">
        <v>4909.7</v>
      </c>
      <c r="E408" s="135">
        <f>IFERROR(__xludf.DUMMYFUNCTION("""COMPUTED_VALUE"""),6780.540694029999)</f>
        <v>6780.540694</v>
      </c>
      <c r="F408" s="136">
        <v>1.22</v>
      </c>
      <c r="G408" s="124">
        <v>11550.0</v>
      </c>
      <c r="H408" s="125">
        <v>8092.0</v>
      </c>
      <c r="I408" s="125">
        <v>1537.0</v>
      </c>
      <c r="J408" s="125">
        <v>812.0</v>
      </c>
      <c r="K408" s="125">
        <v>560.0</v>
      </c>
      <c r="L408" s="125">
        <v>552.0</v>
      </c>
      <c r="M408" s="126">
        <v>88.0</v>
      </c>
      <c r="N408" s="127">
        <v>92.0</v>
      </c>
      <c r="O408" s="127">
        <v>80.0</v>
      </c>
      <c r="P408" s="127">
        <v>84.0</v>
      </c>
      <c r="Q408" s="135" t="b">
        <v>1</v>
      </c>
      <c r="R408" s="133"/>
      <c r="S408" s="133" t="s">
        <v>83</v>
      </c>
      <c r="T408" s="133"/>
      <c r="U408" s="133">
        <v>5.0</v>
      </c>
      <c r="V408" s="130"/>
      <c r="W408" s="130" t="s">
        <v>84</v>
      </c>
      <c r="X408" s="130" t="s">
        <v>149</v>
      </c>
      <c r="Y408" s="130" t="s">
        <v>86</v>
      </c>
      <c r="Z408" s="131" t="b">
        <v>1</v>
      </c>
      <c r="AA408" s="131">
        <v>0.03611111111111111</v>
      </c>
      <c r="AB408" s="130" t="s">
        <v>412</v>
      </c>
      <c r="AC408" s="130" t="s">
        <v>1236</v>
      </c>
      <c r="AD408" s="130" t="s">
        <v>1322</v>
      </c>
      <c r="AE408" s="130"/>
      <c r="AF408" s="132" t="s">
        <v>373</v>
      </c>
      <c r="AG408" s="133" t="b">
        <v>0</v>
      </c>
      <c r="AH408" s="133">
        <v>670.0</v>
      </c>
      <c r="AI408" s="143"/>
      <c r="AJ408" s="143"/>
      <c r="AK408" s="143"/>
      <c r="AL408" s="129" t="str">
        <f>IFERROR(__xludf.DUMMYFUNCTION("""COMPUTED_VALUE"""),"Business, Family")</f>
        <v>Business, Family</v>
      </c>
      <c r="AM408" s="129" t="str">
        <f>IFERROR(__xludf.DUMMYFUNCTION("""COMPUTED_VALUE"""),"Babysitting, Beach, Buffet, Evening Entertainment, Gym, Kids Club, Kids Club for Under 4, Kids Waterpark, Pool Slide, Spa, Swim Out/Plunge Pool Rooms, Swim Up Bar, Teen Club, Tennis, Water Feature, Wifi (Free)")</f>
        <v>Babysitting, Beach, Buffet, Evening Entertainment, Gym, Kids Club, Kids Club for Under 4, Kids Waterpark, Pool Slide, Spa, Swim Out/Plunge Pool Rooms, Swim Up Bar, Teen Club, Tennis, Water Feature, Wifi (Free)</v>
      </c>
      <c r="AN408" s="139"/>
    </row>
    <row r="409">
      <c r="A409" s="118" t="s">
        <v>1323</v>
      </c>
      <c r="B409" s="119">
        <v>86.0</v>
      </c>
      <c r="C409" s="134" t="s">
        <v>75</v>
      </c>
      <c r="D409" s="121">
        <v>5002.83</v>
      </c>
      <c r="E409" s="135">
        <f>IFERROR(__xludf.DUMMYFUNCTION("""COMPUTED_VALUE"""),6909.157871216999)</f>
        <v>6909.157871</v>
      </c>
      <c r="F409" s="136">
        <v>1.2</v>
      </c>
      <c r="G409" s="124">
        <v>5988.0</v>
      </c>
      <c r="H409" s="125">
        <v>3737.0</v>
      </c>
      <c r="I409" s="125">
        <v>1417.0</v>
      </c>
      <c r="J409" s="125">
        <v>428.0</v>
      </c>
      <c r="K409" s="125">
        <v>213.0</v>
      </c>
      <c r="L409" s="125">
        <v>193.0</v>
      </c>
      <c r="M409" s="126">
        <v>88.0</v>
      </c>
      <c r="N409" s="138">
        <v>86.0</v>
      </c>
      <c r="O409" s="146"/>
      <c r="P409" s="127">
        <v>84.0</v>
      </c>
      <c r="Q409" s="135" t="b">
        <v>1</v>
      </c>
      <c r="R409" s="133">
        <v>3.0</v>
      </c>
      <c r="S409" s="133">
        <v>6.0</v>
      </c>
      <c r="T409" s="133"/>
      <c r="U409" s="133">
        <v>4.0</v>
      </c>
      <c r="V409" s="130"/>
      <c r="W409" s="130" t="s">
        <v>84</v>
      </c>
      <c r="X409" s="130" t="s">
        <v>122</v>
      </c>
      <c r="Y409" s="130" t="s">
        <v>123</v>
      </c>
      <c r="Z409" s="131" t="b">
        <v>1</v>
      </c>
      <c r="AA409" s="131">
        <v>0.027777777777777776</v>
      </c>
      <c r="AB409" s="130" t="s">
        <v>1022</v>
      </c>
      <c r="AC409" s="130" t="s">
        <v>1324</v>
      </c>
      <c r="AD409" s="130" t="s">
        <v>1325</v>
      </c>
      <c r="AE409" s="130"/>
      <c r="AF409" s="148" t="s">
        <v>1326</v>
      </c>
      <c r="AG409" s="133" t="b">
        <v>0</v>
      </c>
      <c r="AH409" s="133">
        <v>155.0</v>
      </c>
      <c r="AI409" s="133">
        <v>1992.0</v>
      </c>
      <c r="AJ409" s="133">
        <v>2010.0</v>
      </c>
      <c r="AK409" s="133">
        <v>7.0</v>
      </c>
      <c r="AL409" s="129" t="str">
        <f>IFERROR(__xludf.DUMMYFUNCTION("""COMPUTED_VALUE"""),"Centrally Located, Marina View")</f>
        <v>Centrally Located, Marina View</v>
      </c>
      <c r="AM409" s="129" t="str">
        <f>IFERROR(__xludf.DUMMYFUNCTION("""COMPUTED_VALUE"""),"2 Bedroom Suites, Buffet, Diving, Family Suite, Fishing, Gym, Heated Pool, Kids Club, Kids Waterpark, Pets Allowed, Snorkelling, Spa, Swim Up Bar, Wifi (Paid)")</f>
        <v>2 Bedroom Suites, Buffet, Diving, Family Suite, Fishing, Gym, Heated Pool, Kids Club, Kids Waterpark, Pets Allowed, Snorkelling, Spa, Swim Up Bar, Wifi (Paid)</v>
      </c>
      <c r="AN409" s="139"/>
    </row>
    <row r="410" hidden="1">
      <c r="A410" s="118" t="s">
        <v>1327</v>
      </c>
      <c r="B410" s="119">
        <v>86.0</v>
      </c>
      <c r="C410" s="134" t="s">
        <v>75</v>
      </c>
      <c r="D410" s="121">
        <v>7373.96</v>
      </c>
      <c r="E410" s="135">
        <f>IFERROR(__xludf.DUMMYFUNCTION("""COMPUTED_VALUE"""),10183.806720604)</f>
        <v>10183.80672</v>
      </c>
      <c r="F410" s="136">
        <v>0.81</v>
      </c>
      <c r="G410" s="152">
        <v>617.0</v>
      </c>
      <c r="H410" s="143"/>
      <c r="I410" s="143"/>
      <c r="J410" s="143"/>
      <c r="K410" s="143"/>
      <c r="L410" s="143"/>
      <c r="M410" s="126"/>
      <c r="N410" s="127">
        <v>96.0</v>
      </c>
      <c r="O410" s="127">
        <v>78.0</v>
      </c>
      <c r="P410" s="127">
        <v>84.0</v>
      </c>
      <c r="Q410" s="135" t="b">
        <v>1</v>
      </c>
      <c r="R410" s="133"/>
      <c r="S410" s="143"/>
      <c r="T410" s="133"/>
      <c r="U410" s="133">
        <v>5.0</v>
      </c>
      <c r="V410" s="130" t="s">
        <v>531</v>
      </c>
      <c r="W410" s="130" t="s">
        <v>193</v>
      </c>
      <c r="X410" s="130" t="s">
        <v>194</v>
      </c>
      <c r="Y410" s="130" t="s">
        <v>195</v>
      </c>
      <c r="Z410" s="131" t="b">
        <v>1</v>
      </c>
      <c r="AA410" s="131">
        <v>0.011111111111111112</v>
      </c>
      <c r="AB410" s="130" t="s">
        <v>607</v>
      </c>
      <c r="AC410" s="129"/>
      <c r="AD410" s="130" t="s">
        <v>1328</v>
      </c>
      <c r="AE410" s="130" t="s">
        <v>94</v>
      </c>
      <c r="AF410" s="132" t="s">
        <v>1329</v>
      </c>
      <c r="AG410" s="133" t="b">
        <v>0</v>
      </c>
      <c r="AH410" s="133">
        <v>228.0</v>
      </c>
      <c r="AI410" s="133">
        <v>2020.0</v>
      </c>
      <c r="AJ410" s="143"/>
      <c r="AK410" s="143"/>
      <c r="AL410" s="129"/>
      <c r="AM410" s="129" t="str">
        <f>IFERROR(__xludf.DUMMYFUNCTION("""COMPUTED_VALUE"""),"Great Food, Kids Club, Swim Out/Plunge Pool Rooms")</f>
        <v>Great Food, Kids Club, Swim Out/Plunge Pool Rooms</v>
      </c>
      <c r="AN410" s="139"/>
    </row>
    <row r="411">
      <c r="A411" s="118" t="s">
        <v>1330</v>
      </c>
      <c r="B411" s="119">
        <v>86.0</v>
      </c>
      <c r="C411" s="134" t="s">
        <v>75</v>
      </c>
      <c r="D411" s="121">
        <v>5329.66</v>
      </c>
      <c r="E411" s="135">
        <f>IFERROR(__xludf.DUMMYFUNCTION("""COMPUTED_VALUE"""),7360.526410033999)</f>
        <v>7360.52641</v>
      </c>
      <c r="F411" s="136">
        <v>1.13</v>
      </c>
      <c r="G411" s="124">
        <v>7302.0</v>
      </c>
      <c r="H411" s="125">
        <v>3898.0</v>
      </c>
      <c r="I411" s="125">
        <v>1962.0</v>
      </c>
      <c r="J411" s="125">
        <v>839.0</v>
      </c>
      <c r="K411" s="125">
        <v>317.0</v>
      </c>
      <c r="L411" s="125">
        <v>287.0</v>
      </c>
      <c r="M411" s="126">
        <v>84.0</v>
      </c>
      <c r="N411" s="127">
        <v>86.0</v>
      </c>
      <c r="O411" s="127">
        <v>88.0</v>
      </c>
      <c r="P411" s="127">
        <v>86.0</v>
      </c>
      <c r="Q411" s="135" t="b">
        <v>1</v>
      </c>
      <c r="R411" s="133">
        <v>3.0</v>
      </c>
      <c r="S411" s="133">
        <v>7.0</v>
      </c>
      <c r="T411" s="133"/>
      <c r="U411" s="133">
        <v>4.0</v>
      </c>
      <c r="V411" s="130"/>
      <c r="W411" s="130" t="s">
        <v>219</v>
      </c>
      <c r="X411" s="130" t="s">
        <v>713</v>
      </c>
      <c r="Y411" s="130" t="s">
        <v>221</v>
      </c>
      <c r="Z411" s="131" t="b">
        <v>1</v>
      </c>
      <c r="AA411" s="131">
        <v>0.011805555555555555</v>
      </c>
      <c r="AB411" s="130" t="s">
        <v>617</v>
      </c>
      <c r="AC411" s="130" t="s">
        <v>1331</v>
      </c>
      <c r="AD411" s="130" t="s">
        <v>1332</v>
      </c>
      <c r="AE411" s="130" t="s">
        <v>1333</v>
      </c>
      <c r="AF411" s="132" t="s">
        <v>126</v>
      </c>
      <c r="AG411" s="133" t="b">
        <v>1</v>
      </c>
      <c r="AH411" s="133">
        <v>495.0</v>
      </c>
      <c r="AI411" s="133">
        <v>1974.0</v>
      </c>
      <c r="AJ411" s="133">
        <v>2019.0</v>
      </c>
      <c r="AK411" s="133">
        <v>1.0</v>
      </c>
      <c r="AL411" s="129" t="str">
        <f>IFERROR(__xludf.DUMMYFUNCTION("""COMPUTED_VALUE"""),"Green, Park View")</f>
        <v>Green, Park View</v>
      </c>
      <c r="AM411" s="129" t="str">
        <f>IFERROR(__xludf.DUMMYFUNCTION("""COMPUTED_VALUE"""),"Babysitting, Beach, Buffet, Evening Entertainment, Golf Course, Gym, Kids Club, Lazy River, Nightclub, Spa, Swim Up Bar, Teen Club, Tennis, Wifi (Paid)")</f>
        <v>Babysitting, Beach, Buffet, Evening Entertainment, Golf Course, Gym, Kids Club, Lazy River, Nightclub, Spa, Swim Up Bar, Teen Club, Tennis, Wifi (Paid)</v>
      </c>
      <c r="AN411" s="139"/>
    </row>
    <row r="412">
      <c r="A412" s="118" t="s">
        <v>1334</v>
      </c>
      <c r="B412" s="149">
        <v>86.0</v>
      </c>
      <c r="C412" s="120" t="s">
        <v>68</v>
      </c>
      <c r="D412" s="121">
        <v>6090.0</v>
      </c>
      <c r="E412" s="122">
        <f>IFERROR(__xludf.DUMMYFUNCTION("""COMPUTED_VALUE"""),8410.593890999999)</f>
        <v>8410.593891</v>
      </c>
      <c r="F412" s="123">
        <v>0.99</v>
      </c>
      <c r="G412" s="124">
        <v>9035.0</v>
      </c>
      <c r="H412" s="125">
        <v>5992.0</v>
      </c>
      <c r="I412" s="125">
        <v>1650.0</v>
      </c>
      <c r="J412" s="125">
        <v>714.0</v>
      </c>
      <c r="K412" s="125">
        <v>368.0</v>
      </c>
      <c r="L412" s="125">
        <v>313.0</v>
      </c>
      <c r="M412" s="126">
        <v>88.0</v>
      </c>
      <c r="N412" s="127">
        <v>88.0</v>
      </c>
      <c r="O412" s="127"/>
      <c r="P412" s="127">
        <v>82.0</v>
      </c>
      <c r="Q412" s="122" t="b">
        <v>1</v>
      </c>
      <c r="R412" s="133">
        <v>4.0</v>
      </c>
      <c r="S412" s="133" t="s">
        <v>83</v>
      </c>
      <c r="T412" s="133"/>
      <c r="U412" s="133">
        <v>4.0</v>
      </c>
      <c r="V412" s="129"/>
      <c r="W412" s="130" t="s">
        <v>219</v>
      </c>
      <c r="X412" s="130" t="s">
        <v>713</v>
      </c>
      <c r="Y412" s="144" t="s">
        <v>221</v>
      </c>
      <c r="Z412" s="131" t="b">
        <v>1</v>
      </c>
      <c r="AA412" s="131">
        <v>0.005555555555555556</v>
      </c>
      <c r="AB412" s="130" t="s">
        <v>386</v>
      </c>
      <c r="AC412" s="130" t="s">
        <v>1150</v>
      </c>
      <c r="AD412" s="130" t="s">
        <v>1335</v>
      </c>
      <c r="AE412" s="130"/>
      <c r="AF412" s="132"/>
      <c r="AG412" s="133" t="b">
        <v>0</v>
      </c>
      <c r="AH412" s="133">
        <v>232.0</v>
      </c>
      <c r="AI412" s="133">
        <v>1956.0</v>
      </c>
      <c r="AJ412" s="133">
        <v>2016.0</v>
      </c>
      <c r="AK412" s="143"/>
      <c r="AL412" s="129" t="str">
        <f>IFERROR(__xludf.DUMMYFUNCTION("""COMPUTED_VALUE"""),"Great View, Ocean View")</f>
        <v>Great View, Ocean View</v>
      </c>
      <c r="AM412" s="129" t="str">
        <f>IFERROR(__xludf.DUMMYFUNCTION("""COMPUTED_VALUE"""),"Beach, Buffet, Diving, Evening Entertainment, Fishing, Gym, Nightclub, Room Service, Snorkelling, Spa, Swim Out/Plunge Pool Rooms, Swim Up Bar, Tennis")</f>
        <v>Beach, Buffet, Diving, Evening Entertainment, Fishing, Gym, Nightclub, Room Service, Snorkelling, Spa, Swim Out/Plunge Pool Rooms, Swim Up Bar, Tennis</v>
      </c>
      <c r="AN412" s="128"/>
    </row>
    <row r="413">
      <c r="A413" s="118" t="s">
        <v>1336</v>
      </c>
      <c r="B413" s="119">
        <v>86.0</v>
      </c>
      <c r="C413" s="134" t="s">
        <v>75</v>
      </c>
      <c r="D413" s="121">
        <v>6426.0</v>
      </c>
      <c r="E413" s="135">
        <f>IFERROR(__xludf.DUMMYFUNCTION("""COMPUTED_VALUE"""),8874.626657399998)</f>
        <v>8874.626657</v>
      </c>
      <c r="F413" s="136">
        <v>0.93</v>
      </c>
      <c r="G413" s="124">
        <v>8731.0</v>
      </c>
      <c r="H413" s="125">
        <v>5935.0</v>
      </c>
      <c r="I413" s="125">
        <v>1125.0</v>
      </c>
      <c r="J413" s="125">
        <v>697.0</v>
      </c>
      <c r="K413" s="125">
        <v>408.0</v>
      </c>
      <c r="L413" s="125">
        <v>569.0</v>
      </c>
      <c r="M413" s="126">
        <v>86.0</v>
      </c>
      <c r="N413" s="127">
        <v>92.0</v>
      </c>
      <c r="O413" s="146"/>
      <c r="P413" s="127">
        <v>80.0</v>
      </c>
      <c r="Q413" s="135" t="b">
        <v>1</v>
      </c>
      <c r="R413" s="133"/>
      <c r="S413" s="133" t="s">
        <v>83</v>
      </c>
      <c r="T413" s="133"/>
      <c r="U413" s="133">
        <v>5.0</v>
      </c>
      <c r="V413" s="130"/>
      <c r="W413" s="130" t="s">
        <v>193</v>
      </c>
      <c r="X413" s="130" t="s">
        <v>357</v>
      </c>
      <c r="Y413" s="130" t="s">
        <v>195</v>
      </c>
      <c r="Z413" s="131" t="b">
        <v>1</v>
      </c>
      <c r="AA413" s="131">
        <v>0.02361111111111111</v>
      </c>
      <c r="AB413" s="130" t="s">
        <v>759</v>
      </c>
      <c r="AC413" s="130" t="s">
        <v>1337</v>
      </c>
      <c r="AD413" s="130" t="s">
        <v>1338</v>
      </c>
      <c r="AE413" s="130"/>
      <c r="AF413" s="132" t="s">
        <v>373</v>
      </c>
      <c r="AG413" s="143" t="b">
        <v>0</v>
      </c>
      <c r="AH413" s="143">
        <v>618.0</v>
      </c>
      <c r="AI413" s="143">
        <v>2018.0</v>
      </c>
      <c r="AJ413" s="143"/>
      <c r="AK413" s="143"/>
      <c r="AL413" s="129" t="str">
        <f>IFERROR(__xludf.DUMMYFUNCTION("""COMPUTED_VALUE"""),"Great View")</f>
        <v>Great View</v>
      </c>
      <c r="AM413" s="129" t="str">
        <f>IFERROR(__xludf.DUMMYFUNCTION("""COMPUTED_VALUE"""),"Adults Only Rooms, Archery, Babysitting, Beach, Buffet, Casino, Evening Entertainment, Gym, Kids Club, Kids Waterpark, Lazy River, Nightclub, Pool Slide, Spa, Swim Out/Plunge Pool Rooms, Swim Up Bar, Teen Club, Tennis, Water Feature, Watersports Equipment"&amp;" Rentals, Wifi (Free)")</f>
        <v>Adults Only Rooms, Archery, Babysitting, Beach, Buffet, Casino, Evening Entertainment, Gym, Kids Club, Kids Waterpark, Lazy River, Nightclub, Pool Slide, Spa, Swim Out/Plunge Pool Rooms, Swim Up Bar, Teen Club, Tennis, Water Feature, Watersports Equipment Rentals, Wifi (Free)</v>
      </c>
      <c r="AN413" s="139"/>
    </row>
    <row r="414">
      <c r="A414" s="118" t="s">
        <v>1339</v>
      </c>
      <c r="B414" s="119">
        <v>86.0</v>
      </c>
      <c r="C414" s="134" t="s">
        <v>75</v>
      </c>
      <c r="D414" s="150">
        <v>6912.15</v>
      </c>
      <c r="E414" s="135">
        <f>IFERROR(__xludf.DUMMYFUNCTION("""COMPUTED_VALUE"""),9546.024066285)</f>
        <v>9546.024066</v>
      </c>
      <c r="F414" s="136">
        <v>0.87</v>
      </c>
      <c r="G414" s="124">
        <v>4142.0</v>
      </c>
      <c r="H414" s="125">
        <v>3234.0</v>
      </c>
      <c r="I414" s="125">
        <v>476.0</v>
      </c>
      <c r="J414" s="125">
        <v>181.0</v>
      </c>
      <c r="K414" s="125">
        <v>121.0</v>
      </c>
      <c r="L414" s="125">
        <v>131.0</v>
      </c>
      <c r="M414" s="126">
        <v>92.0</v>
      </c>
      <c r="N414" s="138">
        <v>86.0</v>
      </c>
      <c r="O414" s="127">
        <v>80.0</v>
      </c>
      <c r="P414" s="127">
        <v>86.0</v>
      </c>
      <c r="Q414" s="135" t="b">
        <v>1</v>
      </c>
      <c r="R414" s="133">
        <v>4.0</v>
      </c>
      <c r="S414" s="133" t="s">
        <v>83</v>
      </c>
      <c r="T414" s="133"/>
      <c r="U414" s="133">
        <v>5.0</v>
      </c>
      <c r="V414" s="130"/>
      <c r="W414" s="130" t="s">
        <v>84</v>
      </c>
      <c r="X414" s="130" t="s">
        <v>86</v>
      </c>
      <c r="Y414" s="130" t="s">
        <v>86</v>
      </c>
      <c r="Z414" s="131" t="b">
        <v>1</v>
      </c>
      <c r="AA414" s="131">
        <v>0.01597222222222222</v>
      </c>
      <c r="AB414" s="130" t="s">
        <v>617</v>
      </c>
      <c r="AC414" s="130" t="s">
        <v>365</v>
      </c>
      <c r="AD414" s="130" t="s">
        <v>1340</v>
      </c>
      <c r="AE414" s="130" t="s">
        <v>396</v>
      </c>
      <c r="AF414" s="132" t="s">
        <v>318</v>
      </c>
      <c r="AG414" s="133" t="b">
        <v>0</v>
      </c>
      <c r="AH414" s="133">
        <v>715.0</v>
      </c>
      <c r="AI414" s="133">
        <v>2021.0</v>
      </c>
      <c r="AJ414" s="143"/>
      <c r="AK414" s="143"/>
      <c r="AL414" s="129" t="str">
        <f>IFERROR(__xludf.DUMMYFUNCTION("""COMPUTED_VALUE"""),"Business")</f>
        <v>Business</v>
      </c>
      <c r="AM414" s="129" t="str">
        <f>IFERROR(__xludf.DUMMYFUNCTION("""COMPUTED_VALUE"""),"2 Bedroom Suites, Babysitting, Beach, Evening Entertainment, Family Suite, Gym, Heated Pool, Kids Club, Kids Waterpark, Pets Allowed, Spa, Swim Out/Plunge Pool Rooms, Teen Club, Wifi (Free), Yoga Classes")</f>
        <v>2 Bedroom Suites, Babysitting, Beach, Evening Entertainment, Family Suite, Gym, Heated Pool, Kids Club, Kids Waterpark, Pets Allowed, Spa, Swim Out/Plunge Pool Rooms, Teen Club, Wifi (Free), Yoga Classes</v>
      </c>
      <c r="AN414" s="139"/>
    </row>
    <row r="415">
      <c r="A415" s="118" t="s">
        <v>1341</v>
      </c>
      <c r="B415" s="119">
        <v>86.0</v>
      </c>
      <c r="C415" s="120" t="s">
        <v>68</v>
      </c>
      <c r="D415" s="121">
        <v>7077.4</v>
      </c>
      <c r="E415" s="122">
        <f>IFERROR(__xludf.DUMMYFUNCTION("""COMPUTED_VALUE"""),9774.242562259999)</f>
        <v>9774.242562</v>
      </c>
      <c r="F415" s="136">
        <v>0.85</v>
      </c>
      <c r="G415" s="124">
        <v>1764.0</v>
      </c>
      <c r="H415" s="125">
        <v>1224.0</v>
      </c>
      <c r="I415" s="125">
        <v>251.0</v>
      </c>
      <c r="J415" s="125">
        <v>152.0</v>
      </c>
      <c r="K415" s="125">
        <v>89.0</v>
      </c>
      <c r="L415" s="125">
        <v>49.0</v>
      </c>
      <c r="M415" s="126">
        <v>88.0</v>
      </c>
      <c r="N415" s="127">
        <v>84.0</v>
      </c>
      <c r="O415" s="127"/>
      <c r="P415" s="138">
        <v>86.0</v>
      </c>
      <c r="Q415" s="122" t="b">
        <v>1</v>
      </c>
      <c r="R415" s="133"/>
      <c r="S415" s="133" t="s">
        <v>83</v>
      </c>
      <c r="T415" s="133"/>
      <c r="U415" s="133">
        <v>5.0</v>
      </c>
      <c r="V415" s="130" t="s">
        <v>148</v>
      </c>
      <c r="W415" s="130" t="s">
        <v>341</v>
      </c>
      <c r="X415" s="130" t="s">
        <v>1342</v>
      </c>
      <c r="Y415" s="130" t="s">
        <v>343</v>
      </c>
      <c r="Z415" s="131" t="b">
        <v>1</v>
      </c>
      <c r="AA415" s="131">
        <v>0.030555555555555555</v>
      </c>
      <c r="AB415" s="130" t="s">
        <v>386</v>
      </c>
      <c r="AC415" s="130" t="s">
        <v>99</v>
      </c>
      <c r="AD415" s="130" t="s">
        <v>1343</v>
      </c>
      <c r="AE415" s="129"/>
      <c r="AF415" s="132"/>
      <c r="AG415" s="133" t="b">
        <v>0</v>
      </c>
      <c r="AH415" s="133">
        <v>350.0</v>
      </c>
      <c r="AI415" s="133">
        <v>2010.0</v>
      </c>
      <c r="AJ415" s="133">
        <v>2021.0</v>
      </c>
      <c r="AK415" s="133">
        <v>4.0</v>
      </c>
      <c r="AL415" s="129" t="str">
        <f>IFERROR(__xludf.DUMMYFUNCTION("""COMPUTED_VALUE"""),"Luxury")</f>
        <v>Luxury</v>
      </c>
      <c r="AM415" s="129" t="str">
        <f>IFERROR(__xludf.DUMMYFUNCTION("""COMPUTED_VALUE"""),"Beach, Buffet, Diving, Evening Entertainment, Gym, Nightclub, Snorkelling, Spa, Swim Out/Plunge Pool Rooms, Swim Up Bar, Wifi (Free)")</f>
        <v>Beach, Buffet, Diving, Evening Entertainment, Gym, Nightclub, Snorkelling, Spa, Swim Out/Plunge Pool Rooms, Swim Up Bar, Wifi (Free)</v>
      </c>
      <c r="AN415" s="128"/>
    </row>
    <row r="416">
      <c r="A416" s="118" t="s">
        <v>1344</v>
      </c>
      <c r="B416" s="119">
        <v>86.0</v>
      </c>
      <c r="C416" s="134" t="s">
        <v>75</v>
      </c>
      <c r="D416" s="121">
        <v>8709.0</v>
      </c>
      <c r="E416" s="135">
        <f>IFERROR(__xludf.DUMMYFUNCTION("""COMPUTED_VALUE"""),12027.563579099999)</f>
        <v>12027.56358</v>
      </c>
      <c r="F416" s="136">
        <v>0.69</v>
      </c>
      <c r="G416" s="124">
        <v>9128.0</v>
      </c>
      <c r="H416" s="125">
        <v>6312.0</v>
      </c>
      <c r="I416" s="125">
        <v>1669.0</v>
      </c>
      <c r="J416" s="125">
        <v>599.0</v>
      </c>
      <c r="K416" s="125">
        <v>321.0</v>
      </c>
      <c r="L416" s="125">
        <v>232.0</v>
      </c>
      <c r="M416" s="126">
        <v>90.0</v>
      </c>
      <c r="N416" s="127">
        <v>88.0</v>
      </c>
      <c r="O416" s="146"/>
      <c r="P416" s="127">
        <v>80.0</v>
      </c>
      <c r="Q416" s="135" t="b">
        <v>1</v>
      </c>
      <c r="R416" s="133"/>
      <c r="S416" s="133" t="s">
        <v>83</v>
      </c>
      <c r="T416" s="133"/>
      <c r="U416" s="133">
        <v>3.0</v>
      </c>
      <c r="V416" s="130"/>
      <c r="W416" s="130" t="s">
        <v>219</v>
      </c>
      <c r="X416" s="130" t="s">
        <v>220</v>
      </c>
      <c r="Y416" s="130" t="s">
        <v>221</v>
      </c>
      <c r="Z416" s="131" t="b">
        <v>1</v>
      </c>
      <c r="AA416" s="131">
        <v>0.05763888888888889</v>
      </c>
      <c r="AB416" s="130" t="s">
        <v>1345</v>
      </c>
      <c r="AC416" s="130" t="s">
        <v>75</v>
      </c>
      <c r="AD416" s="130" t="s">
        <v>1346</v>
      </c>
      <c r="AE416" s="130" t="s">
        <v>396</v>
      </c>
      <c r="AF416" s="132" t="s">
        <v>373</v>
      </c>
      <c r="AG416" s="133" t="b">
        <v>0</v>
      </c>
      <c r="AH416" s="133">
        <v>186.0</v>
      </c>
      <c r="AI416" s="133">
        <v>1997.0</v>
      </c>
      <c r="AJ416" s="133">
        <v>2020.0</v>
      </c>
      <c r="AK416" s="143"/>
      <c r="AL416" s="129" t="str">
        <f>IFERROR(__xludf.DUMMYFUNCTION("""COMPUTED_VALUE"""),"Family")</f>
        <v>Family</v>
      </c>
      <c r="AM416" s="129" t="str">
        <f>IFERROR(__xludf.DUMMYFUNCTION("""COMPUTED_VALUE"""),"2 Bedroom Suites, Babysitting, Beach, Big Waterslides, Buffet, Diving, Evening Entertainment, Family Suite, Fishing, Great Beach, Gym, Kids Club, Kids Club for Under 4, Kids Waterpark, Lazy River, Nightclub, Snorkelling, Spa, Swim Up Bar, Tennis, Wifi (Pa"&amp;"id)")</f>
        <v>2 Bedroom Suites, Babysitting, Beach, Big Waterslides, Buffet, Diving, Evening Entertainment, Family Suite, Fishing, Great Beach, Gym, Kids Club, Kids Club for Under 4, Kids Waterpark, Lazy River, Nightclub, Snorkelling, Spa, Swim Up Bar, Tennis, Wifi (Paid)</v>
      </c>
      <c r="AN416" s="139"/>
    </row>
    <row r="417">
      <c r="A417" s="118" t="s">
        <v>1347</v>
      </c>
      <c r="B417" s="119">
        <v>86.0</v>
      </c>
      <c r="C417" s="134" t="s">
        <v>75</v>
      </c>
      <c r="D417" s="121">
        <v>9064.38</v>
      </c>
      <c r="E417" s="135">
        <f>IFERROR(__xludf.DUMMYFUNCTION("""COMPUTED_VALUE"""),12518.361092561998)</f>
        <v>12518.36109</v>
      </c>
      <c r="F417" s="136">
        <v>0.66</v>
      </c>
      <c r="G417" s="124">
        <v>9370.0</v>
      </c>
      <c r="H417" s="125">
        <v>5326.0</v>
      </c>
      <c r="I417" s="125">
        <v>2456.0</v>
      </c>
      <c r="J417" s="125">
        <v>1011.0</v>
      </c>
      <c r="K417" s="125">
        <v>413.0</v>
      </c>
      <c r="L417" s="125">
        <v>166.0</v>
      </c>
      <c r="M417" s="126">
        <v>86.0</v>
      </c>
      <c r="N417" s="127">
        <v>86.0</v>
      </c>
      <c r="O417" s="146"/>
      <c r="P417" s="146"/>
      <c r="Q417" s="122" t="b">
        <v>1</v>
      </c>
      <c r="R417" s="128"/>
      <c r="S417" s="133">
        <v>6.0</v>
      </c>
      <c r="T417" s="133"/>
      <c r="U417" s="133">
        <v>4.0</v>
      </c>
      <c r="V417" s="129"/>
      <c r="W417" s="130" t="s">
        <v>1348</v>
      </c>
      <c r="X417" s="130" t="s">
        <v>1349</v>
      </c>
      <c r="Y417" s="130" t="s">
        <v>1350</v>
      </c>
      <c r="Z417" s="131" t="b">
        <v>1</v>
      </c>
      <c r="AA417" s="131">
        <v>0.03888888888888889</v>
      </c>
      <c r="AB417" s="130" t="s">
        <v>441</v>
      </c>
      <c r="AC417" s="130" t="s">
        <v>537</v>
      </c>
      <c r="AD417" s="130" t="s">
        <v>1351</v>
      </c>
      <c r="AE417" s="130"/>
      <c r="AF417" s="132" t="s">
        <v>1352</v>
      </c>
      <c r="AG417" s="133" t="b">
        <v>0</v>
      </c>
      <c r="AH417" s="133">
        <v>139.0</v>
      </c>
      <c r="AI417" s="133">
        <v>1969.0</v>
      </c>
      <c r="AJ417" s="133">
        <v>2023.0</v>
      </c>
      <c r="AK417" s="133">
        <v>4.0</v>
      </c>
      <c r="AL417" s="129" t="str">
        <f>IFERROR(__xludf.DUMMYFUNCTION("""COMPUTED_VALUE"""),"Great View, Quiet")</f>
        <v>Great View, Quiet</v>
      </c>
      <c r="AM417" s="129" t="str">
        <f>IFERROR(__xludf.DUMMYFUNCTION("""COMPUTED_VALUE"""),"Beach, Buffet, Diving, Evening Entertainment, Gym, Kids Club, Kids Club for Under 4, Lazy River, Nightclub, Spa, Teen Club, Tennis, Watersports Equipment Rentals, Wifi (Paid), Windsurfing, Yoga Classes")</f>
        <v>Beach, Buffet, Diving, Evening Entertainment, Gym, Kids Club, Kids Club for Under 4, Lazy River, Nightclub, Spa, Teen Club, Tennis, Watersports Equipment Rentals, Wifi (Paid), Windsurfing, Yoga Classes</v>
      </c>
      <c r="AN417" s="139"/>
    </row>
    <row r="418">
      <c r="A418" s="118" t="s">
        <v>1353</v>
      </c>
      <c r="B418" s="119">
        <v>86.0</v>
      </c>
      <c r="C418" s="134" t="s">
        <v>75</v>
      </c>
      <c r="D418" s="121">
        <v>9882.0</v>
      </c>
      <c r="E418" s="135">
        <f>IFERROR(__xludf.DUMMYFUNCTION("""COMPUTED_VALUE"""),13647.535111799998)</f>
        <v>13647.53511</v>
      </c>
      <c r="F418" s="136">
        <v>0.61</v>
      </c>
      <c r="G418" s="124">
        <v>16416.0</v>
      </c>
      <c r="H418" s="125">
        <v>10424.0</v>
      </c>
      <c r="I418" s="125">
        <v>3122.0</v>
      </c>
      <c r="J418" s="125">
        <v>1359.0</v>
      </c>
      <c r="K418" s="125">
        <v>747.0</v>
      </c>
      <c r="L418" s="125">
        <v>766.0</v>
      </c>
      <c r="M418" s="126">
        <v>86.0</v>
      </c>
      <c r="N418" s="127">
        <v>86.0</v>
      </c>
      <c r="O418" s="146"/>
      <c r="P418" s="127">
        <v>86.0</v>
      </c>
      <c r="Q418" s="135" t="b">
        <v>1</v>
      </c>
      <c r="R418" s="133"/>
      <c r="S418" s="133" t="s">
        <v>83</v>
      </c>
      <c r="T418" s="133"/>
      <c r="U418" s="133">
        <v>5.0</v>
      </c>
      <c r="V418" s="130"/>
      <c r="W418" s="130" t="s">
        <v>137</v>
      </c>
      <c r="X418" s="130" t="s">
        <v>139</v>
      </c>
      <c r="Y418" s="130" t="s">
        <v>139</v>
      </c>
      <c r="Z418" s="131" t="b">
        <v>1</v>
      </c>
      <c r="AA418" s="131">
        <v>0.009027777777777777</v>
      </c>
      <c r="AB418" s="130" t="s">
        <v>1345</v>
      </c>
      <c r="AC418" s="130" t="s">
        <v>207</v>
      </c>
      <c r="AD418" s="130" t="s">
        <v>1354</v>
      </c>
      <c r="AE418" s="130" t="s">
        <v>94</v>
      </c>
      <c r="AF418" s="132" t="s">
        <v>297</v>
      </c>
      <c r="AG418" s="133" t="b">
        <v>0</v>
      </c>
      <c r="AH418" s="133">
        <v>758.0</v>
      </c>
      <c r="AI418" s="133">
        <v>1995.0</v>
      </c>
      <c r="AJ418" s="133">
        <v>2013.0</v>
      </c>
      <c r="AK418" s="143"/>
      <c r="AL418" s="129" t="str">
        <f>IFERROR(__xludf.DUMMYFUNCTION("""COMPUTED_VALUE"""),"Family, Green")</f>
        <v>Family, Green</v>
      </c>
      <c r="AM418" s="129" t="str">
        <f>IFERROR(__xludf.DUMMYFUNCTION("""COMPUTED_VALUE"""),"2 Bedroom Suites, Adult Pool, Babysitting, Beach, Big Waterslides, Buffet, Diving, Evening Entertainment, Family Suite, Flowrider, Gym, Heated Pool, Kids Club, Kids Club for Under 4, Lazy River, Snorkelling, Spa, Swim Up Bar, Teen Club, Tennis, Wifi (Paid"&amp;")")</f>
        <v>2 Bedroom Suites, Adult Pool, Babysitting, Beach, Big Waterslides, Buffet, Diving, Evening Entertainment, Family Suite, Flowrider, Gym, Heated Pool, Kids Club, Kids Club for Under 4, Lazy River, Snorkelling, Spa, Swim Up Bar, Teen Club, Tennis, Wifi (Paid)</v>
      </c>
      <c r="AN418" s="139"/>
    </row>
    <row r="419">
      <c r="A419" s="118" t="s">
        <v>1355</v>
      </c>
      <c r="B419" s="119">
        <v>85.8</v>
      </c>
      <c r="C419" s="134" t="s">
        <v>75</v>
      </c>
      <c r="D419" s="121">
        <v>2523.29</v>
      </c>
      <c r="E419" s="135">
        <f>IFERROR(__xludf.DUMMYFUNCTION("""COMPUTED_VALUE"""),3484.7894021709994)</f>
        <v>3484.789402</v>
      </c>
      <c r="F419" s="136">
        <v>2.3</v>
      </c>
      <c r="G419" s="124">
        <v>25051.0</v>
      </c>
      <c r="H419" s="125">
        <v>12923.0</v>
      </c>
      <c r="I419" s="125">
        <v>6552.0</v>
      </c>
      <c r="J419" s="125">
        <v>2817.0</v>
      </c>
      <c r="K419" s="125">
        <v>1451.0</v>
      </c>
      <c r="L419" s="125">
        <v>1312.0</v>
      </c>
      <c r="M419" s="126">
        <v>83.0</v>
      </c>
      <c r="N419" s="127">
        <v>94.0</v>
      </c>
      <c r="O419" s="127">
        <v>84.0</v>
      </c>
      <c r="P419" s="127">
        <v>82.0</v>
      </c>
      <c r="Q419" s="135" t="b">
        <v>1</v>
      </c>
      <c r="R419" s="133"/>
      <c r="S419" s="133">
        <v>8.0</v>
      </c>
      <c r="T419" s="133"/>
      <c r="U419" s="133">
        <v>5.0</v>
      </c>
      <c r="V419" s="130"/>
      <c r="W419" s="130" t="s">
        <v>84</v>
      </c>
      <c r="X419" s="130" t="s">
        <v>411</v>
      </c>
      <c r="Y419" s="147" t="s">
        <v>86</v>
      </c>
      <c r="Z419" s="131" t="b">
        <v>1</v>
      </c>
      <c r="AA419" s="131">
        <v>0.034027777777777775</v>
      </c>
      <c r="AB419" s="130" t="s">
        <v>362</v>
      </c>
      <c r="AC419" s="130" t="s">
        <v>774</v>
      </c>
      <c r="AD419" s="130" t="s">
        <v>1356</v>
      </c>
      <c r="AE419" s="130"/>
      <c r="AF419" s="132" t="s">
        <v>373</v>
      </c>
      <c r="AG419" s="133" t="b">
        <v>0</v>
      </c>
      <c r="AH419" s="133">
        <v>765.0</v>
      </c>
      <c r="AI419" s="133">
        <v>2002.0</v>
      </c>
      <c r="AJ419" s="133">
        <v>2016.0</v>
      </c>
      <c r="AK419" s="133">
        <v>3.0</v>
      </c>
      <c r="AL419" s="129" t="str">
        <f>IFERROR(__xludf.DUMMYFUNCTION("""COMPUTED_VALUE"""),"Family, Park View")</f>
        <v>Family, Park View</v>
      </c>
      <c r="AM419" s="129" t="str">
        <f>IFERROR(__xludf.DUMMYFUNCTION("""COMPUTED_VALUE"""),"Adult Pool, Beach, Buffet, Evening Entertainment, Gym, Kids Club, Mini Golf, Nightclub, Snorkelling, Spa, Swim Up Bar, Tennis")</f>
        <v>Adult Pool, Beach, Buffet, Evening Entertainment, Gym, Kids Club, Mini Golf, Nightclub, Snorkelling, Spa, Swim Up Bar, Tennis</v>
      </c>
      <c r="AN419" s="139"/>
    </row>
    <row r="420">
      <c r="A420" s="118" t="s">
        <v>1357</v>
      </c>
      <c r="B420" s="119">
        <v>85.8</v>
      </c>
      <c r="C420" s="134" t="s">
        <v>75</v>
      </c>
      <c r="D420" s="150">
        <v>4893.0</v>
      </c>
      <c r="E420" s="135">
        <f>IFERROR(__xludf.DUMMYFUNCTION("""COMPUTED_VALUE"""),6757.477160699999)</f>
        <v>6757.477161</v>
      </c>
      <c r="F420" s="136">
        <v>1.19</v>
      </c>
      <c r="G420" s="124">
        <v>20502.0</v>
      </c>
      <c r="H420" s="125">
        <v>14065.0</v>
      </c>
      <c r="I420" s="125">
        <v>3637.0</v>
      </c>
      <c r="J420" s="125">
        <v>1524.0</v>
      </c>
      <c r="K420" s="125">
        <v>600.0</v>
      </c>
      <c r="L420" s="125">
        <v>677.0</v>
      </c>
      <c r="M420" s="126">
        <v>89.0</v>
      </c>
      <c r="N420" s="138">
        <v>92.0</v>
      </c>
      <c r="O420" s="138">
        <v>80.0</v>
      </c>
      <c r="P420" s="127">
        <v>82.0</v>
      </c>
      <c r="Q420" s="122" t="b">
        <v>1</v>
      </c>
      <c r="R420" s="133"/>
      <c r="S420" s="133">
        <v>8.0</v>
      </c>
      <c r="T420" s="133"/>
      <c r="U420" s="133">
        <v>5.0</v>
      </c>
      <c r="V420" s="130"/>
      <c r="W420" s="130" t="s">
        <v>84</v>
      </c>
      <c r="X420" s="130" t="s">
        <v>86</v>
      </c>
      <c r="Y420" s="147" t="s">
        <v>86</v>
      </c>
      <c r="Z420" s="131" t="b">
        <v>1</v>
      </c>
      <c r="AA420" s="131">
        <v>0.013888888888888888</v>
      </c>
      <c r="AB420" s="130" t="s">
        <v>328</v>
      </c>
      <c r="AC420" s="130" t="s">
        <v>1358</v>
      </c>
      <c r="AD420" s="130" t="s">
        <v>1359</v>
      </c>
      <c r="AE420" s="130"/>
      <c r="AF420" s="132" t="s">
        <v>373</v>
      </c>
      <c r="AG420" s="133" t="b">
        <v>1</v>
      </c>
      <c r="AH420" s="133">
        <v>687.0</v>
      </c>
      <c r="AI420" s="133">
        <v>1989.0</v>
      </c>
      <c r="AJ420" s="133">
        <v>2012.0</v>
      </c>
      <c r="AK420" s="133">
        <v>9.0</v>
      </c>
      <c r="AL420" s="129" t="str">
        <f>IFERROR(__xludf.DUMMYFUNCTION("""COMPUTED_VALUE"""),"Great View, Lagoon View")</f>
        <v>Great View, Lagoon View</v>
      </c>
      <c r="AM420" s="129" t="str">
        <f>IFERROR(__xludf.DUMMYFUNCTION("""COMPUTED_VALUE"""),"2 Bedroom Suites, Adult Pool, Babysitting, Beach, Buffet, Diving, Evening Entertainment, Family Suite, Golf Course, Gym, Kids Club, Nightclub, Room Service, Spa, Swim Up Bar, Tennis")</f>
        <v>2 Bedroom Suites, Adult Pool, Babysitting, Beach, Buffet, Diving, Evening Entertainment, Family Suite, Golf Course, Gym, Kids Club, Nightclub, Room Service, Spa, Swim Up Bar, Tennis</v>
      </c>
      <c r="AN420" s="139"/>
    </row>
    <row r="421">
      <c r="A421" s="118" t="s">
        <v>1360</v>
      </c>
      <c r="B421" s="119">
        <v>85.8</v>
      </c>
      <c r="C421" s="120" t="s">
        <v>68</v>
      </c>
      <c r="D421" s="121">
        <v>5542.0</v>
      </c>
      <c r="E421" s="122">
        <f>IFERROR(__xludf.DUMMYFUNCTION("""COMPUTED_VALUE"""),7653.778545799999)</f>
        <v>7653.778546</v>
      </c>
      <c r="F421" s="136">
        <v>1.05</v>
      </c>
      <c r="G421" s="124">
        <v>8684.0</v>
      </c>
      <c r="H421" s="125">
        <v>5847.0</v>
      </c>
      <c r="I421" s="125">
        <v>1360.0</v>
      </c>
      <c r="J421" s="125">
        <v>673.0</v>
      </c>
      <c r="K421" s="125">
        <v>408.0</v>
      </c>
      <c r="L421" s="125">
        <v>399.0</v>
      </c>
      <c r="M421" s="126">
        <v>87.0</v>
      </c>
      <c r="N421" s="127">
        <v>88.0</v>
      </c>
      <c r="O421" s="127">
        <v>86.0</v>
      </c>
      <c r="P421" s="127">
        <v>82.0</v>
      </c>
      <c r="Q421" s="122" t="b">
        <v>1</v>
      </c>
      <c r="R421" s="133"/>
      <c r="S421" s="133">
        <v>7.0</v>
      </c>
      <c r="T421" s="133" t="s">
        <v>492</v>
      </c>
      <c r="U421" s="133">
        <v>4.5</v>
      </c>
      <c r="V421" s="129"/>
      <c r="W421" s="130" t="s">
        <v>84</v>
      </c>
      <c r="X421" s="130" t="s">
        <v>1361</v>
      </c>
      <c r="Y421" s="130" t="s">
        <v>86</v>
      </c>
      <c r="Z421" s="131" t="b">
        <v>1</v>
      </c>
      <c r="AA421" s="131">
        <v>0.018055555555555554</v>
      </c>
      <c r="AB421" s="130" t="s">
        <v>50</v>
      </c>
      <c r="AC421" s="130" t="s">
        <v>1362</v>
      </c>
      <c r="AD421" s="130" t="s">
        <v>1363</v>
      </c>
      <c r="AE421" s="129"/>
      <c r="AF421" s="132"/>
      <c r="AG421" s="133" t="b">
        <v>0</v>
      </c>
      <c r="AH421" s="133">
        <v>362.0</v>
      </c>
      <c r="AI421" s="133">
        <v>2016.0</v>
      </c>
      <c r="AJ421" s="133">
        <v>2020.0</v>
      </c>
      <c r="AK421" s="133">
        <v>4.0</v>
      </c>
      <c r="AL421" s="129" t="str">
        <f>IFERROR(__xludf.DUMMYFUNCTION("""COMPUTED_VALUE"""),"Trendy")</f>
        <v>Trendy</v>
      </c>
      <c r="AM421" s="129" t="str">
        <f>IFERROR(__xludf.DUMMYFUNCTION("""COMPUTED_VALUE"""),"Buffet, Evening Entertainment, Great for Parties, Gym, Heated Pool, Nightclub, Spa, Swim Out/Plunge Pool Rooms, Swim Up Bar, Wifi (Free)")</f>
        <v>Buffet, Evening Entertainment, Great for Parties, Gym, Heated Pool, Nightclub, Spa, Swim Out/Plunge Pool Rooms, Swim Up Bar, Wifi (Free)</v>
      </c>
      <c r="AN421" s="128"/>
    </row>
    <row r="422">
      <c r="A422" s="118" t="s">
        <v>1364</v>
      </c>
      <c r="B422" s="119">
        <v>85.8</v>
      </c>
      <c r="C422" s="120" t="s">
        <v>68</v>
      </c>
      <c r="D422" s="121">
        <v>5592.16</v>
      </c>
      <c r="E422" s="122">
        <f>IFERROR(__xludf.DUMMYFUNCTION("""COMPUTED_VALUE"""),7723.052008783999)</f>
        <v>7723.052009</v>
      </c>
      <c r="F422" s="136">
        <v>1.04</v>
      </c>
      <c r="G422" s="124">
        <v>5137.0</v>
      </c>
      <c r="H422" s="125">
        <v>2831.0</v>
      </c>
      <c r="I422" s="125">
        <v>1540.0</v>
      </c>
      <c r="J422" s="125">
        <v>492.0</v>
      </c>
      <c r="K422" s="125">
        <v>177.0</v>
      </c>
      <c r="L422" s="125">
        <v>100.0</v>
      </c>
      <c r="M422" s="126">
        <v>87.0</v>
      </c>
      <c r="N422" s="127">
        <v>86.0</v>
      </c>
      <c r="O422" s="138">
        <v>86.0</v>
      </c>
      <c r="P422" s="127">
        <v>84.0</v>
      </c>
      <c r="Q422" s="122" t="b">
        <v>1</v>
      </c>
      <c r="R422" s="133"/>
      <c r="S422" s="133">
        <v>7.0</v>
      </c>
      <c r="T422" s="133"/>
      <c r="U422" s="133"/>
      <c r="V422" s="129"/>
      <c r="W422" s="130" t="s">
        <v>113</v>
      </c>
      <c r="X422" s="130" t="s">
        <v>1365</v>
      </c>
      <c r="Y422" s="130" t="s">
        <v>114</v>
      </c>
      <c r="Z422" s="131" t="b">
        <v>1</v>
      </c>
      <c r="AA422" s="131">
        <v>0.02013888888888889</v>
      </c>
      <c r="AB422" s="129"/>
      <c r="AC422" s="130" t="s">
        <v>442</v>
      </c>
      <c r="AD422" s="130" t="s">
        <v>1366</v>
      </c>
      <c r="AE422" s="129"/>
      <c r="AF422" s="132"/>
      <c r="AG422" s="133" t="b">
        <v>0</v>
      </c>
      <c r="AH422" s="133">
        <v>185.0</v>
      </c>
      <c r="AI422" s="133">
        <v>2007.0</v>
      </c>
      <c r="AJ422" s="133">
        <v>2023.0</v>
      </c>
      <c r="AK422" s="133">
        <v>1.0</v>
      </c>
      <c r="AL422" s="129" t="str">
        <f>IFERROR(__xludf.DUMMYFUNCTION("""COMPUTED_VALUE"""),"Ocean View")</f>
        <v>Ocean View</v>
      </c>
      <c r="AM422" s="129" t="str">
        <f>IFERROR(__xludf.DUMMYFUNCTION("""COMPUTED_VALUE"""),"Beach, Buffet, Evening Entertainment, Fishing, Gym, Mini Golf, Snorkelling, Spa, Tennis, Watersports Equipment Rentals")</f>
        <v>Beach, Buffet, Evening Entertainment, Fishing, Gym, Mini Golf, Snorkelling, Spa, Tennis, Watersports Equipment Rentals</v>
      </c>
      <c r="AN422" s="128"/>
    </row>
    <row r="423">
      <c r="A423" s="118" t="s">
        <v>1367</v>
      </c>
      <c r="B423" s="119">
        <v>85.8</v>
      </c>
      <c r="C423" s="134" t="s">
        <v>75</v>
      </c>
      <c r="D423" s="121">
        <v>5783.78</v>
      </c>
      <c r="E423" s="135">
        <f>IFERROR(__xludf.DUMMYFUNCTION("""COMPUTED_VALUE"""),7987.688790621999)</f>
        <v>7987.688791</v>
      </c>
      <c r="F423" s="136">
        <v>1.0</v>
      </c>
      <c r="G423" s="124">
        <v>7407.0</v>
      </c>
      <c r="H423" s="125">
        <v>5869.0</v>
      </c>
      <c r="I423" s="125">
        <v>874.0</v>
      </c>
      <c r="J423" s="125">
        <v>310.0</v>
      </c>
      <c r="K423" s="125">
        <v>152.0</v>
      </c>
      <c r="L423" s="125">
        <v>206.0</v>
      </c>
      <c r="M423" s="126">
        <v>93.0</v>
      </c>
      <c r="N423" s="138">
        <v>84.0</v>
      </c>
      <c r="O423" s="127">
        <v>84.0</v>
      </c>
      <c r="P423" s="138">
        <v>82.0</v>
      </c>
      <c r="Q423" s="135" t="b">
        <v>1</v>
      </c>
      <c r="R423" s="133"/>
      <c r="S423" s="133">
        <v>7.0</v>
      </c>
      <c r="T423" s="133"/>
      <c r="U423" s="133">
        <v>5.0</v>
      </c>
      <c r="V423" s="130"/>
      <c r="W423" s="130" t="s">
        <v>171</v>
      </c>
      <c r="X423" s="130" t="s">
        <v>1368</v>
      </c>
      <c r="Y423" s="130" t="s">
        <v>736</v>
      </c>
      <c r="Z423" s="131" t="b">
        <v>1</v>
      </c>
      <c r="AA423" s="131">
        <v>0.03263888888888889</v>
      </c>
      <c r="AB423" s="130" t="s">
        <v>451</v>
      </c>
      <c r="AC423" s="130"/>
      <c r="AD423" s="130" t="s">
        <v>1369</v>
      </c>
      <c r="AE423" s="130"/>
      <c r="AF423" s="132" t="s">
        <v>126</v>
      </c>
      <c r="AG423" s="133" t="b">
        <v>0</v>
      </c>
      <c r="AH423" s="133">
        <v>292.0</v>
      </c>
      <c r="AI423" s="133">
        <v>2018.0</v>
      </c>
      <c r="AJ423" s="143"/>
      <c r="AK423" s="133">
        <v>3.0</v>
      </c>
      <c r="AL423" s="129"/>
      <c r="AM423" s="129" t="str">
        <f>IFERROR(__xludf.DUMMYFUNCTION("""COMPUTED_VALUE"""),"2 Bedroom Suites, Babysitting, Beach, Buffet, Evening Entertainment, Family Suite, Gym, Kids Club, Nightclub, Spa, Swim Up Bar, Wifi (Free)")</f>
        <v>2 Bedroom Suites, Babysitting, Beach, Buffet, Evening Entertainment, Family Suite, Gym, Kids Club, Nightclub, Spa, Swim Up Bar, Wifi (Free)</v>
      </c>
      <c r="AN423" s="139"/>
    </row>
    <row r="424">
      <c r="A424" s="118" t="s">
        <v>1370</v>
      </c>
      <c r="B424" s="119">
        <v>85.7</v>
      </c>
      <c r="C424" s="134" t="s">
        <v>75</v>
      </c>
      <c r="D424" s="121">
        <v>2067.0</v>
      </c>
      <c r="E424" s="135">
        <f>IFERROR(__xludf.DUMMYFUNCTION("""COMPUTED_VALUE"""),2854.6301433)</f>
        <v>2854.630143</v>
      </c>
      <c r="F424" s="136">
        <v>2.76</v>
      </c>
      <c r="G424" s="124">
        <v>1409.0</v>
      </c>
      <c r="H424" s="125">
        <v>1059.0</v>
      </c>
      <c r="I424" s="125">
        <v>196.0</v>
      </c>
      <c r="J424" s="125">
        <v>74.0</v>
      </c>
      <c r="K424" s="125">
        <v>43.0</v>
      </c>
      <c r="L424" s="125">
        <v>38.0</v>
      </c>
      <c r="M424" s="126">
        <v>91.0</v>
      </c>
      <c r="N424" s="127">
        <v>88.0</v>
      </c>
      <c r="O424" s="146"/>
      <c r="P424" s="127">
        <v>78.0</v>
      </c>
      <c r="Q424" s="122" t="b">
        <v>1</v>
      </c>
      <c r="R424" s="133"/>
      <c r="S424" s="133">
        <v>4.0</v>
      </c>
      <c r="T424" s="133"/>
      <c r="U424" s="133">
        <v>4.0</v>
      </c>
      <c r="V424" s="130"/>
      <c r="W424" s="130" t="s">
        <v>193</v>
      </c>
      <c r="X424" s="130" t="s">
        <v>872</v>
      </c>
      <c r="Y424" s="130" t="s">
        <v>195</v>
      </c>
      <c r="Z424" s="131" t="b">
        <v>1</v>
      </c>
      <c r="AA424" s="131">
        <v>0.06180555555555556</v>
      </c>
      <c r="AB424" s="130"/>
      <c r="AC424" s="130" t="s">
        <v>1203</v>
      </c>
      <c r="AD424" s="130" t="s">
        <v>1371</v>
      </c>
      <c r="AE424" s="130" t="s">
        <v>94</v>
      </c>
      <c r="AF424" s="132" t="s">
        <v>318</v>
      </c>
      <c r="AG424" s="133" t="b">
        <v>0</v>
      </c>
      <c r="AH424" s="133">
        <v>422.0</v>
      </c>
      <c r="AI424" s="133">
        <v>1995.0</v>
      </c>
      <c r="AJ424" s="133">
        <v>2003.0</v>
      </c>
      <c r="AK424" s="143"/>
      <c r="AL424" s="129" t="str">
        <f>IFERROR(__xludf.DUMMYFUNCTION("""COMPUTED_VALUE"""),"Family, Ocean View")</f>
        <v>Family, Ocean View</v>
      </c>
      <c r="AM424" s="129" t="str">
        <f>IFERROR(__xludf.DUMMYFUNCTION("""COMPUTED_VALUE"""),"Babysitting, Beach, Buffet, Evening Entertainment, Gym, Kids Club, Nightclub, Spa, Swim Up Bar, Tennis")</f>
        <v>Babysitting, Beach, Buffet, Evening Entertainment, Gym, Kids Club, Nightclub, Spa, Swim Up Bar, Tennis</v>
      </c>
      <c r="AN424" s="128"/>
    </row>
    <row r="425">
      <c r="A425" s="118" t="s">
        <v>1372</v>
      </c>
      <c r="B425" s="119">
        <v>85.7</v>
      </c>
      <c r="C425" s="133" t="s">
        <v>75</v>
      </c>
      <c r="D425" s="121">
        <v>2143.0</v>
      </c>
      <c r="E425" s="122">
        <f>IFERROR(__xludf.DUMMYFUNCTION("""COMPUTED_VALUE"""),2959.5899357)</f>
        <v>2959.589936</v>
      </c>
      <c r="F425" s="136">
        <v>2.66</v>
      </c>
      <c r="G425" s="124">
        <v>448.0</v>
      </c>
      <c r="H425" s="125">
        <v>365.0</v>
      </c>
      <c r="I425" s="125">
        <v>49.0</v>
      </c>
      <c r="J425" s="125">
        <v>12.0</v>
      </c>
      <c r="K425" s="125">
        <v>12.0</v>
      </c>
      <c r="L425" s="125">
        <v>10.0</v>
      </c>
      <c r="M425" s="126">
        <v>93.0</v>
      </c>
      <c r="N425" s="138">
        <v>82.0</v>
      </c>
      <c r="O425" s="127"/>
      <c r="P425" s="138">
        <v>82.0</v>
      </c>
      <c r="Q425" s="126" t="b">
        <v>1</v>
      </c>
      <c r="R425" s="128"/>
      <c r="S425" s="133" t="s">
        <v>83</v>
      </c>
      <c r="T425" s="133" t="s">
        <v>955</v>
      </c>
      <c r="U425" s="133">
        <v>5.0</v>
      </c>
      <c r="V425" s="129"/>
      <c r="W425" s="130" t="s">
        <v>84</v>
      </c>
      <c r="X425" s="130" t="s">
        <v>467</v>
      </c>
      <c r="Y425" s="130" t="s">
        <v>468</v>
      </c>
      <c r="Z425" s="145" t="b">
        <v>0</v>
      </c>
      <c r="AA425" s="131">
        <v>0.01875</v>
      </c>
      <c r="AB425" s="130" t="s">
        <v>50</v>
      </c>
      <c r="AC425" s="147" t="s">
        <v>103</v>
      </c>
      <c r="AD425" s="147" t="s">
        <v>1373</v>
      </c>
      <c r="AE425" s="147" t="s">
        <v>94</v>
      </c>
      <c r="AF425" s="148" t="s">
        <v>373</v>
      </c>
      <c r="AG425" s="128" t="b">
        <v>0</v>
      </c>
      <c r="AH425" s="133">
        <v>358.0</v>
      </c>
      <c r="AI425" s="133">
        <v>2024.0</v>
      </c>
      <c r="AJ425" s="128"/>
      <c r="AK425" s="133">
        <v>8.0</v>
      </c>
      <c r="AL425" s="129" t="str">
        <f>IFERROR(__xludf.DUMMYFUNCTION("""COMPUTED_VALUE"""),"Business, Luxury")</f>
        <v>Business, Luxury</v>
      </c>
      <c r="AM425" s="129" t="str">
        <f>IFERROR(__xludf.DUMMYFUNCTION("""COMPUTED_VALUE"""),"Babysitting, Beach, Big Waterslides, Buffet, Evening Entertainment, Golf Course, Gym, Heated Pool, Kids Club, Kids Club for Under 4, Kids Waterpark, Lazy River, Room Service, Spa, Swim Out/Plunge Pool Rooms, Swim Up Bar, Wifi (Free), Yoga Classes")</f>
        <v>Babysitting, Beach, Big Waterslides, Buffet, Evening Entertainment, Golf Course, Gym, Heated Pool, Kids Club, Kids Club for Under 4, Kids Waterpark, Lazy River, Room Service, Spa, Swim Out/Plunge Pool Rooms, Swim Up Bar, Wifi (Free), Yoga Classes</v>
      </c>
      <c r="AN425" s="139"/>
    </row>
    <row r="426" hidden="1">
      <c r="A426" s="118" t="s">
        <v>1374</v>
      </c>
      <c r="B426" s="119">
        <v>85.0</v>
      </c>
      <c r="C426" s="120" t="s">
        <v>68</v>
      </c>
      <c r="D426" s="142"/>
      <c r="E426" s="122"/>
      <c r="F426" s="136"/>
      <c r="G426" s="124"/>
      <c r="H426" s="133"/>
      <c r="I426" s="133"/>
      <c r="J426" s="133"/>
      <c r="K426" s="133"/>
      <c r="L426" s="133"/>
      <c r="M426" s="137"/>
      <c r="N426" s="138">
        <v>88.0</v>
      </c>
      <c r="O426" s="127"/>
      <c r="P426" s="138">
        <v>82.0</v>
      </c>
      <c r="Q426" s="122" t="b">
        <v>1</v>
      </c>
      <c r="R426" s="128"/>
      <c r="S426" s="128"/>
      <c r="T426" s="128"/>
      <c r="U426" s="128"/>
      <c r="V426" s="130" t="s">
        <v>118</v>
      </c>
      <c r="W426" s="130" t="s">
        <v>84</v>
      </c>
      <c r="X426" s="130" t="s">
        <v>86</v>
      </c>
      <c r="Y426" s="130" t="s">
        <v>86</v>
      </c>
      <c r="Z426" s="131" t="b">
        <v>1</v>
      </c>
      <c r="AA426" s="131"/>
      <c r="AB426" s="130"/>
      <c r="AC426" s="130"/>
      <c r="AD426" s="130"/>
      <c r="AE426" s="129"/>
      <c r="AF426" s="132"/>
      <c r="AG426" s="133" t="b">
        <v>0</v>
      </c>
      <c r="AH426" s="133"/>
      <c r="AI426" s="133"/>
      <c r="AJ426" s="133"/>
      <c r="AK426" s="133"/>
      <c r="AL426" s="129"/>
      <c r="AM426" s="129"/>
      <c r="AN426" s="128"/>
    </row>
    <row r="427" hidden="1">
      <c r="A427" s="118" t="s">
        <v>1374</v>
      </c>
      <c r="B427" s="119">
        <v>85.0</v>
      </c>
      <c r="C427" s="134" t="s">
        <v>75</v>
      </c>
      <c r="D427" s="142"/>
      <c r="E427" s="135"/>
      <c r="F427" s="136"/>
      <c r="G427" s="124"/>
      <c r="H427" s="133"/>
      <c r="I427" s="133"/>
      <c r="J427" s="133"/>
      <c r="K427" s="133"/>
      <c r="L427" s="133"/>
      <c r="M427" s="137"/>
      <c r="N427" s="138">
        <v>88.0</v>
      </c>
      <c r="O427" s="127"/>
      <c r="P427" s="138">
        <v>82.0</v>
      </c>
      <c r="Q427" s="135" t="b">
        <v>1</v>
      </c>
      <c r="R427" s="133"/>
      <c r="S427" s="133"/>
      <c r="T427" s="133"/>
      <c r="U427" s="133"/>
      <c r="V427" s="130" t="s">
        <v>118</v>
      </c>
      <c r="W427" s="130" t="s">
        <v>84</v>
      </c>
      <c r="X427" s="130" t="s">
        <v>86</v>
      </c>
      <c r="Y427" s="130" t="s">
        <v>86</v>
      </c>
      <c r="Z427" s="131" t="b">
        <v>1</v>
      </c>
      <c r="AA427" s="131"/>
      <c r="AB427" s="130"/>
      <c r="AC427" s="130"/>
      <c r="AD427" s="129"/>
      <c r="AE427" s="129"/>
      <c r="AF427" s="132"/>
      <c r="AG427" s="133" t="b">
        <v>0</v>
      </c>
      <c r="AH427" s="133"/>
      <c r="AI427" s="133"/>
      <c r="AJ427" s="133"/>
      <c r="AK427" s="133"/>
      <c r="AL427" s="129"/>
      <c r="AM427" s="129"/>
      <c r="AN427" s="139"/>
    </row>
    <row r="428">
      <c r="A428" s="118" t="s">
        <v>1375</v>
      </c>
      <c r="B428" s="119">
        <v>85.7</v>
      </c>
      <c r="C428" s="134" t="s">
        <v>75</v>
      </c>
      <c r="D428" s="121">
        <v>3698.52</v>
      </c>
      <c r="E428" s="135">
        <f>IFERROR(__xludf.DUMMYFUNCTION("""COMPUTED_VALUE"""),5107.840676147999)</f>
        <v>5107.840676</v>
      </c>
      <c r="F428" s="136">
        <v>1.54</v>
      </c>
      <c r="G428" s="124">
        <v>9019.0</v>
      </c>
      <c r="H428" s="125">
        <v>4633.0</v>
      </c>
      <c r="I428" s="125">
        <v>2372.0</v>
      </c>
      <c r="J428" s="125">
        <v>1090.0</v>
      </c>
      <c r="K428" s="125">
        <v>498.0</v>
      </c>
      <c r="L428" s="125">
        <v>426.0</v>
      </c>
      <c r="M428" s="126">
        <v>83.0</v>
      </c>
      <c r="N428" s="127">
        <v>92.0</v>
      </c>
      <c r="O428" s="146"/>
      <c r="P428" s="127">
        <v>82.0</v>
      </c>
      <c r="Q428" s="122" t="b">
        <v>1</v>
      </c>
      <c r="R428" s="133"/>
      <c r="S428" s="133">
        <v>6.0</v>
      </c>
      <c r="T428" s="133"/>
      <c r="U428" s="133">
        <v>5.0</v>
      </c>
      <c r="V428" s="130"/>
      <c r="W428" s="130" t="s">
        <v>193</v>
      </c>
      <c r="X428" s="130" t="s">
        <v>225</v>
      </c>
      <c r="Y428" s="130" t="s">
        <v>195</v>
      </c>
      <c r="Z428" s="131" t="b">
        <v>1</v>
      </c>
      <c r="AA428" s="131">
        <v>0.017361111111111112</v>
      </c>
      <c r="AB428" s="130" t="s">
        <v>722</v>
      </c>
      <c r="AC428" s="130" t="s">
        <v>696</v>
      </c>
      <c r="AD428" s="130" t="s">
        <v>1376</v>
      </c>
      <c r="AE428" s="130"/>
      <c r="AF428" s="132" t="s">
        <v>1377</v>
      </c>
      <c r="AG428" s="133" t="b">
        <v>0</v>
      </c>
      <c r="AH428" s="133">
        <v>355.0</v>
      </c>
      <c r="AI428" s="143"/>
      <c r="AJ428" s="143"/>
      <c r="AK428" s="133">
        <v>2.0</v>
      </c>
      <c r="AL428" s="129" t="str">
        <f>IFERROR(__xludf.DUMMYFUNCTION("""COMPUTED_VALUE"""),"Bay View, Family")</f>
        <v>Bay View, Family</v>
      </c>
      <c r="AM428" s="129" t="str">
        <f>IFERROR(__xludf.DUMMYFUNCTION("""COMPUTED_VALUE"""),"Archery, Babysitting, Beach, Buffet, Diving, Evening Entertainment, Gym, Kids Club, Mini Golf, Nightclub, Room Service, Spa, Swim Up Bar, Teen Club, Tennis")</f>
        <v>Archery, Babysitting, Beach, Buffet, Diving, Evening Entertainment, Gym, Kids Club, Mini Golf, Nightclub, Room Service, Spa, Swim Up Bar, Teen Club, Tennis</v>
      </c>
      <c r="AN428" s="128"/>
    </row>
    <row r="429">
      <c r="A429" s="118" t="s">
        <v>1378</v>
      </c>
      <c r="B429" s="119">
        <v>85.7</v>
      </c>
      <c r="C429" s="134" t="s">
        <v>75</v>
      </c>
      <c r="D429" s="121">
        <v>3976.98</v>
      </c>
      <c r="E429" s="135">
        <f>IFERROR(__xludf.DUMMYFUNCTION("""COMPUTED_VALUE"""),5492.407831301999)</f>
        <v>5492.407831</v>
      </c>
      <c r="F429" s="136">
        <v>1.43</v>
      </c>
      <c r="G429" s="124">
        <v>2779.0</v>
      </c>
      <c r="H429" s="125">
        <v>1396.0</v>
      </c>
      <c r="I429" s="125">
        <v>599.0</v>
      </c>
      <c r="J429" s="125">
        <v>317.0</v>
      </c>
      <c r="K429" s="125">
        <v>176.0</v>
      </c>
      <c r="L429" s="125">
        <v>291.0</v>
      </c>
      <c r="M429" s="126">
        <v>79.0</v>
      </c>
      <c r="N429" s="127">
        <v>94.0</v>
      </c>
      <c r="O429" s="146"/>
      <c r="P429" s="127">
        <v>84.0</v>
      </c>
      <c r="Q429" s="135" t="b">
        <v>1</v>
      </c>
      <c r="R429" s="133"/>
      <c r="S429" s="143">
        <v>7.0</v>
      </c>
      <c r="T429" s="133"/>
      <c r="U429" s="133">
        <v>5.0</v>
      </c>
      <c r="V429" s="130"/>
      <c r="W429" s="130" t="s">
        <v>193</v>
      </c>
      <c r="X429" s="130" t="s">
        <v>195</v>
      </c>
      <c r="Y429" s="130" t="s">
        <v>195</v>
      </c>
      <c r="Z429" s="131" t="b">
        <v>1</v>
      </c>
      <c r="AA429" s="131">
        <v>0.018055555555555554</v>
      </c>
      <c r="AB429" s="130" t="s">
        <v>753</v>
      </c>
      <c r="AC429" s="130" t="s">
        <v>75</v>
      </c>
      <c r="AD429" s="130" t="s">
        <v>1379</v>
      </c>
      <c r="AE429" s="130"/>
      <c r="AF429" s="132" t="s">
        <v>231</v>
      </c>
      <c r="AG429" s="143" t="b">
        <v>0</v>
      </c>
      <c r="AH429" s="143">
        <v>512.0</v>
      </c>
      <c r="AI429" s="143">
        <v>2016.0</v>
      </c>
      <c r="AJ429" s="143"/>
      <c r="AK429" s="143">
        <v>3.0</v>
      </c>
      <c r="AL429" s="129" t="str">
        <f>IFERROR(__xludf.DUMMYFUNCTION("""COMPUTED_VALUE"""),"Family")</f>
        <v>Family</v>
      </c>
      <c r="AM429" s="129" t="str">
        <f>IFERROR(__xludf.DUMMYFUNCTION("""COMPUTED_VALUE"""),"Babysitting, Beach, Buffet, Evening Entertainment, Gym, Kids Club, Kids Waterpark, Mini Golf, Nightclub, Pool Slide, Spa, Swim Up Bar, Teen Club, Tennis, Water Feature, Wifi (Free)")</f>
        <v>Babysitting, Beach, Buffet, Evening Entertainment, Gym, Kids Club, Kids Waterpark, Mini Golf, Nightclub, Pool Slide, Spa, Swim Up Bar, Teen Club, Tennis, Water Feature, Wifi (Free)</v>
      </c>
      <c r="AN429" s="139"/>
    </row>
    <row r="430">
      <c r="A430" s="118" t="s">
        <v>1380</v>
      </c>
      <c r="B430" s="119">
        <v>85.7</v>
      </c>
      <c r="C430" s="120" t="s">
        <v>68</v>
      </c>
      <c r="D430" s="121">
        <v>5934.0</v>
      </c>
      <c r="E430" s="122">
        <f>IFERROR(__xludf.DUMMYFUNCTION("""COMPUTED_VALUE"""),8195.150106599998)</f>
        <v>8195.150107</v>
      </c>
      <c r="F430" s="136">
        <v>0.96</v>
      </c>
      <c r="G430" s="124">
        <v>13064.0</v>
      </c>
      <c r="H430" s="125">
        <v>8314.0</v>
      </c>
      <c r="I430" s="125">
        <v>2650.0</v>
      </c>
      <c r="J430" s="125">
        <v>1136.0</v>
      </c>
      <c r="K430" s="125">
        <v>533.0</v>
      </c>
      <c r="L430" s="125">
        <v>431.0</v>
      </c>
      <c r="M430" s="126">
        <v>87.0</v>
      </c>
      <c r="N430" s="127">
        <v>84.0</v>
      </c>
      <c r="O430" s="127"/>
      <c r="P430" s="127">
        <v>86.0</v>
      </c>
      <c r="Q430" s="122" t="b">
        <v>1</v>
      </c>
      <c r="R430" s="133">
        <v>4.0</v>
      </c>
      <c r="S430" s="133" t="s">
        <v>83</v>
      </c>
      <c r="T430" s="133"/>
      <c r="U430" s="133">
        <v>5.0</v>
      </c>
      <c r="V430" s="130" t="s">
        <v>148</v>
      </c>
      <c r="W430" s="130" t="s">
        <v>96</v>
      </c>
      <c r="X430" s="130" t="s">
        <v>1124</v>
      </c>
      <c r="Y430" s="130" t="s">
        <v>98</v>
      </c>
      <c r="Z430" s="131" t="b">
        <v>0</v>
      </c>
      <c r="AA430" s="131">
        <v>0.044444444444444446</v>
      </c>
      <c r="AB430" s="130" t="s">
        <v>386</v>
      </c>
      <c r="AC430" s="130" t="s">
        <v>311</v>
      </c>
      <c r="AD430" s="130" t="s">
        <v>1381</v>
      </c>
      <c r="AE430" s="129"/>
      <c r="AF430" s="132"/>
      <c r="AG430" s="133" t="b">
        <v>0</v>
      </c>
      <c r="AH430" s="133">
        <v>331.0</v>
      </c>
      <c r="AI430" s="133">
        <v>1973.0</v>
      </c>
      <c r="AJ430" s="133">
        <v>2013.0</v>
      </c>
      <c r="AK430" s="143"/>
      <c r="AL430" s="129" t="str">
        <f>IFERROR(__xludf.DUMMYFUNCTION("""COMPUTED_VALUE"""),"Ocean View, Romantic")</f>
        <v>Ocean View, Romantic</v>
      </c>
      <c r="AM430" s="129" t="str">
        <f>IFERROR(__xludf.DUMMYFUNCTION("""COMPUTED_VALUE"""),"Beach, Buffet, Diving, Evening Entertainment, Golf Course, Gym, Nightclub, Snorkelling, Spa, Swim Out/Plunge Pool Rooms, Swim Up Bar, Tennis")</f>
        <v>Beach, Buffet, Diving, Evening Entertainment, Golf Course, Gym, Nightclub, Snorkelling, Spa, Swim Out/Plunge Pool Rooms, Swim Up Bar, Tennis</v>
      </c>
      <c r="AN430" s="128"/>
    </row>
    <row r="431">
      <c r="A431" s="118" t="s">
        <v>1382</v>
      </c>
      <c r="B431" s="119">
        <v>85.7</v>
      </c>
      <c r="C431" s="134" t="s">
        <v>75</v>
      </c>
      <c r="D431" s="121">
        <v>6305.67</v>
      </c>
      <c r="E431" s="135">
        <f>IFERROR(__xludf.DUMMYFUNCTION("""COMPUTED_VALUE"""),8708.444922932998)</f>
        <v>8708.444923</v>
      </c>
      <c r="F431" s="136">
        <v>0.9</v>
      </c>
      <c r="G431" s="124">
        <v>2694.0</v>
      </c>
      <c r="H431" s="125">
        <v>1435.0</v>
      </c>
      <c r="I431" s="125">
        <v>795.0</v>
      </c>
      <c r="J431" s="125">
        <v>283.0</v>
      </c>
      <c r="K431" s="125">
        <v>107.0</v>
      </c>
      <c r="L431" s="125">
        <v>74.0</v>
      </c>
      <c r="M431" s="137">
        <v>85.0</v>
      </c>
      <c r="N431" s="138">
        <v>88.0</v>
      </c>
      <c r="O431" s="127"/>
      <c r="P431" s="138">
        <v>84.0</v>
      </c>
      <c r="Q431" s="135" t="b">
        <v>1</v>
      </c>
      <c r="R431" s="133"/>
      <c r="S431" s="133">
        <v>6.0</v>
      </c>
      <c r="T431" s="133"/>
      <c r="U431" s="133">
        <v>3.0</v>
      </c>
      <c r="V431" s="129"/>
      <c r="W431" s="130" t="s">
        <v>1383</v>
      </c>
      <c r="X431" s="130" t="s">
        <v>1384</v>
      </c>
      <c r="Y431" s="130" t="s">
        <v>1385</v>
      </c>
      <c r="Z431" s="131" t="b">
        <v>0</v>
      </c>
      <c r="AA431" s="131">
        <v>0.03333333333333333</v>
      </c>
      <c r="AB431" s="130" t="s">
        <v>412</v>
      </c>
      <c r="AC431" s="130" t="s">
        <v>442</v>
      </c>
      <c r="AD431" s="130" t="s">
        <v>1386</v>
      </c>
      <c r="AE431" s="130"/>
      <c r="AF431" s="132" t="s">
        <v>1387</v>
      </c>
      <c r="AG431" s="133" t="b">
        <v>0</v>
      </c>
      <c r="AH431" s="133">
        <v>152.0</v>
      </c>
      <c r="AI431" s="133">
        <v>2000.0</v>
      </c>
      <c r="AJ431" s="133">
        <v>2014.0</v>
      </c>
      <c r="AK431" s="133">
        <v>3.0</v>
      </c>
      <c r="AL431" s="129" t="str">
        <f>IFERROR(__xludf.DUMMYFUNCTION("""COMPUTED_VALUE"""),"Ocean View")</f>
        <v>Ocean View</v>
      </c>
      <c r="AM431" s="129" t="str">
        <f>IFERROR(__xludf.DUMMYFUNCTION("""COMPUTED_VALUE"""),"2 Bedroom Suites, Babysitting, Beach, Diving, Family Suite, Gym, Kids Club, Snorkelling, Spa, Tennis, Wifi (Free), Wifi (Paid)")</f>
        <v>2 Bedroom Suites, Babysitting, Beach, Diving, Family Suite, Gym, Kids Club, Snorkelling, Spa, Tennis, Wifi (Free), Wifi (Paid)</v>
      </c>
      <c r="AN431" s="139"/>
    </row>
    <row r="432">
      <c r="A432" s="118" t="s">
        <v>1388</v>
      </c>
      <c r="B432" s="119">
        <v>85.7</v>
      </c>
      <c r="C432" s="134" t="s">
        <v>75</v>
      </c>
      <c r="D432" s="121"/>
      <c r="E432" s="135"/>
      <c r="F432" s="136"/>
      <c r="G432" s="124">
        <v>1691.0</v>
      </c>
      <c r="H432" s="125">
        <v>1010.0</v>
      </c>
      <c r="I432" s="125">
        <v>442.0</v>
      </c>
      <c r="J432" s="125">
        <v>148.0</v>
      </c>
      <c r="K432" s="125">
        <v>37.0</v>
      </c>
      <c r="L432" s="125">
        <v>54.0</v>
      </c>
      <c r="M432" s="137">
        <v>87.0</v>
      </c>
      <c r="N432" s="138">
        <v>84.0</v>
      </c>
      <c r="O432" s="127"/>
      <c r="P432" s="138">
        <v>86.0</v>
      </c>
      <c r="Q432" s="135" t="b">
        <v>1</v>
      </c>
      <c r="R432" s="133" t="s">
        <v>1183</v>
      </c>
      <c r="S432" s="133">
        <v>7.0</v>
      </c>
      <c r="T432" s="133"/>
      <c r="U432" s="133">
        <v>4.0</v>
      </c>
      <c r="V432" s="130"/>
      <c r="W432" s="130" t="s">
        <v>642</v>
      </c>
      <c r="X432" s="130" t="s">
        <v>642</v>
      </c>
      <c r="Y432" s="130" t="s">
        <v>644</v>
      </c>
      <c r="Z432" s="131" t="b">
        <v>1</v>
      </c>
      <c r="AA432" s="131">
        <v>0.02013888888888889</v>
      </c>
      <c r="AB432" s="130" t="s">
        <v>451</v>
      </c>
      <c r="AC432" s="130" t="s">
        <v>818</v>
      </c>
      <c r="AD432" s="130" t="s">
        <v>1389</v>
      </c>
      <c r="AE432" s="130" t="s">
        <v>396</v>
      </c>
      <c r="AF432" s="132" t="s">
        <v>181</v>
      </c>
      <c r="AG432" s="133" t="b">
        <v>0</v>
      </c>
      <c r="AH432" s="133">
        <v>104.0</v>
      </c>
      <c r="AI432" s="133">
        <v>1969.0</v>
      </c>
      <c r="AJ432" s="133">
        <v>2014.0</v>
      </c>
      <c r="AK432" s="133">
        <v>3.0</v>
      </c>
      <c r="AL432" s="129" t="str">
        <f>IFERROR(__xludf.DUMMYFUNCTION("""COMPUTED_VALUE"""),"Green")</f>
        <v>Green</v>
      </c>
      <c r="AM432" s="129" t="str">
        <f>IFERROR(__xludf.DUMMYFUNCTION("""COMPUTED_VALUE"""),"Adult Pool, Beach, Buffet, Evening Entertainment, Gym, Kids Club, Snorkelling, Spa, Teen Club, Watersports Equipment Rentals, Wifi (Free), Yoga Classes")</f>
        <v>Adult Pool, Beach, Buffet, Evening Entertainment, Gym, Kids Club, Snorkelling, Spa, Teen Club, Watersports Equipment Rentals, Wifi (Free), Yoga Classes</v>
      </c>
      <c r="AN432" s="139"/>
    </row>
    <row r="433">
      <c r="A433" s="118" t="s">
        <v>1390</v>
      </c>
      <c r="B433" s="119">
        <v>85.5</v>
      </c>
      <c r="C433" s="134" t="s">
        <v>75</v>
      </c>
      <c r="D433" s="121">
        <v>2016.0</v>
      </c>
      <c r="E433" s="135">
        <f>IFERROR(__xludf.DUMMYFUNCTION("""COMPUTED_VALUE"""),2784.1965984)</f>
        <v>2784.196598</v>
      </c>
      <c r="F433" s="136">
        <v>2.73</v>
      </c>
      <c r="G433" s="124">
        <v>8126.0</v>
      </c>
      <c r="H433" s="125">
        <v>4066.0</v>
      </c>
      <c r="I433" s="125">
        <v>2633.0</v>
      </c>
      <c r="J433" s="125">
        <v>869.0</v>
      </c>
      <c r="K433" s="125">
        <v>335.0</v>
      </c>
      <c r="L433" s="125">
        <v>223.0</v>
      </c>
      <c r="M433" s="126">
        <v>85.0</v>
      </c>
      <c r="N433" s="127">
        <v>86.0</v>
      </c>
      <c r="O433" s="146"/>
      <c r="P433" s="146"/>
      <c r="Q433" s="137" t="b">
        <v>1</v>
      </c>
      <c r="R433" s="128"/>
      <c r="S433" s="133" t="s">
        <v>83</v>
      </c>
      <c r="T433" s="128"/>
      <c r="U433" s="133">
        <v>4.0</v>
      </c>
      <c r="V433" s="129"/>
      <c r="W433" s="130" t="s">
        <v>276</v>
      </c>
      <c r="X433" s="130" t="s">
        <v>1001</v>
      </c>
      <c r="Y433" s="130" t="s">
        <v>570</v>
      </c>
      <c r="Z433" s="131" t="b">
        <v>1</v>
      </c>
      <c r="AA433" s="131">
        <v>0.04583333333333333</v>
      </c>
      <c r="AB433" s="129"/>
      <c r="AC433" s="129"/>
      <c r="AD433" s="130" t="s">
        <v>1391</v>
      </c>
      <c r="AE433" s="130"/>
      <c r="AF433" s="132" t="s">
        <v>81</v>
      </c>
      <c r="AG433" s="133" t="b">
        <v>0</v>
      </c>
      <c r="AH433" s="133">
        <v>464.0</v>
      </c>
      <c r="AI433" s="133">
        <v>1991.0</v>
      </c>
      <c r="AJ433" s="133">
        <v>2012.0</v>
      </c>
      <c r="AK433" s="133">
        <v>3.0</v>
      </c>
      <c r="AL433" s="129"/>
      <c r="AM433" s="129" t="str">
        <f>IFERROR(__xludf.DUMMYFUNCTION("""COMPUTED_VALUE"""),"2 Bedroom Suites, Babysitting, Beach, Buffet, Diving, Evening Entertainment, Family Suite, Fishing, Gym, Kids Club, Nightclub, Snorkelling, Spa, Swim Up Bar, Tennis")</f>
        <v>2 Bedroom Suites, Babysitting, Beach, Buffet, Diving, Evening Entertainment, Family Suite, Fishing, Gym, Kids Club, Nightclub, Snorkelling, Spa, Swim Up Bar, Tennis</v>
      </c>
      <c r="AN433" s="139"/>
    </row>
    <row r="434">
      <c r="A434" s="118" t="s">
        <v>1392</v>
      </c>
      <c r="B434" s="119">
        <v>85.5</v>
      </c>
      <c r="C434" s="134" t="s">
        <v>75</v>
      </c>
      <c r="D434" s="150">
        <v>2227.75</v>
      </c>
      <c r="E434" s="135">
        <f>IFERROR(__xludf.DUMMYFUNCTION("""COMPUTED_VALUE"""),3076.6339147249996)</f>
        <v>3076.633915</v>
      </c>
      <c r="F434" s="136">
        <v>2.47</v>
      </c>
      <c r="G434" s="124">
        <v>10700.0</v>
      </c>
      <c r="H434" s="125">
        <v>5760.0</v>
      </c>
      <c r="I434" s="125">
        <v>3072.0</v>
      </c>
      <c r="J434" s="125">
        <v>1116.0</v>
      </c>
      <c r="K434" s="125">
        <v>452.0</v>
      </c>
      <c r="L434" s="125">
        <v>300.0</v>
      </c>
      <c r="M434" s="126">
        <v>85.0</v>
      </c>
      <c r="N434" s="127">
        <v>86.0</v>
      </c>
      <c r="O434" s="146"/>
      <c r="P434" s="146"/>
      <c r="Q434" s="137" t="b">
        <v>1</v>
      </c>
      <c r="R434" s="128"/>
      <c r="S434" s="133">
        <v>6.0</v>
      </c>
      <c r="T434" s="128"/>
      <c r="U434" s="133">
        <v>5.0</v>
      </c>
      <c r="V434" s="129"/>
      <c r="W434" s="130" t="s">
        <v>276</v>
      </c>
      <c r="X434" s="130" t="s">
        <v>569</v>
      </c>
      <c r="Y434" s="130" t="s">
        <v>570</v>
      </c>
      <c r="Z434" s="131" t="b">
        <v>1</v>
      </c>
      <c r="AA434" s="131">
        <v>0.043055555555555555</v>
      </c>
      <c r="AB434" s="129"/>
      <c r="AC434" s="130" t="s">
        <v>442</v>
      </c>
      <c r="AD434" s="130" t="s">
        <v>1393</v>
      </c>
      <c r="AE434" s="130"/>
      <c r="AF434" s="132" t="s">
        <v>1394</v>
      </c>
      <c r="AG434" s="133" t="b">
        <v>0</v>
      </c>
      <c r="AH434" s="133">
        <v>968.0</v>
      </c>
      <c r="AI434" s="133">
        <v>2003.0</v>
      </c>
      <c r="AJ434" s="128"/>
      <c r="AK434" s="133">
        <v>2.0</v>
      </c>
      <c r="AL434" s="129" t="str">
        <f>IFERROR(__xludf.DUMMYFUNCTION("""COMPUTED_VALUE"""),"Ocean View")</f>
        <v>Ocean View</v>
      </c>
      <c r="AM434" s="129" t="str">
        <f>IFERROR(__xludf.DUMMYFUNCTION("""COMPUTED_VALUE"""),"Beach, Buffet, Diving, Evening Entertainment, Fishing, Gym, Kids Club, Nightclub, Spa, Swim Up Bar, Teen Club")</f>
        <v>Beach, Buffet, Diving, Evening Entertainment, Fishing, Gym, Kids Club, Nightclub, Spa, Swim Up Bar, Teen Club</v>
      </c>
      <c r="AN434" s="139"/>
    </row>
    <row r="435">
      <c r="A435" s="118" t="s">
        <v>1395</v>
      </c>
      <c r="B435" s="119">
        <v>85.5</v>
      </c>
      <c r="C435" s="134" t="s">
        <v>75</v>
      </c>
      <c r="D435" s="121">
        <v>3112.2</v>
      </c>
      <c r="E435" s="135">
        <f>IFERROR(__xludf.DUMMYFUNCTION("""COMPUTED_VALUE"""),4298.103498779999)</f>
        <v>4298.103499</v>
      </c>
      <c r="F435" s="136">
        <v>1.77</v>
      </c>
      <c r="G435" s="124">
        <v>6093.0</v>
      </c>
      <c r="H435" s="125">
        <v>3804.0</v>
      </c>
      <c r="I435" s="125">
        <v>1350.0</v>
      </c>
      <c r="J435" s="125">
        <v>462.0</v>
      </c>
      <c r="K435" s="125">
        <v>251.0</v>
      </c>
      <c r="L435" s="125">
        <v>226.0</v>
      </c>
      <c r="M435" s="126">
        <v>87.0</v>
      </c>
      <c r="N435" s="138">
        <v>84.0</v>
      </c>
      <c r="O435" s="146"/>
      <c r="P435" s="146"/>
      <c r="Q435" s="122" t="b">
        <v>1</v>
      </c>
      <c r="R435" s="133"/>
      <c r="S435" s="133">
        <v>7.0</v>
      </c>
      <c r="T435" s="133"/>
      <c r="U435" s="133">
        <v>5.0</v>
      </c>
      <c r="V435" s="130"/>
      <c r="W435" s="130" t="s">
        <v>84</v>
      </c>
      <c r="X435" s="130" t="s">
        <v>86</v>
      </c>
      <c r="Y435" s="130" t="s">
        <v>86</v>
      </c>
      <c r="Z435" s="131" t="b">
        <v>1</v>
      </c>
      <c r="AA435" s="131">
        <v>0.008333333333333333</v>
      </c>
      <c r="AB435" s="130"/>
      <c r="AC435" s="130" t="s">
        <v>1396</v>
      </c>
      <c r="AD435" s="130" t="s">
        <v>1397</v>
      </c>
      <c r="AE435" s="130"/>
      <c r="AF435" s="132" t="s">
        <v>373</v>
      </c>
      <c r="AG435" s="133" t="b">
        <v>0</v>
      </c>
      <c r="AH435" s="133">
        <v>200.0</v>
      </c>
      <c r="AI435" s="143"/>
      <c r="AJ435" s="143"/>
      <c r="AK435" s="133">
        <v>7.0</v>
      </c>
      <c r="AL435" s="129" t="str">
        <f>IFERROR(__xludf.DUMMYFUNCTION("""COMPUTED_VALUE"""),"Bay View, Classic")</f>
        <v>Bay View, Classic</v>
      </c>
      <c r="AM435" s="129" t="str">
        <f>IFERROR(__xludf.DUMMYFUNCTION("""COMPUTED_VALUE"""),"Babysitting, Beach, Buffet, Evening Entertainment, Gym, Heated Pool, Kids Club, Kids Waterpark, Pool Slide, Room Service, Spa, Swim Up Bar, Water Feature")</f>
        <v>Babysitting, Beach, Buffet, Evening Entertainment, Gym, Heated Pool, Kids Club, Kids Waterpark, Pool Slide, Room Service, Spa, Swim Up Bar, Water Feature</v>
      </c>
      <c r="AN435" s="139"/>
    </row>
    <row r="436">
      <c r="A436" s="118" t="s">
        <v>1398</v>
      </c>
      <c r="B436" s="119">
        <v>85.5</v>
      </c>
      <c r="C436" s="134" t="s">
        <v>75</v>
      </c>
      <c r="D436" s="150">
        <v>4963.0</v>
      </c>
      <c r="E436" s="135">
        <f>IFERROR(__xludf.DUMMYFUNCTION("""COMPUTED_VALUE"""),6854.1506537)</f>
        <v>6854.150654</v>
      </c>
      <c r="F436" s="136">
        <v>1.11</v>
      </c>
      <c r="G436" s="124">
        <v>14201.0</v>
      </c>
      <c r="H436" s="125">
        <v>9220.0</v>
      </c>
      <c r="I436" s="125">
        <v>2945.0</v>
      </c>
      <c r="J436" s="125">
        <v>1209.0</v>
      </c>
      <c r="K436" s="125">
        <v>443.0</v>
      </c>
      <c r="L436" s="125">
        <v>384.0</v>
      </c>
      <c r="M436" s="126">
        <v>88.0</v>
      </c>
      <c r="N436" s="127">
        <v>86.0</v>
      </c>
      <c r="O436" s="127">
        <v>88.0</v>
      </c>
      <c r="P436" s="127">
        <v>80.0</v>
      </c>
      <c r="Q436" s="135" t="b">
        <v>1</v>
      </c>
      <c r="R436" s="133"/>
      <c r="S436" s="133">
        <v>7.0</v>
      </c>
      <c r="T436" s="133" t="s">
        <v>955</v>
      </c>
      <c r="U436" s="133">
        <v>4.5</v>
      </c>
      <c r="V436" s="130"/>
      <c r="W436" s="130" t="s">
        <v>84</v>
      </c>
      <c r="X436" s="130" t="s">
        <v>210</v>
      </c>
      <c r="Y436" s="130" t="s">
        <v>86</v>
      </c>
      <c r="Z436" s="131" t="b">
        <v>1</v>
      </c>
      <c r="AA436" s="131">
        <v>0.013888888888888888</v>
      </c>
      <c r="AB436" s="130" t="s">
        <v>50</v>
      </c>
      <c r="AC436" s="130" t="s">
        <v>1041</v>
      </c>
      <c r="AD436" s="130" t="s">
        <v>1399</v>
      </c>
      <c r="AE436" s="130" t="s">
        <v>396</v>
      </c>
      <c r="AF436" s="132" t="s">
        <v>373</v>
      </c>
      <c r="AG436" s="133" t="b">
        <v>0</v>
      </c>
      <c r="AH436" s="133">
        <v>488.0</v>
      </c>
      <c r="AI436" s="133">
        <v>2001.0</v>
      </c>
      <c r="AJ436" s="133">
        <v>2019.0</v>
      </c>
      <c r="AK436" s="133">
        <v>3.0</v>
      </c>
      <c r="AL436" s="129" t="str">
        <f>IFERROR(__xludf.DUMMYFUNCTION("""COMPUTED_VALUE"""),"Family, Great View")</f>
        <v>Family, Great View</v>
      </c>
      <c r="AM436" s="129" t="str">
        <f>IFERROR(__xludf.DUMMYFUNCTION("""COMPUTED_VALUE"""),"2 Bedroom Suites, Adult Pool, Babysitting, Beach, Buffet, Diving, Evening Entertainment, Family Suite, Fishing, Gym, Kids Club, Kids Club for Under 4, Nightclub, Room Service, Snorkelling, Spa, Swim Out/Plunge Pool Rooms, Swim Up Bar, Teen Club, Tennis, W"&amp;"ifi (Free), Yoga Classes")</f>
        <v>2 Bedroom Suites, Adult Pool, Babysitting, Beach, Buffet, Diving, Evening Entertainment, Family Suite, Fishing, Gym, Kids Club, Kids Club for Under 4, Nightclub, Room Service, Snorkelling, Spa, Swim Out/Plunge Pool Rooms, Swim Up Bar, Teen Club, Tennis, Wifi (Free), Yoga Classes</v>
      </c>
      <c r="AN436" s="139"/>
    </row>
    <row r="437">
      <c r="A437" s="140" t="s">
        <v>1400</v>
      </c>
      <c r="B437" s="119">
        <v>85.5</v>
      </c>
      <c r="C437" s="141" t="s">
        <v>75</v>
      </c>
      <c r="D437" s="142">
        <v>6308.0</v>
      </c>
      <c r="E437" s="122">
        <f>IFERROR(__xludf.DUMMYFUNCTION("""COMPUTED_VALUE"""),8711.662769199998)</f>
        <v>8711.662769</v>
      </c>
      <c r="F437" s="136">
        <v>0.87</v>
      </c>
      <c r="G437" s="124">
        <v>13623.0</v>
      </c>
      <c r="H437" s="125">
        <v>7534.0</v>
      </c>
      <c r="I437" s="125">
        <v>3626.0</v>
      </c>
      <c r="J437" s="125">
        <v>1383.0</v>
      </c>
      <c r="K437" s="125">
        <v>602.0</v>
      </c>
      <c r="L437" s="125">
        <v>484.0</v>
      </c>
      <c r="M437" s="126">
        <v>85.0</v>
      </c>
      <c r="N437" s="127">
        <v>86.0</v>
      </c>
      <c r="O437" s="127"/>
      <c r="P437" s="127"/>
      <c r="Q437" s="122" t="b">
        <v>1</v>
      </c>
      <c r="R437" s="157"/>
      <c r="S437" s="133">
        <v>6.0</v>
      </c>
      <c r="T437" s="157"/>
      <c r="U437" s="133">
        <v>3.0</v>
      </c>
      <c r="V437" s="129"/>
      <c r="W437" s="144" t="s">
        <v>137</v>
      </c>
      <c r="X437" s="144" t="s">
        <v>480</v>
      </c>
      <c r="Y437" s="144" t="s">
        <v>139</v>
      </c>
      <c r="Z437" s="145" t="b">
        <v>1</v>
      </c>
      <c r="AA437" s="145">
        <v>0.013194444444444444</v>
      </c>
      <c r="AB437" s="129" t="s">
        <v>441</v>
      </c>
      <c r="AC437" s="144" t="s">
        <v>780</v>
      </c>
      <c r="AD437" s="130" t="s">
        <v>1401</v>
      </c>
      <c r="AE437" s="129"/>
      <c r="AF437" s="132"/>
      <c r="AG437" s="143" t="b">
        <v>0</v>
      </c>
      <c r="AH437" s="143">
        <v>291.0</v>
      </c>
      <c r="AI437" s="143">
        <v>1984.0</v>
      </c>
      <c r="AJ437" s="143">
        <v>2012.0</v>
      </c>
      <c r="AK437" s="143">
        <v>2.0</v>
      </c>
      <c r="AL437" s="129" t="str">
        <f>IFERROR(__xludf.DUMMYFUNCTION("""COMPUTED_VALUE"""),"Bay View, Mid-Range")</f>
        <v>Bay View, Mid-Range</v>
      </c>
      <c r="AM437" s="129" t="str">
        <f>IFERROR(__xludf.DUMMYFUNCTION("""COMPUTED_VALUE"""),"Adult Pool, Beach, Buffet, Diving, Evening Entertainment, Gym, Kids Club, Kids Club for Under 4, Nightclub, Snorkelling, Spa, Tennis")</f>
        <v>Adult Pool, Beach, Buffet, Diving, Evening Entertainment, Gym, Kids Club, Kids Club for Under 4, Nightclub, Snorkelling, Spa, Tennis</v>
      </c>
      <c r="AN437" s="128"/>
    </row>
    <row r="438">
      <c r="A438" s="118" t="s">
        <v>1402</v>
      </c>
      <c r="B438" s="119">
        <v>85.3</v>
      </c>
      <c r="C438" s="134" t="s">
        <v>75</v>
      </c>
      <c r="D438" s="150">
        <v>2464.0</v>
      </c>
      <c r="E438" s="135">
        <f>IFERROR(__xludf.DUMMYFUNCTION("""COMPUTED_VALUE"""),3402.9069535999997)</f>
        <v>3402.906954</v>
      </c>
      <c r="F438" s="136">
        <v>2.15</v>
      </c>
      <c r="G438" s="124">
        <v>3001.0</v>
      </c>
      <c r="H438" s="125">
        <v>2269.0</v>
      </c>
      <c r="I438" s="125">
        <v>360.0</v>
      </c>
      <c r="J438" s="125">
        <v>170.0</v>
      </c>
      <c r="K438" s="125">
        <v>88.0</v>
      </c>
      <c r="L438" s="125">
        <v>119.0</v>
      </c>
      <c r="M438" s="126">
        <v>90.0</v>
      </c>
      <c r="N438" s="127">
        <v>82.0</v>
      </c>
      <c r="O438" s="146"/>
      <c r="P438" s="127">
        <v>84.0</v>
      </c>
      <c r="Q438" s="122" t="b">
        <v>1</v>
      </c>
      <c r="R438" s="133">
        <v>3.0</v>
      </c>
      <c r="S438" s="143">
        <v>7.0</v>
      </c>
      <c r="T438" s="133" t="s">
        <v>955</v>
      </c>
      <c r="U438" s="133">
        <v>4.5</v>
      </c>
      <c r="V438" s="129"/>
      <c r="W438" s="130" t="s">
        <v>84</v>
      </c>
      <c r="X438" s="130" t="s">
        <v>528</v>
      </c>
      <c r="Y438" s="130" t="s">
        <v>86</v>
      </c>
      <c r="Z438" s="131" t="b">
        <v>1</v>
      </c>
      <c r="AA438" s="131">
        <v>0.04652777777777778</v>
      </c>
      <c r="AB438" s="130" t="s">
        <v>50</v>
      </c>
      <c r="AC438" s="130" t="s">
        <v>75</v>
      </c>
      <c r="AD438" s="130" t="s">
        <v>1403</v>
      </c>
      <c r="AE438" s="130" t="s">
        <v>396</v>
      </c>
      <c r="AF438" s="132" t="s">
        <v>297</v>
      </c>
      <c r="AG438" s="133" t="b">
        <v>0</v>
      </c>
      <c r="AH438" s="133">
        <v>305.0</v>
      </c>
      <c r="AI438" s="133">
        <v>1988.0</v>
      </c>
      <c r="AJ438" s="133">
        <v>2008.0</v>
      </c>
      <c r="AK438" s="133">
        <v>7.0</v>
      </c>
      <c r="AL438" s="129" t="str">
        <f>IFERROR(__xludf.DUMMYFUNCTION("""COMPUTED_VALUE"""),"Family")</f>
        <v>Family</v>
      </c>
      <c r="AM438" s="129" t="str">
        <f>IFERROR(__xludf.DUMMYFUNCTION("""COMPUTED_VALUE"""),"2 Bedroom Suites, Adult Pool, Adults Only Rooms, Arcade, Babysitting, Beach, Big Waterslides, Buffet, Diving, Evening Entertainment, Family Suite, Gym, Heated Pool, Kids Club, Kids Club for Under 4, Kids Waterpark, Room Service, Snorkelling, Spa, Swim Out"&amp;"/Plunge Pool Rooms, Swim Up Bar, Yoga Classes")</f>
        <v>2 Bedroom Suites, Adult Pool, Adults Only Rooms, Arcade, Babysitting, Beach, Big Waterslides, Buffet, Diving, Evening Entertainment, Family Suite, Gym, Heated Pool, Kids Club, Kids Club for Under 4, Kids Waterpark, Room Service, Snorkelling, Spa, Swim Out/Plunge Pool Rooms, Swim Up Bar, Yoga Classes</v>
      </c>
      <c r="AN438" s="128"/>
    </row>
    <row r="439">
      <c r="A439" s="118" t="s">
        <v>1404</v>
      </c>
      <c r="B439" s="119">
        <v>85.3</v>
      </c>
      <c r="C439" s="133" t="s">
        <v>75</v>
      </c>
      <c r="D439" s="121">
        <v>2651.26</v>
      </c>
      <c r="E439" s="122">
        <f>IFERROR(__xludf.DUMMYFUNCTION("""COMPUTED_VALUE"""),3661.5223578739997)</f>
        <v>3661.522358</v>
      </c>
      <c r="F439" s="136">
        <v>2.0</v>
      </c>
      <c r="G439" s="124">
        <v>1849.0</v>
      </c>
      <c r="H439" s="125">
        <v>954.0</v>
      </c>
      <c r="I439" s="125">
        <v>472.0</v>
      </c>
      <c r="J439" s="125">
        <v>227.0</v>
      </c>
      <c r="K439" s="125">
        <v>86.0</v>
      </c>
      <c r="L439" s="125">
        <v>111.0</v>
      </c>
      <c r="M439" s="126">
        <v>82.0</v>
      </c>
      <c r="N439" s="138">
        <v>90.0</v>
      </c>
      <c r="O439" s="146"/>
      <c r="P439" s="127">
        <v>84.0</v>
      </c>
      <c r="Q439" s="126" t="b">
        <v>1</v>
      </c>
      <c r="R439" s="128"/>
      <c r="S439" s="133">
        <v>6.0</v>
      </c>
      <c r="T439" s="128"/>
      <c r="U439" s="133">
        <v>5.0</v>
      </c>
      <c r="V439" s="129"/>
      <c r="W439" s="144" t="s">
        <v>84</v>
      </c>
      <c r="X439" s="144" t="s">
        <v>665</v>
      </c>
      <c r="Y439" s="144" t="s">
        <v>666</v>
      </c>
      <c r="Z439" s="133" t="b">
        <v>1</v>
      </c>
      <c r="AA439" s="131">
        <v>0.02361111111111111</v>
      </c>
      <c r="AB439" s="129" t="s">
        <v>1036</v>
      </c>
      <c r="AC439" s="147" t="s">
        <v>573</v>
      </c>
      <c r="AD439" s="147" t="s">
        <v>1405</v>
      </c>
      <c r="AE439" s="129"/>
      <c r="AF439" s="148" t="s">
        <v>318</v>
      </c>
      <c r="AG439" s="143" t="b">
        <v>0</v>
      </c>
      <c r="AH439" s="133">
        <v>400.0</v>
      </c>
      <c r="AI439" s="133">
        <v>1999.0</v>
      </c>
      <c r="AJ439" s="133">
        <v>2009.0</v>
      </c>
      <c r="AK439" s="133">
        <v>10.0</v>
      </c>
      <c r="AL439" s="129" t="str">
        <f>IFERROR(__xludf.DUMMYFUNCTION("""COMPUTED_VALUE"""),"Family, Modern")</f>
        <v>Family, Modern</v>
      </c>
      <c r="AM439" s="129" t="str">
        <f>IFERROR(__xludf.DUMMYFUNCTION("""COMPUTED_VALUE"""),"Archery, Beach, Buffet, Evening Entertainment, Family Suite, Gym, Kids Club, Kids Waterpark, Mini Golf, Nightclub, Snorkelling, Spa, Swim Up Bar, Teen Club, Tennis, Wifi (Paid)")</f>
        <v>Archery, Beach, Buffet, Evening Entertainment, Family Suite, Gym, Kids Club, Kids Waterpark, Mini Golf, Nightclub, Snorkelling, Spa, Swim Up Bar, Teen Club, Tennis, Wifi (Paid)</v>
      </c>
      <c r="AN439" s="139"/>
    </row>
    <row r="440">
      <c r="A440" s="118" t="s">
        <v>1406</v>
      </c>
      <c r="B440" s="119">
        <v>85.3</v>
      </c>
      <c r="C440" s="134" t="s">
        <v>75</v>
      </c>
      <c r="D440" s="121">
        <v>2651.87</v>
      </c>
      <c r="E440" s="135">
        <f>IFERROR(__xludf.DUMMYFUNCTION("""COMPUTED_VALUE"""),3662.3647983129995)</f>
        <v>3662.364798</v>
      </c>
      <c r="F440" s="136">
        <v>2.0</v>
      </c>
      <c r="G440" s="124">
        <v>8009.0</v>
      </c>
      <c r="H440" s="125">
        <v>4404.0</v>
      </c>
      <c r="I440" s="125">
        <v>1956.0</v>
      </c>
      <c r="J440" s="125">
        <v>889.0</v>
      </c>
      <c r="K440" s="125">
        <v>439.0</v>
      </c>
      <c r="L440" s="125">
        <v>321.0</v>
      </c>
      <c r="M440" s="126">
        <v>84.0</v>
      </c>
      <c r="N440" s="127">
        <v>90.0</v>
      </c>
      <c r="O440" s="146"/>
      <c r="P440" s="127">
        <v>82.0</v>
      </c>
      <c r="Q440" s="122" t="b">
        <v>1</v>
      </c>
      <c r="R440" s="133"/>
      <c r="S440" s="133">
        <v>6.0</v>
      </c>
      <c r="T440" s="133"/>
      <c r="U440" s="133">
        <v>5.0</v>
      </c>
      <c r="V440" s="129"/>
      <c r="W440" s="130" t="s">
        <v>84</v>
      </c>
      <c r="X440" s="130" t="s">
        <v>1407</v>
      </c>
      <c r="Y440" s="130" t="s">
        <v>1407</v>
      </c>
      <c r="Z440" s="131" t="b">
        <v>0</v>
      </c>
      <c r="AA440" s="131">
        <v>0.022916666666666665</v>
      </c>
      <c r="AB440" s="130" t="s">
        <v>362</v>
      </c>
      <c r="AC440" s="130" t="s">
        <v>1337</v>
      </c>
      <c r="AD440" s="130" t="s">
        <v>1408</v>
      </c>
      <c r="AE440" s="130"/>
      <c r="AF440" s="132" t="s">
        <v>849</v>
      </c>
      <c r="AG440" s="133" t="b">
        <v>1</v>
      </c>
      <c r="AH440" s="133">
        <v>324.0</v>
      </c>
      <c r="AI440" s="133">
        <v>1999.0</v>
      </c>
      <c r="AJ440" s="133">
        <v>2006.0</v>
      </c>
      <c r="AK440" s="133">
        <v>7.0</v>
      </c>
      <c r="AL440" s="129" t="str">
        <f>IFERROR(__xludf.DUMMYFUNCTION("""COMPUTED_VALUE"""),"Great View")</f>
        <v>Great View</v>
      </c>
      <c r="AM440" s="129" t="str">
        <f>IFERROR(__xludf.DUMMYFUNCTION("""COMPUTED_VALUE"""),"Adult Pool, Babysitting, Beach, Buffet, Evening Entertainment, Gym, Kids Club, Nightclub, Pool Slide, Room Service, Spa, Swim Out/Plunge Pool Rooms, Tennis, Water Feature")</f>
        <v>Adult Pool, Babysitting, Beach, Buffet, Evening Entertainment, Gym, Kids Club, Nightclub, Pool Slide, Room Service, Spa, Swim Out/Plunge Pool Rooms, Tennis, Water Feature</v>
      </c>
      <c r="AN440" s="128"/>
    </row>
    <row r="441">
      <c r="A441" s="118" t="s">
        <v>1409</v>
      </c>
      <c r="B441" s="119">
        <v>85.3</v>
      </c>
      <c r="C441" s="134" t="s">
        <v>75</v>
      </c>
      <c r="D441" s="150">
        <v>2816.94</v>
      </c>
      <c r="E441" s="135">
        <f>IFERROR(__xludf.DUMMYFUNCTION("""COMPUTED_VALUE"""),3890.3347053059997)</f>
        <v>3890.334705</v>
      </c>
      <c r="F441" s="136">
        <v>1.88</v>
      </c>
      <c r="G441" s="124">
        <v>17670.0</v>
      </c>
      <c r="H441" s="125">
        <v>9352.0</v>
      </c>
      <c r="I441" s="125">
        <v>4865.0</v>
      </c>
      <c r="J441" s="125">
        <v>1928.0</v>
      </c>
      <c r="K441" s="125">
        <v>772.0</v>
      </c>
      <c r="L441" s="125">
        <v>757.0</v>
      </c>
      <c r="M441" s="126">
        <v>84.0</v>
      </c>
      <c r="N441" s="127">
        <v>92.0</v>
      </c>
      <c r="O441" s="146"/>
      <c r="P441" s="127">
        <v>80.0</v>
      </c>
      <c r="Q441" s="122" t="b">
        <v>1</v>
      </c>
      <c r="R441" s="133"/>
      <c r="S441" s="133">
        <v>6.0</v>
      </c>
      <c r="T441" s="133"/>
      <c r="U441" s="133">
        <v>5.0</v>
      </c>
      <c r="V441" s="129"/>
      <c r="W441" s="130" t="s">
        <v>84</v>
      </c>
      <c r="X441" s="130" t="s">
        <v>1410</v>
      </c>
      <c r="Y441" s="144" t="s">
        <v>337</v>
      </c>
      <c r="Z441" s="145" t="b">
        <v>1</v>
      </c>
      <c r="AA441" s="145">
        <v>0.04375</v>
      </c>
      <c r="AB441" s="144" t="s">
        <v>753</v>
      </c>
      <c r="AC441" s="129"/>
      <c r="AD441" s="130" t="s">
        <v>1411</v>
      </c>
      <c r="AE441" s="130"/>
      <c r="AF441" s="132" t="s">
        <v>231</v>
      </c>
      <c r="AG441" s="133" t="b">
        <v>0</v>
      </c>
      <c r="AH441" s="133">
        <v>1110.0</v>
      </c>
      <c r="AI441" s="133">
        <v>2005.0</v>
      </c>
      <c r="AJ441" s="143"/>
      <c r="AK441" s="133">
        <v>3.0</v>
      </c>
      <c r="AL441" s="129"/>
      <c r="AM441" s="129" t="str">
        <f>IFERROR(__xludf.DUMMYFUNCTION("""COMPUTED_VALUE"""),"Adult Pool, Babysitting, Beach, Buffet, Casino, Evening Entertainment, Golf Course, Gym, Kids Club, Kids Waterpark, Nightclub, Pool Slide, Spa, Swim Up Bar, Teen Club, Tennis, Water Feature")</f>
        <v>Adult Pool, Babysitting, Beach, Buffet, Casino, Evening Entertainment, Golf Course, Gym, Kids Club, Kids Waterpark, Nightclub, Pool Slide, Spa, Swim Up Bar, Teen Club, Tennis, Water Feature</v>
      </c>
      <c r="AN441" s="139"/>
    </row>
    <row r="442">
      <c r="A442" s="118" t="s">
        <v>1412</v>
      </c>
      <c r="B442" s="119">
        <v>85.3</v>
      </c>
      <c r="C442" s="134" t="s">
        <v>75</v>
      </c>
      <c r="D442" s="121">
        <v>3568.3</v>
      </c>
      <c r="E442" s="135">
        <f>IFERROR(__xludf.DUMMYFUNCTION("""COMPUTED_VALUE"""),4928.000358169999)</f>
        <v>4928.000358</v>
      </c>
      <c r="F442" s="136">
        <v>1.49</v>
      </c>
      <c r="G442" s="124">
        <v>20291.0</v>
      </c>
      <c r="H442" s="125">
        <v>12038.0</v>
      </c>
      <c r="I442" s="125">
        <v>4485.0</v>
      </c>
      <c r="J442" s="125">
        <v>1998.0</v>
      </c>
      <c r="K442" s="125">
        <v>940.0</v>
      </c>
      <c r="L442" s="125">
        <v>834.0</v>
      </c>
      <c r="M442" s="126">
        <v>86.0</v>
      </c>
      <c r="N442" s="127">
        <v>88.0</v>
      </c>
      <c r="O442" s="146"/>
      <c r="P442" s="127">
        <v>82.0</v>
      </c>
      <c r="Q442" s="122" t="b">
        <v>1</v>
      </c>
      <c r="R442" s="133"/>
      <c r="S442" s="143">
        <v>6.0</v>
      </c>
      <c r="T442" s="133"/>
      <c r="U442" s="133"/>
      <c r="V442" s="129"/>
      <c r="W442" s="130" t="s">
        <v>193</v>
      </c>
      <c r="X442" s="130" t="s">
        <v>225</v>
      </c>
      <c r="Y442" s="130" t="s">
        <v>195</v>
      </c>
      <c r="Z442" s="131" t="b">
        <v>1</v>
      </c>
      <c r="AA442" s="131">
        <v>0.016666666666666666</v>
      </c>
      <c r="AB442" s="130" t="s">
        <v>759</v>
      </c>
      <c r="AC442" s="130" t="s">
        <v>1180</v>
      </c>
      <c r="AD442" s="130" t="s">
        <v>1413</v>
      </c>
      <c r="AE442" s="130"/>
      <c r="AF442" s="132" t="s">
        <v>1414</v>
      </c>
      <c r="AG442" s="143" t="b">
        <v>0</v>
      </c>
      <c r="AH442" s="143">
        <v>708.0</v>
      </c>
      <c r="AI442" s="143">
        <v>2005.0</v>
      </c>
      <c r="AJ442" s="143"/>
      <c r="AK442" s="143"/>
      <c r="AL442" s="129" t="str">
        <f>IFERROR(__xludf.DUMMYFUNCTION("""COMPUTED_VALUE"""),"Family, Mid-Range")</f>
        <v>Family, Mid-Range</v>
      </c>
      <c r="AM442" s="129" t="str">
        <f>IFERROR(__xludf.DUMMYFUNCTION("""COMPUTED_VALUE"""),"Babysitting, Beach, Buffet, Casino, Diving, Evening Entertainment, Gym, Kids Club, Lazy River, Nightclub, Spa, Swim Up Bar, Teen Club, Tennis, Wifi (Free)")</f>
        <v>Babysitting, Beach, Buffet, Casino, Diving, Evening Entertainment, Gym, Kids Club, Lazy River, Nightclub, Spa, Swim Up Bar, Teen Club, Tennis, Wifi (Free)</v>
      </c>
      <c r="AN442" s="139"/>
    </row>
    <row r="443">
      <c r="A443" s="118" t="s">
        <v>1415</v>
      </c>
      <c r="B443" s="119">
        <v>85.3</v>
      </c>
      <c r="C443" s="134" t="s">
        <v>75</v>
      </c>
      <c r="D443" s="121">
        <v>3612.24</v>
      </c>
      <c r="E443" s="135">
        <f>IFERROR(__xludf.DUMMYFUNCTION("""COMPUTED_VALUE"""),4988.683690775999)</f>
        <v>4988.683691</v>
      </c>
      <c r="F443" s="136">
        <v>1.47</v>
      </c>
      <c r="G443" s="124">
        <v>14456.0</v>
      </c>
      <c r="H443" s="125">
        <v>7810.0</v>
      </c>
      <c r="I443" s="125">
        <v>3220.0</v>
      </c>
      <c r="J443" s="125">
        <v>1553.0</v>
      </c>
      <c r="K443" s="125">
        <v>982.0</v>
      </c>
      <c r="L443" s="125">
        <v>896.0</v>
      </c>
      <c r="M443" s="126">
        <v>82.0</v>
      </c>
      <c r="N443" s="127">
        <v>96.0</v>
      </c>
      <c r="O443" s="146"/>
      <c r="P443" s="138">
        <v>78.0</v>
      </c>
      <c r="Q443" s="122" t="b">
        <v>1</v>
      </c>
      <c r="R443" s="133"/>
      <c r="S443" s="133">
        <v>6.0</v>
      </c>
      <c r="T443" s="133"/>
      <c r="U443" s="133">
        <v>5.0</v>
      </c>
      <c r="V443" s="130"/>
      <c r="W443" s="130" t="s">
        <v>219</v>
      </c>
      <c r="X443" s="130" t="s">
        <v>1416</v>
      </c>
      <c r="Y443" s="130" t="s">
        <v>221</v>
      </c>
      <c r="Z443" s="131" t="b">
        <v>1</v>
      </c>
      <c r="AA443" s="131">
        <v>0.03819444444444445</v>
      </c>
      <c r="AB443" s="130" t="s">
        <v>412</v>
      </c>
      <c r="AC443" s="130" t="s">
        <v>839</v>
      </c>
      <c r="AD443" s="130" t="s">
        <v>1417</v>
      </c>
      <c r="AE443" s="130"/>
      <c r="AF443" s="132" t="s">
        <v>231</v>
      </c>
      <c r="AG443" s="133" t="b">
        <v>0</v>
      </c>
      <c r="AH443" s="133">
        <v>517.0</v>
      </c>
      <c r="AI443" s="133">
        <v>2008.0</v>
      </c>
      <c r="AJ443" s="133">
        <v>2015.0</v>
      </c>
      <c r="AK443" s="133">
        <v>1.0</v>
      </c>
      <c r="AL443" s="129" t="str">
        <f>IFERROR(__xludf.DUMMYFUNCTION("""COMPUTED_VALUE"""),"Bay View")</f>
        <v>Bay View</v>
      </c>
      <c r="AM443" s="129" t="str">
        <f>IFERROR(__xludf.DUMMYFUNCTION("""COMPUTED_VALUE"""),"Babysitting, Beach, Buffet, Diving, Evening Entertainment, Gym, Kids Club, Kids Club for Under 4, Kids Waterpark, Nightclub, Spa, Swim Up Bar, Teen Club, Tennis, Yoga Classes")</f>
        <v>Babysitting, Beach, Buffet, Diving, Evening Entertainment, Gym, Kids Club, Kids Club for Under 4, Kids Waterpark, Nightclub, Spa, Swim Up Bar, Teen Club, Tennis, Yoga Classes</v>
      </c>
      <c r="AN443" s="139"/>
    </row>
    <row r="444">
      <c r="A444" s="118" t="s">
        <v>1418</v>
      </c>
      <c r="B444" s="119">
        <v>85.3</v>
      </c>
      <c r="C444" s="134" t="s">
        <v>75</v>
      </c>
      <c r="D444" s="121">
        <v>3626.14</v>
      </c>
      <c r="E444" s="135">
        <f>IFERROR(__xludf.DUMMYFUNCTION("""COMPUTED_VALUE"""),5007.880284385999)</f>
        <v>5007.880284</v>
      </c>
      <c r="F444" s="136">
        <v>1.46</v>
      </c>
      <c r="G444" s="124">
        <v>3214.0</v>
      </c>
      <c r="H444" s="125">
        <v>1896.0</v>
      </c>
      <c r="I444" s="125">
        <v>626.0</v>
      </c>
      <c r="J444" s="125">
        <v>306.0</v>
      </c>
      <c r="K444" s="125">
        <v>173.0</v>
      </c>
      <c r="L444" s="125">
        <v>216.0</v>
      </c>
      <c r="M444" s="126">
        <v>84.0</v>
      </c>
      <c r="N444" s="127">
        <v>88.0</v>
      </c>
      <c r="O444" s="146"/>
      <c r="P444" s="127">
        <v>84.0</v>
      </c>
      <c r="Q444" s="135" t="b">
        <v>1</v>
      </c>
      <c r="R444" s="133"/>
      <c r="S444" s="143">
        <v>8.0</v>
      </c>
      <c r="T444" s="133"/>
      <c r="U444" s="133">
        <v>4.5</v>
      </c>
      <c r="V444" s="129"/>
      <c r="W444" s="130" t="s">
        <v>193</v>
      </c>
      <c r="X444" s="130" t="s">
        <v>195</v>
      </c>
      <c r="Y444" s="130" t="s">
        <v>195</v>
      </c>
      <c r="Z444" s="131" t="b">
        <v>1</v>
      </c>
      <c r="AA444" s="131">
        <v>0.01875</v>
      </c>
      <c r="AB444" s="130" t="s">
        <v>655</v>
      </c>
      <c r="AC444" s="130" t="s">
        <v>1337</v>
      </c>
      <c r="AD444" s="130" t="s">
        <v>1419</v>
      </c>
      <c r="AE444" s="130"/>
      <c r="AF444" s="132" t="s">
        <v>784</v>
      </c>
      <c r="AG444" s="143" t="b">
        <v>0</v>
      </c>
      <c r="AH444" s="143">
        <v>676.0</v>
      </c>
      <c r="AI444" s="143">
        <v>2006.0</v>
      </c>
      <c r="AJ444" s="143">
        <v>2018.0</v>
      </c>
      <c r="AK444" s="143">
        <v>4.0</v>
      </c>
      <c r="AL444" s="129" t="str">
        <f>IFERROR(__xludf.DUMMYFUNCTION("""COMPUTED_VALUE"""),"Great View")</f>
        <v>Great View</v>
      </c>
      <c r="AM444" s="129" t="str">
        <f>IFERROR(__xludf.DUMMYFUNCTION("""COMPUTED_VALUE"""),"Babysitting, Beach, Buffet, Evening Entertainment, Gym, Kids Club, Kids Waterpark, Spa, Swim Up Bar")</f>
        <v>Babysitting, Beach, Buffet, Evening Entertainment, Gym, Kids Club, Kids Waterpark, Spa, Swim Up Bar</v>
      </c>
      <c r="AN444" s="139"/>
    </row>
    <row r="445">
      <c r="A445" s="118" t="s">
        <v>1420</v>
      </c>
      <c r="B445" s="119">
        <v>85.3</v>
      </c>
      <c r="C445" s="134" t="s">
        <v>75</v>
      </c>
      <c r="D445" s="121">
        <v>3640.0</v>
      </c>
      <c r="E445" s="135">
        <f>IFERROR(__xludf.DUMMYFUNCTION("""COMPUTED_VALUE"""),5027.0216359999995)</f>
        <v>5027.021636</v>
      </c>
      <c r="F445" s="136">
        <v>1.46</v>
      </c>
      <c r="G445" s="124">
        <v>8171.0</v>
      </c>
      <c r="H445" s="125">
        <v>4142.0</v>
      </c>
      <c r="I445" s="125">
        <v>2471.0</v>
      </c>
      <c r="J445" s="125">
        <v>865.0</v>
      </c>
      <c r="K445" s="125">
        <v>408.0</v>
      </c>
      <c r="L445" s="125">
        <v>287.0</v>
      </c>
      <c r="M445" s="126">
        <v>84.0</v>
      </c>
      <c r="N445" s="127">
        <v>86.0</v>
      </c>
      <c r="O445" s="146"/>
      <c r="P445" s="127">
        <v>86.0</v>
      </c>
      <c r="Q445" s="122" t="b">
        <v>1</v>
      </c>
      <c r="R445" s="133"/>
      <c r="S445" s="133">
        <v>6.0</v>
      </c>
      <c r="T445" s="133"/>
      <c r="U445" s="133">
        <v>4.5</v>
      </c>
      <c r="V445" s="130"/>
      <c r="W445" s="130" t="s">
        <v>219</v>
      </c>
      <c r="X445" s="130" t="s">
        <v>220</v>
      </c>
      <c r="Y445" s="130" t="s">
        <v>221</v>
      </c>
      <c r="Z445" s="131" t="b">
        <v>1</v>
      </c>
      <c r="AA445" s="131">
        <v>0.05347222222222222</v>
      </c>
      <c r="AB445" s="130" t="s">
        <v>655</v>
      </c>
      <c r="AC445" s="130" t="s">
        <v>203</v>
      </c>
      <c r="AD445" s="130" t="s">
        <v>1421</v>
      </c>
      <c r="AE445" s="130"/>
      <c r="AF445" s="132" t="s">
        <v>658</v>
      </c>
      <c r="AG445" s="133" t="b">
        <v>0</v>
      </c>
      <c r="AH445" s="133">
        <v>452.0</v>
      </c>
      <c r="AI445" s="133">
        <v>2001.0</v>
      </c>
      <c r="AJ445" s="133">
        <v>2018.0</v>
      </c>
      <c r="AK445" s="133">
        <v>2.0</v>
      </c>
      <c r="AL445" s="129" t="str">
        <f>IFERROR(__xludf.DUMMYFUNCTION("""COMPUTED_VALUE"""),"Family, Great View")</f>
        <v>Family, Great View</v>
      </c>
      <c r="AM445" s="129" t="str">
        <f>IFERROR(__xludf.DUMMYFUNCTION("""COMPUTED_VALUE"""),"Beach, Buffet, Diving, Evening Entertainment, Fishing, Great Beach, Gym, Kids Club, Spa, Swim Up Bar, Tennis")</f>
        <v>Beach, Buffet, Diving, Evening Entertainment, Fishing, Great Beach, Gym, Kids Club, Spa, Swim Up Bar, Tennis</v>
      </c>
      <c r="AN445" s="128"/>
    </row>
    <row r="446">
      <c r="A446" s="118" t="s">
        <v>1422</v>
      </c>
      <c r="B446" s="119">
        <v>85.3</v>
      </c>
      <c r="C446" s="134" t="s">
        <v>75</v>
      </c>
      <c r="D446" s="121">
        <v>3651.15</v>
      </c>
      <c r="E446" s="135">
        <f>IFERROR(__xludf.DUMMYFUNCTION("""COMPUTED_VALUE"""),5042.4203423849995)</f>
        <v>5042.420342</v>
      </c>
      <c r="F446" s="136">
        <v>1.45</v>
      </c>
      <c r="G446" s="124">
        <v>7348.0</v>
      </c>
      <c r="H446" s="125">
        <v>4648.0</v>
      </c>
      <c r="I446" s="125">
        <v>1392.0</v>
      </c>
      <c r="J446" s="125">
        <v>606.0</v>
      </c>
      <c r="K446" s="125">
        <v>330.0</v>
      </c>
      <c r="L446" s="125">
        <v>372.0</v>
      </c>
      <c r="M446" s="126">
        <v>86.0</v>
      </c>
      <c r="N446" s="127">
        <v>90.0</v>
      </c>
      <c r="O446" s="146"/>
      <c r="P446" s="138">
        <v>80.0</v>
      </c>
      <c r="Q446" s="135" t="b">
        <v>1</v>
      </c>
      <c r="R446" s="133"/>
      <c r="S446" s="133">
        <v>6.0</v>
      </c>
      <c r="T446" s="133"/>
      <c r="U446" s="133">
        <v>5.0</v>
      </c>
      <c r="V446" s="129"/>
      <c r="W446" s="130" t="s">
        <v>84</v>
      </c>
      <c r="X446" s="130" t="s">
        <v>536</v>
      </c>
      <c r="Y446" s="147" t="s">
        <v>86</v>
      </c>
      <c r="Z446" s="131" t="b">
        <v>1</v>
      </c>
      <c r="AA446" s="131">
        <v>0.049305555555555554</v>
      </c>
      <c r="AB446" s="129"/>
      <c r="AC446" s="130" t="s">
        <v>203</v>
      </c>
      <c r="AD446" s="130" t="s">
        <v>1423</v>
      </c>
      <c r="AE446" s="130" t="s">
        <v>94</v>
      </c>
      <c r="AF446" s="132" t="s">
        <v>373</v>
      </c>
      <c r="AG446" s="133" t="b">
        <v>1</v>
      </c>
      <c r="AH446" s="133">
        <v>163.0</v>
      </c>
      <c r="AI446" s="133">
        <v>2001.0</v>
      </c>
      <c r="AJ446" s="133">
        <v>2004.0</v>
      </c>
      <c r="AK446" s="133">
        <v>5.0</v>
      </c>
      <c r="AL446" s="129" t="str">
        <f>IFERROR(__xludf.DUMMYFUNCTION("""COMPUTED_VALUE"""),"Family, Great View")</f>
        <v>Family, Great View</v>
      </c>
      <c r="AM446" s="129" t="str">
        <f>IFERROR(__xludf.DUMMYFUNCTION("""COMPUTED_VALUE"""),"Adults Only Rooms, Beach, Bicycles Available, Buffet, Diving, Evening Entertainment, Great Food, Gym, Kids Club, Nightclub, Snorkelling, Spa, Swim Up Bar, Watersports Equipment Rentals, Yoga Classes")</f>
        <v>Adults Only Rooms, Beach, Bicycles Available, Buffet, Diving, Evening Entertainment, Great Food, Gym, Kids Club, Nightclub, Snorkelling, Spa, Swim Up Bar, Watersports Equipment Rentals, Yoga Classes</v>
      </c>
      <c r="AN446" s="139"/>
    </row>
    <row r="447">
      <c r="A447" s="118" t="s">
        <v>1424</v>
      </c>
      <c r="B447" s="119">
        <v>85.3</v>
      </c>
      <c r="C447" s="134" t="s">
        <v>75</v>
      </c>
      <c r="D447" s="121">
        <v>3948.0</v>
      </c>
      <c r="E447" s="135">
        <f>IFERROR(__xludf.DUMMYFUNCTION("""COMPUTED_VALUE"""),5452.385005199999)</f>
        <v>5452.385005</v>
      </c>
      <c r="F447" s="136">
        <v>1.34</v>
      </c>
      <c r="G447" s="124">
        <v>10146.0</v>
      </c>
      <c r="H447" s="125">
        <v>4886.0</v>
      </c>
      <c r="I447" s="125">
        <v>2962.0</v>
      </c>
      <c r="J447" s="125">
        <v>1084.0</v>
      </c>
      <c r="K447" s="125">
        <v>617.0</v>
      </c>
      <c r="L447" s="125">
        <v>599.0</v>
      </c>
      <c r="M447" s="126">
        <v>82.0</v>
      </c>
      <c r="N447" s="127">
        <v>88.0</v>
      </c>
      <c r="O447" s="146"/>
      <c r="P447" s="127">
        <v>86.0</v>
      </c>
      <c r="Q447" s="135" t="b">
        <v>1</v>
      </c>
      <c r="R447" s="133"/>
      <c r="S447" s="133">
        <v>7.0</v>
      </c>
      <c r="T447" s="133"/>
      <c r="U447" s="133">
        <v>4.5</v>
      </c>
      <c r="V447" s="130"/>
      <c r="W447" s="130" t="s">
        <v>84</v>
      </c>
      <c r="X447" s="130" t="s">
        <v>122</v>
      </c>
      <c r="Y447" s="130" t="s">
        <v>123</v>
      </c>
      <c r="Z447" s="131" t="b">
        <v>1</v>
      </c>
      <c r="AA447" s="131">
        <v>0.025694444444444443</v>
      </c>
      <c r="AB447" s="130" t="s">
        <v>655</v>
      </c>
      <c r="AC447" s="130" t="s">
        <v>696</v>
      </c>
      <c r="AD447" s="130" t="s">
        <v>1425</v>
      </c>
      <c r="AE447" s="130"/>
      <c r="AF447" s="132" t="s">
        <v>373</v>
      </c>
      <c r="AG447" s="133" t="b">
        <v>0</v>
      </c>
      <c r="AH447" s="133">
        <v>692.0</v>
      </c>
      <c r="AI447" s="133">
        <v>2004.0</v>
      </c>
      <c r="AJ447" s="133">
        <v>2016.0</v>
      </c>
      <c r="AK447" s="133">
        <v>4.0</v>
      </c>
      <c r="AL447" s="129" t="str">
        <f>IFERROR(__xludf.DUMMYFUNCTION("""COMPUTED_VALUE"""),"Bay View, Family")</f>
        <v>Bay View, Family</v>
      </c>
      <c r="AM447" s="129" t="str">
        <f>IFERROR(__xludf.DUMMYFUNCTION("""COMPUTED_VALUE"""),"Adults Only Rooms, Babysitting, Beach, Buffet, Diving, Evening Entertainment, Fishing, Gym, Kids Club, Spa, Swim Out/Plunge Pool Rooms, Swim Up Bar")</f>
        <v>Adults Only Rooms, Babysitting, Beach, Buffet, Diving, Evening Entertainment, Fishing, Gym, Kids Club, Spa, Swim Out/Plunge Pool Rooms, Swim Up Bar</v>
      </c>
      <c r="AN447" s="139"/>
    </row>
    <row r="448">
      <c r="A448" s="118" t="s">
        <v>1426</v>
      </c>
      <c r="B448" s="149">
        <v>85.3</v>
      </c>
      <c r="C448" s="120" t="s">
        <v>68</v>
      </c>
      <c r="D448" s="121">
        <v>4551.0</v>
      </c>
      <c r="E448" s="122">
        <f>IFERROR(__xludf.DUMMYFUNCTION("""COMPUTED_VALUE"""),6285.158094899999)</f>
        <v>6285.158095</v>
      </c>
      <c r="F448" s="136">
        <v>1.16</v>
      </c>
      <c r="G448" s="124">
        <v>10859.0</v>
      </c>
      <c r="H448" s="125">
        <v>6724.0</v>
      </c>
      <c r="I448" s="125">
        <v>2330.0</v>
      </c>
      <c r="J448" s="125">
        <v>1034.0</v>
      </c>
      <c r="K448" s="125">
        <v>449.0</v>
      </c>
      <c r="L448" s="125">
        <v>322.0</v>
      </c>
      <c r="M448" s="126">
        <v>87.0</v>
      </c>
      <c r="N448" s="127">
        <v>86.0</v>
      </c>
      <c r="O448" s="138">
        <v>86.0</v>
      </c>
      <c r="P448" s="127">
        <v>82.0</v>
      </c>
      <c r="Q448" s="122" t="b">
        <v>1</v>
      </c>
      <c r="R448" s="133">
        <v>4.0</v>
      </c>
      <c r="S448" s="133">
        <v>9.0</v>
      </c>
      <c r="T448" s="133" t="s">
        <v>247</v>
      </c>
      <c r="U448" s="133">
        <v>5.0</v>
      </c>
      <c r="V448" s="129"/>
      <c r="W448" s="130" t="s">
        <v>219</v>
      </c>
      <c r="X448" s="130" t="s">
        <v>713</v>
      </c>
      <c r="Y448" s="144" t="s">
        <v>221</v>
      </c>
      <c r="Z448" s="133" t="b">
        <v>1</v>
      </c>
      <c r="AA448" s="131">
        <v>0.013194444444444444</v>
      </c>
      <c r="AB448" s="130" t="s">
        <v>50</v>
      </c>
      <c r="AC448" s="130" t="s">
        <v>1427</v>
      </c>
      <c r="AD448" s="130" t="s">
        <v>1428</v>
      </c>
      <c r="AE448" s="129"/>
      <c r="AF448" s="132"/>
      <c r="AG448" s="143" t="b">
        <v>0</v>
      </c>
      <c r="AH448" s="133">
        <v>350.0</v>
      </c>
      <c r="AI448" s="133">
        <v>2010.0</v>
      </c>
      <c r="AJ448" s="133">
        <v>2019.0</v>
      </c>
      <c r="AK448" s="133">
        <v>5.0</v>
      </c>
      <c r="AL448" s="129" t="str">
        <f>IFERROR(__xludf.DUMMYFUNCTION("""COMPUTED_VALUE"""),"Luxury, Modern")</f>
        <v>Luxury, Modern</v>
      </c>
      <c r="AM448" s="129" t="str">
        <f>IFERROR(__xludf.DUMMYFUNCTION("""COMPUTED_VALUE"""),"Beach, Buffet, Casino, Diving, Evening Entertainment, Great Food, Gym, Nightclub, Room Service, Spa, Swim Up Bar, Tennis, Wifi (Paid)")</f>
        <v>Beach, Buffet, Casino, Diving, Evening Entertainment, Great Food, Gym, Nightclub, Room Service, Spa, Swim Up Bar, Tennis, Wifi (Paid)</v>
      </c>
      <c r="AN448" s="128"/>
    </row>
    <row r="449">
      <c r="A449" s="118" t="s">
        <v>1429</v>
      </c>
      <c r="B449" s="149">
        <v>85.3</v>
      </c>
      <c r="C449" s="120" t="s">
        <v>68</v>
      </c>
      <c r="D449" s="121">
        <v>5051.2</v>
      </c>
      <c r="E449" s="122">
        <f>IFERROR(__xludf.DUMMYFUNCTION("""COMPUTED_VALUE"""),6975.959254879999)</f>
        <v>6975.959255</v>
      </c>
      <c r="F449" s="123">
        <v>1.05</v>
      </c>
      <c r="G449" s="124">
        <v>237.0</v>
      </c>
      <c r="H449" s="125">
        <v>146.0</v>
      </c>
      <c r="I449" s="125">
        <v>43.0</v>
      </c>
      <c r="J449" s="125">
        <v>16.0</v>
      </c>
      <c r="K449" s="125">
        <v>17.0</v>
      </c>
      <c r="L449" s="125">
        <v>15.0</v>
      </c>
      <c r="M449" s="126">
        <v>84.0</v>
      </c>
      <c r="N449" s="138">
        <v>86.0</v>
      </c>
      <c r="O449" s="127"/>
      <c r="P449" s="127">
        <v>86.0</v>
      </c>
      <c r="Q449" s="122" t="b">
        <v>1</v>
      </c>
      <c r="R449" s="128"/>
      <c r="S449" s="133">
        <v>7.0</v>
      </c>
      <c r="T449" s="133"/>
      <c r="U449" s="133">
        <v>4.0</v>
      </c>
      <c r="V449" s="129"/>
      <c r="W449" s="130" t="s">
        <v>642</v>
      </c>
      <c r="X449" s="130" t="s">
        <v>642</v>
      </c>
      <c r="Y449" s="130" t="s">
        <v>644</v>
      </c>
      <c r="Z449" s="131" t="b">
        <v>1</v>
      </c>
      <c r="AA449" s="131">
        <v>0.007638888888888889</v>
      </c>
      <c r="AB449" s="129"/>
      <c r="AC449" s="129"/>
      <c r="AD449" s="130" t="s">
        <v>1430</v>
      </c>
      <c r="AE449" s="130"/>
      <c r="AF449" s="132"/>
      <c r="AG449" s="133" t="b">
        <v>0</v>
      </c>
      <c r="AH449" s="133">
        <v>43.0</v>
      </c>
      <c r="AI449" s="133">
        <v>2019.0</v>
      </c>
      <c r="AJ449" s="143"/>
      <c r="AK449" s="143"/>
      <c r="AL449" s="129"/>
      <c r="AM449" s="129" t="str">
        <f>IFERROR(__xludf.DUMMYFUNCTION("""COMPUTED_VALUE"""),"Beach, Buffet, Gym, Wifi (Free)")</f>
        <v>Beach, Buffet, Gym, Wifi (Free)</v>
      </c>
      <c r="AN449" s="128"/>
    </row>
    <row r="450">
      <c r="A450" s="118" t="s">
        <v>1431</v>
      </c>
      <c r="B450" s="119">
        <v>85.3</v>
      </c>
      <c r="C450" s="120" t="s">
        <v>68</v>
      </c>
      <c r="D450" s="121">
        <v>5792.0</v>
      </c>
      <c r="E450" s="122">
        <f>IFERROR(__xludf.DUMMYFUNCTION("""COMPUTED_VALUE"""),7999.041020799999)</f>
        <v>7999.041021</v>
      </c>
      <c r="F450" s="136">
        <v>0.92</v>
      </c>
      <c r="G450" s="124">
        <v>3385.0</v>
      </c>
      <c r="H450" s="125">
        <v>2132.0</v>
      </c>
      <c r="I450" s="125">
        <v>559.0</v>
      </c>
      <c r="J450" s="125">
        <v>345.0</v>
      </c>
      <c r="K450" s="125">
        <v>180.0</v>
      </c>
      <c r="L450" s="125">
        <v>170.0</v>
      </c>
      <c r="M450" s="126">
        <v>85.0</v>
      </c>
      <c r="N450" s="127">
        <v>88.0</v>
      </c>
      <c r="O450" s="138">
        <v>86.0</v>
      </c>
      <c r="P450" s="127">
        <v>82.0</v>
      </c>
      <c r="Q450" s="122" t="b">
        <v>1</v>
      </c>
      <c r="R450" s="133">
        <v>4.0</v>
      </c>
      <c r="S450" s="143">
        <v>8.0</v>
      </c>
      <c r="T450" s="133" t="s">
        <v>247</v>
      </c>
      <c r="U450" s="133">
        <v>5.0</v>
      </c>
      <c r="V450" s="129"/>
      <c r="W450" s="130" t="s">
        <v>219</v>
      </c>
      <c r="X450" s="130" t="s">
        <v>713</v>
      </c>
      <c r="Y450" s="144" t="s">
        <v>221</v>
      </c>
      <c r="Z450" s="131" t="b">
        <v>1</v>
      </c>
      <c r="AA450" s="131">
        <v>0.010416666666666666</v>
      </c>
      <c r="AB450" s="130" t="s">
        <v>50</v>
      </c>
      <c r="AC450" s="130" t="s">
        <v>1065</v>
      </c>
      <c r="AD450" s="130" t="s">
        <v>1432</v>
      </c>
      <c r="AE450" s="129"/>
      <c r="AF450" s="132"/>
      <c r="AG450" s="133" t="b">
        <v>1</v>
      </c>
      <c r="AH450" s="133">
        <v>150.0</v>
      </c>
      <c r="AI450" s="133">
        <v>2017.0</v>
      </c>
      <c r="AJ450" s="143"/>
      <c r="AK450" s="133">
        <v>5.0</v>
      </c>
      <c r="AL450" s="129" t="str">
        <f>IFERROR(__xludf.DUMMYFUNCTION("""COMPUTED_VALUE"""),"Modern, Trendy")</f>
        <v>Modern, Trendy</v>
      </c>
      <c r="AM450" s="129" t="str">
        <f>IFERROR(__xludf.DUMMYFUNCTION("""COMPUTED_VALUE"""),"Beach, Buffet, Evening Entertainment, Great for Parties, Gym, Nightclub, Spa, Swim Out/Plunge Pool Rooms, Swim Up Bar, Tennis, Wifi (Free)")</f>
        <v>Beach, Buffet, Evening Entertainment, Great for Parties, Gym, Nightclub, Spa, Swim Out/Plunge Pool Rooms, Swim Up Bar, Tennis, Wifi (Free)</v>
      </c>
      <c r="AN450" s="128"/>
    </row>
    <row r="451">
      <c r="A451" s="118" t="s">
        <v>1433</v>
      </c>
      <c r="B451" s="119">
        <v>85.3</v>
      </c>
      <c r="C451" s="120" t="s">
        <v>68</v>
      </c>
      <c r="D451" s="121">
        <v>7462.0</v>
      </c>
      <c r="E451" s="122">
        <f>IFERROR(__xludf.DUMMYFUNCTION("""COMPUTED_VALUE"""),10305.394353799998)</f>
        <v>10305.39435</v>
      </c>
      <c r="F451" s="136">
        <v>0.71</v>
      </c>
      <c r="G451" s="124">
        <v>1532.0</v>
      </c>
      <c r="H451" s="125">
        <v>1027.0</v>
      </c>
      <c r="I451" s="125">
        <v>257.0</v>
      </c>
      <c r="J451" s="125">
        <v>127.0</v>
      </c>
      <c r="K451" s="125">
        <v>56.0</v>
      </c>
      <c r="L451" s="125">
        <v>66.0</v>
      </c>
      <c r="M451" s="126">
        <v>88.0</v>
      </c>
      <c r="N451" s="127">
        <v>84.0</v>
      </c>
      <c r="O451" s="127"/>
      <c r="P451" s="127">
        <v>84.0</v>
      </c>
      <c r="Q451" s="122" t="b">
        <v>1</v>
      </c>
      <c r="R451" s="133"/>
      <c r="S451" s="133">
        <v>9.0</v>
      </c>
      <c r="T451" s="133" t="s">
        <v>247</v>
      </c>
      <c r="U451" s="133">
        <v>5.0</v>
      </c>
      <c r="V451" s="129"/>
      <c r="W451" s="130" t="s">
        <v>84</v>
      </c>
      <c r="X451" s="130" t="s">
        <v>1361</v>
      </c>
      <c r="Y451" s="130" t="s">
        <v>86</v>
      </c>
      <c r="Z451" s="131" t="b">
        <v>1</v>
      </c>
      <c r="AA451" s="131">
        <v>0.014583333333333334</v>
      </c>
      <c r="AB451" s="130" t="s">
        <v>50</v>
      </c>
      <c r="AC451" s="130" t="s">
        <v>236</v>
      </c>
      <c r="AD451" s="130" t="s">
        <v>1434</v>
      </c>
      <c r="AE451" s="129"/>
      <c r="AF451" s="132"/>
      <c r="AG451" s="133" t="b">
        <v>0</v>
      </c>
      <c r="AH451" s="133">
        <v>164.0</v>
      </c>
      <c r="AI451" s="133">
        <v>2016.0</v>
      </c>
      <c r="AJ451" s="133">
        <v>2020.0</v>
      </c>
      <c r="AK451" s="133">
        <v>4.0</v>
      </c>
      <c r="AL451" s="129" t="str">
        <f>IFERROR(__xludf.DUMMYFUNCTION("""COMPUTED_VALUE"""),"Charming, Romantic")</f>
        <v>Charming, Romantic</v>
      </c>
      <c r="AM451" s="129" t="str">
        <f>IFERROR(__xludf.DUMMYFUNCTION("""COMPUTED_VALUE"""),"Beach, Buffet, Evening Entertainment, Great Food, Gym, Nightclub, Spa, Swim Out/Plunge Pool Rooms, Swim Up Bar, Wifi (Free)")</f>
        <v>Beach, Buffet, Evening Entertainment, Great Food, Gym, Nightclub, Spa, Swim Out/Plunge Pool Rooms, Swim Up Bar, Wifi (Free)</v>
      </c>
      <c r="AN451" s="128"/>
    </row>
    <row r="452">
      <c r="A452" s="118" t="s">
        <v>1435</v>
      </c>
      <c r="B452" s="119">
        <v>85.0</v>
      </c>
      <c r="C452" s="120" t="s">
        <v>68</v>
      </c>
      <c r="D452" s="121">
        <v>1263.8</v>
      </c>
      <c r="E452" s="122">
        <f>IFERROR(__xludf.DUMMYFUNCTION("""COMPUTED_VALUE"""),1745.3708636199997)</f>
        <v>1745.370864</v>
      </c>
      <c r="F452" s="136">
        <v>3.96</v>
      </c>
      <c r="G452" s="124">
        <v>6090.0</v>
      </c>
      <c r="H452" s="125">
        <v>2805.0</v>
      </c>
      <c r="I452" s="125">
        <v>1697.0</v>
      </c>
      <c r="J452" s="125">
        <v>797.0</v>
      </c>
      <c r="K452" s="125">
        <v>453.0</v>
      </c>
      <c r="L452" s="125">
        <v>341.0</v>
      </c>
      <c r="M452" s="126">
        <v>80.0</v>
      </c>
      <c r="N452" s="127">
        <v>90.0</v>
      </c>
      <c r="O452" s="127"/>
      <c r="P452" s="127"/>
      <c r="Q452" s="122" t="b">
        <v>1</v>
      </c>
      <c r="R452" s="128"/>
      <c r="S452" s="133" t="s">
        <v>83</v>
      </c>
      <c r="T452" s="128"/>
      <c r="U452" s="133">
        <v>4.0</v>
      </c>
      <c r="V452" s="129"/>
      <c r="W452" s="130" t="s">
        <v>276</v>
      </c>
      <c r="X452" s="130" t="s">
        <v>393</v>
      </c>
      <c r="Y452" s="130" t="s">
        <v>393</v>
      </c>
      <c r="Z452" s="131" t="b">
        <v>1</v>
      </c>
      <c r="AA452" s="131">
        <v>0.025694444444444443</v>
      </c>
      <c r="AB452" s="130" t="s">
        <v>215</v>
      </c>
      <c r="AC452" s="130" t="s">
        <v>1436</v>
      </c>
      <c r="AD452" s="147" t="s">
        <v>1437</v>
      </c>
      <c r="AE452" s="129"/>
      <c r="AF452" s="132"/>
      <c r="AG452" s="133" t="b">
        <v>0</v>
      </c>
      <c r="AH452" s="133">
        <v>391.0</v>
      </c>
      <c r="AI452" s="133">
        <v>2002.0</v>
      </c>
      <c r="AJ452" s="128"/>
      <c r="AK452" s="133">
        <v>3.0</v>
      </c>
      <c r="AL452" s="129" t="str">
        <f>IFERROR(__xludf.DUMMYFUNCTION("""COMPUTED_VALUE"""),"Family, Park View")</f>
        <v>Family, Park View</v>
      </c>
      <c r="AM452" s="129" t="str">
        <f>IFERROR(__xludf.DUMMYFUNCTION("""COMPUTED_VALUE"""),"Beach, Buffet, Evening Entertainment, Great Beach, Gym, Nightclub, Spa, Tennis, Watersports Equipment Rentals, Yoga Classes")</f>
        <v>Beach, Buffet, Evening Entertainment, Great Beach, Gym, Nightclub, Spa, Tennis, Watersports Equipment Rentals, Yoga Classes</v>
      </c>
      <c r="AN452" s="128"/>
    </row>
    <row r="453">
      <c r="A453" s="118" t="s">
        <v>1438</v>
      </c>
      <c r="B453" s="119">
        <v>85.0</v>
      </c>
      <c r="C453" s="120" t="s">
        <v>68</v>
      </c>
      <c r="D453" s="121">
        <v>1386.0</v>
      </c>
      <c r="E453" s="122">
        <f>IFERROR(__xludf.DUMMYFUNCTION("""COMPUTED_VALUE"""),1914.1351613999998)</f>
        <v>1914.135161</v>
      </c>
      <c r="F453" s="136">
        <v>3.61</v>
      </c>
      <c r="G453" s="124">
        <v>5847.0</v>
      </c>
      <c r="H453" s="125">
        <v>4510.0</v>
      </c>
      <c r="I453" s="125">
        <v>880.0</v>
      </c>
      <c r="J453" s="125">
        <v>273.0</v>
      </c>
      <c r="K453" s="125">
        <v>104.0</v>
      </c>
      <c r="L453" s="125">
        <v>84.0</v>
      </c>
      <c r="M453" s="126">
        <v>93.0</v>
      </c>
      <c r="N453" s="127">
        <v>84.0</v>
      </c>
      <c r="O453" s="127"/>
      <c r="P453" s="127">
        <v>78.0</v>
      </c>
      <c r="Q453" s="122" t="b">
        <v>1</v>
      </c>
      <c r="R453" s="128"/>
      <c r="S453" s="133">
        <v>7.0</v>
      </c>
      <c r="T453" s="128"/>
      <c r="U453" s="133">
        <v>5.0</v>
      </c>
      <c r="V453" s="129"/>
      <c r="W453" s="130" t="s">
        <v>276</v>
      </c>
      <c r="X453" s="130" t="s">
        <v>393</v>
      </c>
      <c r="Y453" s="130" t="s">
        <v>393</v>
      </c>
      <c r="Z453" s="131" t="b">
        <v>1</v>
      </c>
      <c r="AA453" s="131">
        <v>0.02638888888888889</v>
      </c>
      <c r="AB453" s="129"/>
      <c r="AC453" s="129"/>
      <c r="AD453" s="130" t="s">
        <v>1439</v>
      </c>
      <c r="AE453" s="129"/>
      <c r="AF453" s="132"/>
      <c r="AG453" s="133" t="b">
        <v>0</v>
      </c>
      <c r="AH453" s="133">
        <v>960.0</v>
      </c>
      <c r="AI453" s="133">
        <v>2011.0</v>
      </c>
      <c r="AJ453" s="128"/>
      <c r="AK453" s="133">
        <v>3.0</v>
      </c>
      <c r="AL453" s="129"/>
      <c r="AM453" s="129" t="str">
        <f>IFERROR(__xludf.DUMMYFUNCTION("""COMPUTED_VALUE"""),"Beach, Buffet, Evening Entertainment, Great Beach, Gym, Nightclub, Spa, Swim Up Bar, Tennis")</f>
        <v>Beach, Buffet, Evening Entertainment, Great Beach, Gym, Nightclub, Spa, Swim Up Bar, Tennis</v>
      </c>
      <c r="AN453" s="128"/>
    </row>
    <row r="454">
      <c r="A454" s="118" t="s">
        <v>1440</v>
      </c>
      <c r="B454" s="119">
        <v>85.0</v>
      </c>
      <c r="C454" s="134" t="s">
        <v>75</v>
      </c>
      <c r="D454" s="121">
        <v>1921.0</v>
      </c>
      <c r="E454" s="135">
        <f>IFERROR(__xludf.DUMMYFUNCTION("""COMPUTED_VALUE"""),2652.9968578999997)</f>
        <v>2652.996858</v>
      </c>
      <c r="F454" s="136">
        <v>2.6</v>
      </c>
      <c r="G454" s="124">
        <v>10805.0</v>
      </c>
      <c r="H454" s="125">
        <v>5773.0</v>
      </c>
      <c r="I454" s="125">
        <v>3253.0</v>
      </c>
      <c r="J454" s="125">
        <v>1094.0</v>
      </c>
      <c r="K454" s="125">
        <v>405.0</v>
      </c>
      <c r="L454" s="125">
        <v>283.0</v>
      </c>
      <c r="M454" s="126">
        <v>86.0</v>
      </c>
      <c r="N454" s="127">
        <v>84.0</v>
      </c>
      <c r="O454" s="146"/>
      <c r="P454" s="146"/>
      <c r="Q454" s="126" t="b">
        <v>1</v>
      </c>
      <c r="R454" s="128"/>
      <c r="S454" s="128"/>
      <c r="T454" s="128"/>
      <c r="U454" s="133">
        <v>5.0</v>
      </c>
      <c r="V454" s="129"/>
      <c r="W454" s="130" t="s">
        <v>276</v>
      </c>
      <c r="X454" s="130" t="s">
        <v>576</v>
      </c>
      <c r="Y454" s="130" t="s">
        <v>278</v>
      </c>
      <c r="Z454" s="131" t="b">
        <v>1</v>
      </c>
      <c r="AA454" s="131">
        <v>0.06666666666666667</v>
      </c>
      <c r="AB454" s="129"/>
      <c r="AC454" s="130" t="s">
        <v>1441</v>
      </c>
      <c r="AD454" s="130" t="s">
        <v>1442</v>
      </c>
      <c r="AE454" s="130"/>
      <c r="AF454" s="132" t="s">
        <v>1443</v>
      </c>
      <c r="AG454" s="128" t="b">
        <v>0</v>
      </c>
      <c r="AH454" s="128"/>
      <c r="AI454" s="128"/>
      <c r="AJ454" s="128"/>
      <c r="AK454" s="128"/>
      <c r="AL454" s="129" t="str">
        <f>IFERROR(__xludf.DUMMYFUNCTION("""COMPUTED_VALUE"""),"Bay View, Modern")</f>
        <v>Bay View, Modern</v>
      </c>
      <c r="AM454" s="129" t="str">
        <f>IFERROR(__xludf.DUMMYFUNCTION("""COMPUTED_VALUE"""),"Babysitting, Beach, Buffet, Diving, Evening Entertainment, Fishing, Kids Club, Room Service, Spa, Swim Up Bar, Tennis")</f>
        <v>Babysitting, Beach, Buffet, Diving, Evening Entertainment, Fishing, Kids Club, Room Service, Spa, Swim Up Bar, Tennis</v>
      </c>
      <c r="AN454" s="139"/>
    </row>
    <row r="455">
      <c r="A455" s="118" t="s">
        <v>1444</v>
      </c>
      <c r="B455" s="119">
        <v>85.0</v>
      </c>
      <c r="C455" s="134" t="s">
        <v>75</v>
      </c>
      <c r="D455" s="121">
        <v>2015.68</v>
      </c>
      <c r="E455" s="135">
        <f>IFERROR(__xludf.DUMMYFUNCTION("""COMPUTED_VALUE"""),2783.754662432)</f>
        <v>2783.754662</v>
      </c>
      <c r="F455" s="136">
        <v>2.48</v>
      </c>
      <c r="G455" s="124">
        <v>8766.0</v>
      </c>
      <c r="H455" s="125">
        <v>5731.0</v>
      </c>
      <c r="I455" s="125">
        <v>1762.0</v>
      </c>
      <c r="J455" s="125">
        <v>681.0</v>
      </c>
      <c r="K455" s="125">
        <v>297.0</v>
      </c>
      <c r="L455" s="125">
        <v>296.0</v>
      </c>
      <c r="M455" s="126">
        <v>88.0</v>
      </c>
      <c r="N455" s="127"/>
      <c r="O455" s="146"/>
      <c r="P455" s="127">
        <v>82.0</v>
      </c>
      <c r="Q455" s="135" t="b">
        <v>1</v>
      </c>
      <c r="R455" s="133">
        <v>4.0</v>
      </c>
      <c r="S455" s="133">
        <v>7.0</v>
      </c>
      <c r="T455" s="133"/>
      <c r="U455" s="133">
        <v>4.0</v>
      </c>
      <c r="V455" s="130" t="s">
        <v>91</v>
      </c>
      <c r="W455" s="130" t="s">
        <v>84</v>
      </c>
      <c r="X455" s="130" t="s">
        <v>119</v>
      </c>
      <c r="Y455" s="130" t="s">
        <v>120</v>
      </c>
      <c r="Z455" s="131" t="b">
        <v>1</v>
      </c>
      <c r="AA455" s="131">
        <v>0.011111111111111112</v>
      </c>
      <c r="AB455" s="130" t="s">
        <v>1445</v>
      </c>
      <c r="AC455" s="130" t="s">
        <v>579</v>
      </c>
      <c r="AD455" s="130" t="s">
        <v>1446</v>
      </c>
      <c r="AE455" s="130"/>
      <c r="AF455" s="132" t="s">
        <v>373</v>
      </c>
      <c r="AG455" s="133" t="b">
        <v>1</v>
      </c>
      <c r="AH455" s="133">
        <v>473.0</v>
      </c>
      <c r="AI455" s="133">
        <v>1979.0</v>
      </c>
      <c r="AJ455" s="133">
        <v>2017.0</v>
      </c>
      <c r="AK455" s="133">
        <v>13.0</v>
      </c>
      <c r="AL455" s="129" t="str">
        <f>IFERROR(__xludf.DUMMYFUNCTION("""COMPUTED_VALUE"""),"Family, Value")</f>
        <v>Family, Value</v>
      </c>
      <c r="AM455" s="129" t="str">
        <f>IFERROR(__xludf.DUMMYFUNCTION("""COMPUTED_VALUE"""),"Babysitting, Beach, Buffet, Gym, Heated Pool, Horseback Riding, Kids Club, Room Service, Spa, Swim Up Bar, Tennis, Wifi (Paid)")</f>
        <v>Babysitting, Beach, Buffet, Gym, Heated Pool, Horseback Riding, Kids Club, Room Service, Spa, Swim Up Bar, Tennis, Wifi (Paid)</v>
      </c>
      <c r="AN455" s="139"/>
    </row>
    <row r="456">
      <c r="A456" s="118" t="s">
        <v>1447</v>
      </c>
      <c r="B456" s="119">
        <v>85.0</v>
      </c>
      <c r="C456" s="134" t="s">
        <v>75</v>
      </c>
      <c r="D456" s="121">
        <v>2490.0</v>
      </c>
      <c r="E456" s="135">
        <f>IFERROR(__xludf.DUMMYFUNCTION("""COMPUTED_VALUE"""),3438.814251)</f>
        <v>3438.814251</v>
      </c>
      <c r="F456" s="136">
        <v>2.01</v>
      </c>
      <c r="G456" s="124">
        <v>5649.0</v>
      </c>
      <c r="H456" s="125">
        <v>2511.0</v>
      </c>
      <c r="I456" s="125">
        <v>1772.0</v>
      </c>
      <c r="J456" s="125">
        <v>725.0</v>
      </c>
      <c r="K456" s="125">
        <v>343.0</v>
      </c>
      <c r="L456" s="125">
        <v>298.0</v>
      </c>
      <c r="M456" s="126">
        <v>81.0</v>
      </c>
      <c r="N456" s="127">
        <v>88.0</v>
      </c>
      <c r="O456" s="146"/>
      <c r="P456" s="127">
        <v>86.0</v>
      </c>
      <c r="Q456" s="122" t="b">
        <v>1</v>
      </c>
      <c r="R456" s="133"/>
      <c r="S456" s="128">
        <v>6.0</v>
      </c>
      <c r="T456" s="133"/>
      <c r="U456" s="133">
        <v>4.0</v>
      </c>
      <c r="V456" s="130"/>
      <c r="W456" s="130" t="s">
        <v>84</v>
      </c>
      <c r="X456" s="130" t="s">
        <v>448</v>
      </c>
      <c r="Y456" s="130" t="s">
        <v>448</v>
      </c>
      <c r="Z456" s="131" t="b">
        <v>1</v>
      </c>
      <c r="AA456" s="131">
        <v>0.006944444444444444</v>
      </c>
      <c r="AB456" s="130" t="s">
        <v>328</v>
      </c>
      <c r="AC456" s="130" t="s">
        <v>774</v>
      </c>
      <c r="AD456" s="130" t="s">
        <v>1448</v>
      </c>
      <c r="AE456" s="130"/>
      <c r="AF456" s="132" t="s">
        <v>373</v>
      </c>
      <c r="AG456" s="133" t="b">
        <v>0</v>
      </c>
      <c r="AH456" s="133">
        <v>143.0</v>
      </c>
      <c r="AI456" s="133">
        <v>1976.0</v>
      </c>
      <c r="AJ456" s="133">
        <v>2006.0</v>
      </c>
      <c r="AK456" s="133">
        <v>12.0</v>
      </c>
      <c r="AL456" s="129" t="str">
        <f>IFERROR(__xludf.DUMMYFUNCTION("""COMPUTED_VALUE"""),"Family, Park View")</f>
        <v>Family, Park View</v>
      </c>
      <c r="AM456" s="129" t="str">
        <f>IFERROR(__xludf.DUMMYFUNCTION("""COMPUTED_VALUE"""),"Adult Pool, Archery, Babysitting, Beach, Buffet, Diving, Evening Entertainment, Fishing, Gym, Kids Club, Mini Golf, Nightclub, Pool Slide, Snorkelling, Spa, Swim Up Bar, Tennis, Water Feature, Watersports Equipment Rentals, Wifi (Paid)")</f>
        <v>Adult Pool, Archery, Babysitting, Beach, Buffet, Diving, Evening Entertainment, Fishing, Gym, Kids Club, Mini Golf, Nightclub, Pool Slide, Snorkelling, Spa, Swim Up Bar, Tennis, Water Feature, Watersports Equipment Rentals, Wifi (Paid)</v>
      </c>
      <c r="AN456" s="128"/>
    </row>
    <row r="457">
      <c r="A457" s="118" t="s">
        <v>1449</v>
      </c>
      <c r="B457" s="119">
        <v>85.0</v>
      </c>
      <c r="C457" s="134" t="s">
        <v>75</v>
      </c>
      <c r="D457" s="121">
        <v>2661.68</v>
      </c>
      <c r="E457" s="135">
        <f>IFERROR(__xludf.DUMMYFUNCTION("""COMPUTED_VALUE"""),3675.9128978319995)</f>
        <v>3675.912898</v>
      </c>
      <c r="F457" s="136">
        <v>1.88</v>
      </c>
      <c r="G457" s="124">
        <v>10208.0</v>
      </c>
      <c r="H457" s="125">
        <v>6204.0</v>
      </c>
      <c r="I457" s="125">
        <v>2347.0</v>
      </c>
      <c r="J457" s="125">
        <v>836.0</v>
      </c>
      <c r="K457" s="125">
        <v>428.0</v>
      </c>
      <c r="L457" s="125">
        <v>398.0</v>
      </c>
      <c r="M457" s="126">
        <v>86.0</v>
      </c>
      <c r="N457" s="127">
        <v>88.0</v>
      </c>
      <c r="O457" s="127">
        <v>84.0</v>
      </c>
      <c r="P457" s="127">
        <v>82.0</v>
      </c>
      <c r="Q457" s="122" t="b">
        <v>1</v>
      </c>
      <c r="R457" s="128"/>
      <c r="S457" s="133">
        <v>6.0</v>
      </c>
      <c r="T457" s="128"/>
      <c r="U457" s="133">
        <v>4.0</v>
      </c>
      <c r="V457" s="129"/>
      <c r="W457" s="130" t="s">
        <v>84</v>
      </c>
      <c r="X457" s="130" t="s">
        <v>1450</v>
      </c>
      <c r="Y457" s="130" t="s">
        <v>120</v>
      </c>
      <c r="Z457" s="131" t="b">
        <v>1</v>
      </c>
      <c r="AA457" s="131">
        <v>0.013194444444444444</v>
      </c>
      <c r="AB457" s="130" t="s">
        <v>362</v>
      </c>
      <c r="AC457" s="130" t="s">
        <v>1451</v>
      </c>
      <c r="AD457" s="130" t="s">
        <v>1452</v>
      </c>
      <c r="AE457" s="130"/>
      <c r="AF457" s="132" t="s">
        <v>373</v>
      </c>
      <c r="AG457" s="133" t="b">
        <v>0</v>
      </c>
      <c r="AH457" s="133">
        <v>274.0</v>
      </c>
      <c r="AI457" s="133">
        <v>1992.0</v>
      </c>
      <c r="AJ457" s="133">
        <v>2011.0</v>
      </c>
      <c r="AK457" s="133">
        <v>7.0</v>
      </c>
      <c r="AL457" s="129" t="str">
        <f>IFERROR(__xludf.DUMMYFUNCTION("""COMPUTED_VALUE"""),"Mid-Range, Modern")</f>
        <v>Mid-Range, Modern</v>
      </c>
      <c r="AM457" s="129" t="str">
        <f>IFERROR(__xludf.DUMMYFUNCTION("""COMPUTED_VALUE"""),"Adult Pool, Babysitting, Beach, Buffet, Diving, Evening Entertainment, Fishing, Gym, Heated Pool, Kids Club, Nightclub, Room Service, Spa, Tennis")</f>
        <v>Adult Pool, Babysitting, Beach, Buffet, Diving, Evening Entertainment, Fishing, Gym, Heated Pool, Kids Club, Nightclub, Room Service, Spa, Tennis</v>
      </c>
      <c r="AN457" s="139"/>
    </row>
    <row r="458">
      <c r="A458" s="118" t="s">
        <v>1453</v>
      </c>
      <c r="B458" s="119">
        <v>85.0</v>
      </c>
      <c r="C458" s="134" t="s">
        <v>75</v>
      </c>
      <c r="D458" s="121">
        <v>2697.52</v>
      </c>
      <c r="E458" s="135">
        <f>IFERROR(__xludf.DUMMYFUNCTION("""COMPUTED_VALUE"""),3725.4097262479995)</f>
        <v>3725.409726</v>
      </c>
      <c r="F458" s="136">
        <v>1.85</v>
      </c>
      <c r="G458" s="124">
        <v>5708.0</v>
      </c>
      <c r="H458" s="125">
        <v>2126.0</v>
      </c>
      <c r="I458" s="125">
        <v>1817.0</v>
      </c>
      <c r="J458" s="125">
        <v>946.0</v>
      </c>
      <c r="K458" s="125">
        <v>423.0</v>
      </c>
      <c r="L458" s="125">
        <v>396.0</v>
      </c>
      <c r="M458" s="126">
        <v>77.0</v>
      </c>
      <c r="N458" s="127">
        <v>94.0</v>
      </c>
      <c r="O458" s="146"/>
      <c r="P458" s="127">
        <v>84.0</v>
      </c>
      <c r="Q458" s="135" t="b">
        <v>1</v>
      </c>
      <c r="R458" s="133"/>
      <c r="S458" s="143">
        <v>6.0</v>
      </c>
      <c r="T458" s="133"/>
      <c r="U458" s="133">
        <v>5.0</v>
      </c>
      <c r="V458" s="130"/>
      <c r="W458" s="130" t="s">
        <v>193</v>
      </c>
      <c r="X458" s="130" t="s">
        <v>415</v>
      </c>
      <c r="Y458" s="130" t="s">
        <v>195</v>
      </c>
      <c r="Z458" s="131" t="b">
        <v>1</v>
      </c>
      <c r="AA458" s="131">
        <v>0.052083333333333336</v>
      </c>
      <c r="AB458" s="130" t="s">
        <v>753</v>
      </c>
      <c r="AC458" s="130" t="s">
        <v>839</v>
      </c>
      <c r="AD458" s="130" t="s">
        <v>1454</v>
      </c>
      <c r="AE458" s="130" t="s">
        <v>396</v>
      </c>
      <c r="AF458" s="132" t="s">
        <v>231</v>
      </c>
      <c r="AG458" s="143" t="b">
        <v>0</v>
      </c>
      <c r="AH458" s="143">
        <v>400.0</v>
      </c>
      <c r="AI458" s="143">
        <v>2007.0</v>
      </c>
      <c r="AJ458" s="143"/>
      <c r="AK458" s="143">
        <v>2.0</v>
      </c>
      <c r="AL458" s="129" t="str">
        <f>IFERROR(__xludf.DUMMYFUNCTION("""COMPUTED_VALUE"""),"Bay View")</f>
        <v>Bay View</v>
      </c>
      <c r="AM458" s="129" t="str">
        <f>IFERROR(__xludf.DUMMYFUNCTION("""COMPUTED_VALUE"""),"2 Bedroom Suites, Babysitting, Beach, Buffet, Casino, Evening Entertainment, Family Suite, Golf Course, Gym, Kids Club, Nightclub, Pool Slide, Spa, Swim Up Bar, Tennis, Water Feature")</f>
        <v>2 Bedroom Suites, Babysitting, Beach, Buffet, Casino, Evening Entertainment, Family Suite, Golf Course, Gym, Kids Club, Nightclub, Pool Slide, Spa, Swim Up Bar, Tennis, Water Feature</v>
      </c>
      <c r="AN458" s="139"/>
    </row>
    <row r="459">
      <c r="A459" s="118" t="s">
        <v>1455</v>
      </c>
      <c r="B459" s="119">
        <v>85.0</v>
      </c>
      <c r="C459" s="134" t="s">
        <v>75</v>
      </c>
      <c r="D459" s="121">
        <v>2728.14</v>
      </c>
      <c r="E459" s="135">
        <f>IFERROR(__xludf.DUMMYFUNCTION("""COMPUTED_VALUE"""),3767.6974741859995)</f>
        <v>3767.697474</v>
      </c>
      <c r="F459" s="136">
        <v>1.83</v>
      </c>
      <c r="G459" s="124">
        <v>4966.0</v>
      </c>
      <c r="H459" s="125">
        <v>1965.0</v>
      </c>
      <c r="I459" s="125">
        <v>1708.0</v>
      </c>
      <c r="J459" s="125">
        <v>710.0</v>
      </c>
      <c r="K459" s="125">
        <v>331.0</v>
      </c>
      <c r="L459" s="125">
        <v>252.0</v>
      </c>
      <c r="M459" s="137">
        <v>79.0</v>
      </c>
      <c r="N459" s="138">
        <v>86.0</v>
      </c>
      <c r="O459" s="127"/>
      <c r="P459" s="138">
        <v>90.0</v>
      </c>
      <c r="Q459" s="135" t="b">
        <v>1</v>
      </c>
      <c r="R459" s="133"/>
      <c r="S459" s="133" t="s">
        <v>83</v>
      </c>
      <c r="T459" s="133"/>
      <c r="U459" s="133">
        <v>4.0</v>
      </c>
      <c r="V459" s="129"/>
      <c r="W459" s="130" t="s">
        <v>193</v>
      </c>
      <c r="X459" s="130" t="s">
        <v>1456</v>
      </c>
      <c r="Y459" s="130" t="s">
        <v>229</v>
      </c>
      <c r="Z459" s="133" t="b">
        <v>1</v>
      </c>
      <c r="AA459" s="145"/>
      <c r="AB459" s="130" t="s">
        <v>412</v>
      </c>
      <c r="AC459" s="147" t="s">
        <v>75</v>
      </c>
      <c r="AD459" s="147" t="s">
        <v>1457</v>
      </c>
      <c r="AE459" s="129"/>
      <c r="AF459" s="148" t="s">
        <v>297</v>
      </c>
      <c r="AG459" s="143" t="b">
        <v>0</v>
      </c>
      <c r="AH459" s="133">
        <v>404.0</v>
      </c>
      <c r="AI459" s="133">
        <v>1999.0</v>
      </c>
      <c r="AJ459" s="133">
        <v>2014.0</v>
      </c>
      <c r="AK459" s="133">
        <v>2.0</v>
      </c>
      <c r="AL459" s="129" t="str">
        <f>IFERROR(__xludf.DUMMYFUNCTION("""COMPUTED_VALUE"""),"Family")</f>
        <v>Family</v>
      </c>
      <c r="AM459" s="129" t="str">
        <f>IFERROR(__xludf.DUMMYFUNCTION("""COMPUTED_VALUE"""),"Beach, Buffet, Evening Entertainment, Horseback Riding, Kids Club, Yoga Classes")</f>
        <v>Beach, Buffet, Evening Entertainment, Horseback Riding, Kids Club, Yoga Classes</v>
      </c>
      <c r="AN459" s="139"/>
    </row>
    <row r="460">
      <c r="A460" s="118" t="s">
        <v>1458</v>
      </c>
      <c r="B460" s="119">
        <v>85.0</v>
      </c>
      <c r="C460" s="134" t="s">
        <v>75</v>
      </c>
      <c r="D460" s="121">
        <v>2782.43</v>
      </c>
      <c r="E460" s="135">
        <f>IFERROR(__xludf.DUMMYFUNCTION("""COMPUTED_VALUE"""),3842.674673256999)</f>
        <v>3842.674673</v>
      </c>
      <c r="F460" s="136">
        <v>1.8</v>
      </c>
      <c r="G460" s="124">
        <v>10144.0</v>
      </c>
      <c r="H460" s="125">
        <v>5529.0</v>
      </c>
      <c r="I460" s="125">
        <v>2329.0</v>
      </c>
      <c r="J460" s="125">
        <v>1065.0</v>
      </c>
      <c r="K460" s="125">
        <v>659.0</v>
      </c>
      <c r="L460" s="125">
        <v>563.0</v>
      </c>
      <c r="M460" s="126">
        <v>83.0</v>
      </c>
      <c r="N460" s="127">
        <v>90.0</v>
      </c>
      <c r="O460" s="146"/>
      <c r="P460" s="138">
        <v>82.0</v>
      </c>
      <c r="Q460" s="126" t="b">
        <v>1</v>
      </c>
      <c r="R460" s="133">
        <v>4.0</v>
      </c>
      <c r="S460" s="133">
        <v>6.0</v>
      </c>
      <c r="T460" s="128"/>
      <c r="U460" s="133">
        <v>4.0</v>
      </c>
      <c r="V460" s="129"/>
      <c r="W460" s="130" t="s">
        <v>84</v>
      </c>
      <c r="X460" s="130" t="s">
        <v>1459</v>
      </c>
      <c r="Y460" s="130" t="s">
        <v>120</v>
      </c>
      <c r="Z460" s="131" t="b">
        <v>1</v>
      </c>
      <c r="AA460" s="131">
        <v>0.030555555555555555</v>
      </c>
      <c r="AB460" s="130" t="s">
        <v>362</v>
      </c>
      <c r="AC460" s="130" t="s">
        <v>324</v>
      </c>
      <c r="AD460" s="130" t="s">
        <v>1460</v>
      </c>
      <c r="AE460" s="130"/>
      <c r="AF460" s="132" t="s">
        <v>373</v>
      </c>
      <c r="AG460" s="133" t="b">
        <v>1</v>
      </c>
      <c r="AH460" s="133">
        <v>316.0</v>
      </c>
      <c r="AI460" s="133">
        <v>1990.0</v>
      </c>
      <c r="AJ460" s="133">
        <v>2008.0</v>
      </c>
      <c r="AK460" s="133">
        <v>9.0</v>
      </c>
      <c r="AL460" s="129" t="str">
        <f>IFERROR(__xludf.DUMMYFUNCTION("""COMPUTED_VALUE"""),"Family, Quiet")</f>
        <v>Family, Quiet</v>
      </c>
      <c r="AM460" s="129" t="str">
        <f>IFERROR(__xludf.DUMMYFUNCTION("""COMPUTED_VALUE"""),"2 Bedroom Suites, Arcade, Babysitting, Beach, Buffet, Diving, Evening Entertainment, Family Suite, Fishing, Gym, Heated Pool, Kids Club, Pool Slide, Spa, Swim Out/Plunge Pool Rooms, Tennis, Water Feature, Watersports Equipment Rentals")</f>
        <v>2 Bedroom Suites, Arcade, Babysitting, Beach, Buffet, Diving, Evening Entertainment, Family Suite, Fishing, Gym, Heated Pool, Kids Club, Pool Slide, Spa, Swim Out/Plunge Pool Rooms, Tennis, Water Feature, Watersports Equipment Rentals</v>
      </c>
      <c r="AN460" s="128"/>
    </row>
    <row r="461">
      <c r="A461" s="118" t="s">
        <v>1461</v>
      </c>
      <c r="B461" s="119">
        <v>85.0</v>
      </c>
      <c r="C461" s="134" t="s">
        <v>75</v>
      </c>
      <c r="D461" s="121">
        <v>2789.48</v>
      </c>
      <c r="E461" s="135">
        <f>IFERROR(__xludf.DUMMYFUNCTION("""COMPUTED_VALUE"""),3852.4110750519994)</f>
        <v>3852.411075</v>
      </c>
      <c r="F461" s="136">
        <v>1.79</v>
      </c>
      <c r="G461" s="124">
        <v>6111.0</v>
      </c>
      <c r="H461" s="125">
        <v>3099.0</v>
      </c>
      <c r="I461" s="125">
        <v>1981.0</v>
      </c>
      <c r="J461" s="125">
        <v>669.0</v>
      </c>
      <c r="K461" s="125">
        <v>197.0</v>
      </c>
      <c r="L461" s="125">
        <v>165.0</v>
      </c>
      <c r="M461" s="126">
        <v>85.0</v>
      </c>
      <c r="N461" s="127">
        <v>88.0</v>
      </c>
      <c r="O461" s="146"/>
      <c r="P461" s="127">
        <v>82.0</v>
      </c>
      <c r="Q461" s="122" t="b">
        <v>1</v>
      </c>
      <c r="R461" s="133"/>
      <c r="S461" s="133">
        <v>6.0</v>
      </c>
      <c r="T461" s="133"/>
      <c r="U461" s="133">
        <v>4.0</v>
      </c>
      <c r="V461" s="130"/>
      <c r="W461" s="130" t="s">
        <v>84</v>
      </c>
      <c r="X461" s="130" t="s">
        <v>1462</v>
      </c>
      <c r="Y461" s="130" t="s">
        <v>86</v>
      </c>
      <c r="Z461" s="131" t="b">
        <v>1</v>
      </c>
      <c r="AA461" s="131">
        <v>0.0375</v>
      </c>
      <c r="AB461" s="130" t="s">
        <v>412</v>
      </c>
      <c r="AC461" s="130" t="s">
        <v>1463</v>
      </c>
      <c r="AD461" s="130" t="s">
        <v>1464</v>
      </c>
      <c r="AE461" s="130"/>
      <c r="AF461" s="132" t="s">
        <v>318</v>
      </c>
      <c r="AG461" s="133" t="b">
        <v>0</v>
      </c>
      <c r="AH461" s="133">
        <v>335.0</v>
      </c>
      <c r="AI461" s="133">
        <v>1992.0</v>
      </c>
      <c r="AJ461" s="133">
        <v>2003.0</v>
      </c>
      <c r="AK461" s="133">
        <v>3.0</v>
      </c>
      <c r="AL461" s="129" t="str">
        <f>IFERROR(__xludf.DUMMYFUNCTION("""COMPUTED_VALUE"""),"Park View, Residential Neighborhood")</f>
        <v>Park View, Residential Neighborhood</v>
      </c>
      <c r="AM461" s="129" t="str">
        <f>IFERROR(__xludf.DUMMYFUNCTION("""COMPUTED_VALUE"""),"Babysitting, Beach, Bicycles Available, Buffet, Diving, Evening Entertainment, Gym, Kids Club, Snorkelling, Spa")</f>
        <v>Babysitting, Beach, Bicycles Available, Buffet, Diving, Evening Entertainment, Gym, Kids Club, Snorkelling, Spa</v>
      </c>
      <c r="AN461" s="128"/>
    </row>
    <row r="462">
      <c r="A462" s="118" t="s">
        <v>1465</v>
      </c>
      <c r="B462" s="119">
        <v>85.0</v>
      </c>
      <c r="C462" s="134" t="s">
        <v>75</v>
      </c>
      <c r="D462" s="121">
        <v>3062.22</v>
      </c>
      <c r="E462" s="135">
        <f>IFERROR(__xludf.DUMMYFUNCTION("""COMPUTED_VALUE"""),4229.078624777999)</f>
        <v>4229.078625</v>
      </c>
      <c r="F462" s="136">
        <v>1.63</v>
      </c>
      <c r="G462" s="124">
        <v>24923.0</v>
      </c>
      <c r="H462" s="125">
        <v>15282.0</v>
      </c>
      <c r="I462" s="125">
        <v>5776.0</v>
      </c>
      <c r="J462" s="125">
        <v>2102.0</v>
      </c>
      <c r="K462" s="125">
        <v>979.0</v>
      </c>
      <c r="L462" s="125">
        <v>784.0</v>
      </c>
      <c r="M462" s="126">
        <v>87.0</v>
      </c>
      <c r="N462" s="127">
        <v>94.0</v>
      </c>
      <c r="O462" s="146"/>
      <c r="P462" s="127">
        <v>74.0</v>
      </c>
      <c r="Q462" s="135" t="b">
        <v>1</v>
      </c>
      <c r="R462" s="133"/>
      <c r="S462" s="133">
        <v>6.0</v>
      </c>
      <c r="T462" s="133"/>
      <c r="U462" s="133">
        <v>5.0</v>
      </c>
      <c r="V462" s="130"/>
      <c r="W462" s="130" t="s">
        <v>84</v>
      </c>
      <c r="X462" s="130" t="s">
        <v>85</v>
      </c>
      <c r="Y462" s="147" t="s">
        <v>86</v>
      </c>
      <c r="Z462" s="131" t="b">
        <v>1</v>
      </c>
      <c r="AA462" s="131">
        <v>0.041666666666666664</v>
      </c>
      <c r="AB462" s="130" t="s">
        <v>553</v>
      </c>
      <c r="AC462" s="130" t="s">
        <v>75</v>
      </c>
      <c r="AD462" s="130" t="s">
        <v>1466</v>
      </c>
      <c r="AE462" s="130"/>
      <c r="AF462" s="132" t="s">
        <v>1467</v>
      </c>
      <c r="AG462" s="133" t="b">
        <v>0</v>
      </c>
      <c r="AH462" s="133">
        <v>819.0</v>
      </c>
      <c r="AI462" s="133">
        <v>1995.0</v>
      </c>
      <c r="AJ462" s="133">
        <v>2019.0</v>
      </c>
      <c r="AK462" s="133">
        <v>4.0</v>
      </c>
      <c r="AL462" s="129" t="str">
        <f>IFERROR(__xludf.DUMMYFUNCTION("""COMPUTED_VALUE"""),"Family")</f>
        <v>Family</v>
      </c>
      <c r="AM462" s="129" t="str">
        <f>IFERROR(__xludf.DUMMYFUNCTION("""COMPUTED_VALUE"""),"Adult Pool, Adults Only Rooms, Arcade, Babysitting, Beach, Bicycles Available, Buffet, Diving, Evening Entertainment, Gym, Kids Club, Mini Golf, Nightclub, Room Service, Snorkelling, Spa, Swim Up Bar, Tennis")</f>
        <v>Adult Pool, Adults Only Rooms, Arcade, Babysitting, Beach, Bicycles Available, Buffet, Diving, Evening Entertainment, Gym, Kids Club, Mini Golf, Nightclub, Room Service, Snorkelling, Spa, Swim Up Bar, Tennis</v>
      </c>
      <c r="AN462" s="139"/>
    </row>
    <row r="463" hidden="1">
      <c r="A463" s="118" t="s">
        <v>1468</v>
      </c>
      <c r="B463" s="119">
        <v>94.0</v>
      </c>
      <c r="C463" s="120" t="s">
        <v>68</v>
      </c>
      <c r="D463" s="142"/>
      <c r="E463" s="122"/>
      <c r="F463" s="136"/>
      <c r="G463" s="124"/>
      <c r="H463" s="133"/>
      <c r="I463" s="133"/>
      <c r="J463" s="133"/>
      <c r="K463" s="133"/>
      <c r="L463" s="133"/>
      <c r="M463" s="137"/>
      <c r="N463" s="138">
        <v>94.0</v>
      </c>
      <c r="O463" s="127"/>
      <c r="P463" s="127"/>
      <c r="Q463" s="122" t="b">
        <v>1</v>
      </c>
      <c r="R463" s="128"/>
      <c r="S463" s="128"/>
      <c r="T463" s="128"/>
      <c r="U463" s="128"/>
      <c r="V463" s="130" t="s">
        <v>531</v>
      </c>
      <c r="W463" s="130" t="s">
        <v>193</v>
      </c>
      <c r="X463" s="130" t="s">
        <v>557</v>
      </c>
      <c r="Y463" s="130" t="s">
        <v>195</v>
      </c>
      <c r="Z463" s="131" t="b">
        <v>1</v>
      </c>
      <c r="AA463" s="131"/>
      <c r="AB463" s="130"/>
      <c r="AC463" s="130"/>
      <c r="AD463" s="130"/>
      <c r="AE463" s="129"/>
      <c r="AF463" s="132"/>
      <c r="AG463" s="133" t="b">
        <v>0</v>
      </c>
      <c r="AH463" s="133"/>
      <c r="AI463" s="133"/>
      <c r="AJ463" s="133"/>
      <c r="AK463" s="133"/>
      <c r="AL463" s="129"/>
      <c r="AM463" s="129"/>
      <c r="AN463" s="128"/>
    </row>
    <row r="464" hidden="1">
      <c r="A464" s="118" t="s">
        <v>1469</v>
      </c>
      <c r="B464" s="119">
        <v>84.0</v>
      </c>
      <c r="C464" s="120" t="s">
        <v>68</v>
      </c>
      <c r="D464" s="142"/>
      <c r="E464" s="122"/>
      <c r="F464" s="136"/>
      <c r="G464" s="124"/>
      <c r="H464" s="133"/>
      <c r="I464" s="133"/>
      <c r="J464" s="133"/>
      <c r="K464" s="133"/>
      <c r="L464" s="133"/>
      <c r="M464" s="137"/>
      <c r="N464" s="138">
        <v>84.0</v>
      </c>
      <c r="O464" s="127"/>
      <c r="P464" s="127"/>
      <c r="Q464" s="122" t="b">
        <v>0</v>
      </c>
      <c r="R464" s="128"/>
      <c r="S464" s="128"/>
      <c r="T464" s="128"/>
      <c r="U464" s="128"/>
      <c r="V464" s="130" t="s">
        <v>531</v>
      </c>
      <c r="W464" s="130" t="s">
        <v>219</v>
      </c>
      <c r="X464" s="129"/>
      <c r="Y464" s="144" t="s">
        <v>221</v>
      </c>
      <c r="Z464" s="145" t="b">
        <v>0</v>
      </c>
      <c r="AA464" s="145"/>
      <c r="AB464" s="130"/>
      <c r="AC464" s="130"/>
      <c r="AD464" s="130"/>
      <c r="AE464" s="129"/>
      <c r="AF464" s="132"/>
      <c r="AG464" s="133" t="b">
        <v>0</v>
      </c>
      <c r="AH464" s="133"/>
      <c r="AI464" s="133"/>
      <c r="AJ464" s="133"/>
      <c r="AK464" s="133"/>
      <c r="AL464" s="129"/>
      <c r="AM464" s="129"/>
      <c r="AN464" s="128"/>
    </row>
    <row r="465" hidden="1">
      <c r="A465" s="118" t="s">
        <v>1470</v>
      </c>
      <c r="B465" s="119">
        <v>86.0</v>
      </c>
      <c r="C465" s="120" t="s">
        <v>68</v>
      </c>
      <c r="D465" s="142"/>
      <c r="E465" s="122"/>
      <c r="F465" s="136"/>
      <c r="G465" s="152"/>
      <c r="H465" s="133"/>
      <c r="I465" s="133"/>
      <c r="J465" s="133"/>
      <c r="K465" s="133"/>
      <c r="L465" s="133"/>
      <c r="M465" s="137"/>
      <c r="N465" s="138">
        <v>82.0</v>
      </c>
      <c r="O465" s="127"/>
      <c r="P465" s="138">
        <v>90.0</v>
      </c>
      <c r="Q465" s="122" t="b">
        <v>1</v>
      </c>
      <c r="R465" s="128"/>
      <c r="S465" s="128"/>
      <c r="T465" s="128"/>
      <c r="U465" s="128"/>
      <c r="V465" s="130" t="s">
        <v>118</v>
      </c>
      <c r="W465" s="130" t="s">
        <v>84</v>
      </c>
      <c r="X465" s="130" t="s">
        <v>86</v>
      </c>
      <c r="Y465" s="147" t="s">
        <v>86</v>
      </c>
      <c r="Z465" s="131" t="b">
        <v>1</v>
      </c>
      <c r="AA465" s="131">
        <v>0.017361111111111112</v>
      </c>
      <c r="AB465" s="130"/>
      <c r="AC465" s="130"/>
      <c r="AD465" s="130" t="s">
        <v>241</v>
      </c>
      <c r="AE465" s="129"/>
      <c r="AF465" s="132"/>
      <c r="AG465" s="133" t="b">
        <v>0</v>
      </c>
      <c r="AH465" s="133"/>
      <c r="AI465" s="133"/>
      <c r="AJ465" s="133"/>
      <c r="AK465" s="133"/>
      <c r="AL465" s="129"/>
      <c r="AM465" s="129" t="str">
        <f>IFERROR(__xludf.DUMMYFUNCTION("""COMPUTED_VALUE"""),"Beach")</f>
        <v>Beach</v>
      </c>
      <c r="AN465" s="128"/>
    </row>
    <row r="466" hidden="1">
      <c r="A466" s="118" t="s">
        <v>1468</v>
      </c>
      <c r="B466" s="119">
        <v>94.0</v>
      </c>
      <c r="C466" s="134" t="s">
        <v>75</v>
      </c>
      <c r="D466" s="142"/>
      <c r="E466" s="135"/>
      <c r="F466" s="136"/>
      <c r="G466" s="124"/>
      <c r="H466" s="133"/>
      <c r="I466" s="133"/>
      <c r="J466" s="133"/>
      <c r="K466" s="133"/>
      <c r="L466" s="133"/>
      <c r="M466" s="137"/>
      <c r="N466" s="138">
        <v>94.0</v>
      </c>
      <c r="O466" s="127"/>
      <c r="P466" s="127"/>
      <c r="Q466" s="135" t="b">
        <v>1</v>
      </c>
      <c r="R466" s="133"/>
      <c r="S466" s="133"/>
      <c r="T466" s="133"/>
      <c r="U466" s="133"/>
      <c r="V466" s="130" t="s">
        <v>531</v>
      </c>
      <c r="W466" s="130" t="s">
        <v>193</v>
      </c>
      <c r="X466" s="130" t="s">
        <v>557</v>
      </c>
      <c r="Y466" s="130" t="s">
        <v>195</v>
      </c>
      <c r="Z466" s="131" t="b">
        <v>1</v>
      </c>
      <c r="AA466" s="131"/>
      <c r="AB466" s="130"/>
      <c r="AC466" s="130"/>
      <c r="AD466" s="129"/>
      <c r="AE466" s="129"/>
      <c r="AF466" s="132"/>
      <c r="AG466" s="133" t="b">
        <v>0</v>
      </c>
      <c r="AH466" s="133"/>
      <c r="AI466" s="133"/>
      <c r="AJ466" s="133"/>
      <c r="AK466" s="133"/>
      <c r="AL466" s="129"/>
      <c r="AM466" s="129"/>
      <c r="AN466" s="139"/>
    </row>
    <row r="467" hidden="1">
      <c r="A467" s="118" t="s">
        <v>1469</v>
      </c>
      <c r="B467" s="119">
        <v>84.0</v>
      </c>
      <c r="C467" s="134" t="s">
        <v>75</v>
      </c>
      <c r="D467" s="142"/>
      <c r="E467" s="122"/>
      <c r="F467" s="136"/>
      <c r="G467" s="152"/>
      <c r="H467" s="133"/>
      <c r="I467" s="133"/>
      <c r="J467" s="133"/>
      <c r="K467" s="133"/>
      <c r="L467" s="133"/>
      <c r="M467" s="137"/>
      <c r="N467" s="138">
        <v>84.0</v>
      </c>
      <c r="O467" s="127"/>
      <c r="P467" s="127"/>
      <c r="Q467" s="126" t="b">
        <v>0</v>
      </c>
      <c r="R467" s="128"/>
      <c r="S467" s="128"/>
      <c r="T467" s="128"/>
      <c r="U467" s="128"/>
      <c r="V467" s="130" t="s">
        <v>531</v>
      </c>
      <c r="W467" s="130" t="s">
        <v>219</v>
      </c>
      <c r="X467" s="129"/>
      <c r="Y467" s="130" t="s">
        <v>221</v>
      </c>
      <c r="Z467" s="145" t="b">
        <v>0</v>
      </c>
      <c r="AA467" s="145"/>
      <c r="AB467" s="130"/>
      <c r="AC467" s="130"/>
      <c r="AD467" s="129"/>
      <c r="AE467" s="129"/>
      <c r="AF467" s="132"/>
      <c r="AG467" s="133" t="b">
        <v>0</v>
      </c>
      <c r="AH467" s="133"/>
      <c r="AI467" s="133"/>
      <c r="AJ467" s="133"/>
      <c r="AK467" s="133"/>
      <c r="AL467" s="129"/>
      <c r="AM467" s="129"/>
      <c r="AN467" s="139"/>
    </row>
    <row r="468" hidden="1">
      <c r="A468" s="118" t="s">
        <v>1471</v>
      </c>
      <c r="B468" s="119">
        <v>84.0</v>
      </c>
      <c r="C468" s="134" t="s">
        <v>75</v>
      </c>
      <c r="D468" s="142"/>
      <c r="E468" s="135"/>
      <c r="F468" s="136"/>
      <c r="G468" s="124"/>
      <c r="H468" s="133"/>
      <c r="I468" s="133"/>
      <c r="J468" s="133"/>
      <c r="K468" s="133"/>
      <c r="L468" s="133"/>
      <c r="M468" s="137"/>
      <c r="N468" s="138">
        <v>84.0</v>
      </c>
      <c r="O468" s="127"/>
      <c r="P468" s="138"/>
      <c r="Q468" s="135" t="b">
        <v>0</v>
      </c>
      <c r="R468" s="133"/>
      <c r="S468" s="133"/>
      <c r="T468" s="133"/>
      <c r="U468" s="133"/>
      <c r="V468" s="130" t="s">
        <v>118</v>
      </c>
      <c r="W468" s="130" t="s">
        <v>84</v>
      </c>
      <c r="X468" s="130" t="s">
        <v>86</v>
      </c>
      <c r="Y468" s="130" t="s">
        <v>86</v>
      </c>
      <c r="Z468" s="131" t="b">
        <v>1</v>
      </c>
      <c r="AA468" s="131">
        <v>0.019444444444444445</v>
      </c>
      <c r="AB468" s="130"/>
      <c r="AC468" s="130"/>
      <c r="AD468" s="129"/>
      <c r="AE468" s="129"/>
      <c r="AF468" s="132"/>
      <c r="AG468" s="133" t="b">
        <v>0</v>
      </c>
      <c r="AH468" s="133"/>
      <c r="AI468" s="133"/>
      <c r="AJ468" s="133"/>
      <c r="AK468" s="133"/>
      <c r="AL468" s="129"/>
      <c r="AM468" s="129"/>
      <c r="AN468" s="139"/>
    </row>
    <row r="469" hidden="1">
      <c r="A469" s="118" t="s">
        <v>1470</v>
      </c>
      <c r="B469" s="119">
        <v>86.0</v>
      </c>
      <c r="C469" s="134" t="s">
        <v>75</v>
      </c>
      <c r="D469" s="142"/>
      <c r="E469" s="135"/>
      <c r="F469" s="136"/>
      <c r="G469" s="124"/>
      <c r="H469" s="133"/>
      <c r="I469" s="133"/>
      <c r="J469" s="133"/>
      <c r="K469" s="133"/>
      <c r="L469" s="133"/>
      <c r="M469" s="137"/>
      <c r="N469" s="138">
        <v>82.0</v>
      </c>
      <c r="O469" s="127"/>
      <c r="P469" s="138">
        <v>90.0</v>
      </c>
      <c r="Q469" s="135" t="b">
        <v>1</v>
      </c>
      <c r="R469" s="133"/>
      <c r="S469" s="133"/>
      <c r="T469" s="133"/>
      <c r="U469" s="133"/>
      <c r="V469" s="130" t="s">
        <v>118</v>
      </c>
      <c r="W469" s="130" t="s">
        <v>84</v>
      </c>
      <c r="X469" s="130" t="s">
        <v>86</v>
      </c>
      <c r="Y469" s="147" t="s">
        <v>86</v>
      </c>
      <c r="Z469" s="131" t="b">
        <v>1</v>
      </c>
      <c r="AA469" s="131">
        <v>0.017361111111111112</v>
      </c>
      <c r="AB469" s="130"/>
      <c r="AC469" s="130"/>
      <c r="AD469" s="129" t="s">
        <v>241</v>
      </c>
      <c r="AE469" s="129"/>
      <c r="AF469" s="132"/>
      <c r="AG469" s="133" t="b">
        <v>0</v>
      </c>
      <c r="AH469" s="133"/>
      <c r="AI469" s="133"/>
      <c r="AJ469" s="133"/>
      <c r="AK469" s="133"/>
      <c r="AL469" s="129"/>
      <c r="AM469" s="129" t="str">
        <f>IFERROR(__xludf.DUMMYFUNCTION("""COMPUTED_VALUE"""),"Beach")</f>
        <v>Beach</v>
      </c>
      <c r="AN469" s="139"/>
    </row>
    <row r="470" hidden="1">
      <c r="A470" s="118" t="s">
        <v>1472</v>
      </c>
      <c r="B470" s="119">
        <v>83.0</v>
      </c>
      <c r="C470" s="134" t="s">
        <v>75</v>
      </c>
      <c r="D470" s="121"/>
      <c r="E470" s="135"/>
      <c r="F470" s="136"/>
      <c r="G470" s="152">
        <v>1595.0</v>
      </c>
      <c r="H470" s="143"/>
      <c r="I470" s="143"/>
      <c r="J470" s="143"/>
      <c r="K470" s="143"/>
      <c r="L470" s="143"/>
      <c r="M470" s="126"/>
      <c r="N470" s="127">
        <v>86.0</v>
      </c>
      <c r="O470" s="146"/>
      <c r="P470" s="127">
        <v>80.0</v>
      </c>
      <c r="Q470" s="122" t="b">
        <v>0</v>
      </c>
      <c r="R470" s="133"/>
      <c r="S470" s="143"/>
      <c r="T470" s="133"/>
      <c r="U470" s="133"/>
      <c r="V470" s="130" t="s">
        <v>1289</v>
      </c>
      <c r="W470" s="130" t="s">
        <v>84</v>
      </c>
      <c r="X470" s="130" t="s">
        <v>1262</v>
      </c>
      <c r="Y470" s="130" t="s">
        <v>1263</v>
      </c>
      <c r="Z470" s="145" t="b">
        <v>0</v>
      </c>
      <c r="AA470" s="145"/>
      <c r="AB470" s="129"/>
      <c r="AC470" s="129"/>
      <c r="AD470" s="129"/>
      <c r="AE470" s="129"/>
      <c r="AF470" s="132"/>
      <c r="AG470" s="143" t="b">
        <v>0</v>
      </c>
      <c r="AH470" s="143"/>
      <c r="AI470" s="143"/>
      <c r="AJ470" s="143"/>
      <c r="AK470" s="143"/>
      <c r="AL470" s="129"/>
      <c r="AM470" s="129"/>
      <c r="AN470" s="139"/>
    </row>
    <row r="471">
      <c r="A471" s="118" t="s">
        <v>1473</v>
      </c>
      <c r="B471" s="119">
        <v>85.0</v>
      </c>
      <c r="C471" s="134" t="s">
        <v>75</v>
      </c>
      <c r="D471" s="121">
        <v>3911.27</v>
      </c>
      <c r="E471" s="135">
        <f>IFERROR(__xludf.DUMMYFUNCTION("""COMPUTED_VALUE"""),5401.6590423729995)</f>
        <v>5401.659042</v>
      </c>
      <c r="F471" s="136">
        <v>1.28</v>
      </c>
      <c r="G471" s="124">
        <v>416.0</v>
      </c>
      <c r="H471" s="125">
        <v>233.0</v>
      </c>
      <c r="I471" s="125">
        <v>92.0</v>
      </c>
      <c r="J471" s="125">
        <v>39.0</v>
      </c>
      <c r="K471" s="125">
        <v>20.0</v>
      </c>
      <c r="L471" s="125">
        <v>33.0</v>
      </c>
      <c r="M471" s="126">
        <v>83.0</v>
      </c>
      <c r="N471" s="127">
        <v>88.0</v>
      </c>
      <c r="O471" s="146"/>
      <c r="P471" s="127">
        <v>84.0</v>
      </c>
      <c r="Q471" s="137" t="b">
        <v>1</v>
      </c>
      <c r="R471" s="133"/>
      <c r="S471" s="133">
        <v>6.0</v>
      </c>
      <c r="T471" s="133"/>
      <c r="U471" s="133">
        <v>3.0</v>
      </c>
      <c r="V471" s="129"/>
      <c r="W471" s="130" t="s">
        <v>270</v>
      </c>
      <c r="X471" s="130" t="s">
        <v>1168</v>
      </c>
      <c r="Y471" s="130" t="s">
        <v>272</v>
      </c>
      <c r="Z471" s="131" t="b">
        <v>1</v>
      </c>
      <c r="AA471" s="131">
        <v>0.007638888888888889</v>
      </c>
      <c r="AB471" s="129"/>
      <c r="AC471" s="130" t="s">
        <v>1180</v>
      </c>
      <c r="AD471" s="130" t="s">
        <v>1474</v>
      </c>
      <c r="AE471" s="130"/>
      <c r="AF471" s="132" t="s">
        <v>181</v>
      </c>
      <c r="AG471" s="133" t="b">
        <v>0</v>
      </c>
      <c r="AH471" s="133">
        <v>123.0</v>
      </c>
      <c r="AI471" s="133">
        <v>1984.0</v>
      </c>
      <c r="AJ471" s="133">
        <v>2018.0</v>
      </c>
      <c r="AK471" s="133">
        <v>3.0</v>
      </c>
      <c r="AL471" s="129" t="str">
        <f>IFERROR(__xludf.DUMMYFUNCTION("""COMPUTED_VALUE"""),"Family, Mid-Range")</f>
        <v>Family, Mid-Range</v>
      </c>
      <c r="AM471" s="129" t="str">
        <f>IFERROR(__xludf.DUMMYFUNCTION("""COMPUTED_VALUE"""),"2 Bedroom Suites, Babysitting, Beach, Buffet, Family Suite, Gym, Kids Club, Swim Up Bar, Tennis, Wifi (Free)")</f>
        <v>2 Bedroom Suites, Babysitting, Beach, Buffet, Family Suite, Gym, Kids Club, Swim Up Bar, Tennis, Wifi (Free)</v>
      </c>
      <c r="AN471" s="139"/>
    </row>
    <row r="472">
      <c r="A472" s="118" t="s">
        <v>1475</v>
      </c>
      <c r="B472" s="119">
        <v>85.0</v>
      </c>
      <c r="C472" s="134" t="s">
        <v>75</v>
      </c>
      <c r="D472" s="121">
        <v>4115.65</v>
      </c>
      <c r="E472" s="135">
        <f>IFERROR(__xludf.DUMMYFUNCTION("""COMPUTED_VALUE"""),5683.918020934999)</f>
        <v>5683.918021</v>
      </c>
      <c r="F472" s="136">
        <v>1.21</v>
      </c>
      <c r="G472" s="124">
        <v>961.0</v>
      </c>
      <c r="H472" s="125">
        <v>501.0</v>
      </c>
      <c r="I472" s="125">
        <v>245.0</v>
      </c>
      <c r="J472" s="125">
        <v>107.0</v>
      </c>
      <c r="K472" s="125">
        <v>51.0</v>
      </c>
      <c r="L472" s="125">
        <v>57.0</v>
      </c>
      <c r="M472" s="126">
        <v>83.0</v>
      </c>
      <c r="N472" s="127">
        <v>92.0</v>
      </c>
      <c r="O472" s="146"/>
      <c r="P472" s="127">
        <v>80.0</v>
      </c>
      <c r="Q472" s="135" t="b">
        <v>1</v>
      </c>
      <c r="R472" s="133"/>
      <c r="S472" s="143"/>
      <c r="T472" s="133"/>
      <c r="U472" s="133"/>
      <c r="V472" s="130"/>
      <c r="W472" s="130" t="s">
        <v>84</v>
      </c>
      <c r="X472" s="130" t="s">
        <v>85</v>
      </c>
      <c r="Y472" s="130" t="s">
        <v>86</v>
      </c>
      <c r="Z472" s="131" t="b">
        <v>1</v>
      </c>
      <c r="AA472" s="131">
        <v>0.030555555555555555</v>
      </c>
      <c r="AB472" s="130" t="s">
        <v>722</v>
      </c>
      <c r="AC472" s="130" t="s">
        <v>75</v>
      </c>
      <c r="AD472" s="130" t="s">
        <v>1476</v>
      </c>
      <c r="AE472" s="130"/>
      <c r="AF472" s="132" t="s">
        <v>1477</v>
      </c>
      <c r="AG472" s="133" t="b">
        <v>0</v>
      </c>
      <c r="AH472" s="133">
        <v>144.0</v>
      </c>
      <c r="AI472" s="143"/>
      <c r="AJ472" s="143"/>
      <c r="AK472" s="143"/>
      <c r="AL472" s="129" t="str">
        <f>IFERROR(__xludf.DUMMYFUNCTION("""COMPUTED_VALUE"""),"Family")</f>
        <v>Family</v>
      </c>
      <c r="AM472" s="129" t="str">
        <f>IFERROR(__xludf.DUMMYFUNCTION("""COMPUTED_VALUE"""),"Adult Pool, Babysitting, Beach, Buffet, Evening Entertainment, Gym, Kids Club, Kids Waterpark, Nightclub, Spa, Swim Out/Plunge Pool Rooms, Swim Up Bar, Teen Club, Tennis, Wifi (Free), Yoga Classes")</f>
        <v>Adult Pool, Babysitting, Beach, Buffet, Evening Entertainment, Gym, Kids Club, Kids Waterpark, Nightclub, Spa, Swim Out/Plunge Pool Rooms, Swim Up Bar, Teen Club, Tennis, Wifi (Free), Yoga Classes</v>
      </c>
      <c r="AN472" s="139"/>
    </row>
    <row r="473">
      <c r="A473" s="118" t="s">
        <v>1478</v>
      </c>
      <c r="B473" s="149">
        <v>85.0</v>
      </c>
      <c r="C473" s="120" t="s">
        <v>68</v>
      </c>
      <c r="D473" s="121">
        <v>4182.0</v>
      </c>
      <c r="E473" s="122">
        <f>IFERROR(__xludf.DUMMYFUNCTION("""COMPUTED_VALUE"""),5775.550681799999)</f>
        <v>5775.550682</v>
      </c>
      <c r="F473" s="123">
        <v>1.2</v>
      </c>
      <c r="G473" s="124">
        <v>10070.0</v>
      </c>
      <c r="H473" s="125">
        <v>6116.0</v>
      </c>
      <c r="I473" s="125">
        <v>2148.0</v>
      </c>
      <c r="J473" s="125">
        <v>1000.0</v>
      </c>
      <c r="K473" s="125">
        <v>462.0</v>
      </c>
      <c r="L473" s="125">
        <v>346.0</v>
      </c>
      <c r="M473" s="126">
        <v>86.0</v>
      </c>
      <c r="N473" s="127">
        <v>86.0</v>
      </c>
      <c r="O473" s="127">
        <v>86.0</v>
      </c>
      <c r="P473" s="127">
        <v>82.0</v>
      </c>
      <c r="Q473" s="122" t="b">
        <v>1</v>
      </c>
      <c r="R473" s="133">
        <v>4.0</v>
      </c>
      <c r="S473" s="133">
        <v>9.0</v>
      </c>
      <c r="T473" s="133" t="s">
        <v>247</v>
      </c>
      <c r="U473" s="133">
        <v>4.0</v>
      </c>
      <c r="V473" s="129"/>
      <c r="W473" s="130" t="s">
        <v>219</v>
      </c>
      <c r="X473" s="130" t="s">
        <v>713</v>
      </c>
      <c r="Y473" s="144" t="s">
        <v>221</v>
      </c>
      <c r="Z473" s="131" t="b">
        <v>1</v>
      </c>
      <c r="AA473" s="131">
        <v>0.011111111111111112</v>
      </c>
      <c r="AB473" s="130" t="s">
        <v>50</v>
      </c>
      <c r="AC473" s="130" t="s">
        <v>1479</v>
      </c>
      <c r="AD473" s="130" t="s">
        <v>1480</v>
      </c>
      <c r="AE473" s="130"/>
      <c r="AF473" s="132"/>
      <c r="AG473" s="133" t="b">
        <v>0</v>
      </c>
      <c r="AH473" s="133">
        <v>350.0</v>
      </c>
      <c r="AI473" s="133">
        <v>2010.0</v>
      </c>
      <c r="AJ473" s="143"/>
      <c r="AK473" s="133">
        <v>5.0</v>
      </c>
      <c r="AL473" s="129" t="str">
        <f>IFERROR(__xludf.DUMMYFUNCTION("""COMPUTED_VALUE"""),"Business, Modern")</f>
        <v>Business, Modern</v>
      </c>
      <c r="AM473" s="129" t="str">
        <f>IFERROR(__xludf.DUMMYFUNCTION("""COMPUTED_VALUE"""),"Beach, Buffet, Casino, Diving, Evening Entertainment, Great Food, Gym, Heated Pool, Nightclub, Spa, Swim Up Bar, Tennis, Wifi (Free)")</f>
        <v>Beach, Buffet, Casino, Diving, Evening Entertainment, Great Food, Gym, Heated Pool, Nightclub, Spa, Swim Up Bar, Tennis, Wifi (Free)</v>
      </c>
      <c r="AN473" s="128"/>
    </row>
    <row r="474">
      <c r="A474" s="118" t="s">
        <v>1481</v>
      </c>
      <c r="B474" s="149">
        <v>85.0</v>
      </c>
      <c r="C474" s="120" t="s">
        <v>68</v>
      </c>
      <c r="D474" s="121">
        <v>4340.7</v>
      </c>
      <c r="E474" s="122">
        <f>IFERROR(__xludf.DUMMYFUNCTION("""COMPUTED_VALUE"""),5994.723300929999)</f>
        <v>5994.723301</v>
      </c>
      <c r="F474" s="123">
        <v>1.15</v>
      </c>
      <c r="G474" s="124">
        <v>1873.0</v>
      </c>
      <c r="H474" s="125">
        <v>1053.0</v>
      </c>
      <c r="I474" s="125">
        <v>323.0</v>
      </c>
      <c r="J474" s="125">
        <v>187.0</v>
      </c>
      <c r="K474" s="125">
        <v>143.0</v>
      </c>
      <c r="L474" s="125">
        <v>169.0</v>
      </c>
      <c r="M474" s="126">
        <v>81.0</v>
      </c>
      <c r="N474" s="127">
        <v>94.0</v>
      </c>
      <c r="O474" s="127"/>
      <c r="P474" s="127">
        <v>80.0</v>
      </c>
      <c r="Q474" s="122" t="b">
        <v>1</v>
      </c>
      <c r="R474" s="128"/>
      <c r="S474" s="133" t="s">
        <v>83</v>
      </c>
      <c r="T474" s="128"/>
      <c r="U474" s="133">
        <v>5.0</v>
      </c>
      <c r="V474" s="129"/>
      <c r="W474" s="130" t="s">
        <v>219</v>
      </c>
      <c r="X474" s="130" t="s">
        <v>1482</v>
      </c>
      <c r="Y474" s="144" t="s">
        <v>221</v>
      </c>
      <c r="Z474" s="133" t="b">
        <v>1</v>
      </c>
      <c r="AA474" s="131">
        <v>0.03125</v>
      </c>
      <c r="AB474" s="130" t="s">
        <v>759</v>
      </c>
      <c r="AC474" s="130" t="s">
        <v>140</v>
      </c>
      <c r="AD474" s="130" t="s">
        <v>1483</v>
      </c>
      <c r="AE474" s="130"/>
      <c r="AF474" s="132"/>
      <c r="AG474" s="143" t="b">
        <v>0</v>
      </c>
      <c r="AH474" s="133">
        <v>444.0</v>
      </c>
      <c r="AI474" s="133">
        <v>2021.0</v>
      </c>
      <c r="AJ474" s="143"/>
      <c r="AK474" s="143"/>
      <c r="AL474" s="129" t="str">
        <f>IFERROR(__xludf.DUMMYFUNCTION("""COMPUTED_VALUE"""),"Business, Romantic")</f>
        <v>Business, Romantic</v>
      </c>
      <c r="AM474" s="129" t="str">
        <f>IFERROR(__xludf.DUMMYFUNCTION("""COMPUTED_VALUE"""),"Beach, Buffet, Evening Entertainment, Gym, Nightclub, Spa, Swim Out/Plunge Pool Rooms, Wifi (Free)")</f>
        <v>Beach, Buffet, Evening Entertainment, Gym, Nightclub, Spa, Swim Out/Plunge Pool Rooms, Wifi (Free)</v>
      </c>
      <c r="AN474" s="128"/>
    </row>
    <row r="475">
      <c r="A475" s="151" t="s">
        <v>1484</v>
      </c>
      <c r="B475" s="119">
        <v>85.0</v>
      </c>
      <c r="C475" s="133" t="s">
        <v>75</v>
      </c>
      <c r="D475" s="142">
        <v>6618.76</v>
      </c>
      <c r="E475" s="122">
        <f>IFERROR(__xludf.DUMMYFUNCTION("""COMPUTED_VALUE"""),9140.837836124)</f>
        <v>9140.837836</v>
      </c>
      <c r="F475" s="136">
        <v>0.76</v>
      </c>
      <c r="G475" s="124">
        <v>3921.0</v>
      </c>
      <c r="H475" s="125">
        <v>1990.0</v>
      </c>
      <c r="I475" s="125">
        <v>1101.0</v>
      </c>
      <c r="J475" s="125">
        <v>459.0</v>
      </c>
      <c r="K475" s="125">
        <v>204.0</v>
      </c>
      <c r="L475" s="125">
        <v>167.0</v>
      </c>
      <c r="M475" s="126">
        <v>83.0</v>
      </c>
      <c r="N475" s="127">
        <v>88.0</v>
      </c>
      <c r="O475" s="146"/>
      <c r="P475" s="127">
        <v>84.0</v>
      </c>
      <c r="Q475" s="126" t="b">
        <v>1</v>
      </c>
      <c r="R475" s="128"/>
      <c r="S475" s="128">
        <v>6.0</v>
      </c>
      <c r="T475" s="128"/>
      <c r="U475" s="128">
        <v>4.0</v>
      </c>
      <c r="V475" s="129"/>
      <c r="W475" s="144" t="s">
        <v>1485</v>
      </c>
      <c r="X475" s="144" t="s">
        <v>1486</v>
      </c>
      <c r="Y475" s="144" t="s">
        <v>1487</v>
      </c>
      <c r="Z475" s="145" t="b">
        <v>1</v>
      </c>
      <c r="AA475" s="145">
        <v>0.01597222222222222</v>
      </c>
      <c r="AB475" s="129" t="s">
        <v>1488</v>
      </c>
      <c r="AC475" s="129" t="s">
        <v>207</v>
      </c>
      <c r="AD475" s="129" t="s">
        <v>241</v>
      </c>
      <c r="AE475" s="130" t="s">
        <v>94</v>
      </c>
      <c r="AF475" s="132" t="s">
        <v>318</v>
      </c>
      <c r="AG475" s="143" t="b">
        <v>0</v>
      </c>
      <c r="AH475" s="143">
        <v>98.0</v>
      </c>
      <c r="AI475" s="143">
        <v>1981.0</v>
      </c>
      <c r="AJ475" s="143">
        <v>2018.0</v>
      </c>
      <c r="AK475" s="143">
        <v>3.0</v>
      </c>
      <c r="AL475" s="129" t="str">
        <f>IFERROR(__xludf.DUMMYFUNCTION("""COMPUTED_VALUE"""),"Family, Green")</f>
        <v>Family, Green</v>
      </c>
      <c r="AM475" s="129" t="str">
        <f>IFERROR(__xludf.DUMMYFUNCTION("""COMPUTED_VALUE"""),"Beach")</f>
        <v>Beach</v>
      </c>
      <c r="AN475" s="139"/>
    </row>
    <row r="476">
      <c r="A476" s="118" t="s">
        <v>1489</v>
      </c>
      <c r="B476" s="119">
        <v>85.0</v>
      </c>
      <c r="C476" s="120" t="s">
        <v>68</v>
      </c>
      <c r="D476" s="142">
        <v>6840.0</v>
      </c>
      <c r="E476" s="135">
        <f>IFERROR(__xludf.DUMMYFUNCTION("""COMPUTED_VALUE"""),9446.381315999999)</f>
        <v>9446.381316</v>
      </c>
      <c r="F476" s="136">
        <v>0.73</v>
      </c>
      <c r="G476" s="124">
        <v>20.0</v>
      </c>
      <c r="H476" s="125">
        <v>12.0</v>
      </c>
      <c r="I476" s="125">
        <v>5.0</v>
      </c>
      <c r="J476" s="125">
        <v>1.0</v>
      </c>
      <c r="K476" s="125">
        <v>1.0</v>
      </c>
      <c r="L476" s="125">
        <v>1.0</v>
      </c>
      <c r="M476" s="126">
        <v>86.0</v>
      </c>
      <c r="N476" s="138">
        <v>84.0</v>
      </c>
      <c r="O476" s="127"/>
      <c r="P476" s="127"/>
      <c r="Q476" s="126" t="b">
        <v>1</v>
      </c>
      <c r="R476" s="128"/>
      <c r="S476" s="133" t="s">
        <v>83</v>
      </c>
      <c r="T476" s="128"/>
      <c r="U476" s="133">
        <v>4.0</v>
      </c>
      <c r="V476" s="130"/>
      <c r="W476" s="144" t="s">
        <v>84</v>
      </c>
      <c r="X476" s="144" t="s">
        <v>536</v>
      </c>
      <c r="Y476" s="130" t="s">
        <v>86</v>
      </c>
      <c r="Z476" s="133" t="b">
        <v>1</v>
      </c>
      <c r="AA476" s="131">
        <v>0.07916666666666666</v>
      </c>
      <c r="AB476" s="130" t="s">
        <v>451</v>
      </c>
      <c r="AC476" s="130" t="s">
        <v>818</v>
      </c>
      <c r="AD476" s="130" t="s">
        <v>1490</v>
      </c>
      <c r="AE476" s="129"/>
      <c r="AF476" s="132"/>
      <c r="AG476" s="143" t="b">
        <v>0</v>
      </c>
      <c r="AH476" s="133">
        <v>105.0</v>
      </c>
      <c r="AI476" s="133">
        <v>2024.0</v>
      </c>
      <c r="AJ476" s="143"/>
      <c r="AK476" s="133">
        <v>5.0</v>
      </c>
      <c r="AL476" s="129" t="str">
        <f>IFERROR(__xludf.DUMMYFUNCTION("""COMPUTED_VALUE"""),"Green")</f>
        <v>Green</v>
      </c>
      <c r="AM476" s="129" t="str">
        <f>IFERROR(__xludf.DUMMYFUNCTION("""COMPUTED_VALUE"""),"Beach, Buffet, Diving, Room Service, Spa, Swim Up Bar, Wifi (Free), Yoga Classes")</f>
        <v>Beach, Buffet, Diving, Room Service, Spa, Swim Up Bar, Wifi (Free), Yoga Classes</v>
      </c>
      <c r="AN476" s="128"/>
    </row>
    <row r="477">
      <c r="A477" s="118" t="s">
        <v>1491</v>
      </c>
      <c r="B477" s="119">
        <v>85.0</v>
      </c>
      <c r="C477" s="133" t="s">
        <v>75</v>
      </c>
      <c r="D477" s="142">
        <v>8253.0</v>
      </c>
      <c r="E477" s="122">
        <f>IFERROR(__xludf.DUMMYFUNCTION("""COMPUTED_VALUE"""),11397.804824699999)</f>
        <v>11397.80482</v>
      </c>
      <c r="F477" s="136">
        <v>0.61</v>
      </c>
      <c r="G477" s="124">
        <v>107.0</v>
      </c>
      <c r="H477" s="125">
        <v>81.0</v>
      </c>
      <c r="I477" s="125">
        <v>15.0</v>
      </c>
      <c r="J477" s="125">
        <v>5.0</v>
      </c>
      <c r="K477" s="125">
        <v>5.0</v>
      </c>
      <c r="L477" s="125">
        <v>1.0</v>
      </c>
      <c r="M477" s="126">
        <v>92.0</v>
      </c>
      <c r="N477" s="127"/>
      <c r="O477" s="127"/>
      <c r="P477" s="138">
        <v>78.0</v>
      </c>
      <c r="Q477" s="126" t="b">
        <v>1</v>
      </c>
      <c r="R477" s="128"/>
      <c r="S477" s="128"/>
      <c r="T477" s="128"/>
      <c r="U477" s="128"/>
      <c r="V477" s="130"/>
      <c r="W477" s="144" t="s">
        <v>193</v>
      </c>
      <c r="X477" s="130" t="s">
        <v>195</v>
      </c>
      <c r="Y477" s="144" t="s">
        <v>195</v>
      </c>
      <c r="Z477" s="145" t="b">
        <v>1</v>
      </c>
      <c r="AA477" s="145">
        <v>0.013194444444444444</v>
      </c>
      <c r="AB477" s="129" t="s">
        <v>50</v>
      </c>
      <c r="AC477" s="147" t="s">
        <v>163</v>
      </c>
      <c r="AD477" s="130" t="s">
        <v>1492</v>
      </c>
      <c r="AE477" s="129"/>
      <c r="AF477" s="132" t="s">
        <v>318</v>
      </c>
      <c r="AG477" s="143" t="b">
        <v>0</v>
      </c>
      <c r="AH477" s="143">
        <v>519.0</v>
      </c>
      <c r="AI477" s="143">
        <v>2024.0</v>
      </c>
      <c r="AJ477" s="143"/>
      <c r="AK477" s="143"/>
      <c r="AL477" s="129" t="str">
        <f>IFERROR(__xludf.DUMMYFUNCTION("""COMPUTED_VALUE"""),"Luxury, Romantic")</f>
        <v>Luxury, Romantic</v>
      </c>
      <c r="AM477" s="129" t="str">
        <f>IFERROR(__xludf.DUMMYFUNCTION("""COMPUTED_VALUE"""),"Gym, Kids Club for Under 4, Room Service, Swim Out/Plunge Pool Rooms")</f>
        <v>Gym, Kids Club for Under 4, Room Service, Swim Out/Plunge Pool Rooms</v>
      </c>
      <c r="AN477" s="139"/>
    </row>
    <row r="478">
      <c r="A478" s="118" t="s">
        <v>1493</v>
      </c>
      <c r="B478" s="119">
        <v>85.0</v>
      </c>
      <c r="C478" s="134" t="s">
        <v>75</v>
      </c>
      <c r="D478" s="121">
        <v>9569.35</v>
      </c>
      <c r="E478" s="135">
        <f>IFERROR(__xludf.DUMMYFUNCTION("""COMPUTED_VALUE"""),13215.749860564998)</f>
        <v>13215.74986</v>
      </c>
      <c r="F478" s="136">
        <v>0.52</v>
      </c>
      <c r="G478" s="124">
        <v>24554.0</v>
      </c>
      <c r="H478" s="125">
        <v>13783.0</v>
      </c>
      <c r="I478" s="125">
        <v>6249.0</v>
      </c>
      <c r="J478" s="125">
        <v>2642.0</v>
      </c>
      <c r="K478" s="125">
        <v>964.0</v>
      </c>
      <c r="L478" s="125">
        <v>921.0</v>
      </c>
      <c r="M478" s="126">
        <v>85.0</v>
      </c>
      <c r="N478" s="127">
        <v>90.0</v>
      </c>
      <c r="O478" s="146"/>
      <c r="P478" s="127">
        <v>80.0</v>
      </c>
      <c r="Q478" s="135" t="b">
        <v>1</v>
      </c>
      <c r="R478" s="133"/>
      <c r="S478" s="133">
        <v>7.0</v>
      </c>
      <c r="T478" s="128"/>
      <c r="U478" s="133">
        <v>5.0</v>
      </c>
      <c r="V478" s="129"/>
      <c r="W478" s="130" t="s">
        <v>84</v>
      </c>
      <c r="X478" s="130" t="s">
        <v>336</v>
      </c>
      <c r="Y478" s="144" t="s">
        <v>337</v>
      </c>
      <c r="Z478" s="145" t="b">
        <v>1</v>
      </c>
      <c r="AA478" s="145">
        <v>0.049305555555555554</v>
      </c>
      <c r="AB478" s="144" t="s">
        <v>636</v>
      </c>
      <c r="AC478" s="130" t="s">
        <v>718</v>
      </c>
      <c r="AD478" s="130" t="s">
        <v>1494</v>
      </c>
      <c r="AE478" s="130" t="s">
        <v>396</v>
      </c>
      <c r="AF478" s="132" t="s">
        <v>373</v>
      </c>
      <c r="AG478" s="133" t="b">
        <v>0</v>
      </c>
      <c r="AH478" s="133">
        <v>946.0</v>
      </c>
      <c r="AI478" s="133">
        <v>2006.0</v>
      </c>
      <c r="AJ478" s="143"/>
      <c r="AK478" s="133">
        <v>3.0</v>
      </c>
      <c r="AL478" s="129" t="str">
        <f>IFERROR(__xludf.DUMMYFUNCTION("""COMPUTED_VALUE"""),"Family, Modern")</f>
        <v>Family, Modern</v>
      </c>
      <c r="AM478" s="129" t="str">
        <f>IFERROR(__xludf.DUMMYFUNCTION("""COMPUTED_VALUE"""),"2 Bedroom Suites, Beach, Buffet, Diving, Family Suite, Gym, Kids Club, Kids Waterpark, Lazy River, Snorkelling, Swim Out/Plunge Pool Rooms, Swim Up Bar, Tennis")</f>
        <v>2 Bedroom Suites, Beach, Buffet, Diving, Family Suite, Gym, Kids Club, Kids Waterpark, Lazy River, Snorkelling, Swim Out/Plunge Pool Rooms, Swim Up Bar, Tennis</v>
      </c>
      <c r="AN478" s="139"/>
    </row>
    <row r="479">
      <c r="A479" s="118" t="s">
        <v>1495</v>
      </c>
      <c r="B479" s="119">
        <v>85.0</v>
      </c>
      <c r="C479" s="134" t="s">
        <v>75</v>
      </c>
      <c r="D479" s="121"/>
      <c r="E479" s="135"/>
      <c r="F479" s="136"/>
      <c r="G479" s="124">
        <v>356.0</v>
      </c>
      <c r="H479" s="125">
        <v>231.0</v>
      </c>
      <c r="I479" s="125">
        <v>69.0</v>
      </c>
      <c r="J479" s="125">
        <v>30.0</v>
      </c>
      <c r="K479" s="125">
        <v>10.0</v>
      </c>
      <c r="L479" s="125">
        <v>16.0</v>
      </c>
      <c r="M479" s="137">
        <v>87.0</v>
      </c>
      <c r="N479" s="138">
        <v>88.0</v>
      </c>
      <c r="O479" s="138"/>
      <c r="P479" s="138">
        <v>80.0</v>
      </c>
      <c r="Q479" s="135" t="b">
        <v>1</v>
      </c>
      <c r="R479" s="133"/>
      <c r="S479" s="143"/>
      <c r="T479" s="133"/>
      <c r="U479" s="133">
        <v>4.0</v>
      </c>
      <c r="V479" s="129"/>
      <c r="W479" s="130" t="s">
        <v>84</v>
      </c>
      <c r="X479" s="130" t="s">
        <v>1496</v>
      </c>
      <c r="Y479" s="130" t="s">
        <v>1407</v>
      </c>
      <c r="Z479" s="131" t="b">
        <v>0</v>
      </c>
      <c r="AA479" s="131">
        <v>0.025</v>
      </c>
      <c r="AB479" s="130" t="s">
        <v>1497</v>
      </c>
      <c r="AC479" s="147" t="s">
        <v>324</v>
      </c>
      <c r="AD479" s="147" t="s">
        <v>1498</v>
      </c>
      <c r="AE479" s="129"/>
      <c r="AF479" s="148" t="s">
        <v>297</v>
      </c>
      <c r="AG479" s="143" t="b">
        <v>0</v>
      </c>
      <c r="AH479" s="143"/>
      <c r="AI479" s="143"/>
      <c r="AJ479" s="143"/>
      <c r="AK479" s="143"/>
      <c r="AL479" s="129" t="str">
        <f>IFERROR(__xludf.DUMMYFUNCTION("""COMPUTED_VALUE"""),"Family, Quiet")</f>
        <v>Family, Quiet</v>
      </c>
      <c r="AM479" s="129" t="str">
        <f>IFERROR(__xludf.DUMMYFUNCTION("""COMPUTED_VALUE"""),"Babysitting, Beach, Buffet, Evening Entertainment, Kids Club, Nightclub, Snorkelling, Swim Up Bar, Tennis")</f>
        <v>Babysitting, Beach, Buffet, Evening Entertainment, Kids Club, Nightclub, Snorkelling, Swim Up Bar, Tennis</v>
      </c>
      <c r="AN479" s="139"/>
    </row>
    <row r="480">
      <c r="A480" s="118" t="s">
        <v>1499</v>
      </c>
      <c r="B480" s="119">
        <v>84.8</v>
      </c>
      <c r="C480" s="134" t="s">
        <v>75</v>
      </c>
      <c r="D480" s="150">
        <v>4417.0</v>
      </c>
      <c r="E480" s="135">
        <f>IFERROR(__xludf.DUMMYFUNCTION("""COMPUTED_VALUE"""),6100.097408299999)</f>
        <v>6100.097408</v>
      </c>
      <c r="F480" s="136">
        <v>1.09</v>
      </c>
      <c r="G480" s="124">
        <v>6519.0</v>
      </c>
      <c r="H480" s="125">
        <v>4410.0</v>
      </c>
      <c r="I480" s="125">
        <v>1082.0</v>
      </c>
      <c r="J480" s="125">
        <v>430.0</v>
      </c>
      <c r="K480" s="125">
        <v>241.0</v>
      </c>
      <c r="L480" s="125">
        <v>358.0</v>
      </c>
      <c r="M480" s="126">
        <v>87.0</v>
      </c>
      <c r="N480" s="127">
        <v>84.0</v>
      </c>
      <c r="O480" s="127">
        <v>86.0</v>
      </c>
      <c r="P480" s="127">
        <v>82.0</v>
      </c>
      <c r="Q480" s="135" t="b">
        <v>0</v>
      </c>
      <c r="R480" s="133">
        <v>4.0</v>
      </c>
      <c r="S480" s="133">
        <v>8.0</v>
      </c>
      <c r="T480" s="133"/>
      <c r="U480" s="133">
        <v>4.0</v>
      </c>
      <c r="V480" s="130"/>
      <c r="W480" s="130" t="s">
        <v>219</v>
      </c>
      <c r="X480" s="130" t="s">
        <v>385</v>
      </c>
      <c r="Y480" s="130" t="s">
        <v>221</v>
      </c>
      <c r="Z480" s="131" t="b">
        <v>1</v>
      </c>
      <c r="AA480" s="131">
        <v>0.06944444444444445</v>
      </c>
      <c r="AB480" s="130" t="s">
        <v>255</v>
      </c>
      <c r="AC480" s="130" t="s">
        <v>1500</v>
      </c>
      <c r="AD480" s="130" t="s">
        <v>1501</v>
      </c>
      <c r="AE480" s="130" t="s">
        <v>396</v>
      </c>
      <c r="AF480" s="132" t="s">
        <v>373</v>
      </c>
      <c r="AG480" s="133" t="b">
        <v>1</v>
      </c>
      <c r="AH480" s="133">
        <v>705.0</v>
      </c>
      <c r="AI480" s="133">
        <v>1974.0</v>
      </c>
      <c r="AJ480" s="133">
        <v>2015.0</v>
      </c>
      <c r="AK480" s="133">
        <v>14.0</v>
      </c>
      <c r="AL480" s="129" t="str">
        <f>IFERROR(__xludf.DUMMYFUNCTION("""COMPUTED_VALUE"""),"Bay View, Marina View")</f>
        <v>Bay View, Marina View</v>
      </c>
      <c r="AM480" s="129" t="str">
        <f>IFERROR(__xludf.DUMMYFUNCTION("""COMPUTED_VALUE"""),"2 Bedroom Suites, Arcade, Beach, Family Suite, Flowrider, Kids Club, Kids Waterpark, Pool Slide, Teen Club, Water Feature")</f>
        <v>2 Bedroom Suites, Arcade, Beach, Family Suite, Flowrider, Kids Club, Kids Waterpark, Pool Slide, Teen Club, Water Feature</v>
      </c>
      <c r="AN480" s="139"/>
    </row>
    <row r="481">
      <c r="A481" s="118" t="s">
        <v>1502</v>
      </c>
      <c r="B481" s="119">
        <v>84.8</v>
      </c>
      <c r="C481" s="134" t="s">
        <v>75</v>
      </c>
      <c r="D481" s="121">
        <v>7415.0</v>
      </c>
      <c r="E481" s="135">
        <f>IFERROR(__xludf.DUMMYFUNCTION("""COMPUTED_VALUE"""),10240.485008499998)</f>
        <v>10240.48501</v>
      </c>
      <c r="F481" s="136">
        <v>0.65</v>
      </c>
      <c r="G481" s="124">
        <v>41735.0</v>
      </c>
      <c r="H481" s="125">
        <v>27828.0</v>
      </c>
      <c r="I481" s="125">
        <v>6464.0</v>
      </c>
      <c r="J481" s="125">
        <v>3600.0</v>
      </c>
      <c r="K481" s="125">
        <v>1784.0</v>
      </c>
      <c r="L481" s="125">
        <v>2059.0</v>
      </c>
      <c r="M481" s="126">
        <v>87.0</v>
      </c>
      <c r="N481" s="127">
        <v>88.0</v>
      </c>
      <c r="O481" s="127">
        <v>86.0</v>
      </c>
      <c r="P481" s="127">
        <v>78.0</v>
      </c>
      <c r="Q481" s="122" t="b">
        <v>0</v>
      </c>
      <c r="R481" s="133">
        <v>4.0</v>
      </c>
      <c r="S481" s="143">
        <v>9.0</v>
      </c>
      <c r="T481" s="133"/>
      <c r="U481" s="133">
        <v>5.0</v>
      </c>
      <c r="V481" s="130"/>
      <c r="W481" s="130" t="s">
        <v>193</v>
      </c>
      <c r="X481" s="130" t="s">
        <v>225</v>
      </c>
      <c r="Y481" s="130" t="s">
        <v>195</v>
      </c>
      <c r="Z481" s="131" t="b">
        <v>1</v>
      </c>
      <c r="AA481" s="131">
        <v>0.01875</v>
      </c>
      <c r="AB481" s="130"/>
      <c r="AC481" s="130" t="s">
        <v>647</v>
      </c>
      <c r="AD481" s="130" t="s">
        <v>1503</v>
      </c>
      <c r="AE481" s="130"/>
      <c r="AF481" s="132" t="s">
        <v>1504</v>
      </c>
      <c r="AG481" s="143" t="b">
        <v>0</v>
      </c>
      <c r="AH481" s="143">
        <v>1775.0</v>
      </c>
      <c r="AI481" s="143">
        <v>2009.0</v>
      </c>
      <c r="AJ481" s="143"/>
      <c r="AK481" s="143">
        <v>4.0</v>
      </c>
      <c r="AL481" s="129" t="str">
        <f>IFERROR(__xludf.DUMMYFUNCTION("""COMPUTED_VALUE"""),"Business, Trendy")</f>
        <v>Business, Trendy</v>
      </c>
      <c r="AM481" s="129" t="str">
        <f>IFERROR(__xludf.DUMMYFUNCTION("""COMPUTED_VALUE"""),"2 Bedroom Suites, Beach, Big Waterslides, Family Suite, Kids Club, Kids Waterpark, Lazy River, Pool Slide, Teen Club, Water Feature")</f>
        <v>2 Bedroom Suites, Beach, Big Waterslides, Family Suite, Kids Club, Kids Waterpark, Lazy River, Pool Slide, Teen Club, Water Feature</v>
      </c>
      <c r="AN481" s="139"/>
    </row>
    <row r="482">
      <c r="A482" s="118" t="s">
        <v>1505</v>
      </c>
      <c r="B482" s="119">
        <v>84.8</v>
      </c>
      <c r="C482" s="120" t="s">
        <v>68</v>
      </c>
      <c r="D482" s="142"/>
      <c r="E482" s="122"/>
      <c r="F482" s="136"/>
      <c r="G482" s="124">
        <v>6274.0</v>
      </c>
      <c r="H482" s="125">
        <v>3667.0</v>
      </c>
      <c r="I482" s="125">
        <v>1672.0</v>
      </c>
      <c r="J482" s="125">
        <v>529.0</v>
      </c>
      <c r="K482" s="125">
        <v>233.0</v>
      </c>
      <c r="L482" s="125">
        <v>173.0</v>
      </c>
      <c r="M482" s="126">
        <v>87.0</v>
      </c>
      <c r="N482" s="127">
        <v>86.0</v>
      </c>
      <c r="O482" s="127">
        <v>82.0</v>
      </c>
      <c r="P482" s="127">
        <v>84.0</v>
      </c>
      <c r="Q482" s="122" t="b">
        <v>0</v>
      </c>
      <c r="R482" s="128"/>
      <c r="S482" s="128"/>
      <c r="T482" s="128"/>
      <c r="U482" s="128"/>
      <c r="V482" s="129"/>
      <c r="W482" s="130" t="s">
        <v>219</v>
      </c>
      <c r="X482" s="130" t="s">
        <v>1293</v>
      </c>
      <c r="Y482" s="144" t="s">
        <v>221</v>
      </c>
      <c r="Z482" s="133" t="b">
        <v>1</v>
      </c>
      <c r="AA482" s="145"/>
      <c r="AB482" s="129"/>
      <c r="AC482" s="130"/>
      <c r="AD482" s="144"/>
      <c r="AE482" s="129"/>
      <c r="AF482" s="132"/>
      <c r="AG482" s="143" t="b">
        <v>0</v>
      </c>
      <c r="AH482" s="143"/>
      <c r="AI482" s="143"/>
      <c r="AJ482" s="143"/>
      <c r="AK482" s="143"/>
      <c r="AL482" s="129"/>
      <c r="AM482" s="129"/>
      <c r="AN482" s="128"/>
    </row>
    <row r="483">
      <c r="A483" s="118" t="s">
        <v>1506</v>
      </c>
      <c r="B483" s="119">
        <v>84.7</v>
      </c>
      <c r="C483" s="120" t="s">
        <v>68</v>
      </c>
      <c r="D483" s="121">
        <v>2000.99</v>
      </c>
      <c r="E483" s="122">
        <f>IFERROR(__xludf.DUMMYFUNCTION("""COMPUTED_VALUE"""),2763.4670394009995)</f>
        <v>2763.467039</v>
      </c>
      <c r="F483" s="136">
        <v>2.35</v>
      </c>
      <c r="G483" s="124">
        <v>3647.0</v>
      </c>
      <c r="H483" s="125">
        <v>2291.0</v>
      </c>
      <c r="I483" s="125">
        <v>817.0</v>
      </c>
      <c r="J483" s="125">
        <v>326.0</v>
      </c>
      <c r="K483" s="125">
        <v>108.0</v>
      </c>
      <c r="L483" s="125">
        <v>106.0</v>
      </c>
      <c r="M483" s="126">
        <v>88.0</v>
      </c>
      <c r="N483" s="127">
        <v>86.0</v>
      </c>
      <c r="O483" s="127"/>
      <c r="P483" s="127">
        <v>80.0</v>
      </c>
      <c r="Q483" s="122" t="b">
        <v>0</v>
      </c>
      <c r="R483" s="133"/>
      <c r="S483" s="143">
        <v>7.0</v>
      </c>
      <c r="T483" s="133"/>
      <c r="U483" s="133">
        <v>4.0</v>
      </c>
      <c r="V483" s="129"/>
      <c r="W483" s="130" t="s">
        <v>193</v>
      </c>
      <c r="X483" s="130" t="s">
        <v>1139</v>
      </c>
      <c r="Y483" s="130" t="s">
        <v>229</v>
      </c>
      <c r="Z483" s="131" t="b">
        <v>1</v>
      </c>
      <c r="AA483" s="131">
        <v>0.018055555555555554</v>
      </c>
      <c r="AB483" s="130" t="s">
        <v>412</v>
      </c>
      <c r="AC483" s="130" t="s">
        <v>1507</v>
      </c>
      <c r="AD483" s="144" t="s">
        <v>241</v>
      </c>
      <c r="AE483" s="129"/>
      <c r="AF483" s="132"/>
      <c r="AG483" s="143" t="b">
        <v>0</v>
      </c>
      <c r="AH483" s="143">
        <v>286.0</v>
      </c>
      <c r="AI483" s="143">
        <v>2015.0</v>
      </c>
      <c r="AJ483" s="143"/>
      <c r="AK483" s="143">
        <v>3.0</v>
      </c>
      <c r="AL483" s="129" t="str">
        <f>IFERROR(__xludf.DUMMYFUNCTION("""COMPUTED_VALUE"""),"Park View, Quiet")</f>
        <v>Park View, Quiet</v>
      </c>
      <c r="AM483" s="129" t="str">
        <f>IFERROR(__xludf.DUMMYFUNCTION("""COMPUTED_VALUE"""),"Beach")</f>
        <v>Beach</v>
      </c>
      <c r="AN483" s="128"/>
    </row>
    <row r="484">
      <c r="A484" s="118" t="s">
        <v>1508</v>
      </c>
      <c r="B484" s="119">
        <v>84.7</v>
      </c>
      <c r="C484" s="120" t="s">
        <v>68</v>
      </c>
      <c r="D484" s="121">
        <v>2196.0</v>
      </c>
      <c r="E484" s="122">
        <f>IFERROR(__xludf.DUMMYFUNCTION("""COMPUTED_VALUE"""),3032.7855803999996)</f>
        <v>3032.78558</v>
      </c>
      <c r="F484" s="136">
        <v>2.14</v>
      </c>
      <c r="G484" s="124">
        <v>2679.0</v>
      </c>
      <c r="H484" s="125">
        <v>1311.0</v>
      </c>
      <c r="I484" s="125">
        <v>658.0</v>
      </c>
      <c r="J484" s="125">
        <v>354.0</v>
      </c>
      <c r="K484" s="125">
        <v>172.0</v>
      </c>
      <c r="L484" s="125">
        <v>185.0</v>
      </c>
      <c r="M484" s="126">
        <v>80.0</v>
      </c>
      <c r="N484" s="127">
        <v>92.0</v>
      </c>
      <c r="O484" s="127"/>
      <c r="P484" s="127">
        <v>82.0</v>
      </c>
      <c r="Q484" s="122" t="b">
        <v>0</v>
      </c>
      <c r="R484" s="128"/>
      <c r="S484" s="128">
        <v>7.0</v>
      </c>
      <c r="T484" s="128"/>
      <c r="U484" s="133">
        <v>5.0</v>
      </c>
      <c r="V484" s="129"/>
      <c r="W484" s="130" t="s">
        <v>193</v>
      </c>
      <c r="X484" s="130" t="s">
        <v>195</v>
      </c>
      <c r="Y484" s="130" t="s">
        <v>195</v>
      </c>
      <c r="Z484" s="131" t="b">
        <v>1</v>
      </c>
      <c r="AA484" s="131">
        <v>0.019444444444444445</v>
      </c>
      <c r="AB484" s="130" t="s">
        <v>753</v>
      </c>
      <c r="AC484" s="130" t="s">
        <v>476</v>
      </c>
      <c r="AD484" s="144" t="s">
        <v>241</v>
      </c>
      <c r="AE484" s="129"/>
      <c r="AF484" s="132"/>
      <c r="AG484" s="143" t="b">
        <v>0</v>
      </c>
      <c r="AH484" s="143">
        <v>498.0</v>
      </c>
      <c r="AI484" s="143">
        <v>2018.0</v>
      </c>
      <c r="AJ484" s="143"/>
      <c r="AK484" s="143">
        <v>4.0</v>
      </c>
      <c r="AL484" s="129" t="str">
        <f>IFERROR(__xludf.DUMMYFUNCTION("""COMPUTED_VALUE"""),"Quiet, Romantic")</f>
        <v>Quiet, Romantic</v>
      </c>
      <c r="AM484" s="129" t="str">
        <f>IFERROR(__xludf.DUMMYFUNCTION("""COMPUTED_VALUE"""),"Beach")</f>
        <v>Beach</v>
      </c>
      <c r="AN484" s="128"/>
    </row>
    <row r="485">
      <c r="A485" s="118" t="s">
        <v>1509</v>
      </c>
      <c r="B485" s="119">
        <v>84.7</v>
      </c>
      <c r="C485" s="134" t="s">
        <v>75</v>
      </c>
      <c r="D485" s="121">
        <v>4858.0</v>
      </c>
      <c r="E485" s="135">
        <f>IFERROR(__xludf.DUMMYFUNCTION("""COMPUTED_VALUE"""),6709.140414199999)</f>
        <v>6709.140414</v>
      </c>
      <c r="F485" s="136">
        <v>0.97</v>
      </c>
      <c r="G485" s="124">
        <v>12213.0</v>
      </c>
      <c r="H485" s="125">
        <v>7428.0</v>
      </c>
      <c r="I485" s="125">
        <v>2686.0</v>
      </c>
      <c r="J485" s="125">
        <v>1148.0</v>
      </c>
      <c r="K485" s="125">
        <v>513.0</v>
      </c>
      <c r="L485" s="125">
        <v>440.0</v>
      </c>
      <c r="M485" s="126">
        <v>86.0</v>
      </c>
      <c r="N485" s="127">
        <v>88.0</v>
      </c>
      <c r="O485" s="146"/>
      <c r="P485" s="127">
        <v>80.0</v>
      </c>
      <c r="Q485" s="122" t="b">
        <v>0</v>
      </c>
      <c r="R485" s="133"/>
      <c r="S485" s="133">
        <v>6.0</v>
      </c>
      <c r="T485" s="133" t="s">
        <v>955</v>
      </c>
      <c r="U485" s="133">
        <v>4.0</v>
      </c>
      <c r="V485" s="129"/>
      <c r="W485" s="130" t="s">
        <v>84</v>
      </c>
      <c r="X485" s="130" t="s">
        <v>86</v>
      </c>
      <c r="Y485" s="130" t="s">
        <v>86</v>
      </c>
      <c r="Z485" s="131" t="b">
        <v>1</v>
      </c>
      <c r="AA485" s="131">
        <v>0.017361111111111112</v>
      </c>
      <c r="AB485" s="130" t="s">
        <v>50</v>
      </c>
      <c r="AC485" s="130" t="s">
        <v>1203</v>
      </c>
      <c r="AD485" s="130" t="s">
        <v>1510</v>
      </c>
      <c r="AE485" s="130" t="s">
        <v>396</v>
      </c>
      <c r="AF485" s="132" t="s">
        <v>373</v>
      </c>
      <c r="AG485" s="133" t="b">
        <v>1</v>
      </c>
      <c r="AH485" s="133">
        <v>441.0</v>
      </c>
      <c r="AI485" s="133"/>
      <c r="AJ485" s="133">
        <v>2014.0</v>
      </c>
      <c r="AK485" s="133">
        <v>10.0</v>
      </c>
      <c r="AL485" s="129" t="str">
        <f>IFERROR(__xludf.DUMMYFUNCTION("""COMPUTED_VALUE"""),"Family, Ocean View")</f>
        <v>Family, Ocean View</v>
      </c>
      <c r="AM485" s="129" t="str">
        <f>IFERROR(__xludf.DUMMYFUNCTION("""COMPUTED_VALUE"""),"2 Bedroom Suites, Beach, Family Suite, Kids Club, Kids Club for Under 4, Lazy River")</f>
        <v>2 Bedroom Suites, Beach, Family Suite, Kids Club, Kids Club for Under 4, Lazy River</v>
      </c>
      <c r="AN485" s="139"/>
    </row>
    <row r="486">
      <c r="A486" s="140" t="s">
        <v>1511</v>
      </c>
      <c r="B486" s="119">
        <v>84.7</v>
      </c>
      <c r="C486" s="133" t="s">
        <v>75</v>
      </c>
      <c r="D486" s="142">
        <v>5476.3</v>
      </c>
      <c r="E486" s="122">
        <f>IFERROR(__xludf.DUMMYFUNCTION("""COMPUTED_VALUE"""),7563.043567369999)</f>
        <v>7563.043567</v>
      </c>
      <c r="F486" s="136">
        <v>0.86</v>
      </c>
      <c r="G486" s="124">
        <v>320.0</v>
      </c>
      <c r="H486" s="125">
        <v>185.0</v>
      </c>
      <c r="I486" s="125">
        <v>45.0</v>
      </c>
      <c r="J486" s="125">
        <v>26.0</v>
      </c>
      <c r="K486" s="125">
        <v>29.0</v>
      </c>
      <c r="L486" s="125">
        <v>35.0</v>
      </c>
      <c r="M486" s="126">
        <v>80.0</v>
      </c>
      <c r="N486" s="138">
        <v>90.0</v>
      </c>
      <c r="O486" s="146"/>
      <c r="P486" s="138">
        <v>84.0</v>
      </c>
      <c r="Q486" s="126" t="b">
        <v>0</v>
      </c>
      <c r="R486" s="128"/>
      <c r="S486" s="128"/>
      <c r="T486" s="128"/>
      <c r="U486" s="128">
        <v>4.0</v>
      </c>
      <c r="V486" s="130" t="s">
        <v>91</v>
      </c>
      <c r="W486" s="144" t="s">
        <v>341</v>
      </c>
      <c r="X486" s="129" t="s">
        <v>342</v>
      </c>
      <c r="Y486" s="144" t="s">
        <v>343</v>
      </c>
      <c r="Z486" s="145" t="b">
        <v>1</v>
      </c>
      <c r="AA486" s="145">
        <v>0.010416666666666666</v>
      </c>
      <c r="AB486" s="129" t="s">
        <v>617</v>
      </c>
      <c r="AC486" s="129" t="s">
        <v>998</v>
      </c>
      <c r="AD486" s="130" t="s">
        <v>1512</v>
      </c>
      <c r="AE486" s="129"/>
      <c r="AF486" s="132" t="s">
        <v>81</v>
      </c>
      <c r="AG486" s="143" t="b">
        <v>0</v>
      </c>
      <c r="AH486" s="143"/>
      <c r="AI486" s="143"/>
      <c r="AJ486" s="143"/>
      <c r="AK486" s="143"/>
      <c r="AL486" s="129" t="str">
        <f>IFERROR(__xludf.DUMMYFUNCTION("""COMPUTED_VALUE"""),"Luxury, Romantic")</f>
        <v>Luxury, Romantic</v>
      </c>
      <c r="AM486" s="129" t="str">
        <f>IFERROR(__xludf.DUMMYFUNCTION("""COMPUTED_VALUE"""),"Adults Only Rooms, Beach, Swim Out/Plunge Pool Rooms")</f>
        <v>Adults Only Rooms, Beach, Swim Out/Plunge Pool Rooms</v>
      </c>
      <c r="AN486" s="139"/>
    </row>
    <row r="487">
      <c r="A487" s="118" t="s">
        <v>1513</v>
      </c>
      <c r="B487" s="119">
        <v>84.7</v>
      </c>
      <c r="C487" s="120" t="s">
        <v>68</v>
      </c>
      <c r="D487" s="121">
        <v>6655.0</v>
      </c>
      <c r="E487" s="122">
        <f>IFERROR(__xludf.DUMMYFUNCTION("""COMPUTED_VALUE"""),9190.887084499998)</f>
        <v>9190.887085</v>
      </c>
      <c r="F487" s="136">
        <v>0.71</v>
      </c>
      <c r="G487" s="124">
        <v>10971.0</v>
      </c>
      <c r="H487" s="125">
        <v>6140.0</v>
      </c>
      <c r="I487" s="125">
        <v>2638.0</v>
      </c>
      <c r="J487" s="125">
        <v>1145.0</v>
      </c>
      <c r="K487" s="125">
        <v>577.0</v>
      </c>
      <c r="L487" s="125">
        <v>471.0</v>
      </c>
      <c r="M487" s="126">
        <v>84.0</v>
      </c>
      <c r="N487" s="127">
        <v>86.0</v>
      </c>
      <c r="O487" s="127"/>
      <c r="P487" s="127">
        <v>84.0</v>
      </c>
      <c r="Q487" s="122" t="b">
        <v>0</v>
      </c>
      <c r="R487" s="128"/>
      <c r="S487" s="128"/>
      <c r="T487" s="128"/>
      <c r="U487" s="128"/>
      <c r="V487" s="130" t="s">
        <v>148</v>
      </c>
      <c r="W487" s="130" t="s">
        <v>113</v>
      </c>
      <c r="X487" s="130" t="s">
        <v>505</v>
      </c>
      <c r="Y487" s="130" t="s">
        <v>114</v>
      </c>
      <c r="Z487" s="131" t="b">
        <v>1</v>
      </c>
      <c r="AA487" s="131">
        <v>0.011805555555555555</v>
      </c>
      <c r="AB487" s="130" t="s">
        <v>386</v>
      </c>
      <c r="AC487" s="130" t="s">
        <v>1514</v>
      </c>
      <c r="AD487" s="130" t="s">
        <v>684</v>
      </c>
      <c r="AE487" s="129"/>
      <c r="AF487" s="132"/>
      <c r="AG487" s="133" t="b">
        <v>0</v>
      </c>
      <c r="AH487" s="133">
        <v>373.0</v>
      </c>
      <c r="AI487" s="133">
        <v>1991.0</v>
      </c>
      <c r="AJ487" s="133">
        <v>2011.0</v>
      </c>
      <c r="AK487" s="128"/>
      <c r="AL487" s="129" t="str">
        <f>IFERROR(__xludf.DUMMYFUNCTION("""COMPUTED_VALUE"""),"Centrally Located, Luxury")</f>
        <v>Centrally Located, Luxury</v>
      </c>
      <c r="AM487" s="129" t="str">
        <f>IFERROR(__xludf.DUMMYFUNCTION("""COMPUTED_VALUE"""),"Beach, Swim Out/Plunge Pool Rooms")</f>
        <v>Beach, Swim Out/Plunge Pool Rooms</v>
      </c>
      <c r="AN487" s="128"/>
    </row>
    <row r="488">
      <c r="A488" s="118" t="s">
        <v>1515</v>
      </c>
      <c r="B488" s="119">
        <v>84.7</v>
      </c>
      <c r="C488" s="134" t="s">
        <v>75</v>
      </c>
      <c r="D488" s="121"/>
      <c r="E488" s="135"/>
      <c r="F488" s="136"/>
      <c r="G488" s="124">
        <v>2668.0</v>
      </c>
      <c r="H488" s="125">
        <v>1586.0</v>
      </c>
      <c r="I488" s="125">
        <v>661.0</v>
      </c>
      <c r="J488" s="125">
        <v>215.0</v>
      </c>
      <c r="K488" s="125">
        <v>107.0</v>
      </c>
      <c r="L488" s="125">
        <v>99.0</v>
      </c>
      <c r="M488" s="137">
        <v>86.0</v>
      </c>
      <c r="N488" s="138">
        <v>84.0</v>
      </c>
      <c r="O488" s="127"/>
      <c r="P488" s="138">
        <v>84.0</v>
      </c>
      <c r="Q488" s="135" t="b">
        <v>0</v>
      </c>
      <c r="R488" s="133"/>
      <c r="S488" s="133">
        <v>7.0</v>
      </c>
      <c r="T488" s="133"/>
      <c r="U488" s="133"/>
      <c r="V488" s="130"/>
      <c r="W488" s="130" t="s">
        <v>642</v>
      </c>
      <c r="X488" s="130" t="s">
        <v>642</v>
      </c>
      <c r="Y488" s="130" t="s">
        <v>644</v>
      </c>
      <c r="Z488" s="131" t="b">
        <v>1</v>
      </c>
      <c r="AA488" s="131">
        <v>0.020833333333333332</v>
      </c>
      <c r="AB488" s="130" t="s">
        <v>451</v>
      </c>
      <c r="AC488" s="130" t="s">
        <v>211</v>
      </c>
      <c r="AD488" s="130" t="s">
        <v>1516</v>
      </c>
      <c r="AE488" s="130"/>
      <c r="AF488" s="132" t="s">
        <v>181</v>
      </c>
      <c r="AG488" s="133" t="b">
        <v>0</v>
      </c>
      <c r="AH488" s="133">
        <v>88.0</v>
      </c>
      <c r="AI488" s="133">
        <v>1971.0</v>
      </c>
      <c r="AJ488" s="133">
        <v>2012.0</v>
      </c>
      <c r="AK488" s="133">
        <v>2.0</v>
      </c>
      <c r="AL488" s="129" t="str">
        <f>IFERROR(__xludf.DUMMYFUNCTION("""COMPUTED_VALUE"""),"Green, Quiet")</f>
        <v>Green, Quiet</v>
      </c>
      <c r="AM488" s="129" t="str">
        <f>IFERROR(__xludf.DUMMYFUNCTION("""COMPUTED_VALUE"""),"Beach, Kids Club")</f>
        <v>Beach, Kids Club</v>
      </c>
      <c r="AN488" s="139"/>
    </row>
    <row r="489">
      <c r="A489" s="118" t="s">
        <v>1517</v>
      </c>
      <c r="B489" s="119">
        <v>84.7</v>
      </c>
      <c r="C489" s="134" t="s">
        <v>75</v>
      </c>
      <c r="D489" s="121"/>
      <c r="E489" s="135"/>
      <c r="F489" s="136"/>
      <c r="G489" s="124">
        <v>2707.0</v>
      </c>
      <c r="H489" s="125">
        <v>2077.0</v>
      </c>
      <c r="I489" s="125">
        <v>244.0</v>
      </c>
      <c r="J489" s="125">
        <v>180.0</v>
      </c>
      <c r="K489" s="125">
        <v>109.0</v>
      </c>
      <c r="L489" s="125">
        <v>97.0</v>
      </c>
      <c r="M489" s="126">
        <v>90.0</v>
      </c>
      <c r="N489" s="127">
        <v>82.0</v>
      </c>
      <c r="O489" s="146"/>
      <c r="P489" s="127">
        <v>82.0</v>
      </c>
      <c r="Q489" s="135" t="b">
        <v>0</v>
      </c>
      <c r="R489" s="133"/>
      <c r="S489" s="143"/>
      <c r="T489" s="133" t="s">
        <v>492</v>
      </c>
      <c r="U489" s="133"/>
      <c r="V489" s="129"/>
      <c r="W489" s="130" t="s">
        <v>84</v>
      </c>
      <c r="X489" s="130" t="s">
        <v>907</v>
      </c>
      <c r="Y489" s="130" t="s">
        <v>120</v>
      </c>
      <c r="Z489" s="131" t="b">
        <v>1</v>
      </c>
      <c r="AA489" s="131">
        <v>0.025</v>
      </c>
      <c r="AB489" s="129"/>
      <c r="AC489" s="129"/>
      <c r="AD489" s="147" t="s">
        <v>1518</v>
      </c>
      <c r="AE489" s="129"/>
      <c r="AF489" s="132"/>
      <c r="AG489" s="143" t="b">
        <v>0</v>
      </c>
      <c r="AH489" s="143"/>
      <c r="AI489" s="143"/>
      <c r="AJ489" s="143"/>
      <c r="AK489" s="143"/>
      <c r="AL489" s="129"/>
      <c r="AM489" s="129" t="str">
        <f>IFERROR(__xludf.DUMMYFUNCTION("""COMPUTED_VALUE"""),"Beach, Kids Club for Under 4")</f>
        <v>Beach, Kids Club for Under 4</v>
      </c>
      <c r="AN489" s="139"/>
    </row>
    <row r="490" hidden="1">
      <c r="A490" s="118" t="s">
        <v>1519</v>
      </c>
      <c r="B490" s="119">
        <v>84.0</v>
      </c>
      <c r="C490" s="120" t="s">
        <v>68</v>
      </c>
      <c r="D490" s="142"/>
      <c r="E490" s="122"/>
      <c r="F490" s="136"/>
      <c r="G490" s="152">
        <v>6388.0</v>
      </c>
      <c r="H490" s="143"/>
      <c r="I490" s="143"/>
      <c r="J490" s="143"/>
      <c r="K490" s="143"/>
      <c r="L490" s="143"/>
      <c r="M490" s="126"/>
      <c r="N490" s="127">
        <v>84.0</v>
      </c>
      <c r="O490" s="127"/>
      <c r="P490" s="127"/>
      <c r="Q490" s="122" t="b">
        <v>0</v>
      </c>
      <c r="R490" s="128"/>
      <c r="S490" s="128"/>
      <c r="T490" s="128"/>
      <c r="U490" s="128"/>
      <c r="V490" s="130" t="s">
        <v>531</v>
      </c>
      <c r="W490" s="130" t="s">
        <v>155</v>
      </c>
      <c r="X490" s="130" t="s">
        <v>1520</v>
      </c>
      <c r="Y490" s="130" t="s">
        <v>1521</v>
      </c>
      <c r="Z490" s="145" t="b">
        <v>0</v>
      </c>
      <c r="AA490" s="145"/>
      <c r="AB490" s="130"/>
      <c r="AC490" s="130"/>
      <c r="AD490" s="144"/>
      <c r="AE490" s="129"/>
      <c r="AF490" s="132"/>
      <c r="AG490" s="143" t="b">
        <v>0</v>
      </c>
      <c r="AH490" s="143"/>
      <c r="AI490" s="143"/>
      <c r="AJ490" s="143"/>
      <c r="AK490" s="143"/>
      <c r="AL490" s="129"/>
      <c r="AM490" s="129"/>
      <c r="AN490" s="128"/>
    </row>
    <row r="491">
      <c r="A491" s="118" t="s">
        <v>1522</v>
      </c>
      <c r="B491" s="119">
        <v>84.7</v>
      </c>
      <c r="C491" s="134" t="s">
        <v>75</v>
      </c>
      <c r="D491" s="142"/>
      <c r="E491" s="135"/>
      <c r="F491" s="136"/>
      <c r="G491" s="124">
        <v>14908.0</v>
      </c>
      <c r="H491" s="125">
        <v>6810.0</v>
      </c>
      <c r="I491" s="125">
        <v>3658.0</v>
      </c>
      <c r="J491" s="125">
        <v>2025.0</v>
      </c>
      <c r="K491" s="125">
        <v>1198.0</v>
      </c>
      <c r="L491" s="125">
        <v>1218.0</v>
      </c>
      <c r="M491" s="126">
        <v>78.0</v>
      </c>
      <c r="N491" s="127">
        <v>92.0</v>
      </c>
      <c r="O491" s="146"/>
      <c r="P491" s="138">
        <v>84.0</v>
      </c>
      <c r="Q491" s="135" t="b">
        <v>0</v>
      </c>
      <c r="R491" s="133"/>
      <c r="S491" s="143">
        <v>6.0</v>
      </c>
      <c r="T491" s="133"/>
      <c r="U491" s="133"/>
      <c r="V491" s="130"/>
      <c r="W491" s="130" t="s">
        <v>193</v>
      </c>
      <c r="X491" s="130" t="s">
        <v>195</v>
      </c>
      <c r="Y491" s="130" t="s">
        <v>195</v>
      </c>
      <c r="Z491" s="131" t="b">
        <v>1</v>
      </c>
      <c r="AA491" s="131">
        <v>0.030555555555555555</v>
      </c>
      <c r="AB491" s="130"/>
      <c r="AC491" s="130"/>
      <c r="AD491" s="130" t="s">
        <v>241</v>
      </c>
      <c r="AE491" s="129"/>
      <c r="AF491" s="132"/>
      <c r="AG491" s="143" t="b">
        <v>1</v>
      </c>
      <c r="AH491" s="143">
        <v>818.0</v>
      </c>
      <c r="AI491" s="143">
        <v>1999.0</v>
      </c>
      <c r="AJ491" s="143">
        <v>2018.0</v>
      </c>
      <c r="AK491" s="143">
        <v>3.0</v>
      </c>
      <c r="AL491" s="129"/>
      <c r="AM491" s="129" t="str">
        <f>IFERROR(__xludf.DUMMYFUNCTION("""COMPUTED_VALUE"""),"Beach")</f>
        <v>Beach</v>
      </c>
      <c r="AN491" s="139"/>
    </row>
    <row r="492">
      <c r="A492" s="118" t="s">
        <v>1523</v>
      </c>
      <c r="B492" s="119">
        <v>84.7</v>
      </c>
      <c r="C492" s="120" t="s">
        <v>68</v>
      </c>
      <c r="D492" s="142"/>
      <c r="E492" s="122"/>
      <c r="F492" s="136"/>
      <c r="G492" s="124">
        <v>6479.0</v>
      </c>
      <c r="H492" s="125">
        <v>3407.0</v>
      </c>
      <c r="I492" s="125">
        <v>1809.0</v>
      </c>
      <c r="J492" s="125">
        <v>689.0</v>
      </c>
      <c r="K492" s="125">
        <v>292.0</v>
      </c>
      <c r="L492" s="125">
        <v>284.0</v>
      </c>
      <c r="M492" s="126">
        <v>84.0</v>
      </c>
      <c r="N492" s="127">
        <v>88.0</v>
      </c>
      <c r="O492" s="127"/>
      <c r="P492" s="127">
        <v>82.0</v>
      </c>
      <c r="Q492" s="122" t="b">
        <v>0</v>
      </c>
      <c r="R492" s="128"/>
      <c r="S492" s="128">
        <v>8.0</v>
      </c>
      <c r="T492" s="128"/>
      <c r="U492" s="128"/>
      <c r="V492" s="129"/>
      <c r="W492" s="130" t="s">
        <v>193</v>
      </c>
      <c r="X492" s="130" t="s">
        <v>195</v>
      </c>
      <c r="Y492" s="130" t="s">
        <v>195</v>
      </c>
      <c r="Z492" s="133" t="b">
        <v>1</v>
      </c>
      <c r="AA492" s="145"/>
      <c r="AB492" s="130" t="s">
        <v>655</v>
      </c>
      <c r="AC492" s="130"/>
      <c r="AD492" s="130" t="s">
        <v>1524</v>
      </c>
      <c r="AE492" s="129"/>
      <c r="AF492" s="132"/>
      <c r="AG492" s="143" t="b">
        <v>0</v>
      </c>
      <c r="AH492" s="143">
        <v>476.0</v>
      </c>
      <c r="AI492" s="143">
        <v>1994.0</v>
      </c>
      <c r="AJ492" s="143">
        <v>2023.0</v>
      </c>
      <c r="AK492" s="143">
        <v>3.0</v>
      </c>
      <c r="AL492" s="129"/>
      <c r="AM492" s="129" t="str">
        <f>IFERROR(__xludf.DUMMYFUNCTION("""COMPUTED_VALUE"""),"Great for Parties")</f>
        <v>Great for Parties</v>
      </c>
      <c r="AN492" s="128"/>
    </row>
    <row r="493">
      <c r="A493" s="118" t="s">
        <v>1525</v>
      </c>
      <c r="B493" s="119">
        <v>84.7</v>
      </c>
      <c r="C493" s="134" t="s">
        <v>75</v>
      </c>
      <c r="D493" s="121"/>
      <c r="E493" s="135"/>
      <c r="F493" s="136"/>
      <c r="G493" s="124">
        <v>13624.0</v>
      </c>
      <c r="H493" s="125">
        <v>8919.0</v>
      </c>
      <c r="I493" s="125">
        <v>2689.0</v>
      </c>
      <c r="J493" s="125">
        <v>995.0</v>
      </c>
      <c r="K493" s="125">
        <v>468.0</v>
      </c>
      <c r="L493" s="125">
        <v>553.0</v>
      </c>
      <c r="M493" s="126">
        <v>88.0</v>
      </c>
      <c r="N493" s="127">
        <v>88.0</v>
      </c>
      <c r="O493" s="146"/>
      <c r="P493" s="127">
        <v>78.0</v>
      </c>
      <c r="Q493" s="135" t="b">
        <v>0</v>
      </c>
      <c r="R493" s="133"/>
      <c r="S493" s="143"/>
      <c r="T493" s="133"/>
      <c r="U493" s="133"/>
      <c r="V493" s="130"/>
      <c r="W493" s="130" t="s">
        <v>84</v>
      </c>
      <c r="X493" s="130" t="s">
        <v>85</v>
      </c>
      <c r="Y493" s="130" t="s">
        <v>86</v>
      </c>
      <c r="Z493" s="131" t="b">
        <v>1</v>
      </c>
      <c r="AA493" s="131">
        <v>0.025</v>
      </c>
      <c r="AB493" s="130"/>
      <c r="AC493" s="130"/>
      <c r="AD493" s="129" t="s">
        <v>241</v>
      </c>
      <c r="AE493" s="129"/>
      <c r="AF493" s="132"/>
      <c r="AG493" s="143" t="b">
        <v>0</v>
      </c>
      <c r="AH493" s="143"/>
      <c r="AI493" s="143"/>
      <c r="AJ493" s="143"/>
      <c r="AK493" s="143"/>
      <c r="AL493" s="129"/>
      <c r="AM493" s="129" t="str">
        <f>IFERROR(__xludf.DUMMYFUNCTION("""COMPUTED_VALUE"""),"Beach")</f>
        <v>Beach</v>
      </c>
      <c r="AN493" s="139"/>
    </row>
    <row r="494">
      <c r="A494" s="118" t="s">
        <v>1526</v>
      </c>
      <c r="B494" s="119">
        <v>84.5</v>
      </c>
      <c r="C494" s="134" t="s">
        <v>75</v>
      </c>
      <c r="D494" s="121"/>
      <c r="E494" s="135"/>
      <c r="F494" s="136"/>
      <c r="G494" s="124">
        <v>7432.0</v>
      </c>
      <c r="H494" s="125">
        <v>4171.0</v>
      </c>
      <c r="I494" s="125">
        <v>1954.0</v>
      </c>
      <c r="J494" s="125">
        <v>785.0</v>
      </c>
      <c r="K494" s="125">
        <v>255.0</v>
      </c>
      <c r="L494" s="125">
        <v>270.0</v>
      </c>
      <c r="M494" s="126">
        <v>86.0</v>
      </c>
      <c r="N494" s="127">
        <v>84.0</v>
      </c>
      <c r="O494" s="127">
        <v>84.0</v>
      </c>
      <c r="P494" s="127">
        <v>84.0</v>
      </c>
      <c r="Q494" s="135" t="b">
        <v>0</v>
      </c>
      <c r="R494" s="133"/>
      <c r="S494" s="143"/>
      <c r="T494" s="133"/>
      <c r="U494" s="133">
        <v>3.5</v>
      </c>
      <c r="V494" s="129"/>
      <c r="W494" s="130" t="s">
        <v>270</v>
      </c>
      <c r="X494" s="130" t="s">
        <v>271</v>
      </c>
      <c r="Y494" s="130" t="s">
        <v>272</v>
      </c>
      <c r="Z494" s="133" t="b">
        <v>1</v>
      </c>
      <c r="AA494" s="145"/>
      <c r="AB494" s="130" t="s">
        <v>215</v>
      </c>
      <c r="AC494" s="130" t="s">
        <v>869</v>
      </c>
      <c r="AD494" s="129"/>
      <c r="AE494" s="129"/>
      <c r="AF494" s="132"/>
      <c r="AG494" s="128" t="b">
        <v>0</v>
      </c>
      <c r="AH494" s="128"/>
      <c r="AI494" s="128"/>
      <c r="AJ494" s="128"/>
      <c r="AK494" s="128"/>
      <c r="AL494" s="129" t="str">
        <f>IFERROR(__xludf.DUMMYFUNCTION("""COMPUTED_VALUE"""),"Centrally Located, Family")</f>
        <v>Centrally Located, Family</v>
      </c>
      <c r="AM494" s="129"/>
      <c r="AN494" s="139"/>
    </row>
    <row r="495">
      <c r="A495" s="118" t="s">
        <v>1527</v>
      </c>
      <c r="B495" s="119">
        <v>84.5</v>
      </c>
      <c r="C495" s="120" t="s">
        <v>68</v>
      </c>
      <c r="D495" s="142"/>
      <c r="E495" s="122"/>
      <c r="F495" s="136"/>
      <c r="G495" s="124">
        <v>9055.0</v>
      </c>
      <c r="H495" s="125">
        <v>4710.0</v>
      </c>
      <c r="I495" s="125">
        <v>2704.0</v>
      </c>
      <c r="J495" s="125">
        <v>1065.0</v>
      </c>
      <c r="K495" s="125">
        <v>366.0</v>
      </c>
      <c r="L495" s="125">
        <v>213.0</v>
      </c>
      <c r="M495" s="126">
        <v>85.0</v>
      </c>
      <c r="N495" s="127">
        <v>84.0</v>
      </c>
      <c r="O495" s="127"/>
      <c r="P495" s="127"/>
      <c r="Q495" s="122" t="b">
        <v>0</v>
      </c>
      <c r="R495" s="128"/>
      <c r="S495" s="128"/>
      <c r="T495" s="128"/>
      <c r="U495" s="128"/>
      <c r="V495" s="129"/>
      <c r="W495" s="130" t="s">
        <v>276</v>
      </c>
      <c r="X495" s="130" t="s">
        <v>327</v>
      </c>
      <c r="Y495" s="130" t="s">
        <v>327</v>
      </c>
      <c r="Z495" s="133" t="b">
        <v>1</v>
      </c>
      <c r="AA495" s="145"/>
      <c r="AB495" s="129"/>
      <c r="AC495" s="129"/>
      <c r="AD495" s="129"/>
      <c r="AE495" s="129"/>
      <c r="AF495" s="132"/>
      <c r="AG495" s="128" t="b">
        <v>0</v>
      </c>
      <c r="AH495" s="128"/>
      <c r="AI495" s="128"/>
      <c r="AJ495" s="128"/>
      <c r="AK495" s="128"/>
      <c r="AL495" s="129"/>
      <c r="AM495" s="129"/>
      <c r="AN495" s="128"/>
    </row>
    <row r="496">
      <c r="A496" s="118" t="s">
        <v>1528</v>
      </c>
      <c r="B496" s="119">
        <v>84.5</v>
      </c>
      <c r="C496" s="134" t="s">
        <v>75</v>
      </c>
      <c r="D496" s="142"/>
      <c r="E496" s="135"/>
      <c r="F496" s="136"/>
      <c r="G496" s="124">
        <v>5690.0</v>
      </c>
      <c r="H496" s="125">
        <v>2734.0</v>
      </c>
      <c r="I496" s="125">
        <v>1716.0</v>
      </c>
      <c r="J496" s="125">
        <v>692.0</v>
      </c>
      <c r="K496" s="125">
        <v>311.0</v>
      </c>
      <c r="L496" s="125">
        <v>236.0</v>
      </c>
      <c r="M496" s="126">
        <v>83.0</v>
      </c>
      <c r="N496" s="127">
        <v>86.0</v>
      </c>
      <c r="O496" s="146"/>
      <c r="P496" s="146"/>
      <c r="Q496" s="137" t="b">
        <v>0</v>
      </c>
      <c r="R496" s="128"/>
      <c r="S496" s="128"/>
      <c r="T496" s="128"/>
      <c r="U496" s="128"/>
      <c r="V496" s="129"/>
      <c r="W496" s="130" t="s">
        <v>276</v>
      </c>
      <c r="X496" s="130" t="s">
        <v>327</v>
      </c>
      <c r="Y496" s="130" t="s">
        <v>327</v>
      </c>
      <c r="Z496" s="133" t="b">
        <v>1</v>
      </c>
      <c r="AA496" s="145"/>
      <c r="AB496" s="129"/>
      <c r="AC496" s="129"/>
      <c r="AD496" s="129"/>
      <c r="AE496" s="129"/>
      <c r="AF496" s="132"/>
      <c r="AG496" s="128" t="b">
        <v>0</v>
      </c>
      <c r="AH496" s="128"/>
      <c r="AI496" s="128"/>
      <c r="AJ496" s="128"/>
      <c r="AK496" s="128"/>
      <c r="AL496" s="129"/>
      <c r="AM496" s="129"/>
      <c r="AN496" s="139"/>
    </row>
    <row r="497">
      <c r="A497" s="118" t="s">
        <v>1529</v>
      </c>
      <c r="B497" s="119">
        <v>84.5</v>
      </c>
      <c r="C497" s="134" t="s">
        <v>75</v>
      </c>
      <c r="D497" s="142"/>
      <c r="E497" s="135"/>
      <c r="F497" s="136"/>
      <c r="G497" s="124">
        <v>4677.0</v>
      </c>
      <c r="H497" s="125">
        <v>2328.0</v>
      </c>
      <c r="I497" s="125">
        <v>1441.0</v>
      </c>
      <c r="J497" s="125">
        <v>508.0</v>
      </c>
      <c r="K497" s="125">
        <v>236.0</v>
      </c>
      <c r="L497" s="125">
        <v>164.0</v>
      </c>
      <c r="M497" s="126">
        <v>84.0</v>
      </c>
      <c r="N497" s="127">
        <v>86.0</v>
      </c>
      <c r="O497" s="127">
        <v>84.0</v>
      </c>
      <c r="P497" s="127">
        <v>84.0</v>
      </c>
      <c r="Q497" s="135" t="b">
        <v>0</v>
      </c>
      <c r="R497" s="133"/>
      <c r="S497" s="143"/>
      <c r="T497" s="133"/>
      <c r="U497" s="133"/>
      <c r="V497" s="129"/>
      <c r="W497" s="130" t="s">
        <v>113</v>
      </c>
      <c r="X497" s="130" t="s">
        <v>1530</v>
      </c>
      <c r="Y497" s="130" t="s">
        <v>114</v>
      </c>
      <c r="Z497" s="131" t="b">
        <v>1</v>
      </c>
      <c r="AA497" s="131"/>
      <c r="AB497" s="129"/>
      <c r="AC497" s="129"/>
      <c r="AD497" s="129"/>
      <c r="AE497" s="129"/>
      <c r="AF497" s="132"/>
      <c r="AG497" s="143" t="b">
        <v>0</v>
      </c>
      <c r="AH497" s="143"/>
      <c r="AI497" s="143"/>
      <c r="AJ497" s="143"/>
      <c r="AK497" s="143"/>
      <c r="AL497" s="129"/>
      <c r="AM497" s="129"/>
      <c r="AN497" s="139"/>
    </row>
    <row r="498">
      <c r="A498" s="151" t="s">
        <v>1531</v>
      </c>
      <c r="B498" s="119">
        <v>84.5</v>
      </c>
      <c r="C498" s="133" t="s">
        <v>75</v>
      </c>
      <c r="D498" s="142"/>
      <c r="E498" s="122"/>
      <c r="F498" s="136"/>
      <c r="G498" s="124">
        <v>7034.0</v>
      </c>
      <c r="H498" s="125">
        <v>3288.0</v>
      </c>
      <c r="I498" s="125">
        <v>1928.0</v>
      </c>
      <c r="J498" s="125">
        <v>969.0</v>
      </c>
      <c r="K498" s="125">
        <v>426.0</v>
      </c>
      <c r="L498" s="125">
        <v>424.0</v>
      </c>
      <c r="M498" s="126">
        <v>81.0</v>
      </c>
      <c r="N498" s="127">
        <v>88.0</v>
      </c>
      <c r="O498" s="146"/>
      <c r="P498" s="146"/>
      <c r="Q498" s="122" t="b">
        <v>0</v>
      </c>
      <c r="R498" s="128"/>
      <c r="S498" s="128"/>
      <c r="T498" s="128"/>
      <c r="U498" s="128"/>
      <c r="V498" s="129"/>
      <c r="W498" s="129" t="s">
        <v>276</v>
      </c>
      <c r="X498" s="130" t="s">
        <v>393</v>
      </c>
      <c r="Y498" s="130" t="s">
        <v>393</v>
      </c>
      <c r="Z498" s="133" t="b">
        <v>1</v>
      </c>
      <c r="AA498" s="145"/>
      <c r="AB498" s="129"/>
      <c r="AC498" s="129"/>
      <c r="AD498" s="129" t="s">
        <v>1532</v>
      </c>
      <c r="AE498" s="129"/>
      <c r="AF498" s="132"/>
      <c r="AG498" s="128" t="b">
        <v>0</v>
      </c>
      <c r="AH498" s="128"/>
      <c r="AI498" s="128"/>
      <c r="AJ498" s="128"/>
      <c r="AK498" s="128"/>
      <c r="AL498" s="129"/>
      <c r="AM498" s="129" t="str">
        <f>IFERROR(__xludf.DUMMYFUNCTION("""COMPUTED_VALUE"""),"Great Beach")</f>
        <v>Great Beach</v>
      </c>
      <c r="AN498" s="139"/>
    </row>
    <row r="499">
      <c r="A499" s="118" t="s">
        <v>1533</v>
      </c>
      <c r="B499" s="119">
        <v>84.5</v>
      </c>
      <c r="C499" s="134" t="s">
        <v>75</v>
      </c>
      <c r="D499" s="121"/>
      <c r="E499" s="135"/>
      <c r="F499" s="136"/>
      <c r="G499" s="124">
        <v>13050.0</v>
      </c>
      <c r="H499" s="125">
        <v>8556.0</v>
      </c>
      <c r="I499" s="125">
        <v>2582.0</v>
      </c>
      <c r="J499" s="125">
        <v>981.0</v>
      </c>
      <c r="K499" s="125">
        <v>471.0</v>
      </c>
      <c r="L499" s="125">
        <v>461.0</v>
      </c>
      <c r="M499" s="126">
        <v>88.0</v>
      </c>
      <c r="N499" s="127">
        <v>84.0</v>
      </c>
      <c r="O499" s="127">
        <v>84.0</v>
      </c>
      <c r="P499" s="127">
        <v>82.0</v>
      </c>
      <c r="Q499" s="122" t="b">
        <v>0</v>
      </c>
      <c r="R499" s="133">
        <v>3.0</v>
      </c>
      <c r="S499" s="133">
        <v>8.0</v>
      </c>
      <c r="T499" s="133"/>
      <c r="U499" s="133">
        <v>4.0</v>
      </c>
      <c r="V499" s="129"/>
      <c r="W499" s="130" t="s">
        <v>84</v>
      </c>
      <c r="X499" s="130" t="s">
        <v>86</v>
      </c>
      <c r="Y499" s="130" t="s">
        <v>86</v>
      </c>
      <c r="Z499" s="131" t="b">
        <v>1</v>
      </c>
      <c r="AA499" s="131">
        <v>0.0125</v>
      </c>
      <c r="AB499" s="130" t="s">
        <v>412</v>
      </c>
      <c r="AC499" s="130" t="s">
        <v>273</v>
      </c>
      <c r="AD499" s="130" t="s">
        <v>1516</v>
      </c>
      <c r="AE499" s="130"/>
      <c r="AF499" s="132" t="s">
        <v>373</v>
      </c>
      <c r="AG499" s="133" t="b">
        <v>1</v>
      </c>
      <c r="AH499" s="133">
        <v>343.0</v>
      </c>
      <c r="AI499" s="133">
        <v>1988.0</v>
      </c>
      <c r="AJ499" s="133">
        <v>2008.0</v>
      </c>
      <c r="AK499" s="133">
        <v>12.0</v>
      </c>
      <c r="AL499" s="129" t="str">
        <f>IFERROR(__xludf.DUMMYFUNCTION("""COMPUTED_VALUE"""),"Bay View, Great View")</f>
        <v>Bay View, Great View</v>
      </c>
      <c r="AM499" s="129" t="str">
        <f>IFERROR(__xludf.DUMMYFUNCTION("""COMPUTED_VALUE"""),"Beach, Kids Club")</f>
        <v>Beach, Kids Club</v>
      </c>
      <c r="AN499" s="139"/>
    </row>
    <row r="500">
      <c r="A500" s="118" t="s">
        <v>1534</v>
      </c>
      <c r="B500" s="119">
        <v>84.3</v>
      </c>
      <c r="C500" s="120" t="s">
        <v>68</v>
      </c>
      <c r="D500" s="121">
        <v>4891.0</v>
      </c>
      <c r="E500" s="122">
        <f>IFERROR(__xludf.DUMMYFUNCTION("""COMPUTED_VALUE"""),6754.715060899999)</f>
        <v>6754.715061</v>
      </c>
      <c r="F500" s="136">
        <v>0.88</v>
      </c>
      <c r="G500" s="124">
        <v>1952.0</v>
      </c>
      <c r="H500" s="125">
        <v>1173.0</v>
      </c>
      <c r="I500" s="125">
        <v>305.0</v>
      </c>
      <c r="J500" s="125">
        <v>221.0</v>
      </c>
      <c r="K500" s="125">
        <v>113.0</v>
      </c>
      <c r="L500" s="125">
        <v>141.0</v>
      </c>
      <c r="M500" s="126">
        <v>83.0</v>
      </c>
      <c r="N500" s="127">
        <v>84.0</v>
      </c>
      <c r="O500" s="127"/>
      <c r="P500" s="127">
        <v>86.0</v>
      </c>
      <c r="Q500" s="122" t="b">
        <v>0</v>
      </c>
      <c r="R500" s="133"/>
      <c r="S500" s="133">
        <v>7.0</v>
      </c>
      <c r="T500" s="133" t="s">
        <v>492</v>
      </c>
      <c r="U500" s="133">
        <v>5.0</v>
      </c>
      <c r="V500" s="129"/>
      <c r="W500" s="130" t="s">
        <v>84</v>
      </c>
      <c r="X500" s="130" t="s">
        <v>210</v>
      </c>
      <c r="Y500" s="130" t="s">
        <v>86</v>
      </c>
      <c r="Z500" s="131" t="b">
        <v>1</v>
      </c>
      <c r="AA500" s="131">
        <v>0.013888888888888888</v>
      </c>
      <c r="AB500" s="129"/>
      <c r="AC500" s="130"/>
      <c r="AD500" s="130" t="s">
        <v>1535</v>
      </c>
      <c r="AE500" s="129"/>
      <c r="AF500" s="132"/>
      <c r="AG500" s="133" t="b">
        <v>1</v>
      </c>
      <c r="AH500" s="133">
        <v>429.0</v>
      </c>
      <c r="AI500" s="133">
        <v>2021.0</v>
      </c>
      <c r="AJ500" s="143"/>
      <c r="AK500" s="133">
        <v>18.0</v>
      </c>
      <c r="AL500" s="129"/>
      <c r="AM500" s="129" t="str">
        <f>IFERROR(__xludf.DUMMYFUNCTION("""COMPUTED_VALUE"""),"Beach, Great for Parties")</f>
        <v>Beach, Great for Parties</v>
      </c>
      <c r="AN500" s="128"/>
    </row>
    <row r="501">
      <c r="A501" s="118" t="s">
        <v>1536</v>
      </c>
      <c r="B501" s="119">
        <v>84.3</v>
      </c>
      <c r="C501" s="134" t="s">
        <v>75</v>
      </c>
      <c r="D501" s="121">
        <v>5304.53</v>
      </c>
      <c r="E501" s="135">
        <f>IFERROR(__xludf.DUMMYFUNCTION("""COMPUTED_VALUE"""),7325.820626046999)</f>
        <v>7325.820626</v>
      </c>
      <c r="F501" s="136">
        <v>0.81</v>
      </c>
      <c r="G501" s="124">
        <v>2255.0</v>
      </c>
      <c r="H501" s="125">
        <v>1759.0</v>
      </c>
      <c r="I501" s="125">
        <v>245.0</v>
      </c>
      <c r="J501" s="125">
        <v>111.0</v>
      </c>
      <c r="K501" s="125">
        <v>69.0</v>
      </c>
      <c r="L501" s="125">
        <v>73.0</v>
      </c>
      <c r="M501" s="126">
        <v>91.0</v>
      </c>
      <c r="N501" s="138">
        <v>76.0</v>
      </c>
      <c r="O501" s="146"/>
      <c r="P501" s="127">
        <v>86.0</v>
      </c>
      <c r="Q501" s="122" t="b">
        <v>0</v>
      </c>
      <c r="R501" s="133"/>
      <c r="S501" s="143"/>
      <c r="T501" s="133"/>
      <c r="U501" s="133">
        <v>4.0</v>
      </c>
      <c r="V501" s="130"/>
      <c r="W501" s="130" t="s">
        <v>84</v>
      </c>
      <c r="X501" s="130" t="s">
        <v>86</v>
      </c>
      <c r="Y501" s="147" t="s">
        <v>86</v>
      </c>
      <c r="Z501" s="131" t="b">
        <v>1</v>
      </c>
      <c r="AA501" s="131">
        <v>0.014583333333333334</v>
      </c>
      <c r="AB501" s="130"/>
      <c r="AC501" s="130" t="s">
        <v>207</v>
      </c>
      <c r="AD501" s="130" t="s">
        <v>1537</v>
      </c>
      <c r="AE501" s="130"/>
      <c r="AF501" s="132" t="s">
        <v>318</v>
      </c>
      <c r="AG501" s="133" t="b">
        <v>1</v>
      </c>
      <c r="AH501" s="133">
        <v>540.0</v>
      </c>
      <c r="AI501" s="133">
        <v>1986.0</v>
      </c>
      <c r="AJ501" s="133">
        <v>2021.0</v>
      </c>
      <c r="AK501" s="133">
        <v>5.0</v>
      </c>
      <c r="AL501" s="129" t="str">
        <f>IFERROR(__xludf.DUMMYFUNCTION("""COMPUTED_VALUE"""),"Family, Green")</f>
        <v>Family, Green</v>
      </c>
      <c r="AM501" s="129" t="str">
        <f>IFERROR(__xludf.DUMMYFUNCTION("""COMPUTED_VALUE"""),"2 Bedroom Suites, Beach, Family Suite, Kids Club, Teen Club")</f>
        <v>2 Bedroom Suites, Beach, Family Suite, Kids Club, Teen Club</v>
      </c>
      <c r="AN501" s="139"/>
    </row>
    <row r="502">
      <c r="A502" s="140" t="s">
        <v>1538</v>
      </c>
      <c r="B502" s="119">
        <v>84.3</v>
      </c>
      <c r="C502" s="133" t="s">
        <v>75</v>
      </c>
      <c r="D502" s="142">
        <v>5383.0</v>
      </c>
      <c r="E502" s="122">
        <f>IFERROR(__xludf.DUMMYFUNCTION("""COMPUTED_VALUE"""),7434.191611699999)</f>
        <v>7434.191612</v>
      </c>
      <c r="F502" s="136">
        <v>0.8</v>
      </c>
      <c r="G502" s="124">
        <v>1816.0</v>
      </c>
      <c r="H502" s="125">
        <v>1491.0</v>
      </c>
      <c r="I502" s="125">
        <v>163.0</v>
      </c>
      <c r="J502" s="125">
        <v>62.0</v>
      </c>
      <c r="K502" s="125">
        <v>41.0</v>
      </c>
      <c r="L502" s="125">
        <v>59.0</v>
      </c>
      <c r="M502" s="126">
        <v>93.0</v>
      </c>
      <c r="N502" s="127">
        <v>80.0</v>
      </c>
      <c r="O502" s="127">
        <v>82.0</v>
      </c>
      <c r="P502" s="138">
        <v>82.0</v>
      </c>
      <c r="Q502" s="122" t="b">
        <v>0</v>
      </c>
      <c r="R502" s="143"/>
      <c r="S502" s="133" t="s">
        <v>83</v>
      </c>
      <c r="T502" s="143"/>
      <c r="U502" s="143">
        <v>5.0</v>
      </c>
      <c r="V502" s="144"/>
      <c r="W502" s="144" t="s">
        <v>84</v>
      </c>
      <c r="X502" s="144" t="s">
        <v>122</v>
      </c>
      <c r="Y502" s="144" t="s">
        <v>123</v>
      </c>
      <c r="Z502" s="145" t="b">
        <v>1</v>
      </c>
      <c r="AA502" s="145">
        <v>0.020833333333333332</v>
      </c>
      <c r="AB502" s="130" t="s">
        <v>499</v>
      </c>
      <c r="AC502" s="144" t="s">
        <v>998</v>
      </c>
      <c r="AD502" s="130" t="s">
        <v>1539</v>
      </c>
      <c r="AE502" s="129"/>
      <c r="AF502" s="132" t="s">
        <v>126</v>
      </c>
      <c r="AG502" s="143" t="b">
        <v>1</v>
      </c>
      <c r="AH502" s="143">
        <v>308.0</v>
      </c>
      <c r="AI502" s="133">
        <v>2022.0</v>
      </c>
      <c r="AJ502" s="143"/>
      <c r="AK502" s="143"/>
      <c r="AL502" s="129" t="str">
        <f>IFERROR(__xludf.DUMMYFUNCTION("""COMPUTED_VALUE"""),"Luxury, Romantic")</f>
        <v>Luxury, Romantic</v>
      </c>
      <c r="AM502" s="129" t="str">
        <f>IFERROR(__xludf.DUMMYFUNCTION("""COMPUTED_VALUE"""),"2 Bedroom Suites, Beach, Family Suite, Heated Pool, Kids Club, Lazy River")</f>
        <v>2 Bedroom Suites, Beach, Family Suite, Heated Pool, Kids Club, Lazy River</v>
      </c>
      <c r="AN502" s="139"/>
    </row>
    <row r="503">
      <c r="A503" s="118" t="s">
        <v>1540</v>
      </c>
      <c r="B503" s="119">
        <v>84.3</v>
      </c>
      <c r="C503" s="134" t="s">
        <v>75</v>
      </c>
      <c r="D503" s="121">
        <v>5468.0</v>
      </c>
      <c r="E503" s="135">
        <f>IFERROR(__xludf.DUMMYFUNCTION("""COMPUTED_VALUE"""),7551.580853199999)</f>
        <v>7551.580853</v>
      </c>
      <c r="F503" s="136">
        <v>0.79</v>
      </c>
      <c r="G503" s="124">
        <v>10327.0</v>
      </c>
      <c r="H503" s="125">
        <v>6665.0</v>
      </c>
      <c r="I503" s="125">
        <v>2060.0</v>
      </c>
      <c r="J503" s="125">
        <v>812.0</v>
      </c>
      <c r="K503" s="125">
        <v>415.0</v>
      </c>
      <c r="L503" s="125">
        <v>383.0</v>
      </c>
      <c r="M503" s="126">
        <v>87.0</v>
      </c>
      <c r="N503" s="127">
        <v>88.0</v>
      </c>
      <c r="O503" s="146"/>
      <c r="P503" s="127">
        <v>78.0</v>
      </c>
      <c r="Q503" s="122" t="b">
        <v>0</v>
      </c>
      <c r="R503" s="133"/>
      <c r="S503" s="133">
        <v>6.0</v>
      </c>
      <c r="T503" s="133"/>
      <c r="U503" s="133">
        <v>4.5</v>
      </c>
      <c r="V503" s="129"/>
      <c r="W503" s="130" t="s">
        <v>84</v>
      </c>
      <c r="X503" s="130" t="s">
        <v>199</v>
      </c>
      <c r="Y503" s="130" t="s">
        <v>120</v>
      </c>
      <c r="Z503" s="131" t="b">
        <v>1</v>
      </c>
      <c r="AA503" s="131">
        <v>0.015277777777777777</v>
      </c>
      <c r="AB503" s="130" t="s">
        <v>717</v>
      </c>
      <c r="AC503" s="130" t="s">
        <v>1541</v>
      </c>
      <c r="AD503" s="130" t="s">
        <v>1542</v>
      </c>
      <c r="AE503" s="130"/>
      <c r="AF503" s="132" t="s">
        <v>373</v>
      </c>
      <c r="AG503" s="133" t="b">
        <v>0</v>
      </c>
      <c r="AH503" s="133">
        <v>497.0</v>
      </c>
      <c r="AI503" s="133">
        <v>1987.0</v>
      </c>
      <c r="AJ503" s="133">
        <v>2014.0</v>
      </c>
      <c r="AK503" s="133">
        <v>6.0</v>
      </c>
      <c r="AL503" s="129" t="str">
        <f>IFERROR(__xludf.DUMMYFUNCTION("""COMPUTED_VALUE"""),"Green, Mid-Range")</f>
        <v>Green, Mid-Range</v>
      </c>
      <c r="AM503" s="129" t="str">
        <f>IFERROR(__xludf.DUMMYFUNCTION("""COMPUTED_VALUE"""),"2 Bedroom Suites, Arcade, Beach, Family Suite, Kids Club, Kids Waterpark, Pool Slide, Teen Club, Water Feature")</f>
        <v>2 Bedroom Suites, Arcade, Beach, Family Suite, Kids Club, Kids Waterpark, Pool Slide, Teen Club, Water Feature</v>
      </c>
      <c r="AN503" s="139"/>
    </row>
    <row r="504">
      <c r="A504" s="118" t="s">
        <v>1543</v>
      </c>
      <c r="B504" s="119">
        <v>84.3</v>
      </c>
      <c r="C504" s="134" t="s">
        <v>75</v>
      </c>
      <c r="D504" s="121">
        <v>11160.04</v>
      </c>
      <c r="E504" s="135">
        <f>IFERROR(__xludf.DUMMYFUNCTION("""COMPUTED_VALUE"""),15412.572125996)</f>
        <v>15412.57213</v>
      </c>
      <c r="F504" s="136">
        <v>0.39</v>
      </c>
      <c r="G504" s="124">
        <v>5239.0</v>
      </c>
      <c r="H504" s="125">
        <v>3170.0</v>
      </c>
      <c r="I504" s="125">
        <v>1057.0</v>
      </c>
      <c r="J504" s="125">
        <v>536.0</v>
      </c>
      <c r="K504" s="125">
        <v>214.0</v>
      </c>
      <c r="L504" s="125">
        <v>262.0</v>
      </c>
      <c r="M504" s="126">
        <v>85.0</v>
      </c>
      <c r="N504" s="127">
        <v>92.0</v>
      </c>
      <c r="O504" s="146"/>
      <c r="P504" s="138">
        <v>76.0</v>
      </c>
      <c r="Q504" s="135" t="b">
        <v>0</v>
      </c>
      <c r="R504" s="133"/>
      <c r="S504" s="133">
        <v>8.0</v>
      </c>
      <c r="T504" s="133"/>
      <c r="U504" s="133">
        <v>4.0</v>
      </c>
      <c r="V504" s="130"/>
      <c r="W504" s="130" t="s">
        <v>219</v>
      </c>
      <c r="X504" s="130" t="s">
        <v>220</v>
      </c>
      <c r="Y504" s="130" t="s">
        <v>221</v>
      </c>
      <c r="Z504" s="131" t="b">
        <v>1</v>
      </c>
      <c r="AA504" s="131">
        <v>0.05555555555555555</v>
      </c>
      <c r="AB504" s="130" t="s">
        <v>1276</v>
      </c>
      <c r="AC504" s="130" t="s">
        <v>1441</v>
      </c>
      <c r="AD504" s="130" t="s">
        <v>1544</v>
      </c>
      <c r="AE504" s="130" t="s">
        <v>94</v>
      </c>
      <c r="AF504" s="132" t="s">
        <v>181</v>
      </c>
      <c r="AG504" s="133" t="b">
        <v>0</v>
      </c>
      <c r="AH504" s="133">
        <v>285.0</v>
      </c>
      <c r="AI504" s="133">
        <v>1980.0</v>
      </c>
      <c r="AJ504" s="133">
        <v>2017.0</v>
      </c>
      <c r="AK504" s="133">
        <v>3.0</v>
      </c>
      <c r="AL504" s="129" t="str">
        <f>IFERROR(__xludf.DUMMYFUNCTION("""COMPUTED_VALUE"""),"Bay View, Modern")</f>
        <v>Bay View, Modern</v>
      </c>
      <c r="AM504" s="129" t="str">
        <f>IFERROR(__xludf.DUMMYFUNCTION("""COMPUTED_VALUE"""),"2 Bedroom Suites, Beach, Big Waterslides, Family Suite, Kids Club, Kids Waterpark, Lazy River, Swim Out/Plunge Pool Rooms")</f>
        <v>2 Bedroom Suites, Beach, Big Waterslides, Family Suite, Kids Club, Kids Waterpark, Lazy River, Swim Out/Plunge Pool Rooms</v>
      </c>
      <c r="AN504" s="139"/>
    </row>
    <row r="505">
      <c r="A505" s="118" t="s">
        <v>1545</v>
      </c>
      <c r="B505" s="119">
        <v>84.3</v>
      </c>
      <c r="C505" s="120" t="s">
        <v>68</v>
      </c>
      <c r="D505" s="142"/>
      <c r="E505" s="122"/>
      <c r="F505" s="136"/>
      <c r="G505" s="124">
        <v>8846.0</v>
      </c>
      <c r="H505" s="125">
        <v>5621.0</v>
      </c>
      <c r="I505" s="125">
        <v>1785.0</v>
      </c>
      <c r="J505" s="125">
        <v>804.0</v>
      </c>
      <c r="K505" s="125">
        <v>353.0</v>
      </c>
      <c r="L505" s="125">
        <v>285.0</v>
      </c>
      <c r="M505" s="126">
        <v>87.0</v>
      </c>
      <c r="N505" s="127">
        <v>90.0</v>
      </c>
      <c r="O505" s="127"/>
      <c r="P505" s="127">
        <v>76.0</v>
      </c>
      <c r="Q505" s="122" t="b">
        <v>0</v>
      </c>
      <c r="R505" s="128"/>
      <c r="S505" s="128">
        <v>6.0</v>
      </c>
      <c r="T505" s="128"/>
      <c r="U505" s="128"/>
      <c r="V505" s="129"/>
      <c r="W505" s="130" t="s">
        <v>193</v>
      </c>
      <c r="X505" s="130" t="s">
        <v>1546</v>
      </c>
      <c r="Y505" s="130" t="s">
        <v>1070</v>
      </c>
      <c r="Z505" s="133" t="b">
        <v>1</v>
      </c>
      <c r="AA505" s="131"/>
      <c r="AB505" s="129"/>
      <c r="AC505" s="130"/>
      <c r="AD505" s="144"/>
      <c r="AE505" s="129"/>
      <c r="AF505" s="132"/>
      <c r="AG505" s="143" t="b">
        <v>0</v>
      </c>
      <c r="AH505" s="143">
        <v>245.0</v>
      </c>
      <c r="AI505" s="143">
        <v>1985.0</v>
      </c>
      <c r="AJ505" s="143">
        <v>2006.0</v>
      </c>
      <c r="AK505" s="143">
        <v>3.0</v>
      </c>
      <c r="AL505" s="129"/>
      <c r="AM505" s="129"/>
      <c r="AN505" s="128"/>
    </row>
    <row r="506">
      <c r="A506" s="118" t="s">
        <v>1547</v>
      </c>
      <c r="B506" s="119">
        <v>84.3</v>
      </c>
      <c r="C506" s="134" t="s">
        <v>75</v>
      </c>
      <c r="D506" s="121"/>
      <c r="E506" s="135"/>
      <c r="F506" s="136"/>
      <c r="G506" s="124">
        <v>10921.0</v>
      </c>
      <c r="H506" s="125">
        <v>5047.0</v>
      </c>
      <c r="I506" s="125">
        <v>3764.0</v>
      </c>
      <c r="J506" s="125">
        <v>1186.0</v>
      </c>
      <c r="K506" s="125">
        <v>495.0</v>
      </c>
      <c r="L506" s="125">
        <v>432.0</v>
      </c>
      <c r="M506" s="126">
        <v>83.0</v>
      </c>
      <c r="N506" s="127">
        <v>94.0</v>
      </c>
      <c r="O506" s="146"/>
      <c r="P506" s="127">
        <v>76.0</v>
      </c>
      <c r="Q506" s="135" t="b">
        <v>0</v>
      </c>
      <c r="R506" s="133"/>
      <c r="S506" s="143"/>
      <c r="T506" s="133"/>
      <c r="U506" s="133"/>
      <c r="V506" s="129"/>
      <c r="W506" s="130" t="s">
        <v>193</v>
      </c>
      <c r="X506" s="130" t="s">
        <v>557</v>
      </c>
      <c r="Y506" s="130" t="s">
        <v>195</v>
      </c>
      <c r="Z506" s="131" t="b">
        <v>1</v>
      </c>
      <c r="AA506" s="131">
        <v>0.03680555555555556</v>
      </c>
      <c r="AB506" s="129"/>
      <c r="AC506" s="129"/>
      <c r="AD506" s="129" t="s">
        <v>241</v>
      </c>
      <c r="AE506" s="129"/>
      <c r="AF506" s="132"/>
      <c r="AG506" s="143" t="b">
        <v>0</v>
      </c>
      <c r="AH506" s="143"/>
      <c r="AI506" s="143"/>
      <c r="AJ506" s="143"/>
      <c r="AK506" s="143"/>
      <c r="AL506" s="129"/>
      <c r="AM506" s="129" t="str">
        <f>IFERROR(__xludf.DUMMYFUNCTION("""COMPUTED_VALUE"""),"Beach")</f>
        <v>Beach</v>
      </c>
      <c r="AN506" s="139"/>
    </row>
    <row r="507">
      <c r="A507" s="118" t="s">
        <v>1548</v>
      </c>
      <c r="B507" s="119">
        <v>84.3</v>
      </c>
      <c r="C507" s="134" t="s">
        <v>75</v>
      </c>
      <c r="D507" s="121"/>
      <c r="E507" s="135"/>
      <c r="F507" s="136"/>
      <c r="G507" s="124">
        <v>3367.0</v>
      </c>
      <c r="H507" s="125">
        <v>1537.0</v>
      </c>
      <c r="I507" s="125">
        <v>1009.0</v>
      </c>
      <c r="J507" s="125">
        <v>403.0</v>
      </c>
      <c r="K507" s="125">
        <v>212.0</v>
      </c>
      <c r="L507" s="125">
        <v>206.0</v>
      </c>
      <c r="M507" s="137">
        <v>81.0</v>
      </c>
      <c r="N507" s="138">
        <v>88.0</v>
      </c>
      <c r="O507" s="138"/>
      <c r="P507" s="138">
        <v>84.0</v>
      </c>
      <c r="Q507" s="135" t="b">
        <v>0</v>
      </c>
      <c r="R507" s="133">
        <v>3.0</v>
      </c>
      <c r="S507" s="143"/>
      <c r="T507" s="133"/>
      <c r="U507" s="133">
        <v>3.5</v>
      </c>
      <c r="V507" s="129"/>
      <c r="W507" s="130" t="s">
        <v>270</v>
      </c>
      <c r="X507" s="130" t="s">
        <v>1168</v>
      </c>
      <c r="Y507" s="130" t="s">
        <v>272</v>
      </c>
      <c r="Z507" s="131" t="b">
        <v>1</v>
      </c>
      <c r="AA507" s="131">
        <v>0.008333333333333333</v>
      </c>
      <c r="AB507" s="129"/>
      <c r="AC507" s="130" t="s">
        <v>324</v>
      </c>
      <c r="AD507" s="129" t="s">
        <v>241</v>
      </c>
      <c r="AE507" s="129"/>
      <c r="AF507" s="132"/>
      <c r="AG507" s="128" t="b">
        <v>0</v>
      </c>
      <c r="AH507" s="128"/>
      <c r="AI507" s="128"/>
      <c r="AJ507" s="128"/>
      <c r="AK507" s="128"/>
      <c r="AL507" s="129" t="str">
        <f>IFERROR(__xludf.DUMMYFUNCTION("""COMPUTED_VALUE"""),"Family, Quiet")</f>
        <v>Family, Quiet</v>
      </c>
      <c r="AM507" s="129" t="str">
        <f>IFERROR(__xludf.DUMMYFUNCTION("""COMPUTED_VALUE"""),"Beach")</f>
        <v>Beach</v>
      </c>
      <c r="AN507" s="139"/>
    </row>
    <row r="508">
      <c r="A508" s="118" t="s">
        <v>1549</v>
      </c>
      <c r="B508" s="119">
        <v>84.3</v>
      </c>
      <c r="C508" s="134" t="s">
        <v>75</v>
      </c>
      <c r="D508" s="121"/>
      <c r="E508" s="135"/>
      <c r="F508" s="136"/>
      <c r="G508" s="124">
        <v>2137.0</v>
      </c>
      <c r="H508" s="125">
        <v>1306.0</v>
      </c>
      <c r="I508" s="125">
        <v>499.0</v>
      </c>
      <c r="J508" s="125">
        <v>208.0</v>
      </c>
      <c r="K508" s="125">
        <v>64.0</v>
      </c>
      <c r="L508" s="125">
        <v>60.0</v>
      </c>
      <c r="M508" s="126">
        <v>87.0</v>
      </c>
      <c r="N508" s="127">
        <v>88.0</v>
      </c>
      <c r="O508" s="146"/>
      <c r="P508" s="127">
        <v>78.0</v>
      </c>
      <c r="Q508" s="135" t="b">
        <v>0</v>
      </c>
      <c r="R508" s="133"/>
      <c r="S508" s="143"/>
      <c r="T508" s="133"/>
      <c r="U508" s="133"/>
      <c r="V508" s="129"/>
      <c r="W508" s="130" t="s">
        <v>84</v>
      </c>
      <c r="X508" s="130" t="s">
        <v>467</v>
      </c>
      <c r="Y508" s="130" t="s">
        <v>468</v>
      </c>
      <c r="Z508" s="131" t="b">
        <v>0</v>
      </c>
      <c r="AA508" s="131">
        <v>0.02361111111111111</v>
      </c>
      <c r="AB508" s="129"/>
      <c r="AC508" s="129"/>
      <c r="AD508" s="129"/>
      <c r="AE508" s="129"/>
      <c r="AF508" s="132"/>
      <c r="AG508" s="143" t="b">
        <v>0</v>
      </c>
      <c r="AH508" s="143"/>
      <c r="AI508" s="143"/>
      <c r="AJ508" s="143"/>
      <c r="AK508" s="143"/>
      <c r="AL508" s="129"/>
      <c r="AM508" s="129"/>
      <c r="AN508" s="139"/>
    </row>
    <row r="509">
      <c r="A509" s="118" t="s">
        <v>1550</v>
      </c>
      <c r="B509" s="119">
        <v>84.3</v>
      </c>
      <c r="C509" s="134" t="s">
        <v>75</v>
      </c>
      <c r="D509" s="121"/>
      <c r="E509" s="135"/>
      <c r="F509" s="136"/>
      <c r="G509" s="124">
        <v>3998.0</v>
      </c>
      <c r="H509" s="125">
        <v>2945.0</v>
      </c>
      <c r="I509" s="125">
        <v>632.0</v>
      </c>
      <c r="J509" s="125">
        <v>223.0</v>
      </c>
      <c r="K509" s="125">
        <v>96.0</v>
      </c>
      <c r="L509" s="125">
        <v>107.0</v>
      </c>
      <c r="M509" s="126">
        <v>91.0</v>
      </c>
      <c r="N509" s="127">
        <v>84.0</v>
      </c>
      <c r="O509" s="146"/>
      <c r="P509" s="127">
        <v>78.0</v>
      </c>
      <c r="Q509" s="135" t="b">
        <v>0</v>
      </c>
      <c r="R509" s="133"/>
      <c r="S509" s="143">
        <v>4.0</v>
      </c>
      <c r="T509" s="133"/>
      <c r="U509" s="133"/>
      <c r="V509" s="130"/>
      <c r="W509" s="130" t="s">
        <v>193</v>
      </c>
      <c r="X509" s="130" t="s">
        <v>1546</v>
      </c>
      <c r="Y509" s="130" t="s">
        <v>1070</v>
      </c>
      <c r="Z509" s="131" t="b">
        <v>1</v>
      </c>
      <c r="AA509" s="131">
        <v>0.018055555555555554</v>
      </c>
      <c r="AB509" s="130"/>
      <c r="AC509" s="130"/>
      <c r="AD509" s="129" t="s">
        <v>241</v>
      </c>
      <c r="AE509" s="129"/>
      <c r="AF509" s="132"/>
      <c r="AG509" s="143" t="b">
        <v>0</v>
      </c>
      <c r="AH509" s="143">
        <v>475.0</v>
      </c>
      <c r="AI509" s="143">
        <v>1992.0</v>
      </c>
      <c r="AJ509" s="143">
        <v>1997.0</v>
      </c>
      <c r="AK509" s="143">
        <v>3.0</v>
      </c>
      <c r="AL509" s="129"/>
      <c r="AM509" s="129" t="str">
        <f>IFERROR(__xludf.DUMMYFUNCTION("""COMPUTED_VALUE"""),"Beach")</f>
        <v>Beach</v>
      </c>
      <c r="AN509" s="139"/>
    </row>
    <row r="510">
      <c r="A510" s="118" t="s">
        <v>1551</v>
      </c>
      <c r="B510" s="119">
        <v>84.3</v>
      </c>
      <c r="C510" s="134" t="s">
        <v>75</v>
      </c>
      <c r="D510" s="121"/>
      <c r="E510" s="135"/>
      <c r="F510" s="136"/>
      <c r="G510" s="124">
        <v>19542.0</v>
      </c>
      <c r="H510" s="125">
        <v>12335.0</v>
      </c>
      <c r="I510" s="125">
        <v>3329.0</v>
      </c>
      <c r="J510" s="125">
        <v>1770.0</v>
      </c>
      <c r="K510" s="125">
        <v>1064.0</v>
      </c>
      <c r="L510" s="125">
        <v>1046.0</v>
      </c>
      <c r="M510" s="126">
        <v>85.0</v>
      </c>
      <c r="N510" s="127">
        <v>94.0</v>
      </c>
      <c r="O510" s="146"/>
      <c r="P510" s="127">
        <v>74.0</v>
      </c>
      <c r="Q510" s="135" t="b">
        <v>0</v>
      </c>
      <c r="R510" s="133"/>
      <c r="S510" s="143">
        <v>7.0</v>
      </c>
      <c r="T510" s="133"/>
      <c r="U510" s="133"/>
      <c r="V510" s="130"/>
      <c r="W510" s="130" t="s">
        <v>193</v>
      </c>
      <c r="X510" s="130" t="s">
        <v>225</v>
      </c>
      <c r="Y510" s="130" t="s">
        <v>195</v>
      </c>
      <c r="Z510" s="131" t="b">
        <v>1</v>
      </c>
      <c r="AA510" s="131">
        <v>0.01875</v>
      </c>
      <c r="AB510" s="130" t="s">
        <v>412</v>
      </c>
      <c r="AC510" s="130"/>
      <c r="AD510" s="130" t="s">
        <v>1518</v>
      </c>
      <c r="AE510" s="144" t="s">
        <v>396</v>
      </c>
      <c r="AF510" s="132"/>
      <c r="AG510" s="143" t="b">
        <v>0</v>
      </c>
      <c r="AH510" s="143">
        <v>673.0</v>
      </c>
      <c r="AI510" s="143">
        <v>1992.0</v>
      </c>
      <c r="AJ510" s="143"/>
      <c r="AK510" s="143"/>
      <c r="AL510" s="129"/>
      <c r="AM510" s="129" t="str">
        <f>IFERROR(__xludf.DUMMYFUNCTION("""COMPUTED_VALUE"""),"Beach, Kids Club for Under 4")</f>
        <v>Beach, Kids Club for Under 4</v>
      </c>
      <c r="AN510" s="139"/>
    </row>
    <row r="511">
      <c r="A511" s="118" t="s">
        <v>1552</v>
      </c>
      <c r="B511" s="119">
        <v>84.3</v>
      </c>
      <c r="C511" s="120" t="s">
        <v>68</v>
      </c>
      <c r="D511" s="142"/>
      <c r="E511" s="122"/>
      <c r="F511" s="136"/>
      <c r="G511" s="124">
        <v>11984.0</v>
      </c>
      <c r="H511" s="125">
        <v>5353.0</v>
      </c>
      <c r="I511" s="125">
        <v>3667.0</v>
      </c>
      <c r="J511" s="125">
        <v>1601.0</v>
      </c>
      <c r="K511" s="125">
        <v>722.0</v>
      </c>
      <c r="L511" s="125">
        <v>641.0</v>
      </c>
      <c r="M511" s="126">
        <v>81.0</v>
      </c>
      <c r="N511" s="127">
        <v>90.0</v>
      </c>
      <c r="O511" s="127"/>
      <c r="P511" s="138">
        <v>82.0</v>
      </c>
      <c r="Q511" s="122" t="b">
        <v>0</v>
      </c>
      <c r="R511" s="128"/>
      <c r="S511" s="128"/>
      <c r="T511" s="128"/>
      <c r="U511" s="128"/>
      <c r="V511" s="129"/>
      <c r="W511" s="130" t="s">
        <v>84</v>
      </c>
      <c r="X511" s="130" t="s">
        <v>85</v>
      </c>
      <c r="Y511" s="130" t="s">
        <v>86</v>
      </c>
      <c r="Z511" s="133" t="b">
        <v>1</v>
      </c>
      <c r="AA511" s="145"/>
      <c r="AB511" s="129"/>
      <c r="AC511" s="130"/>
      <c r="AD511" s="144"/>
      <c r="AE511" s="129"/>
      <c r="AF511" s="132"/>
      <c r="AG511" s="143" t="b">
        <v>0</v>
      </c>
      <c r="AH511" s="143"/>
      <c r="AI511" s="143"/>
      <c r="AJ511" s="143"/>
      <c r="AK511" s="143"/>
      <c r="AL511" s="129"/>
      <c r="AM511" s="129"/>
      <c r="AN511" s="128"/>
    </row>
    <row r="512">
      <c r="A512" s="118" t="s">
        <v>1553</v>
      </c>
      <c r="B512" s="119">
        <v>84.3</v>
      </c>
      <c r="C512" s="134" t="s">
        <v>75</v>
      </c>
      <c r="D512" s="142"/>
      <c r="E512" s="135"/>
      <c r="F512" s="136"/>
      <c r="G512" s="124">
        <v>13809.0</v>
      </c>
      <c r="H512" s="125">
        <v>7207.0</v>
      </c>
      <c r="I512" s="125">
        <v>3766.0</v>
      </c>
      <c r="J512" s="125">
        <v>1411.0</v>
      </c>
      <c r="K512" s="125">
        <v>709.0</v>
      </c>
      <c r="L512" s="125">
        <v>716.0</v>
      </c>
      <c r="M512" s="126">
        <v>83.0</v>
      </c>
      <c r="N512" s="127">
        <v>88.0</v>
      </c>
      <c r="O512" s="146"/>
      <c r="P512" s="127">
        <v>82.0</v>
      </c>
      <c r="Q512" s="135" t="b">
        <v>0</v>
      </c>
      <c r="R512" s="133"/>
      <c r="S512" s="143"/>
      <c r="T512" s="133"/>
      <c r="U512" s="133"/>
      <c r="V512" s="129"/>
      <c r="W512" s="130" t="s">
        <v>84</v>
      </c>
      <c r="X512" s="130" t="s">
        <v>86</v>
      </c>
      <c r="Y512" s="130" t="s">
        <v>86</v>
      </c>
      <c r="Z512" s="131" t="b">
        <v>1</v>
      </c>
      <c r="AA512" s="131">
        <v>0.021527777777777778</v>
      </c>
      <c r="AB512" s="130" t="s">
        <v>655</v>
      </c>
      <c r="AC512" s="129"/>
      <c r="AD512" s="130" t="s">
        <v>1535</v>
      </c>
      <c r="AE512" s="129"/>
      <c r="AF512" s="132"/>
      <c r="AG512" s="143" t="b">
        <v>1</v>
      </c>
      <c r="AH512" s="143"/>
      <c r="AI512" s="143"/>
      <c r="AJ512" s="143"/>
      <c r="AK512" s="143"/>
      <c r="AL512" s="129"/>
      <c r="AM512" s="129" t="str">
        <f>IFERROR(__xludf.DUMMYFUNCTION("""COMPUTED_VALUE"""),"Beach, Great for Parties")</f>
        <v>Beach, Great for Parties</v>
      </c>
      <c r="AN512" s="139"/>
    </row>
    <row r="513">
      <c r="A513" s="118" t="s">
        <v>1554</v>
      </c>
      <c r="B513" s="119">
        <v>84.3</v>
      </c>
      <c r="C513" s="120" t="s">
        <v>68</v>
      </c>
      <c r="D513" s="142"/>
      <c r="E513" s="122"/>
      <c r="F513" s="136"/>
      <c r="G513" s="124">
        <v>3694.0</v>
      </c>
      <c r="H513" s="125">
        <v>1875.0</v>
      </c>
      <c r="I513" s="125">
        <v>995.0</v>
      </c>
      <c r="J513" s="125">
        <v>457.0</v>
      </c>
      <c r="K513" s="125">
        <v>184.0</v>
      </c>
      <c r="L513" s="125">
        <v>187.0</v>
      </c>
      <c r="M513" s="126">
        <v>83.0</v>
      </c>
      <c r="N513" s="127">
        <v>84.0</v>
      </c>
      <c r="O513" s="127"/>
      <c r="P513" s="127">
        <v>86.0</v>
      </c>
      <c r="Q513" s="122" t="b">
        <v>0</v>
      </c>
      <c r="R513" s="128"/>
      <c r="S513" s="128"/>
      <c r="T513" s="128"/>
      <c r="U513" s="128"/>
      <c r="V513" s="129"/>
      <c r="W513" s="130" t="s">
        <v>219</v>
      </c>
      <c r="X513" s="130" t="s">
        <v>291</v>
      </c>
      <c r="Y513" s="144" t="s">
        <v>221</v>
      </c>
      <c r="Z513" s="133" t="b">
        <v>1</v>
      </c>
      <c r="AA513" s="145"/>
      <c r="AB513" s="130" t="s">
        <v>655</v>
      </c>
      <c r="AC513" s="130"/>
      <c r="AD513" s="130" t="s">
        <v>1524</v>
      </c>
      <c r="AE513" s="129"/>
      <c r="AF513" s="132"/>
      <c r="AG513" s="143" t="b">
        <v>0</v>
      </c>
      <c r="AH513" s="143"/>
      <c r="AI513" s="143"/>
      <c r="AJ513" s="143"/>
      <c r="AK513" s="143"/>
      <c r="AL513" s="129"/>
      <c r="AM513" s="129" t="str">
        <f>IFERROR(__xludf.DUMMYFUNCTION("""COMPUTED_VALUE"""),"Great for Parties")</f>
        <v>Great for Parties</v>
      </c>
      <c r="AN513" s="128"/>
    </row>
    <row r="514">
      <c r="A514" s="118" t="s">
        <v>1555</v>
      </c>
      <c r="B514" s="119">
        <v>84.3</v>
      </c>
      <c r="C514" s="134" t="s">
        <v>75</v>
      </c>
      <c r="D514" s="142"/>
      <c r="E514" s="135"/>
      <c r="F514" s="136"/>
      <c r="G514" s="124">
        <v>3136.0</v>
      </c>
      <c r="H514" s="125">
        <v>1837.0</v>
      </c>
      <c r="I514" s="125">
        <v>452.0</v>
      </c>
      <c r="J514" s="125">
        <v>302.0</v>
      </c>
      <c r="K514" s="125">
        <v>229.0</v>
      </c>
      <c r="L514" s="125">
        <v>319.0</v>
      </c>
      <c r="M514" s="126">
        <v>81.0</v>
      </c>
      <c r="N514" s="127">
        <v>92.0</v>
      </c>
      <c r="O514" s="146"/>
      <c r="P514" s="138">
        <v>80.0</v>
      </c>
      <c r="Q514" s="122" t="b">
        <v>0</v>
      </c>
      <c r="R514" s="133"/>
      <c r="S514" s="143"/>
      <c r="T514" s="133"/>
      <c r="U514" s="133"/>
      <c r="V514" s="130"/>
      <c r="W514" s="130" t="s">
        <v>219</v>
      </c>
      <c r="X514" s="130" t="s">
        <v>1556</v>
      </c>
      <c r="Y514" s="130" t="s">
        <v>221</v>
      </c>
      <c r="Z514" s="131" t="b">
        <v>1</v>
      </c>
      <c r="AA514" s="131">
        <v>0.03125</v>
      </c>
      <c r="AB514" s="130" t="s">
        <v>759</v>
      </c>
      <c r="AC514" s="130"/>
      <c r="AD514" s="129" t="s">
        <v>241</v>
      </c>
      <c r="AE514" s="129"/>
      <c r="AF514" s="132"/>
      <c r="AG514" s="143" t="b">
        <v>0</v>
      </c>
      <c r="AH514" s="143"/>
      <c r="AI514" s="143"/>
      <c r="AJ514" s="143"/>
      <c r="AK514" s="143"/>
      <c r="AL514" s="129"/>
      <c r="AM514" s="129" t="str">
        <f>IFERROR(__xludf.DUMMYFUNCTION("""COMPUTED_VALUE"""),"Beach")</f>
        <v>Beach</v>
      </c>
      <c r="AN514" s="139"/>
    </row>
    <row r="515">
      <c r="A515" s="118" t="s">
        <v>1557</v>
      </c>
      <c r="B515" s="119">
        <v>84.3</v>
      </c>
      <c r="C515" s="134" t="s">
        <v>75</v>
      </c>
      <c r="D515" s="121"/>
      <c r="E515" s="135"/>
      <c r="F515" s="136"/>
      <c r="G515" s="124">
        <v>7033.0</v>
      </c>
      <c r="H515" s="125">
        <v>4038.0</v>
      </c>
      <c r="I515" s="125">
        <v>1361.0</v>
      </c>
      <c r="J515" s="125">
        <v>818.0</v>
      </c>
      <c r="K515" s="125">
        <v>430.0</v>
      </c>
      <c r="L515" s="125">
        <v>389.0</v>
      </c>
      <c r="M515" s="126">
        <v>83.0</v>
      </c>
      <c r="N515" s="127">
        <v>92.0</v>
      </c>
      <c r="O515" s="146"/>
      <c r="P515" s="127">
        <v>78.0</v>
      </c>
      <c r="Q515" s="135" t="b">
        <v>0</v>
      </c>
      <c r="R515" s="133"/>
      <c r="S515" s="133"/>
      <c r="T515" s="133"/>
      <c r="U515" s="133"/>
      <c r="V515" s="130"/>
      <c r="W515" s="130" t="s">
        <v>84</v>
      </c>
      <c r="X515" s="130" t="s">
        <v>1262</v>
      </c>
      <c r="Y515" s="130" t="s">
        <v>1263</v>
      </c>
      <c r="Z515" s="131" t="b">
        <v>0</v>
      </c>
      <c r="AA515" s="131">
        <v>0.009722222222222222</v>
      </c>
      <c r="AB515" s="130"/>
      <c r="AC515" s="130"/>
      <c r="AD515" s="130" t="s">
        <v>241</v>
      </c>
      <c r="AE515" s="129"/>
      <c r="AF515" s="132"/>
      <c r="AG515" s="133" t="b">
        <v>1</v>
      </c>
      <c r="AH515" s="133"/>
      <c r="AI515" s="133"/>
      <c r="AJ515" s="133"/>
      <c r="AK515" s="133"/>
      <c r="AL515" s="129"/>
      <c r="AM515" s="129" t="str">
        <f>IFERROR(__xludf.DUMMYFUNCTION("""COMPUTED_VALUE"""),"Beach")</f>
        <v>Beach</v>
      </c>
      <c r="AN515" s="139"/>
    </row>
    <row r="516">
      <c r="A516" s="118" t="s">
        <v>1558</v>
      </c>
      <c r="B516" s="119">
        <v>84.3</v>
      </c>
      <c r="C516" s="134" t="s">
        <v>75</v>
      </c>
      <c r="D516" s="142"/>
      <c r="E516" s="135"/>
      <c r="F516" s="136"/>
      <c r="G516" s="124">
        <v>4208.0</v>
      </c>
      <c r="H516" s="125">
        <v>2208.0</v>
      </c>
      <c r="I516" s="125">
        <v>1081.0</v>
      </c>
      <c r="J516" s="125">
        <v>492.0</v>
      </c>
      <c r="K516" s="125">
        <v>222.0</v>
      </c>
      <c r="L516" s="125">
        <v>206.0</v>
      </c>
      <c r="M516" s="126">
        <v>83.0</v>
      </c>
      <c r="N516" s="127">
        <v>88.0</v>
      </c>
      <c r="O516" s="146"/>
      <c r="P516" s="127">
        <v>82.0</v>
      </c>
      <c r="Q516" s="135" t="b">
        <v>0</v>
      </c>
      <c r="R516" s="133"/>
      <c r="S516" s="143"/>
      <c r="T516" s="133"/>
      <c r="U516" s="133"/>
      <c r="V516" s="130"/>
      <c r="W516" s="130" t="s">
        <v>84</v>
      </c>
      <c r="X516" s="130" t="s">
        <v>149</v>
      </c>
      <c r="Y516" s="130" t="s">
        <v>86</v>
      </c>
      <c r="Z516" s="131" t="b">
        <v>1</v>
      </c>
      <c r="AA516" s="131">
        <v>0.04375</v>
      </c>
      <c r="AB516" s="130" t="s">
        <v>655</v>
      </c>
      <c r="AC516" s="130"/>
      <c r="AD516" s="129" t="s">
        <v>241</v>
      </c>
      <c r="AE516" s="129"/>
      <c r="AF516" s="132"/>
      <c r="AG516" s="143" t="b">
        <v>0</v>
      </c>
      <c r="AH516" s="143"/>
      <c r="AI516" s="143"/>
      <c r="AJ516" s="143"/>
      <c r="AK516" s="143"/>
      <c r="AL516" s="129"/>
      <c r="AM516" s="129" t="str">
        <f>IFERROR(__xludf.DUMMYFUNCTION("""COMPUTED_VALUE"""),"Beach")</f>
        <v>Beach</v>
      </c>
      <c r="AN516" s="139"/>
    </row>
    <row r="517">
      <c r="A517" s="118" t="s">
        <v>1559</v>
      </c>
      <c r="B517" s="119">
        <v>84.3</v>
      </c>
      <c r="C517" s="134" t="s">
        <v>75</v>
      </c>
      <c r="D517" s="121"/>
      <c r="E517" s="135"/>
      <c r="F517" s="136"/>
      <c r="G517" s="124">
        <v>5208.0</v>
      </c>
      <c r="H517" s="125">
        <v>2371.0</v>
      </c>
      <c r="I517" s="125">
        <v>1576.0</v>
      </c>
      <c r="J517" s="125">
        <v>684.0</v>
      </c>
      <c r="K517" s="125">
        <v>310.0</v>
      </c>
      <c r="L517" s="125">
        <v>268.0</v>
      </c>
      <c r="M517" s="126">
        <v>81.0</v>
      </c>
      <c r="N517" s="127">
        <v>92.0</v>
      </c>
      <c r="O517" s="146"/>
      <c r="P517" s="127">
        <v>80.0</v>
      </c>
      <c r="Q517" s="135" t="b">
        <v>0</v>
      </c>
      <c r="R517" s="133"/>
      <c r="S517" s="143">
        <v>6.0</v>
      </c>
      <c r="T517" s="133"/>
      <c r="U517" s="133"/>
      <c r="V517" s="130"/>
      <c r="W517" s="130" t="s">
        <v>193</v>
      </c>
      <c r="X517" s="130" t="s">
        <v>225</v>
      </c>
      <c r="Y517" s="130" t="s">
        <v>195</v>
      </c>
      <c r="Z517" s="131" t="b">
        <v>1</v>
      </c>
      <c r="AA517" s="131">
        <v>0.019444444444444445</v>
      </c>
      <c r="AB517" s="130"/>
      <c r="AC517" s="130"/>
      <c r="AD517" s="129" t="s">
        <v>241</v>
      </c>
      <c r="AE517" s="129"/>
      <c r="AF517" s="132"/>
      <c r="AG517" s="143" t="b">
        <v>0</v>
      </c>
      <c r="AH517" s="143">
        <v>310.0</v>
      </c>
      <c r="AI517" s="143"/>
      <c r="AJ517" s="143"/>
      <c r="AK517" s="143"/>
      <c r="AL517" s="129"/>
      <c r="AM517" s="129" t="str">
        <f>IFERROR(__xludf.DUMMYFUNCTION("""COMPUTED_VALUE"""),"Beach")</f>
        <v>Beach</v>
      </c>
      <c r="AN517" s="139"/>
    </row>
    <row r="518">
      <c r="A518" s="118" t="s">
        <v>1560</v>
      </c>
      <c r="B518" s="119">
        <v>84.0</v>
      </c>
      <c r="C518" s="134" t="s">
        <v>75</v>
      </c>
      <c r="D518" s="121">
        <v>3039.0</v>
      </c>
      <c r="E518" s="135">
        <f>IFERROR(__xludf.DUMMYFUNCTION("""COMPUTED_VALUE"""),4197.0106461)</f>
        <v>4197.010646</v>
      </c>
      <c r="F518" s="136">
        <v>1.32</v>
      </c>
      <c r="G518" s="124">
        <v>6559.0</v>
      </c>
      <c r="H518" s="125">
        <v>4633.0</v>
      </c>
      <c r="I518" s="125">
        <v>866.0</v>
      </c>
      <c r="J518" s="125">
        <v>435.0</v>
      </c>
      <c r="K518" s="125">
        <v>244.0</v>
      </c>
      <c r="L518" s="125">
        <v>384.0</v>
      </c>
      <c r="M518" s="126">
        <v>88.0</v>
      </c>
      <c r="N518" s="127">
        <v>86.0</v>
      </c>
      <c r="O518" s="146"/>
      <c r="P518" s="127">
        <v>78.0</v>
      </c>
      <c r="Q518" s="122" t="b">
        <v>0</v>
      </c>
      <c r="R518" s="133"/>
      <c r="S518" s="133">
        <v>7.0</v>
      </c>
      <c r="T518" s="133"/>
      <c r="U518" s="133">
        <v>4.5</v>
      </c>
      <c r="V518" s="130"/>
      <c r="W518" s="130" t="s">
        <v>84</v>
      </c>
      <c r="X518" s="130" t="s">
        <v>86</v>
      </c>
      <c r="Y518" s="147" t="s">
        <v>86</v>
      </c>
      <c r="Z518" s="131" t="b">
        <v>1</v>
      </c>
      <c r="AA518" s="131">
        <v>0.013194444444444444</v>
      </c>
      <c r="AB518" s="130"/>
      <c r="AC518" s="130" t="s">
        <v>1011</v>
      </c>
      <c r="AD518" s="130" t="s">
        <v>1561</v>
      </c>
      <c r="AE518" s="130"/>
      <c r="AF518" s="132" t="s">
        <v>373</v>
      </c>
      <c r="AG518" s="133" t="b">
        <v>1</v>
      </c>
      <c r="AH518" s="133">
        <v>505.0</v>
      </c>
      <c r="AI518" s="133">
        <v>2006.0</v>
      </c>
      <c r="AJ518" s="133">
        <v>2017.0</v>
      </c>
      <c r="AK518" s="133">
        <v>13.0</v>
      </c>
      <c r="AL518" s="129" t="str">
        <f>IFERROR(__xludf.DUMMYFUNCTION("""COMPUTED_VALUE"""),"Bay View, Value")</f>
        <v>Bay View, Value</v>
      </c>
      <c r="AM518" s="129" t="str">
        <f>IFERROR(__xludf.DUMMYFUNCTION("""COMPUTED_VALUE"""),"Beach, Kids Club, Kids Waterpark, Pool Slide, Teen Club, Water Feature")</f>
        <v>Beach, Kids Club, Kids Waterpark, Pool Slide, Teen Club, Water Feature</v>
      </c>
      <c r="AN518" s="139"/>
    </row>
    <row r="519">
      <c r="A519" s="118" t="s">
        <v>1562</v>
      </c>
      <c r="B519" s="119">
        <v>84.0</v>
      </c>
      <c r="C519" s="120" t="s">
        <v>68</v>
      </c>
      <c r="D519" s="121">
        <v>3345.93</v>
      </c>
      <c r="E519" s="122">
        <f>IFERROR(__xludf.DUMMYFUNCTION("""COMPUTED_VALUE"""),4620.896291906999)</f>
        <v>4620.896292</v>
      </c>
      <c r="F519" s="136">
        <v>1.2</v>
      </c>
      <c r="G519" s="124">
        <v>7262.0</v>
      </c>
      <c r="H519" s="125">
        <v>5482.0</v>
      </c>
      <c r="I519" s="125">
        <v>868.0</v>
      </c>
      <c r="J519" s="125">
        <v>414.0</v>
      </c>
      <c r="K519" s="125">
        <v>213.0</v>
      </c>
      <c r="L519" s="125">
        <v>289.0</v>
      </c>
      <c r="M519" s="126">
        <v>90.0</v>
      </c>
      <c r="N519" s="138">
        <v>80.0</v>
      </c>
      <c r="O519" s="127"/>
      <c r="P519" s="127">
        <v>82.0</v>
      </c>
      <c r="Q519" s="122" t="b">
        <v>0</v>
      </c>
      <c r="R519" s="133"/>
      <c r="S519" s="143"/>
      <c r="T519" s="133"/>
      <c r="U519" s="133">
        <v>5.0</v>
      </c>
      <c r="V519" s="129"/>
      <c r="W519" s="130" t="s">
        <v>84</v>
      </c>
      <c r="X519" s="130" t="s">
        <v>86</v>
      </c>
      <c r="Y519" s="130" t="s">
        <v>86</v>
      </c>
      <c r="Z519" s="131" t="b">
        <v>1</v>
      </c>
      <c r="AA519" s="131">
        <v>0.018055555555555554</v>
      </c>
      <c r="AB519" s="130" t="s">
        <v>451</v>
      </c>
      <c r="AC519" s="130" t="s">
        <v>1065</v>
      </c>
      <c r="AD519" s="130" t="s">
        <v>1535</v>
      </c>
      <c r="AE519" s="129"/>
      <c r="AF519" s="132"/>
      <c r="AG519" s="133" t="b">
        <v>1</v>
      </c>
      <c r="AH519" s="133">
        <v>180.0</v>
      </c>
      <c r="AI519" s="143"/>
      <c r="AJ519" s="143"/>
      <c r="AK519" s="133">
        <v>15.0</v>
      </c>
      <c r="AL519" s="129" t="str">
        <f>IFERROR(__xludf.DUMMYFUNCTION("""COMPUTED_VALUE"""),"Modern, Trendy")</f>
        <v>Modern, Trendy</v>
      </c>
      <c r="AM519" s="129" t="str">
        <f>IFERROR(__xludf.DUMMYFUNCTION("""COMPUTED_VALUE"""),"Beach, Great for Parties")</f>
        <v>Beach, Great for Parties</v>
      </c>
      <c r="AN519" s="128"/>
    </row>
    <row r="520">
      <c r="A520" s="118" t="s">
        <v>1563</v>
      </c>
      <c r="B520" s="119">
        <v>84.0</v>
      </c>
      <c r="C520" s="134" t="s">
        <v>75</v>
      </c>
      <c r="D520" s="121">
        <v>4158.0</v>
      </c>
      <c r="E520" s="135">
        <f>IFERROR(__xludf.DUMMYFUNCTION("""COMPUTED_VALUE"""),5742.4054842)</f>
        <v>5742.405484</v>
      </c>
      <c r="F520" s="136">
        <v>0.96</v>
      </c>
      <c r="G520" s="124">
        <v>3322.0</v>
      </c>
      <c r="H520" s="125">
        <v>2178.0</v>
      </c>
      <c r="I520" s="125">
        <v>646.0</v>
      </c>
      <c r="J520" s="125">
        <v>242.0</v>
      </c>
      <c r="K520" s="125">
        <v>110.0</v>
      </c>
      <c r="L520" s="125">
        <v>151.0</v>
      </c>
      <c r="M520" s="126">
        <v>88.0</v>
      </c>
      <c r="N520" s="127">
        <v>84.0</v>
      </c>
      <c r="O520" s="146"/>
      <c r="P520" s="127">
        <v>80.0</v>
      </c>
      <c r="Q520" s="122" t="b">
        <v>0</v>
      </c>
      <c r="R520" s="133"/>
      <c r="S520" s="143"/>
      <c r="T520" s="133"/>
      <c r="U520" s="133">
        <v>5.0</v>
      </c>
      <c r="V520" s="130"/>
      <c r="W520" s="130" t="s">
        <v>193</v>
      </c>
      <c r="X520" s="130" t="s">
        <v>195</v>
      </c>
      <c r="Y520" s="130" t="s">
        <v>195</v>
      </c>
      <c r="Z520" s="131" t="b">
        <v>1</v>
      </c>
      <c r="AA520" s="131">
        <v>0.010416666666666666</v>
      </c>
      <c r="AB520" s="130"/>
      <c r="AC520" s="130" t="s">
        <v>1564</v>
      </c>
      <c r="AD520" s="130" t="s">
        <v>1565</v>
      </c>
      <c r="AE520" s="130"/>
      <c r="AF520" s="132" t="s">
        <v>318</v>
      </c>
      <c r="AG520" s="143" t="b">
        <v>0</v>
      </c>
      <c r="AH520" s="143">
        <v>625.0</v>
      </c>
      <c r="AI520" s="143">
        <v>2020.0</v>
      </c>
      <c r="AJ520" s="143"/>
      <c r="AK520" s="143"/>
      <c r="AL520" s="129" t="str">
        <f>IFERROR(__xludf.DUMMYFUNCTION("""COMPUTED_VALUE"""),"Business, Romantic")</f>
        <v>Business, Romantic</v>
      </c>
      <c r="AM520" s="129" t="str">
        <f>IFERROR(__xludf.DUMMYFUNCTION("""COMPUTED_VALUE"""),"Arcade, Beach, Big Waterslides, Kids Club")</f>
        <v>Arcade, Beach, Big Waterslides, Kids Club</v>
      </c>
      <c r="AN520" s="139"/>
    </row>
    <row r="521">
      <c r="A521" s="118" t="s">
        <v>1566</v>
      </c>
      <c r="B521" s="119">
        <v>84.0</v>
      </c>
      <c r="C521" s="134" t="s">
        <v>75</v>
      </c>
      <c r="D521" s="121"/>
      <c r="E521" s="135"/>
      <c r="F521" s="136"/>
      <c r="G521" s="124">
        <v>14741.0</v>
      </c>
      <c r="H521" s="125">
        <v>6729.0</v>
      </c>
      <c r="I521" s="125">
        <v>4737.0</v>
      </c>
      <c r="J521" s="125">
        <v>1869.0</v>
      </c>
      <c r="K521" s="125">
        <v>792.0</v>
      </c>
      <c r="L521" s="125">
        <v>616.0</v>
      </c>
      <c r="M521" s="126">
        <v>82.0</v>
      </c>
      <c r="N521" s="127">
        <v>92.0</v>
      </c>
      <c r="O521" s="146"/>
      <c r="P521" s="127">
        <v>78.0</v>
      </c>
      <c r="Q521" s="135" t="b">
        <v>0</v>
      </c>
      <c r="R521" s="133"/>
      <c r="S521" s="143"/>
      <c r="T521" s="133"/>
      <c r="U521" s="133"/>
      <c r="V521" s="129"/>
      <c r="W521" s="130" t="s">
        <v>84</v>
      </c>
      <c r="X521" s="130" t="s">
        <v>528</v>
      </c>
      <c r="Y521" s="130" t="s">
        <v>86</v>
      </c>
      <c r="Z521" s="131" t="b">
        <v>1</v>
      </c>
      <c r="AA521" s="131">
        <v>0.044444444444444446</v>
      </c>
      <c r="AB521" s="129"/>
      <c r="AC521" s="129"/>
      <c r="AD521" s="129" t="s">
        <v>241</v>
      </c>
      <c r="AE521" s="129"/>
      <c r="AF521" s="132"/>
      <c r="AG521" s="143" t="b">
        <v>0</v>
      </c>
      <c r="AH521" s="143"/>
      <c r="AI521" s="143"/>
      <c r="AJ521" s="143"/>
      <c r="AK521" s="143"/>
      <c r="AL521" s="129"/>
      <c r="AM521" s="129" t="str">
        <f>IFERROR(__xludf.DUMMYFUNCTION("""COMPUTED_VALUE"""),"Beach")</f>
        <v>Beach</v>
      </c>
      <c r="AN521" s="139"/>
    </row>
    <row r="522">
      <c r="A522" s="118" t="s">
        <v>1567</v>
      </c>
      <c r="B522" s="119">
        <v>84.0</v>
      </c>
      <c r="C522" s="134" t="s">
        <v>75</v>
      </c>
      <c r="D522" s="142"/>
      <c r="E522" s="135"/>
      <c r="F522" s="136"/>
      <c r="G522" s="124">
        <v>13467.0</v>
      </c>
      <c r="H522" s="125">
        <v>7469.0</v>
      </c>
      <c r="I522" s="125">
        <v>3232.0</v>
      </c>
      <c r="J522" s="125">
        <v>1456.0</v>
      </c>
      <c r="K522" s="125">
        <v>736.0</v>
      </c>
      <c r="L522" s="125">
        <v>577.0</v>
      </c>
      <c r="M522" s="126">
        <v>84.0</v>
      </c>
      <c r="N522" s="127">
        <v>90.0</v>
      </c>
      <c r="O522" s="146"/>
      <c r="P522" s="127">
        <v>78.0</v>
      </c>
      <c r="Q522" s="122" t="b">
        <v>0</v>
      </c>
      <c r="R522" s="128"/>
      <c r="S522" s="128"/>
      <c r="T522" s="128"/>
      <c r="U522" s="128"/>
      <c r="V522" s="129"/>
      <c r="W522" s="130" t="s">
        <v>84</v>
      </c>
      <c r="X522" s="130" t="s">
        <v>907</v>
      </c>
      <c r="Y522" s="130" t="s">
        <v>120</v>
      </c>
      <c r="Z522" s="133" t="b">
        <v>1</v>
      </c>
      <c r="AA522" s="145"/>
      <c r="AB522" s="130" t="s">
        <v>412</v>
      </c>
      <c r="AC522" s="129"/>
      <c r="AD522" s="147" t="s">
        <v>1568</v>
      </c>
      <c r="AE522" s="129"/>
      <c r="AF522" s="132"/>
      <c r="AG522" s="128" t="b">
        <v>0</v>
      </c>
      <c r="AH522" s="128"/>
      <c r="AI522" s="128"/>
      <c r="AJ522" s="128"/>
      <c r="AK522" s="128"/>
      <c r="AL522" s="129"/>
      <c r="AM522" s="129" t="str">
        <f>IFERROR(__xludf.DUMMYFUNCTION("""COMPUTED_VALUE"""),"Kids Club for Under 4")</f>
        <v>Kids Club for Under 4</v>
      </c>
      <c r="AN522" s="139"/>
    </row>
    <row r="523">
      <c r="A523" s="140" t="s">
        <v>1569</v>
      </c>
      <c r="B523" s="119">
        <v>84.0</v>
      </c>
      <c r="C523" s="133" t="s">
        <v>75</v>
      </c>
      <c r="D523" s="142"/>
      <c r="E523" s="122"/>
      <c r="F523" s="136"/>
      <c r="G523" s="124">
        <v>8891.0</v>
      </c>
      <c r="H523" s="125">
        <v>3721.0</v>
      </c>
      <c r="I523" s="125">
        <v>2833.0</v>
      </c>
      <c r="J523" s="125">
        <v>1306.0</v>
      </c>
      <c r="K523" s="125">
        <v>571.0</v>
      </c>
      <c r="L523" s="125">
        <v>460.0</v>
      </c>
      <c r="M523" s="126">
        <v>80.0</v>
      </c>
      <c r="N523" s="127">
        <v>88.0</v>
      </c>
      <c r="O523" s="146"/>
      <c r="P523" s="127">
        <v>84.0</v>
      </c>
      <c r="Q523" s="126" t="b">
        <v>0</v>
      </c>
      <c r="R523" s="128"/>
      <c r="S523" s="128"/>
      <c r="T523" s="128"/>
      <c r="U523" s="128"/>
      <c r="V523" s="129"/>
      <c r="W523" s="144" t="s">
        <v>84</v>
      </c>
      <c r="X523" s="130" t="s">
        <v>1450</v>
      </c>
      <c r="Y523" s="130" t="s">
        <v>120</v>
      </c>
      <c r="Z523" s="133" t="b">
        <v>1</v>
      </c>
      <c r="AA523" s="145"/>
      <c r="AB523" s="130" t="s">
        <v>655</v>
      </c>
      <c r="AC523" s="129"/>
      <c r="AD523" s="129"/>
      <c r="AE523" s="129"/>
      <c r="AF523" s="132"/>
      <c r="AG523" s="143" t="b">
        <v>0</v>
      </c>
      <c r="AH523" s="143"/>
      <c r="AI523" s="143"/>
      <c r="AJ523" s="143"/>
      <c r="AK523" s="143"/>
      <c r="AL523" s="129"/>
      <c r="AM523" s="129"/>
      <c r="AN523" s="139"/>
    </row>
    <row r="524">
      <c r="A524" s="118" t="s">
        <v>1570</v>
      </c>
      <c r="B524" s="119">
        <v>84.0</v>
      </c>
      <c r="C524" s="120" t="s">
        <v>68</v>
      </c>
      <c r="D524" s="142"/>
      <c r="E524" s="122"/>
      <c r="F524" s="136"/>
      <c r="G524" s="124">
        <v>7258.0</v>
      </c>
      <c r="H524" s="125">
        <v>3371.0</v>
      </c>
      <c r="I524" s="125">
        <v>2257.0</v>
      </c>
      <c r="J524" s="125">
        <v>925.0</v>
      </c>
      <c r="K524" s="125">
        <v>427.0</v>
      </c>
      <c r="L524" s="125">
        <v>286.0</v>
      </c>
      <c r="M524" s="126">
        <v>82.0</v>
      </c>
      <c r="N524" s="127">
        <v>86.0</v>
      </c>
      <c r="O524" s="127"/>
      <c r="P524" s="127"/>
      <c r="Q524" s="122" t="b">
        <v>0</v>
      </c>
      <c r="R524" s="128"/>
      <c r="S524" s="128"/>
      <c r="T524" s="128"/>
      <c r="U524" s="128"/>
      <c r="V524" s="129"/>
      <c r="W524" s="130" t="s">
        <v>276</v>
      </c>
      <c r="X524" s="130" t="s">
        <v>393</v>
      </c>
      <c r="Y524" s="130" t="s">
        <v>393</v>
      </c>
      <c r="Z524" s="133" t="b">
        <v>1</v>
      </c>
      <c r="AA524" s="145"/>
      <c r="AB524" s="129"/>
      <c r="AC524" s="129"/>
      <c r="AD524" s="129" t="s">
        <v>1532</v>
      </c>
      <c r="AE524" s="129"/>
      <c r="AF524" s="132"/>
      <c r="AG524" s="128" t="b">
        <v>0</v>
      </c>
      <c r="AH524" s="128"/>
      <c r="AI524" s="128"/>
      <c r="AJ524" s="128"/>
      <c r="AK524" s="128"/>
      <c r="AL524" s="129"/>
      <c r="AM524" s="129" t="str">
        <f>IFERROR(__xludf.DUMMYFUNCTION("""COMPUTED_VALUE"""),"Great Beach")</f>
        <v>Great Beach</v>
      </c>
      <c r="AN524" s="128"/>
    </row>
    <row r="525">
      <c r="A525" s="118" t="s">
        <v>1571</v>
      </c>
      <c r="B525" s="119">
        <v>84.0</v>
      </c>
      <c r="C525" s="134" t="s">
        <v>75</v>
      </c>
      <c r="D525" s="142"/>
      <c r="E525" s="135"/>
      <c r="F525" s="136"/>
      <c r="G525" s="124">
        <v>1978.0</v>
      </c>
      <c r="H525" s="125">
        <v>1007.0</v>
      </c>
      <c r="I525" s="125">
        <v>564.0</v>
      </c>
      <c r="J525" s="125">
        <v>240.0</v>
      </c>
      <c r="K525" s="125">
        <v>101.0</v>
      </c>
      <c r="L525" s="125">
        <v>66.0</v>
      </c>
      <c r="M525" s="137">
        <v>84.0</v>
      </c>
      <c r="N525" s="127"/>
      <c r="O525" s="127"/>
      <c r="P525" s="127"/>
      <c r="Q525" s="135" t="b">
        <v>0</v>
      </c>
      <c r="R525" s="133"/>
      <c r="S525" s="143"/>
      <c r="T525" s="133"/>
      <c r="U525" s="133"/>
      <c r="V525" s="129"/>
      <c r="W525" s="130" t="s">
        <v>219</v>
      </c>
      <c r="X525" s="130" t="s">
        <v>713</v>
      </c>
      <c r="Y525" s="130" t="s">
        <v>221</v>
      </c>
      <c r="Z525" s="131" t="b">
        <v>1</v>
      </c>
      <c r="AA525" s="131">
        <v>0.001388888888888889</v>
      </c>
      <c r="AB525" s="129"/>
      <c r="AC525" s="129"/>
      <c r="AD525" s="130" t="s">
        <v>241</v>
      </c>
      <c r="AE525" s="129"/>
      <c r="AF525" s="132"/>
      <c r="AG525" s="143" t="b">
        <v>1</v>
      </c>
      <c r="AH525" s="143"/>
      <c r="AI525" s="143"/>
      <c r="AJ525" s="143"/>
      <c r="AK525" s="143"/>
      <c r="AL525" s="129"/>
      <c r="AM525" s="129" t="str">
        <f>IFERROR(__xludf.DUMMYFUNCTION("""COMPUTED_VALUE"""),"Beach")</f>
        <v>Beach</v>
      </c>
      <c r="AN525" s="139"/>
    </row>
    <row r="526">
      <c r="A526" s="118" t="s">
        <v>1572</v>
      </c>
      <c r="B526" s="149">
        <v>84.0</v>
      </c>
      <c r="C526" s="120" t="s">
        <v>68</v>
      </c>
      <c r="D526" s="142"/>
      <c r="E526" s="122"/>
      <c r="F526" s="136"/>
      <c r="G526" s="124">
        <v>10828.0</v>
      </c>
      <c r="H526" s="125">
        <v>5802.0</v>
      </c>
      <c r="I526" s="125">
        <v>2659.0</v>
      </c>
      <c r="J526" s="125">
        <v>1330.0</v>
      </c>
      <c r="K526" s="125">
        <v>563.0</v>
      </c>
      <c r="L526" s="125">
        <v>475.0</v>
      </c>
      <c r="M526" s="126">
        <v>84.0</v>
      </c>
      <c r="N526" s="127">
        <v>84.0</v>
      </c>
      <c r="O526" s="127"/>
      <c r="P526" s="127"/>
      <c r="Q526" s="122" t="b">
        <v>0</v>
      </c>
      <c r="R526" s="128"/>
      <c r="S526" s="128"/>
      <c r="T526" s="128"/>
      <c r="U526" s="128"/>
      <c r="V526" s="129"/>
      <c r="W526" s="130" t="s">
        <v>276</v>
      </c>
      <c r="X526" s="130" t="s">
        <v>393</v>
      </c>
      <c r="Y526" s="130" t="s">
        <v>393</v>
      </c>
      <c r="Z526" s="133" t="b">
        <v>1</v>
      </c>
      <c r="AA526" s="145"/>
      <c r="AB526" s="129"/>
      <c r="AC526" s="129"/>
      <c r="AD526" s="129" t="s">
        <v>1532</v>
      </c>
      <c r="AE526" s="129"/>
      <c r="AF526" s="132"/>
      <c r="AG526" s="128" t="b">
        <v>0</v>
      </c>
      <c r="AH526" s="128"/>
      <c r="AI526" s="128"/>
      <c r="AJ526" s="128"/>
      <c r="AK526" s="128"/>
      <c r="AL526" s="129"/>
      <c r="AM526" s="129" t="str">
        <f>IFERROR(__xludf.DUMMYFUNCTION("""COMPUTED_VALUE"""),"Great Beach")</f>
        <v>Great Beach</v>
      </c>
      <c r="AN526" s="128"/>
    </row>
    <row r="527">
      <c r="A527" s="140" t="s">
        <v>1573</v>
      </c>
      <c r="B527" s="119">
        <v>84.0</v>
      </c>
      <c r="C527" s="133" t="s">
        <v>75</v>
      </c>
      <c r="D527" s="142"/>
      <c r="E527" s="122"/>
      <c r="F527" s="136"/>
      <c r="G527" s="124">
        <v>978.0</v>
      </c>
      <c r="H527" s="125">
        <v>400.0</v>
      </c>
      <c r="I527" s="125">
        <v>269.0</v>
      </c>
      <c r="J527" s="125">
        <v>138.0</v>
      </c>
      <c r="K527" s="125">
        <v>75.0</v>
      </c>
      <c r="L527" s="125">
        <v>96.0</v>
      </c>
      <c r="M527" s="126">
        <v>76.0</v>
      </c>
      <c r="N527" s="127">
        <v>90.0</v>
      </c>
      <c r="O527" s="146"/>
      <c r="P527" s="127">
        <v>86.0</v>
      </c>
      <c r="Q527" s="122" t="b">
        <v>0</v>
      </c>
      <c r="R527" s="128"/>
      <c r="S527" s="128"/>
      <c r="T527" s="128"/>
      <c r="U527" s="128"/>
      <c r="V527" s="129"/>
      <c r="W527" s="130" t="s">
        <v>1574</v>
      </c>
      <c r="X527" s="130" t="s">
        <v>1575</v>
      </c>
      <c r="Y527" s="130" t="s">
        <v>1576</v>
      </c>
      <c r="Z527" s="145" t="b">
        <v>0</v>
      </c>
      <c r="AA527" s="145"/>
      <c r="AB527" s="129"/>
      <c r="AC527" s="129"/>
      <c r="AD527" s="129"/>
      <c r="AE527" s="129"/>
      <c r="AF527" s="132"/>
      <c r="AG527" s="143" t="b">
        <v>0</v>
      </c>
      <c r="AH527" s="143"/>
      <c r="AI527" s="143"/>
      <c r="AJ527" s="143"/>
      <c r="AK527" s="143"/>
      <c r="AL527" s="129"/>
      <c r="AM527" s="129"/>
      <c r="AN527" s="139"/>
    </row>
    <row r="528">
      <c r="A528" s="118" t="s">
        <v>1577</v>
      </c>
      <c r="B528" s="149">
        <v>84.0</v>
      </c>
      <c r="C528" s="120" t="s">
        <v>68</v>
      </c>
      <c r="D528" s="142"/>
      <c r="E528" s="122"/>
      <c r="F528" s="123"/>
      <c r="G528" s="124">
        <v>14941.0</v>
      </c>
      <c r="H528" s="125">
        <v>9096.0</v>
      </c>
      <c r="I528" s="125">
        <v>3097.0</v>
      </c>
      <c r="J528" s="125">
        <v>1452.0</v>
      </c>
      <c r="K528" s="125">
        <v>739.0</v>
      </c>
      <c r="L528" s="125">
        <v>558.0</v>
      </c>
      <c r="M528" s="126">
        <v>86.0</v>
      </c>
      <c r="N528" s="127">
        <v>86.0</v>
      </c>
      <c r="O528" s="127"/>
      <c r="P528" s="127">
        <v>80.0</v>
      </c>
      <c r="Q528" s="122" t="b">
        <v>0</v>
      </c>
      <c r="R528" s="133">
        <v>4.0</v>
      </c>
      <c r="S528" s="128"/>
      <c r="T528" s="128"/>
      <c r="U528" s="128"/>
      <c r="V528" s="129"/>
      <c r="W528" s="130" t="s">
        <v>219</v>
      </c>
      <c r="X528" s="130" t="s">
        <v>385</v>
      </c>
      <c r="Y528" s="144" t="s">
        <v>221</v>
      </c>
      <c r="Z528" s="133" t="b">
        <v>1</v>
      </c>
      <c r="AA528" s="145"/>
      <c r="AB528" s="130" t="s">
        <v>386</v>
      </c>
      <c r="AC528" s="130"/>
      <c r="AD528" s="144"/>
      <c r="AE528" s="130"/>
      <c r="AF528" s="132"/>
      <c r="AG528" s="143" t="b">
        <v>0</v>
      </c>
      <c r="AH528" s="143"/>
      <c r="AI528" s="143"/>
      <c r="AJ528" s="143"/>
      <c r="AK528" s="143"/>
      <c r="AL528" s="129"/>
      <c r="AM528" s="129"/>
      <c r="AN528" s="128"/>
    </row>
    <row r="529">
      <c r="A529" s="118" t="s">
        <v>1578</v>
      </c>
      <c r="B529" s="119">
        <v>84.0</v>
      </c>
      <c r="C529" s="120" t="s">
        <v>68</v>
      </c>
      <c r="D529" s="121"/>
      <c r="E529" s="122"/>
      <c r="F529" s="136"/>
      <c r="G529" s="124">
        <v>2809.0</v>
      </c>
      <c r="H529" s="125">
        <v>1650.0</v>
      </c>
      <c r="I529" s="125">
        <v>679.0</v>
      </c>
      <c r="J529" s="125">
        <v>270.0</v>
      </c>
      <c r="K529" s="125">
        <v>115.0</v>
      </c>
      <c r="L529" s="125">
        <v>96.0</v>
      </c>
      <c r="M529" s="126">
        <v>86.0</v>
      </c>
      <c r="N529" s="127">
        <v>82.0</v>
      </c>
      <c r="O529" s="127"/>
      <c r="P529" s="127">
        <v>84.0</v>
      </c>
      <c r="Q529" s="122" t="b">
        <v>0</v>
      </c>
      <c r="R529" s="128"/>
      <c r="S529" s="128"/>
      <c r="T529" s="128"/>
      <c r="U529" s="128"/>
      <c r="V529" s="129"/>
      <c r="W529" s="130" t="s">
        <v>155</v>
      </c>
      <c r="X529" s="130" t="s">
        <v>1579</v>
      </c>
      <c r="Y529" s="130" t="s">
        <v>157</v>
      </c>
      <c r="Z529" s="131" t="b">
        <v>1</v>
      </c>
      <c r="AA529" s="131">
        <v>0.022916666666666665</v>
      </c>
      <c r="AB529" s="129"/>
      <c r="AC529" s="130"/>
      <c r="AD529" s="130" t="s">
        <v>241</v>
      </c>
      <c r="AE529" s="129"/>
      <c r="AF529" s="132"/>
      <c r="AG529" s="143" t="b">
        <v>1</v>
      </c>
      <c r="AH529" s="143"/>
      <c r="AI529" s="143"/>
      <c r="AJ529" s="143"/>
      <c r="AK529" s="143"/>
      <c r="AL529" s="129"/>
      <c r="AM529" s="129" t="str">
        <f>IFERROR(__xludf.DUMMYFUNCTION("""COMPUTED_VALUE"""),"Beach")</f>
        <v>Beach</v>
      </c>
      <c r="AN529" s="128"/>
    </row>
    <row r="530">
      <c r="A530" s="118" t="s">
        <v>1580</v>
      </c>
      <c r="B530" s="119">
        <v>83.8</v>
      </c>
      <c r="C530" s="134" t="s">
        <v>75</v>
      </c>
      <c r="D530" s="121"/>
      <c r="E530" s="135"/>
      <c r="F530" s="136"/>
      <c r="G530" s="124">
        <v>3857.0</v>
      </c>
      <c r="H530" s="125">
        <v>2278.0</v>
      </c>
      <c r="I530" s="125">
        <v>982.0</v>
      </c>
      <c r="J530" s="125">
        <v>304.0</v>
      </c>
      <c r="K530" s="125">
        <v>160.0</v>
      </c>
      <c r="L530" s="125">
        <v>133.0</v>
      </c>
      <c r="M530" s="126">
        <v>87.0</v>
      </c>
      <c r="N530" s="127">
        <v>82.0</v>
      </c>
      <c r="O530" s="127">
        <v>84.0</v>
      </c>
      <c r="P530" s="127">
        <v>82.0</v>
      </c>
      <c r="Q530" s="135" t="b">
        <v>0</v>
      </c>
      <c r="R530" s="133"/>
      <c r="S530" s="133">
        <v>7.0</v>
      </c>
      <c r="T530" s="133"/>
      <c r="U530" s="133"/>
      <c r="V530" s="130"/>
      <c r="W530" s="130" t="s">
        <v>137</v>
      </c>
      <c r="X530" s="130" t="s">
        <v>480</v>
      </c>
      <c r="Y530" s="130" t="s">
        <v>139</v>
      </c>
      <c r="Z530" s="131" t="b">
        <v>1</v>
      </c>
      <c r="AA530" s="131">
        <v>0.010416666666666666</v>
      </c>
      <c r="AB530" s="130"/>
      <c r="AC530" s="130"/>
      <c r="AD530" s="144" t="s">
        <v>241</v>
      </c>
      <c r="AE530" s="130"/>
      <c r="AF530" s="132"/>
      <c r="AG530" s="143" t="b">
        <v>0</v>
      </c>
      <c r="AH530" s="133">
        <v>90.0</v>
      </c>
      <c r="AI530" s="133">
        <v>2001.0</v>
      </c>
      <c r="AJ530" s="133">
        <v>2024.0</v>
      </c>
      <c r="AK530" s="133">
        <v>5.0</v>
      </c>
      <c r="AL530" s="129"/>
      <c r="AM530" s="129" t="str">
        <f>IFERROR(__xludf.DUMMYFUNCTION("""COMPUTED_VALUE"""),"Beach")</f>
        <v>Beach</v>
      </c>
      <c r="AN530" s="139"/>
    </row>
    <row r="531">
      <c r="A531" s="118" t="s">
        <v>1581</v>
      </c>
      <c r="B531" s="119">
        <v>83.8</v>
      </c>
      <c r="C531" s="134" t="s">
        <v>75</v>
      </c>
      <c r="D531" s="150"/>
      <c r="E531" s="135"/>
      <c r="F531" s="136"/>
      <c r="G531" s="124">
        <v>9857.0</v>
      </c>
      <c r="H531" s="125">
        <v>5863.0</v>
      </c>
      <c r="I531" s="125">
        <v>2531.0</v>
      </c>
      <c r="J531" s="125">
        <v>923.0</v>
      </c>
      <c r="K531" s="125">
        <v>304.0</v>
      </c>
      <c r="L531" s="125">
        <v>238.0</v>
      </c>
      <c r="M531" s="126">
        <v>87.0</v>
      </c>
      <c r="N531" s="127">
        <v>96.0</v>
      </c>
      <c r="O531" s="138">
        <v>72.0</v>
      </c>
      <c r="P531" s="127">
        <v>80.0</v>
      </c>
      <c r="Q531" s="135" t="b">
        <v>0</v>
      </c>
      <c r="R531" s="133"/>
      <c r="S531" s="143">
        <v>7.0</v>
      </c>
      <c r="T531" s="133"/>
      <c r="U531" s="133"/>
      <c r="V531" s="130"/>
      <c r="W531" s="130" t="s">
        <v>193</v>
      </c>
      <c r="X531" s="130" t="s">
        <v>1546</v>
      </c>
      <c r="Y531" s="130" t="s">
        <v>1070</v>
      </c>
      <c r="Z531" s="131" t="b">
        <v>1</v>
      </c>
      <c r="AA531" s="131">
        <v>0.015277777777777777</v>
      </c>
      <c r="AB531" s="130"/>
      <c r="AC531" s="130"/>
      <c r="AD531" s="129" t="s">
        <v>241</v>
      </c>
      <c r="AE531" s="129" t="s">
        <v>396</v>
      </c>
      <c r="AF531" s="132"/>
      <c r="AG531" s="143" t="b">
        <v>0</v>
      </c>
      <c r="AH531" s="143">
        <v>516.0</v>
      </c>
      <c r="AI531" s="143"/>
      <c r="AJ531" s="143"/>
      <c r="AK531" s="143">
        <v>3.0</v>
      </c>
      <c r="AL531" s="129"/>
      <c r="AM531" s="129" t="str">
        <f>IFERROR(__xludf.DUMMYFUNCTION("""COMPUTED_VALUE"""),"Beach")</f>
        <v>Beach</v>
      </c>
      <c r="AN531" s="139"/>
    </row>
    <row r="532">
      <c r="A532" s="118" t="s">
        <v>1582</v>
      </c>
      <c r="B532" s="119">
        <v>83.7</v>
      </c>
      <c r="C532" s="120" t="s">
        <v>68</v>
      </c>
      <c r="D532" s="121">
        <v>1296.19</v>
      </c>
      <c r="E532" s="122">
        <f>IFERROR(__xludf.DUMMYFUNCTION("""COMPUTED_VALUE"""),1790.1030698809998)</f>
        <v>1790.10307</v>
      </c>
      <c r="F532" s="136">
        <v>2.85</v>
      </c>
      <c r="G532" s="124">
        <v>3551.0</v>
      </c>
      <c r="H532" s="125">
        <v>2437.0</v>
      </c>
      <c r="I532" s="125">
        <v>467.0</v>
      </c>
      <c r="J532" s="125">
        <v>290.0</v>
      </c>
      <c r="K532" s="125">
        <v>137.0</v>
      </c>
      <c r="L532" s="125">
        <v>224.0</v>
      </c>
      <c r="M532" s="126">
        <v>87.0</v>
      </c>
      <c r="N532" s="127">
        <v>86.0</v>
      </c>
      <c r="O532" s="127"/>
      <c r="P532" s="138">
        <v>78.0</v>
      </c>
      <c r="Q532" s="122" t="b">
        <v>0</v>
      </c>
      <c r="R532" s="133"/>
      <c r="S532" s="143"/>
      <c r="T532" s="133"/>
      <c r="U532" s="133">
        <v>3.5</v>
      </c>
      <c r="V532" s="129"/>
      <c r="W532" s="130" t="s">
        <v>193</v>
      </c>
      <c r="X532" s="130" t="s">
        <v>557</v>
      </c>
      <c r="Y532" s="130" t="s">
        <v>195</v>
      </c>
      <c r="Z532" s="131" t="b">
        <v>1</v>
      </c>
      <c r="AA532" s="131">
        <v>0.03680555555555556</v>
      </c>
      <c r="AB532" s="129"/>
      <c r="AC532" s="130" t="s">
        <v>927</v>
      </c>
      <c r="AD532" s="130"/>
      <c r="AE532" s="129"/>
      <c r="AF532" s="132"/>
      <c r="AG532" s="133" t="b">
        <v>0</v>
      </c>
      <c r="AH532" s="133"/>
      <c r="AI532" s="133"/>
      <c r="AJ532" s="128"/>
      <c r="AK532" s="128"/>
      <c r="AL532" s="129" t="str">
        <f>IFERROR(__xludf.DUMMYFUNCTION("""COMPUTED_VALUE"""),"Bay View, Great View")</f>
        <v>Bay View, Great View</v>
      </c>
      <c r="AM532" s="129"/>
      <c r="AN532" s="128"/>
    </row>
    <row r="533">
      <c r="A533" s="118" t="s">
        <v>1583</v>
      </c>
      <c r="B533" s="119">
        <v>83.7</v>
      </c>
      <c r="C533" s="134" t="s">
        <v>75</v>
      </c>
      <c r="D533" s="121">
        <v>2891.38</v>
      </c>
      <c r="E533" s="135">
        <f>IFERROR(__xludf.DUMMYFUNCTION("""COMPUTED_VALUE"""),3993.140059862)</f>
        <v>3993.14006</v>
      </c>
      <c r="F533" s="136">
        <v>1.28</v>
      </c>
      <c r="G533" s="124">
        <v>541.0</v>
      </c>
      <c r="H533" s="125">
        <v>337.0</v>
      </c>
      <c r="I533" s="125">
        <v>128.0</v>
      </c>
      <c r="J533" s="125">
        <v>34.0</v>
      </c>
      <c r="K533" s="125">
        <v>20.0</v>
      </c>
      <c r="L533" s="125">
        <v>22.0</v>
      </c>
      <c r="M533" s="137">
        <v>87.0</v>
      </c>
      <c r="N533" s="138">
        <v>88.0</v>
      </c>
      <c r="O533" s="127"/>
      <c r="P533" s="138">
        <v>76.0</v>
      </c>
      <c r="Q533" s="135" t="b">
        <v>0</v>
      </c>
      <c r="R533" s="133"/>
      <c r="S533" s="133">
        <v>7.0</v>
      </c>
      <c r="T533" s="133"/>
      <c r="U533" s="133">
        <v>4.0</v>
      </c>
      <c r="V533" s="130"/>
      <c r="W533" s="130" t="s">
        <v>84</v>
      </c>
      <c r="X533" s="130" t="s">
        <v>448</v>
      </c>
      <c r="Y533" s="130" t="s">
        <v>448</v>
      </c>
      <c r="Z533" s="131" t="b">
        <v>1</v>
      </c>
      <c r="AA533" s="131">
        <v>0.018055555555555554</v>
      </c>
      <c r="AB533" s="130" t="s">
        <v>362</v>
      </c>
      <c r="AC533" s="130" t="s">
        <v>1584</v>
      </c>
      <c r="AD533" s="130" t="s">
        <v>1516</v>
      </c>
      <c r="AE533" s="130" t="s">
        <v>94</v>
      </c>
      <c r="AF533" s="132" t="s">
        <v>373</v>
      </c>
      <c r="AG533" s="133" t="b">
        <v>0</v>
      </c>
      <c r="AH533" s="133">
        <v>247.0</v>
      </c>
      <c r="AI533" s="133">
        <v>2002.0</v>
      </c>
      <c r="AJ533" s="133">
        <v>2016.0</v>
      </c>
      <c r="AK533" s="133">
        <v>3.0</v>
      </c>
      <c r="AL533" s="129" t="str">
        <f>IFERROR(__xludf.DUMMYFUNCTION("""COMPUTED_VALUE"""),"Charming, Green")</f>
        <v>Charming, Green</v>
      </c>
      <c r="AM533" s="129" t="str">
        <f>IFERROR(__xludf.DUMMYFUNCTION("""COMPUTED_VALUE"""),"Beach, Kids Club")</f>
        <v>Beach, Kids Club</v>
      </c>
      <c r="AN533" s="139"/>
    </row>
    <row r="534">
      <c r="A534" s="118" t="s">
        <v>1585</v>
      </c>
      <c r="B534" s="119">
        <v>83.7</v>
      </c>
      <c r="C534" s="134" t="s">
        <v>75</v>
      </c>
      <c r="D534" s="142"/>
      <c r="E534" s="135"/>
      <c r="F534" s="136"/>
      <c r="G534" s="124">
        <v>3001.0</v>
      </c>
      <c r="H534" s="125">
        <v>1349.0</v>
      </c>
      <c r="I534" s="125">
        <v>806.0</v>
      </c>
      <c r="J534" s="125">
        <v>436.0</v>
      </c>
      <c r="K534" s="125">
        <v>196.0</v>
      </c>
      <c r="L534" s="125">
        <v>214.0</v>
      </c>
      <c r="M534" s="137">
        <v>79.0</v>
      </c>
      <c r="N534" s="138">
        <v>92.0</v>
      </c>
      <c r="O534" s="127"/>
      <c r="P534" s="138">
        <v>80.0</v>
      </c>
      <c r="Q534" s="135" t="b">
        <v>0</v>
      </c>
      <c r="R534" s="133"/>
      <c r="S534" s="143">
        <v>6.0</v>
      </c>
      <c r="T534" s="133"/>
      <c r="U534" s="133"/>
      <c r="V534" s="130"/>
      <c r="W534" s="130" t="s">
        <v>193</v>
      </c>
      <c r="X534" s="130" t="s">
        <v>195</v>
      </c>
      <c r="Y534" s="130" t="s">
        <v>195</v>
      </c>
      <c r="Z534" s="131" t="b">
        <v>1</v>
      </c>
      <c r="AA534" s="131">
        <v>0.01875</v>
      </c>
      <c r="AB534" s="130"/>
      <c r="AC534" s="130"/>
      <c r="AD534" s="129" t="s">
        <v>241</v>
      </c>
      <c r="AE534" s="129"/>
      <c r="AF534" s="132"/>
      <c r="AG534" s="143" t="b">
        <v>0</v>
      </c>
      <c r="AH534" s="143">
        <v>502.0</v>
      </c>
      <c r="AI534" s="143">
        <v>2004.0</v>
      </c>
      <c r="AJ534" s="143">
        <v>2015.0</v>
      </c>
      <c r="AK534" s="143">
        <v>3.0</v>
      </c>
      <c r="AL534" s="129"/>
      <c r="AM534" s="129" t="str">
        <f>IFERROR(__xludf.DUMMYFUNCTION("""COMPUTED_VALUE"""),"Beach")</f>
        <v>Beach</v>
      </c>
      <c r="AN534" s="139"/>
    </row>
    <row r="535">
      <c r="A535" s="118" t="s">
        <v>1586</v>
      </c>
      <c r="B535" s="119">
        <v>83.7</v>
      </c>
      <c r="C535" s="134" t="s">
        <v>75</v>
      </c>
      <c r="D535" s="121"/>
      <c r="E535" s="135"/>
      <c r="F535" s="136"/>
      <c r="G535" s="124">
        <v>3177.0</v>
      </c>
      <c r="H535" s="125">
        <v>1732.0</v>
      </c>
      <c r="I535" s="125">
        <v>883.0</v>
      </c>
      <c r="J535" s="125">
        <v>340.0</v>
      </c>
      <c r="K535" s="125">
        <v>131.0</v>
      </c>
      <c r="L535" s="125">
        <v>94.0</v>
      </c>
      <c r="M535" s="126">
        <v>85.0</v>
      </c>
      <c r="N535" s="138">
        <v>86.0</v>
      </c>
      <c r="O535" s="146"/>
      <c r="P535" s="127">
        <v>80.0</v>
      </c>
      <c r="Q535" s="135" t="b">
        <v>0</v>
      </c>
      <c r="R535" s="133"/>
      <c r="S535" s="143"/>
      <c r="T535" s="133"/>
      <c r="U535" s="133"/>
      <c r="V535" s="129"/>
      <c r="W535" s="130" t="s">
        <v>84</v>
      </c>
      <c r="X535" s="130" t="s">
        <v>119</v>
      </c>
      <c r="Y535" s="130" t="s">
        <v>120</v>
      </c>
      <c r="Z535" s="131" t="b">
        <v>1</v>
      </c>
      <c r="AA535" s="131">
        <v>0.02361111111111111</v>
      </c>
      <c r="AB535" s="129"/>
      <c r="AC535" s="129"/>
      <c r="AD535" s="130" t="s">
        <v>241</v>
      </c>
      <c r="AE535" s="129"/>
      <c r="AF535" s="132"/>
      <c r="AG535" s="143" t="b">
        <v>1</v>
      </c>
      <c r="AH535" s="143"/>
      <c r="AI535" s="143"/>
      <c r="AJ535" s="143"/>
      <c r="AK535" s="143"/>
      <c r="AL535" s="129"/>
      <c r="AM535" s="129" t="str">
        <f>IFERROR(__xludf.DUMMYFUNCTION("""COMPUTED_VALUE"""),"Beach")</f>
        <v>Beach</v>
      </c>
      <c r="AN535" s="139"/>
    </row>
    <row r="536">
      <c r="A536" s="118" t="s">
        <v>1587</v>
      </c>
      <c r="B536" s="119">
        <v>83.7</v>
      </c>
      <c r="C536" s="134" t="s">
        <v>75</v>
      </c>
      <c r="D536" s="121"/>
      <c r="E536" s="135"/>
      <c r="F536" s="136"/>
      <c r="G536" s="124">
        <v>8553.0</v>
      </c>
      <c r="H536" s="125">
        <v>5171.0</v>
      </c>
      <c r="I536" s="125">
        <v>1969.0</v>
      </c>
      <c r="J536" s="125">
        <v>795.0</v>
      </c>
      <c r="K536" s="125">
        <v>325.0</v>
      </c>
      <c r="L536" s="125">
        <v>295.0</v>
      </c>
      <c r="M536" s="126">
        <v>87.0</v>
      </c>
      <c r="N536" s="138">
        <v>84.0</v>
      </c>
      <c r="O536" s="146"/>
      <c r="P536" s="127">
        <v>80.0</v>
      </c>
      <c r="Q536" s="135" t="b">
        <v>0</v>
      </c>
      <c r="R536" s="133"/>
      <c r="S536" s="143"/>
      <c r="T536" s="133"/>
      <c r="U536" s="133"/>
      <c r="V536" s="130"/>
      <c r="W536" s="130" t="s">
        <v>84</v>
      </c>
      <c r="X536" s="130" t="s">
        <v>86</v>
      </c>
      <c r="Y536" s="130" t="s">
        <v>86</v>
      </c>
      <c r="Z536" s="131" t="b">
        <v>1</v>
      </c>
      <c r="AA536" s="131"/>
      <c r="AB536" s="130"/>
      <c r="AC536" s="130"/>
      <c r="AD536" s="129"/>
      <c r="AE536" s="129"/>
      <c r="AF536" s="132"/>
      <c r="AG536" s="143" t="b">
        <v>1</v>
      </c>
      <c r="AH536" s="143"/>
      <c r="AI536" s="143"/>
      <c r="AJ536" s="143"/>
      <c r="AK536" s="143"/>
      <c r="AL536" s="129"/>
      <c r="AM536" s="129"/>
      <c r="AN536" s="139"/>
    </row>
    <row r="537">
      <c r="A537" s="118" t="s">
        <v>1588</v>
      </c>
      <c r="B537" s="119">
        <v>83.7</v>
      </c>
      <c r="C537" s="134" t="s">
        <v>75</v>
      </c>
      <c r="D537" s="121"/>
      <c r="E537" s="135"/>
      <c r="F537" s="136"/>
      <c r="G537" s="124">
        <v>16554.0</v>
      </c>
      <c r="H537" s="125">
        <v>9399.0</v>
      </c>
      <c r="I537" s="125">
        <v>3911.0</v>
      </c>
      <c r="J537" s="125">
        <v>1635.0</v>
      </c>
      <c r="K537" s="125">
        <v>810.0</v>
      </c>
      <c r="L537" s="125">
        <v>802.0</v>
      </c>
      <c r="M537" s="126">
        <v>85.0</v>
      </c>
      <c r="N537" s="127">
        <v>86.0</v>
      </c>
      <c r="O537" s="146"/>
      <c r="P537" s="127">
        <v>80.0</v>
      </c>
      <c r="Q537" s="135" t="b">
        <v>0</v>
      </c>
      <c r="R537" s="133"/>
      <c r="S537" s="143"/>
      <c r="T537" s="133"/>
      <c r="U537" s="133"/>
      <c r="V537" s="130"/>
      <c r="W537" s="130" t="s">
        <v>193</v>
      </c>
      <c r="X537" s="130" t="s">
        <v>225</v>
      </c>
      <c r="Y537" s="130" t="s">
        <v>195</v>
      </c>
      <c r="Z537" s="131" t="b">
        <v>1</v>
      </c>
      <c r="AA537" s="131">
        <v>0.018055555555555554</v>
      </c>
      <c r="AB537" s="130"/>
      <c r="AC537" s="130"/>
      <c r="AD537" s="144" t="s">
        <v>241</v>
      </c>
      <c r="AE537" s="144"/>
      <c r="AF537" s="132"/>
      <c r="AG537" s="143" t="b">
        <v>0</v>
      </c>
      <c r="AH537" s="143"/>
      <c r="AI537" s="143"/>
      <c r="AJ537" s="143"/>
      <c r="AK537" s="143"/>
      <c r="AL537" s="129"/>
      <c r="AM537" s="129" t="str">
        <f>IFERROR(__xludf.DUMMYFUNCTION("""COMPUTED_VALUE"""),"Beach")</f>
        <v>Beach</v>
      </c>
      <c r="AN537" s="139"/>
    </row>
    <row r="538">
      <c r="A538" s="118" t="s">
        <v>1589</v>
      </c>
      <c r="B538" s="119">
        <v>83.7</v>
      </c>
      <c r="C538" s="134" t="s">
        <v>75</v>
      </c>
      <c r="D538" s="142"/>
      <c r="E538" s="135"/>
      <c r="F538" s="136"/>
      <c r="G538" s="124">
        <v>7205.0</v>
      </c>
      <c r="H538" s="125">
        <v>3733.0</v>
      </c>
      <c r="I538" s="125">
        <v>1947.0</v>
      </c>
      <c r="J538" s="125">
        <v>810.0</v>
      </c>
      <c r="K538" s="125">
        <v>383.0</v>
      </c>
      <c r="L538" s="125">
        <v>333.0</v>
      </c>
      <c r="M538" s="126">
        <v>83.0</v>
      </c>
      <c r="N538" s="127">
        <v>92.0</v>
      </c>
      <c r="O538" s="146"/>
      <c r="P538" s="138">
        <v>76.0</v>
      </c>
      <c r="Q538" s="135" t="b">
        <v>0</v>
      </c>
      <c r="R538" s="133"/>
      <c r="S538" s="143"/>
      <c r="T538" s="133"/>
      <c r="U538" s="133"/>
      <c r="V538" s="129"/>
      <c r="W538" s="130" t="s">
        <v>219</v>
      </c>
      <c r="X538" s="130" t="s">
        <v>713</v>
      </c>
      <c r="Y538" s="130" t="s">
        <v>221</v>
      </c>
      <c r="Z538" s="131" t="b">
        <v>1</v>
      </c>
      <c r="AA538" s="131">
        <v>0.015277777777777777</v>
      </c>
      <c r="AB538" s="129"/>
      <c r="AC538" s="129"/>
      <c r="AD538" s="129" t="s">
        <v>241</v>
      </c>
      <c r="AE538" s="129"/>
      <c r="AF538" s="132"/>
      <c r="AG538" s="143" t="b">
        <v>0</v>
      </c>
      <c r="AH538" s="143"/>
      <c r="AI538" s="143"/>
      <c r="AJ538" s="143"/>
      <c r="AK538" s="143"/>
      <c r="AL538" s="129"/>
      <c r="AM538" s="129" t="str">
        <f>IFERROR(__xludf.DUMMYFUNCTION("""COMPUTED_VALUE"""),"Beach")</f>
        <v>Beach</v>
      </c>
      <c r="AN538" s="139"/>
    </row>
    <row r="539" hidden="1">
      <c r="A539" s="118" t="s">
        <v>1590</v>
      </c>
      <c r="B539" s="119">
        <v>82.0</v>
      </c>
      <c r="C539" s="134" t="s">
        <v>75</v>
      </c>
      <c r="D539" s="142"/>
      <c r="E539" s="135"/>
      <c r="F539" s="123"/>
      <c r="G539" s="124"/>
      <c r="H539" s="133"/>
      <c r="I539" s="133"/>
      <c r="J539" s="133"/>
      <c r="K539" s="133"/>
      <c r="L539" s="133"/>
      <c r="M539" s="137"/>
      <c r="N539" s="138">
        <v>82.0</v>
      </c>
      <c r="O539" s="127"/>
      <c r="P539" s="127"/>
      <c r="Q539" s="135" t="b">
        <v>0</v>
      </c>
      <c r="R539" s="133"/>
      <c r="S539" s="133"/>
      <c r="T539" s="133"/>
      <c r="U539" s="133"/>
      <c r="V539" s="130" t="s">
        <v>531</v>
      </c>
      <c r="W539" s="130" t="s">
        <v>219</v>
      </c>
      <c r="X539" s="130" t="s">
        <v>1293</v>
      </c>
      <c r="Y539" s="130" t="s">
        <v>221</v>
      </c>
      <c r="Z539" s="131" t="b">
        <v>1</v>
      </c>
      <c r="AA539" s="131">
        <v>0.04791666666666667</v>
      </c>
      <c r="AB539" s="130"/>
      <c r="AC539" s="130"/>
      <c r="AD539" s="129" t="s">
        <v>1591</v>
      </c>
      <c r="AE539" s="129"/>
      <c r="AF539" s="132"/>
      <c r="AG539" s="133" t="b">
        <v>0</v>
      </c>
      <c r="AH539" s="133"/>
      <c r="AI539" s="133"/>
      <c r="AJ539" s="133"/>
      <c r="AK539" s="133"/>
      <c r="AL539" s="129"/>
      <c r="AM539" s="129" t="str">
        <f>IFERROR(__xludf.DUMMYFUNCTION("""COMPUTED_VALUE"""),"Beach, Big Waterslides")</f>
        <v>Beach, Big Waterslides</v>
      </c>
      <c r="AN539" s="139"/>
    </row>
    <row r="540">
      <c r="A540" s="118" t="s">
        <v>1592</v>
      </c>
      <c r="B540" s="119">
        <v>83.7</v>
      </c>
      <c r="C540" s="134" t="s">
        <v>75</v>
      </c>
      <c r="D540" s="121"/>
      <c r="E540" s="135"/>
      <c r="F540" s="136"/>
      <c r="G540" s="124">
        <v>10457.0</v>
      </c>
      <c r="H540" s="125">
        <v>6568.0</v>
      </c>
      <c r="I540" s="125">
        <v>2236.0</v>
      </c>
      <c r="J540" s="125">
        <v>930.0</v>
      </c>
      <c r="K540" s="125">
        <v>333.0</v>
      </c>
      <c r="L540" s="125">
        <v>392.0</v>
      </c>
      <c r="M540" s="126">
        <v>87.0</v>
      </c>
      <c r="N540" s="127">
        <v>86.0</v>
      </c>
      <c r="O540" s="146"/>
      <c r="P540" s="127">
        <v>78.0</v>
      </c>
      <c r="Q540" s="135" t="b">
        <v>0</v>
      </c>
      <c r="R540" s="133"/>
      <c r="S540" s="143"/>
      <c r="T540" s="133"/>
      <c r="U540" s="133"/>
      <c r="V540" s="129"/>
      <c r="W540" s="130" t="s">
        <v>84</v>
      </c>
      <c r="X540" s="130" t="s">
        <v>86</v>
      </c>
      <c r="Y540" s="147" t="s">
        <v>86</v>
      </c>
      <c r="Z540" s="131" t="b">
        <v>1</v>
      </c>
      <c r="AA540" s="131"/>
      <c r="AB540" s="129"/>
      <c r="AC540" s="129"/>
      <c r="AD540" s="129"/>
      <c r="AE540" s="129"/>
      <c r="AF540" s="132"/>
      <c r="AG540" s="143" t="b">
        <v>1</v>
      </c>
      <c r="AH540" s="143"/>
      <c r="AI540" s="143"/>
      <c r="AJ540" s="143"/>
      <c r="AK540" s="143"/>
      <c r="AL540" s="129"/>
      <c r="AM540" s="129"/>
      <c r="AN540" s="139"/>
    </row>
    <row r="541">
      <c r="A541" s="118" t="s">
        <v>1593</v>
      </c>
      <c r="B541" s="119">
        <v>83.5</v>
      </c>
      <c r="C541" s="134" t="s">
        <v>75</v>
      </c>
      <c r="D541" s="142"/>
      <c r="E541" s="135"/>
      <c r="F541" s="136"/>
      <c r="G541" s="124">
        <v>10586.0</v>
      </c>
      <c r="H541" s="125">
        <v>6168.0</v>
      </c>
      <c r="I541" s="125">
        <v>2098.0</v>
      </c>
      <c r="J541" s="125">
        <v>1253.0</v>
      </c>
      <c r="K541" s="125">
        <v>546.0</v>
      </c>
      <c r="L541" s="125">
        <v>527.0</v>
      </c>
      <c r="M541" s="126">
        <v>84.0</v>
      </c>
      <c r="N541" s="127">
        <v>88.0</v>
      </c>
      <c r="O541" s="127">
        <v>82.0</v>
      </c>
      <c r="P541" s="127">
        <v>80.0</v>
      </c>
      <c r="Q541" s="135" t="b">
        <v>0</v>
      </c>
      <c r="R541" s="133"/>
      <c r="S541" s="143"/>
      <c r="T541" s="133"/>
      <c r="U541" s="133"/>
      <c r="V541" s="129"/>
      <c r="W541" s="130" t="s">
        <v>270</v>
      </c>
      <c r="X541" s="130" t="s">
        <v>270</v>
      </c>
      <c r="Y541" s="130" t="s">
        <v>272</v>
      </c>
      <c r="Z541" s="131" t="b">
        <v>1</v>
      </c>
      <c r="AA541" s="131"/>
      <c r="AB541" s="129"/>
      <c r="AC541" s="129"/>
      <c r="AD541" s="129"/>
      <c r="AE541" s="129"/>
      <c r="AF541" s="132"/>
      <c r="AG541" s="143" t="b">
        <v>0</v>
      </c>
      <c r="AH541" s="143"/>
      <c r="AI541" s="143"/>
      <c r="AJ541" s="143"/>
      <c r="AK541" s="143"/>
      <c r="AL541" s="129"/>
      <c r="AM541" s="129"/>
      <c r="AN541" s="139"/>
    </row>
    <row r="542">
      <c r="A542" s="118" t="s">
        <v>1594</v>
      </c>
      <c r="B542" s="119">
        <v>83.5</v>
      </c>
      <c r="C542" s="134" t="s">
        <v>75</v>
      </c>
      <c r="D542" s="121"/>
      <c r="E542" s="135"/>
      <c r="F542" s="136"/>
      <c r="G542" s="124">
        <v>29950.0</v>
      </c>
      <c r="H542" s="125">
        <v>15116.0</v>
      </c>
      <c r="I542" s="125">
        <v>6813.0</v>
      </c>
      <c r="J542" s="125">
        <v>3624.0</v>
      </c>
      <c r="K542" s="125">
        <v>2162.0</v>
      </c>
      <c r="L542" s="125">
        <v>2252.0</v>
      </c>
      <c r="M542" s="126">
        <v>80.0</v>
      </c>
      <c r="N542" s="127">
        <v>94.0</v>
      </c>
      <c r="O542" s="127">
        <v>80.0</v>
      </c>
      <c r="P542" s="127">
        <v>80.0</v>
      </c>
      <c r="Q542" s="135" t="b">
        <v>0</v>
      </c>
      <c r="R542" s="133"/>
      <c r="S542" s="143">
        <v>9.0</v>
      </c>
      <c r="T542" s="133"/>
      <c r="U542" s="133"/>
      <c r="V542" s="130"/>
      <c r="W542" s="130" t="s">
        <v>193</v>
      </c>
      <c r="X542" s="130" t="s">
        <v>225</v>
      </c>
      <c r="Y542" s="130" t="s">
        <v>195</v>
      </c>
      <c r="Z542" s="131" t="b">
        <v>1</v>
      </c>
      <c r="AA542" s="131">
        <v>0.013194444444444444</v>
      </c>
      <c r="AB542" s="130"/>
      <c r="AC542" s="130"/>
      <c r="AD542" s="130" t="s">
        <v>1595</v>
      </c>
      <c r="AE542" s="144"/>
      <c r="AF542" s="132"/>
      <c r="AG542" s="143" t="b">
        <v>0</v>
      </c>
      <c r="AH542" s="143">
        <v>1402.0</v>
      </c>
      <c r="AI542" s="143">
        <v>2001.0</v>
      </c>
      <c r="AJ542" s="143">
        <v>2011.0</v>
      </c>
      <c r="AK542" s="143">
        <v>4.0</v>
      </c>
      <c r="AL542" s="129"/>
      <c r="AM542" s="129" t="str">
        <f>IFERROR(__xludf.DUMMYFUNCTION("""COMPUTED_VALUE"""),"Beach, Casino")</f>
        <v>Beach, Casino</v>
      </c>
      <c r="AN542" s="139"/>
    </row>
    <row r="543">
      <c r="A543" s="118" t="s">
        <v>1596</v>
      </c>
      <c r="B543" s="119">
        <v>83.5</v>
      </c>
      <c r="C543" s="134" t="s">
        <v>75</v>
      </c>
      <c r="D543" s="142"/>
      <c r="E543" s="135"/>
      <c r="F543" s="136"/>
      <c r="G543" s="124">
        <v>4518.0</v>
      </c>
      <c r="H543" s="125">
        <v>2728.0</v>
      </c>
      <c r="I543" s="125">
        <v>964.0</v>
      </c>
      <c r="J543" s="125">
        <v>382.0</v>
      </c>
      <c r="K543" s="125">
        <v>190.0</v>
      </c>
      <c r="L543" s="125">
        <v>253.0</v>
      </c>
      <c r="M543" s="126">
        <v>85.0</v>
      </c>
      <c r="N543" s="127">
        <v>82.0</v>
      </c>
      <c r="O543" s="146"/>
      <c r="P543" s="146"/>
      <c r="Q543" s="137" t="b">
        <v>0</v>
      </c>
      <c r="R543" s="128"/>
      <c r="S543" s="128"/>
      <c r="T543" s="128"/>
      <c r="U543" s="128"/>
      <c r="V543" s="129"/>
      <c r="W543" s="130" t="s">
        <v>276</v>
      </c>
      <c r="X543" s="130" t="s">
        <v>421</v>
      </c>
      <c r="Y543" s="130" t="s">
        <v>327</v>
      </c>
      <c r="Z543" s="133" t="b">
        <v>1</v>
      </c>
      <c r="AA543" s="145"/>
      <c r="AB543" s="130" t="s">
        <v>215</v>
      </c>
      <c r="AC543" s="129"/>
      <c r="AD543" s="129"/>
      <c r="AE543" s="129"/>
      <c r="AF543" s="132"/>
      <c r="AG543" s="128" t="b">
        <v>0</v>
      </c>
      <c r="AH543" s="128"/>
      <c r="AI543" s="128"/>
      <c r="AJ543" s="128"/>
      <c r="AK543" s="128"/>
      <c r="AL543" s="129"/>
      <c r="AM543" s="129"/>
      <c r="AN543" s="139"/>
    </row>
    <row r="544">
      <c r="A544" s="118" t="s">
        <v>1597</v>
      </c>
      <c r="B544" s="119">
        <v>83.5</v>
      </c>
      <c r="C544" s="134" t="s">
        <v>75</v>
      </c>
      <c r="D544" s="142"/>
      <c r="E544" s="135"/>
      <c r="F544" s="136"/>
      <c r="G544" s="124">
        <v>22.0</v>
      </c>
      <c r="H544" s="125">
        <v>11.0</v>
      </c>
      <c r="I544" s="125">
        <v>3.0</v>
      </c>
      <c r="J544" s="125">
        <v>5.0</v>
      </c>
      <c r="K544" s="125">
        <v>2.0</v>
      </c>
      <c r="L544" s="125">
        <v>1.0</v>
      </c>
      <c r="M544" s="137">
        <v>79.0</v>
      </c>
      <c r="N544" s="138">
        <v>88.0</v>
      </c>
      <c r="O544" s="127"/>
      <c r="P544" s="138"/>
      <c r="Q544" s="137" t="b">
        <v>0</v>
      </c>
      <c r="R544" s="128"/>
      <c r="S544" s="128"/>
      <c r="T544" s="128"/>
      <c r="U544" s="128"/>
      <c r="V544" s="129"/>
      <c r="W544" s="130" t="s">
        <v>193</v>
      </c>
      <c r="X544" s="130" t="s">
        <v>440</v>
      </c>
      <c r="Y544" s="130" t="s">
        <v>195</v>
      </c>
      <c r="Z544" s="131" t="b">
        <v>0</v>
      </c>
      <c r="AA544" s="131"/>
      <c r="AB544" s="130" t="s">
        <v>451</v>
      </c>
      <c r="AC544" s="129"/>
      <c r="AD544" s="129"/>
      <c r="AE544" s="129"/>
      <c r="AF544" s="132"/>
      <c r="AG544" s="133" t="b">
        <v>0</v>
      </c>
      <c r="AH544" s="133"/>
      <c r="AI544" s="133"/>
      <c r="AJ544" s="133"/>
      <c r="AK544" s="133"/>
      <c r="AL544" s="129"/>
      <c r="AM544" s="129"/>
      <c r="AN544" s="139"/>
    </row>
    <row r="545">
      <c r="A545" s="118" t="s">
        <v>1598</v>
      </c>
      <c r="B545" s="119">
        <v>83.5</v>
      </c>
      <c r="C545" s="120" t="s">
        <v>68</v>
      </c>
      <c r="D545" s="142"/>
      <c r="E545" s="122"/>
      <c r="F545" s="136"/>
      <c r="G545" s="124">
        <v>1399.0</v>
      </c>
      <c r="H545" s="125">
        <v>783.0</v>
      </c>
      <c r="I545" s="125">
        <v>247.0</v>
      </c>
      <c r="J545" s="125">
        <v>170.0</v>
      </c>
      <c r="K545" s="125">
        <v>103.0</v>
      </c>
      <c r="L545" s="125">
        <v>98.0</v>
      </c>
      <c r="M545" s="126">
        <v>82.0</v>
      </c>
      <c r="N545" s="127">
        <v>84.0</v>
      </c>
      <c r="O545" s="138">
        <v>86.0</v>
      </c>
      <c r="P545" s="127">
        <v>82.0</v>
      </c>
      <c r="Q545" s="122" t="b">
        <v>0</v>
      </c>
      <c r="R545" s="133">
        <v>4.0</v>
      </c>
      <c r="S545" s="128"/>
      <c r="T545" s="133" t="s">
        <v>247</v>
      </c>
      <c r="U545" s="128"/>
      <c r="V545" s="129"/>
      <c r="W545" s="130" t="s">
        <v>219</v>
      </c>
      <c r="X545" s="130" t="s">
        <v>713</v>
      </c>
      <c r="Y545" s="144" t="s">
        <v>221</v>
      </c>
      <c r="Z545" s="133" t="b">
        <v>1</v>
      </c>
      <c r="AA545" s="145"/>
      <c r="AB545" s="129"/>
      <c r="AC545" s="130"/>
      <c r="AD545" s="144"/>
      <c r="AE545" s="129"/>
      <c r="AF545" s="132"/>
      <c r="AG545" s="143" t="b">
        <v>0</v>
      </c>
      <c r="AH545" s="143"/>
      <c r="AI545" s="143"/>
      <c r="AJ545" s="143"/>
      <c r="AK545" s="143"/>
      <c r="AL545" s="129"/>
      <c r="AM545" s="129"/>
      <c r="AN545" s="128"/>
    </row>
    <row r="546">
      <c r="A546" s="140" t="s">
        <v>1599</v>
      </c>
      <c r="B546" s="119">
        <v>83.3</v>
      </c>
      <c r="C546" s="141" t="s">
        <v>68</v>
      </c>
      <c r="D546" s="142">
        <v>2889.0</v>
      </c>
      <c r="E546" s="122">
        <f>IFERROR(__xludf.DUMMYFUNCTION("""COMPUTED_VALUE"""),3989.8531610999994)</f>
        <v>3989.853161</v>
      </c>
      <c r="F546" s="136">
        <v>1.14</v>
      </c>
      <c r="G546" s="124">
        <v>712.0</v>
      </c>
      <c r="H546" s="125">
        <v>451.0</v>
      </c>
      <c r="I546" s="125">
        <v>130.0</v>
      </c>
      <c r="J546" s="125">
        <v>54.0</v>
      </c>
      <c r="K546" s="125">
        <v>43.0</v>
      </c>
      <c r="L546" s="125">
        <v>34.0</v>
      </c>
      <c r="M546" s="126">
        <v>86.0</v>
      </c>
      <c r="N546" s="138">
        <v>78.0</v>
      </c>
      <c r="O546" s="127"/>
      <c r="P546" s="127">
        <v>86.0</v>
      </c>
      <c r="Q546" s="122" t="b">
        <v>0</v>
      </c>
      <c r="R546" s="128"/>
      <c r="S546" s="143"/>
      <c r="T546" s="133" t="s">
        <v>955</v>
      </c>
      <c r="U546" s="143">
        <v>4.5</v>
      </c>
      <c r="V546" s="144"/>
      <c r="W546" s="144" t="s">
        <v>84</v>
      </c>
      <c r="X546" s="130" t="s">
        <v>86</v>
      </c>
      <c r="Y546" s="144" t="s">
        <v>86</v>
      </c>
      <c r="Z546" s="145" t="b">
        <v>1</v>
      </c>
      <c r="AA546" s="145">
        <v>0.014583333333333334</v>
      </c>
      <c r="AB546" s="144"/>
      <c r="AC546" s="144"/>
      <c r="AD546" s="130"/>
      <c r="AE546" s="129"/>
      <c r="AF546" s="132"/>
      <c r="AG546" s="133" t="b">
        <v>1</v>
      </c>
      <c r="AH546" s="133">
        <v>400.0</v>
      </c>
      <c r="AI546" s="133">
        <v>2024.0</v>
      </c>
      <c r="AJ546" s="143"/>
      <c r="AK546" s="143"/>
      <c r="AL546" s="129"/>
      <c r="AM546" s="129"/>
      <c r="AN546" s="128"/>
    </row>
    <row r="547">
      <c r="A547" s="118" t="s">
        <v>1600</v>
      </c>
      <c r="B547" s="119">
        <v>83.3</v>
      </c>
      <c r="C547" s="134" t="s">
        <v>75</v>
      </c>
      <c r="D547" s="121">
        <v>4900.0</v>
      </c>
      <c r="E547" s="135">
        <f>IFERROR(__xludf.DUMMYFUNCTION("""COMPUTED_VALUE"""),6767.144509999999)</f>
        <v>6767.14451</v>
      </c>
      <c r="F547" s="136">
        <v>0.67</v>
      </c>
      <c r="G547" s="124">
        <v>7411.0</v>
      </c>
      <c r="H547" s="125">
        <v>3971.0</v>
      </c>
      <c r="I547" s="125">
        <v>2017.0</v>
      </c>
      <c r="J547" s="125">
        <v>769.0</v>
      </c>
      <c r="K547" s="125">
        <v>330.0</v>
      </c>
      <c r="L547" s="125">
        <v>328.0</v>
      </c>
      <c r="M547" s="126">
        <v>84.0</v>
      </c>
      <c r="N547" s="127">
        <v>86.0</v>
      </c>
      <c r="O547" s="146"/>
      <c r="P547" s="138">
        <v>80.0</v>
      </c>
      <c r="Q547" s="126" t="b">
        <v>0</v>
      </c>
      <c r="R547" s="128"/>
      <c r="S547" s="133">
        <v>7.0</v>
      </c>
      <c r="T547" s="133"/>
      <c r="U547" s="133"/>
      <c r="V547" s="129"/>
      <c r="W547" s="129" t="s">
        <v>171</v>
      </c>
      <c r="X547" s="129" t="s">
        <v>1601</v>
      </c>
      <c r="Y547" s="129" t="s">
        <v>736</v>
      </c>
      <c r="Z547" s="131" t="b">
        <v>1</v>
      </c>
      <c r="AA547" s="131">
        <v>0.03333333333333333</v>
      </c>
      <c r="AB547" s="130" t="s">
        <v>655</v>
      </c>
      <c r="AC547" s="130" t="s">
        <v>573</v>
      </c>
      <c r="AD547" s="130" t="s">
        <v>1602</v>
      </c>
      <c r="AE547" s="130"/>
      <c r="AF547" s="132" t="s">
        <v>784</v>
      </c>
      <c r="AG547" s="133" t="b">
        <v>0</v>
      </c>
      <c r="AH547" s="133">
        <v>538.0</v>
      </c>
      <c r="AI547" s="143"/>
      <c r="AJ547" s="143"/>
      <c r="AK547" s="143"/>
      <c r="AL547" s="129" t="str">
        <f>IFERROR(__xludf.DUMMYFUNCTION("""COMPUTED_VALUE"""),"Family, Modern")</f>
        <v>Family, Modern</v>
      </c>
      <c r="AM547" s="129" t="str">
        <f>IFERROR(__xludf.DUMMYFUNCTION("""COMPUTED_VALUE"""),"Beach, Big Waterslides, Kids Club, Kids Waterpark, Pool Slide, Water Feature")</f>
        <v>Beach, Big Waterslides, Kids Club, Kids Waterpark, Pool Slide, Water Feature</v>
      </c>
      <c r="AN547" s="139"/>
    </row>
    <row r="548">
      <c r="A548" s="118" t="s">
        <v>1603</v>
      </c>
      <c r="B548" s="119">
        <v>83.3</v>
      </c>
      <c r="C548" s="134" t="s">
        <v>75</v>
      </c>
      <c r="D548" s="121">
        <v>9736.65</v>
      </c>
      <c r="E548" s="135">
        <f>IFERROR(__xludf.DUMMYFUNCTION("""COMPUTED_VALUE"""),13446.799508834998)</f>
        <v>13446.79951</v>
      </c>
      <c r="F548" s="136">
        <v>0.34</v>
      </c>
      <c r="G548" s="124">
        <v>883.0</v>
      </c>
      <c r="H548" s="125">
        <v>649.0</v>
      </c>
      <c r="I548" s="125">
        <v>95.0</v>
      </c>
      <c r="J548" s="125">
        <v>55.0</v>
      </c>
      <c r="K548" s="125">
        <v>32.0</v>
      </c>
      <c r="L548" s="125">
        <v>53.0</v>
      </c>
      <c r="M548" s="126">
        <v>88.0</v>
      </c>
      <c r="N548" s="138">
        <v>80.0</v>
      </c>
      <c r="O548" s="146"/>
      <c r="P548" s="138">
        <v>82.0</v>
      </c>
      <c r="Q548" s="135" t="b">
        <v>0</v>
      </c>
      <c r="R548" s="133"/>
      <c r="S548" s="143"/>
      <c r="T548" s="133"/>
      <c r="U548" s="133">
        <v>5.0</v>
      </c>
      <c r="V548" s="130"/>
      <c r="W548" s="130" t="s">
        <v>193</v>
      </c>
      <c r="X548" s="130" t="s">
        <v>195</v>
      </c>
      <c r="Y548" s="130" t="s">
        <v>195</v>
      </c>
      <c r="Z548" s="131" t="b">
        <v>1</v>
      </c>
      <c r="AA548" s="131">
        <v>0.008333333333333333</v>
      </c>
      <c r="AB548" s="130"/>
      <c r="AC548" s="130" t="s">
        <v>320</v>
      </c>
      <c r="AD548" s="147" t="s">
        <v>1604</v>
      </c>
      <c r="AE548" s="129"/>
      <c r="AF548" s="148" t="s">
        <v>367</v>
      </c>
      <c r="AG548" s="143" t="b">
        <v>0</v>
      </c>
      <c r="AH548" s="143"/>
      <c r="AI548" s="143"/>
      <c r="AJ548" s="143"/>
      <c r="AK548" s="143"/>
      <c r="AL548" s="129" t="str">
        <f>IFERROR(__xludf.DUMMYFUNCTION("""COMPUTED_VALUE"""),"Family, Lagoon View")</f>
        <v>Family, Lagoon View</v>
      </c>
      <c r="AM548" s="129" t="str">
        <f>IFERROR(__xludf.DUMMYFUNCTION("""COMPUTED_VALUE"""),"2 Bedroom Suites, Babysitting, Buffet, Evening Entertainment, Fishing, Gym, Horseback Riding, Kids Club, Pets Allowed, Spa, Watersports Equipment Rentals")</f>
        <v>2 Bedroom Suites, Babysitting, Buffet, Evening Entertainment, Fishing, Gym, Horseback Riding, Kids Club, Pets Allowed, Spa, Watersports Equipment Rentals</v>
      </c>
      <c r="AN548" s="139"/>
    </row>
    <row r="549">
      <c r="A549" s="118" t="s">
        <v>1605</v>
      </c>
      <c r="B549" s="119">
        <v>83.3</v>
      </c>
      <c r="C549" s="134" t="s">
        <v>75</v>
      </c>
      <c r="D549" s="142"/>
      <c r="E549" s="135"/>
      <c r="F549" s="136"/>
      <c r="G549" s="124">
        <v>5033.0</v>
      </c>
      <c r="H549" s="125">
        <v>3538.0</v>
      </c>
      <c r="I549" s="125">
        <v>824.0</v>
      </c>
      <c r="J549" s="125">
        <v>349.0</v>
      </c>
      <c r="K549" s="125">
        <v>178.0</v>
      </c>
      <c r="L549" s="125">
        <v>144.0</v>
      </c>
      <c r="M549" s="126">
        <v>90.0</v>
      </c>
      <c r="N549" s="127">
        <v>84.0</v>
      </c>
      <c r="O549" s="146"/>
      <c r="P549" s="127">
        <v>76.0</v>
      </c>
      <c r="Q549" s="135" t="b">
        <v>0</v>
      </c>
      <c r="R549" s="133"/>
      <c r="S549" s="143"/>
      <c r="T549" s="133"/>
      <c r="U549" s="133"/>
      <c r="V549" s="129"/>
      <c r="W549" s="130" t="s">
        <v>193</v>
      </c>
      <c r="X549" s="130" t="s">
        <v>415</v>
      </c>
      <c r="Y549" s="130" t="s">
        <v>195</v>
      </c>
      <c r="Z549" s="131" t="b">
        <v>1</v>
      </c>
      <c r="AA549" s="131">
        <v>0.0625</v>
      </c>
      <c r="AB549" s="129"/>
      <c r="AC549" s="129"/>
      <c r="AD549" s="129"/>
      <c r="AE549" s="129"/>
      <c r="AF549" s="132"/>
      <c r="AG549" s="143" t="b">
        <v>0</v>
      </c>
      <c r="AH549" s="143"/>
      <c r="AI549" s="143"/>
      <c r="AJ549" s="143"/>
      <c r="AK549" s="143"/>
      <c r="AL549" s="129"/>
      <c r="AM549" s="129"/>
      <c r="AN549" s="139"/>
    </row>
    <row r="550">
      <c r="A550" s="118" t="s">
        <v>1606</v>
      </c>
      <c r="B550" s="119">
        <v>83.3</v>
      </c>
      <c r="C550" s="134" t="s">
        <v>75</v>
      </c>
      <c r="D550" s="121"/>
      <c r="E550" s="135"/>
      <c r="F550" s="136"/>
      <c r="G550" s="124">
        <v>16657.0</v>
      </c>
      <c r="H550" s="125">
        <v>9786.0</v>
      </c>
      <c r="I550" s="125">
        <v>3111.0</v>
      </c>
      <c r="J550" s="125">
        <v>1691.0</v>
      </c>
      <c r="K550" s="125">
        <v>1066.0</v>
      </c>
      <c r="L550" s="125">
        <v>1005.0</v>
      </c>
      <c r="M550" s="126">
        <v>84.0</v>
      </c>
      <c r="N550" s="127">
        <v>92.0</v>
      </c>
      <c r="O550" s="146"/>
      <c r="P550" s="127">
        <v>74.0</v>
      </c>
      <c r="Q550" s="135" t="b">
        <v>0</v>
      </c>
      <c r="R550" s="133"/>
      <c r="S550" s="143"/>
      <c r="T550" s="133"/>
      <c r="U550" s="133"/>
      <c r="V550" s="130"/>
      <c r="W550" s="130" t="s">
        <v>193</v>
      </c>
      <c r="X550" s="130" t="s">
        <v>225</v>
      </c>
      <c r="Y550" s="130" t="s">
        <v>195</v>
      </c>
      <c r="Z550" s="131" t="b">
        <v>1</v>
      </c>
      <c r="AA550" s="131">
        <v>0.018055555555555554</v>
      </c>
      <c r="AB550" s="130" t="s">
        <v>412</v>
      </c>
      <c r="AC550" s="130"/>
      <c r="AD550" s="130" t="s">
        <v>1518</v>
      </c>
      <c r="AE550" s="144"/>
      <c r="AF550" s="132"/>
      <c r="AG550" s="143" t="b">
        <v>0</v>
      </c>
      <c r="AH550" s="143"/>
      <c r="AI550" s="143"/>
      <c r="AJ550" s="143"/>
      <c r="AK550" s="143"/>
      <c r="AL550" s="129"/>
      <c r="AM550" s="129" t="str">
        <f>IFERROR(__xludf.DUMMYFUNCTION("""COMPUTED_VALUE"""),"Beach, Kids Club for Under 4")</f>
        <v>Beach, Kids Club for Under 4</v>
      </c>
      <c r="AN550" s="139"/>
    </row>
    <row r="551">
      <c r="A551" s="118" t="s">
        <v>1607</v>
      </c>
      <c r="B551" s="119">
        <v>83.3</v>
      </c>
      <c r="C551" s="134" t="s">
        <v>75</v>
      </c>
      <c r="D551" s="142"/>
      <c r="E551" s="135"/>
      <c r="F551" s="136"/>
      <c r="G551" s="124">
        <v>2110.0</v>
      </c>
      <c r="H551" s="125">
        <v>820.0</v>
      </c>
      <c r="I551" s="125">
        <v>768.0</v>
      </c>
      <c r="J551" s="125">
        <v>294.0</v>
      </c>
      <c r="K551" s="125">
        <v>118.0</v>
      </c>
      <c r="L551" s="125">
        <v>112.0</v>
      </c>
      <c r="M551" s="126">
        <v>80.0</v>
      </c>
      <c r="N551" s="138">
        <v>84.0</v>
      </c>
      <c r="O551" s="146"/>
      <c r="P551" s="138">
        <v>86.0</v>
      </c>
      <c r="Q551" s="126" t="b">
        <v>0</v>
      </c>
      <c r="R551" s="128"/>
      <c r="S551" s="128"/>
      <c r="T551" s="128"/>
      <c r="U551" s="128"/>
      <c r="V551" s="129"/>
      <c r="W551" s="130" t="s">
        <v>113</v>
      </c>
      <c r="X551" s="130" t="s">
        <v>281</v>
      </c>
      <c r="Y551" s="130" t="s">
        <v>114</v>
      </c>
      <c r="Z551" s="133" t="b">
        <v>1</v>
      </c>
      <c r="AA551" s="145"/>
      <c r="AB551" s="129"/>
      <c r="AC551" s="129"/>
      <c r="AD551" s="129"/>
      <c r="AE551" s="129"/>
      <c r="AF551" s="132"/>
      <c r="AG551" s="128" t="b">
        <v>0</v>
      </c>
      <c r="AH551" s="128"/>
      <c r="AI551" s="128"/>
      <c r="AJ551" s="128"/>
      <c r="AK551" s="128"/>
      <c r="AL551" s="129"/>
      <c r="AM551" s="129"/>
      <c r="AN551" s="139"/>
    </row>
    <row r="552">
      <c r="A552" s="118" t="s">
        <v>1608</v>
      </c>
      <c r="B552" s="119">
        <v>83.3</v>
      </c>
      <c r="C552" s="134" t="s">
        <v>75</v>
      </c>
      <c r="D552" s="142"/>
      <c r="E552" s="135"/>
      <c r="F552" s="136"/>
      <c r="G552" s="124">
        <v>4864.0</v>
      </c>
      <c r="H552" s="125">
        <v>2125.0</v>
      </c>
      <c r="I552" s="125">
        <v>1687.0</v>
      </c>
      <c r="J552" s="125">
        <v>584.0</v>
      </c>
      <c r="K552" s="125">
        <v>242.0</v>
      </c>
      <c r="L552" s="125">
        <v>227.0</v>
      </c>
      <c r="M552" s="126">
        <v>82.0</v>
      </c>
      <c r="N552" s="127">
        <v>88.0</v>
      </c>
      <c r="O552" s="146"/>
      <c r="P552" s="127">
        <v>80.0</v>
      </c>
      <c r="Q552" s="135" t="b">
        <v>0</v>
      </c>
      <c r="R552" s="133"/>
      <c r="S552" s="143"/>
      <c r="T552" s="133"/>
      <c r="U552" s="133"/>
      <c r="V552" s="130"/>
      <c r="W552" s="130" t="s">
        <v>84</v>
      </c>
      <c r="X552" s="130" t="s">
        <v>85</v>
      </c>
      <c r="Y552" s="130" t="s">
        <v>86</v>
      </c>
      <c r="Z552" s="131" t="b">
        <v>1</v>
      </c>
      <c r="AA552" s="131">
        <v>0.043055555555555555</v>
      </c>
      <c r="AB552" s="130" t="s">
        <v>655</v>
      </c>
      <c r="AC552" s="130"/>
      <c r="AD552" s="129" t="s">
        <v>241</v>
      </c>
      <c r="AE552" s="129"/>
      <c r="AF552" s="132"/>
      <c r="AG552" s="143" t="b">
        <v>0</v>
      </c>
      <c r="AH552" s="143"/>
      <c r="AI552" s="143"/>
      <c r="AJ552" s="143"/>
      <c r="AK552" s="143"/>
      <c r="AL552" s="129"/>
      <c r="AM552" s="129" t="str">
        <f>IFERROR(__xludf.DUMMYFUNCTION("""COMPUTED_VALUE"""),"Beach")</f>
        <v>Beach</v>
      </c>
      <c r="AN552" s="139"/>
    </row>
    <row r="553">
      <c r="A553" s="118" t="s">
        <v>1609</v>
      </c>
      <c r="B553" s="119">
        <v>83.3</v>
      </c>
      <c r="C553" s="134" t="s">
        <v>75</v>
      </c>
      <c r="D553" s="142"/>
      <c r="E553" s="135"/>
      <c r="F553" s="136"/>
      <c r="G553" s="124">
        <v>9131.0</v>
      </c>
      <c r="H553" s="125">
        <v>4330.0</v>
      </c>
      <c r="I553" s="125">
        <v>2498.0</v>
      </c>
      <c r="J553" s="125">
        <v>1099.0</v>
      </c>
      <c r="K553" s="125">
        <v>557.0</v>
      </c>
      <c r="L553" s="125">
        <v>648.0</v>
      </c>
      <c r="M553" s="126">
        <v>80.0</v>
      </c>
      <c r="N553" s="138">
        <v>86.0</v>
      </c>
      <c r="O553" s="146"/>
      <c r="P553" s="127">
        <v>84.0</v>
      </c>
      <c r="Q553" s="135" t="b">
        <v>0</v>
      </c>
      <c r="R553" s="133"/>
      <c r="S553" s="143"/>
      <c r="T553" s="133"/>
      <c r="U553" s="133"/>
      <c r="V553" s="129"/>
      <c r="W553" s="130" t="s">
        <v>270</v>
      </c>
      <c r="X553" s="130" t="s">
        <v>270</v>
      </c>
      <c r="Y553" s="130" t="s">
        <v>272</v>
      </c>
      <c r="Z553" s="131" t="b">
        <v>1</v>
      </c>
      <c r="AA553" s="131"/>
      <c r="AB553" s="130" t="s">
        <v>655</v>
      </c>
      <c r="AC553" s="129"/>
      <c r="AD553" s="129"/>
      <c r="AE553" s="129"/>
      <c r="AF553" s="132"/>
      <c r="AG553" s="143" t="b">
        <v>0</v>
      </c>
      <c r="AH553" s="143"/>
      <c r="AI553" s="143"/>
      <c r="AJ553" s="143"/>
      <c r="AK553" s="143"/>
      <c r="AL553" s="129"/>
      <c r="AM553" s="129"/>
      <c r="AN553" s="139"/>
    </row>
    <row r="554">
      <c r="A554" s="140" t="s">
        <v>1610</v>
      </c>
      <c r="B554" s="119">
        <v>83.3</v>
      </c>
      <c r="C554" s="141" t="s">
        <v>68</v>
      </c>
      <c r="D554" s="142"/>
      <c r="E554" s="122"/>
      <c r="F554" s="136"/>
      <c r="G554" s="124">
        <v>2399.0</v>
      </c>
      <c r="H554" s="125">
        <v>1306.0</v>
      </c>
      <c r="I554" s="125">
        <v>519.0</v>
      </c>
      <c r="J554" s="125">
        <v>243.0</v>
      </c>
      <c r="K554" s="125">
        <v>155.0</v>
      </c>
      <c r="L554" s="125">
        <v>179.0</v>
      </c>
      <c r="M554" s="126">
        <v>82.0</v>
      </c>
      <c r="N554" s="127">
        <v>82.0</v>
      </c>
      <c r="O554" s="127"/>
      <c r="P554" s="127">
        <v>86.0</v>
      </c>
      <c r="Q554" s="122" t="b">
        <v>0</v>
      </c>
      <c r="R554" s="143"/>
      <c r="S554" s="143"/>
      <c r="T554" s="143"/>
      <c r="U554" s="143"/>
      <c r="V554" s="129"/>
      <c r="W554" s="144" t="s">
        <v>84</v>
      </c>
      <c r="X554" s="144"/>
      <c r="Y554" s="144"/>
      <c r="Z554" s="145" t="b">
        <v>0</v>
      </c>
      <c r="AA554" s="145"/>
      <c r="AB554" s="129" t="s">
        <v>655</v>
      </c>
      <c r="AC554" s="144"/>
      <c r="AD554" s="130" t="s">
        <v>1524</v>
      </c>
      <c r="AE554" s="129"/>
      <c r="AF554" s="132"/>
      <c r="AG554" s="143" t="b">
        <v>0</v>
      </c>
      <c r="AH554" s="143"/>
      <c r="AI554" s="143"/>
      <c r="AJ554" s="143"/>
      <c r="AK554" s="143"/>
      <c r="AL554" s="129"/>
      <c r="AM554" s="129" t="str">
        <f>IFERROR(__xludf.DUMMYFUNCTION("""COMPUTED_VALUE"""),"Great for Parties")</f>
        <v>Great for Parties</v>
      </c>
      <c r="AN554" s="128"/>
    </row>
    <row r="555">
      <c r="A555" s="118" t="s">
        <v>1611</v>
      </c>
      <c r="B555" s="119">
        <v>83.3</v>
      </c>
      <c r="C555" s="120" t="s">
        <v>68</v>
      </c>
      <c r="D555" s="142"/>
      <c r="E555" s="122"/>
      <c r="F555" s="136"/>
      <c r="G555" s="124">
        <v>8029.0</v>
      </c>
      <c r="H555" s="125">
        <v>4165.0</v>
      </c>
      <c r="I555" s="125">
        <v>2250.0</v>
      </c>
      <c r="J555" s="125">
        <v>869.0</v>
      </c>
      <c r="K555" s="125">
        <v>391.0</v>
      </c>
      <c r="L555" s="125">
        <v>356.0</v>
      </c>
      <c r="M555" s="126">
        <v>84.0</v>
      </c>
      <c r="N555" s="127">
        <v>84.0</v>
      </c>
      <c r="O555" s="127"/>
      <c r="P555" s="127">
        <v>82.0</v>
      </c>
      <c r="Q555" s="122" t="b">
        <v>0</v>
      </c>
      <c r="R555" s="128"/>
      <c r="S555" s="128"/>
      <c r="T555" s="128"/>
      <c r="U555" s="128"/>
      <c r="V555" s="129"/>
      <c r="W555" s="130" t="s">
        <v>84</v>
      </c>
      <c r="X555" s="130" t="s">
        <v>85</v>
      </c>
      <c r="Y555" s="130" t="s">
        <v>86</v>
      </c>
      <c r="Z555" s="133" t="b">
        <v>1</v>
      </c>
      <c r="AA555" s="145"/>
      <c r="AB555" s="129"/>
      <c r="AC555" s="130"/>
      <c r="AD555" s="144"/>
      <c r="AE555" s="129"/>
      <c r="AF555" s="132"/>
      <c r="AG555" s="143" t="b">
        <v>0</v>
      </c>
      <c r="AH555" s="143"/>
      <c r="AI555" s="143"/>
      <c r="AJ555" s="143"/>
      <c r="AK555" s="143"/>
      <c r="AL555" s="129"/>
      <c r="AM555" s="129"/>
      <c r="AN555" s="128"/>
    </row>
    <row r="556">
      <c r="A556" s="118" t="s">
        <v>1612</v>
      </c>
      <c r="B556" s="119">
        <v>83.3</v>
      </c>
      <c r="C556" s="134" t="s">
        <v>75</v>
      </c>
      <c r="D556" s="142"/>
      <c r="E556" s="135"/>
      <c r="F556" s="136"/>
      <c r="G556" s="124">
        <v>6529.0</v>
      </c>
      <c r="H556" s="125">
        <v>4247.0</v>
      </c>
      <c r="I556" s="125">
        <v>1277.0</v>
      </c>
      <c r="J556" s="125">
        <v>562.0</v>
      </c>
      <c r="K556" s="125">
        <v>238.0</v>
      </c>
      <c r="L556" s="125">
        <v>208.0</v>
      </c>
      <c r="M556" s="126">
        <v>88.0</v>
      </c>
      <c r="N556" s="127">
        <v>84.0</v>
      </c>
      <c r="O556" s="146"/>
      <c r="P556" s="127">
        <v>78.0</v>
      </c>
      <c r="Q556" s="135" t="b">
        <v>0</v>
      </c>
      <c r="R556" s="133"/>
      <c r="S556" s="143"/>
      <c r="T556" s="133" t="s">
        <v>1613</v>
      </c>
      <c r="U556" s="133"/>
      <c r="V556" s="129"/>
      <c r="W556" s="130" t="s">
        <v>84</v>
      </c>
      <c r="X556" s="130" t="s">
        <v>665</v>
      </c>
      <c r="Y556" s="130" t="s">
        <v>1092</v>
      </c>
      <c r="Z556" s="131" t="b">
        <v>1</v>
      </c>
      <c r="AA556" s="131">
        <v>0.015277777777777777</v>
      </c>
      <c r="AB556" s="129"/>
      <c r="AC556" s="129"/>
      <c r="AD556" s="130" t="s">
        <v>241</v>
      </c>
      <c r="AE556" s="129"/>
      <c r="AF556" s="132"/>
      <c r="AG556" s="143" t="b">
        <v>1</v>
      </c>
      <c r="AH556" s="143"/>
      <c r="AI556" s="143"/>
      <c r="AJ556" s="143"/>
      <c r="AK556" s="143"/>
      <c r="AL556" s="129"/>
      <c r="AM556" s="129" t="str">
        <f>IFERROR(__xludf.DUMMYFUNCTION("""COMPUTED_VALUE"""),"Beach")</f>
        <v>Beach</v>
      </c>
      <c r="AN556" s="139"/>
    </row>
    <row r="557">
      <c r="A557" s="118" t="s">
        <v>1614</v>
      </c>
      <c r="B557" s="149">
        <v>83.0</v>
      </c>
      <c r="C557" s="120" t="s">
        <v>68</v>
      </c>
      <c r="D557" s="121">
        <v>8926.2</v>
      </c>
      <c r="E557" s="122">
        <f>IFERROR(__xludf.DUMMYFUNCTION("""COMPUTED_VALUE"""),12327.52761738)</f>
        <v>12327.52762</v>
      </c>
      <c r="F557" s="136">
        <v>0.34</v>
      </c>
      <c r="G557" s="124">
        <v>464.0</v>
      </c>
      <c r="H557" s="125">
        <v>291.0</v>
      </c>
      <c r="I557" s="125">
        <v>59.0</v>
      </c>
      <c r="J557" s="125">
        <v>41.0</v>
      </c>
      <c r="K557" s="125">
        <v>27.0</v>
      </c>
      <c r="L557" s="125">
        <v>47.0</v>
      </c>
      <c r="M557" s="126">
        <v>82.0</v>
      </c>
      <c r="N557" s="127">
        <v>84.0</v>
      </c>
      <c r="O557" s="127"/>
      <c r="P557" s="127"/>
      <c r="Q557" s="122" t="b">
        <v>0</v>
      </c>
      <c r="R557" s="128"/>
      <c r="S557" s="133">
        <v>7.0</v>
      </c>
      <c r="T557" s="128"/>
      <c r="U557" s="133">
        <v>4.0</v>
      </c>
      <c r="V557" s="130"/>
      <c r="W557" s="130" t="s">
        <v>348</v>
      </c>
      <c r="X557" s="130" t="s">
        <v>1615</v>
      </c>
      <c r="Y557" s="130" t="s">
        <v>1616</v>
      </c>
      <c r="Z557" s="131" t="b">
        <v>1</v>
      </c>
      <c r="AA557" s="131">
        <v>0.04375</v>
      </c>
      <c r="AB557" s="130"/>
      <c r="AC557" s="130" t="s">
        <v>1617</v>
      </c>
      <c r="AD557" s="130" t="s">
        <v>241</v>
      </c>
      <c r="AE557" s="129"/>
      <c r="AF557" s="132"/>
      <c r="AG557" s="133" t="b">
        <v>0</v>
      </c>
      <c r="AH557" s="133">
        <v>130.0</v>
      </c>
      <c r="AI557" s="133">
        <v>2018.0</v>
      </c>
      <c r="AJ557" s="133"/>
      <c r="AK557" s="133">
        <v>1.0</v>
      </c>
      <c r="AL557" s="129" t="str">
        <f>IFERROR(__xludf.DUMMYFUNCTION("""COMPUTED_VALUE"""),"Charming, Luxury")</f>
        <v>Charming, Luxury</v>
      </c>
      <c r="AM557" s="129" t="str">
        <f>IFERROR(__xludf.DUMMYFUNCTION("""COMPUTED_VALUE"""),"Beach")</f>
        <v>Beach</v>
      </c>
      <c r="AN557" s="128"/>
    </row>
    <row r="558">
      <c r="A558" s="118" t="s">
        <v>1618</v>
      </c>
      <c r="B558" s="119">
        <v>83.0</v>
      </c>
      <c r="C558" s="134" t="s">
        <v>75</v>
      </c>
      <c r="D558" s="121"/>
      <c r="E558" s="135"/>
      <c r="F558" s="136"/>
      <c r="G558" s="124">
        <v>3834.0</v>
      </c>
      <c r="H558" s="125">
        <v>2593.0</v>
      </c>
      <c r="I558" s="125">
        <v>747.0</v>
      </c>
      <c r="J558" s="125">
        <v>278.0</v>
      </c>
      <c r="K558" s="125">
        <v>104.0</v>
      </c>
      <c r="L558" s="125">
        <v>113.0</v>
      </c>
      <c r="M558" s="126">
        <v>89.0</v>
      </c>
      <c r="N558" s="127">
        <v>84.0</v>
      </c>
      <c r="O558" s="146"/>
      <c r="P558" s="138">
        <v>76.0</v>
      </c>
      <c r="Q558" s="135" t="b">
        <v>0</v>
      </c>
      <c r="R558" s="133"/>
      <c r="S558" s="143"/>
      <c r="T558" s="133"/>
      <c r="U558" s="133"/>
      <c r="V558" s="129"/>
      <c r="W558" s="130" t="s">
        <v>84</v>
      </c>
      <c r="X558" s="130" t="s">
        <v>86</v>
      </c>
      <c r="Y558" s="130" t="s">
        <v>86</v>
      </c>
      <c r="Z558" s="131" t="b">
        <v>1</v>
      </c>
      <c r="AA558" s="131">
        <v>0.017361111111111112</v>
      </c>
      <c r="AB558" s="129"/>
      <c r="AC558" s="129"/>
      <c r="AD558" s="129" t="s">
        <v>241</v>
      </c>
      <c r="AE558" s="129"/>
      <c r="AF558" s="132"/>
      <c r="AG558" s="143" t="b">
        <v>0</v>
      </c>
      <c r="AH558" s="143"/>
      <c r="AI558" s="143"/>
      <c r="AJ558" s="143"/>
      <c r="AK558" s="143"/>
      <c r="AL558" s="129"/>
      <c r="AM558" s="129" t="str">
        <f>IFERROR(__xludf.DUMMYFUNCTION("""COMPUTED_VALUE"""),"Beach")</f>
        <v>Beach</v>
      </c>
      <c r="AN558" s="139"/>
    </row>
    <row r="559">
      <c r="A559" s="118" t="s">
        <v>1619</v>
      </c>
      <c r="B559" s="119">
        <v>83.0</v>
      </c>
      <c r="C559" s="134" t="s">
        <v>75</v>
      </c>
      <c r="D559" s="142"/>
      <c r="E559" s="135"/>
      <c r="F559" s="136"/>
      <c r="G559" s="124">
        <v>2967.0</v>
      </c>
      <c r="H559" s="125">
        <v>1276.0</v>
      </c>
      <c r="I559" s="125">
        <v>1016.0</v>
      </c>
      <c r="J559" s="125">
        <v>397.0</v>
      </c>
      <c r="K559" s="125">
        <v>154.0</v>
      </c>
      <c r="L559" s="125">
        <v>126.0</v>
      </c>
      <c r="M559" s="126">
        <v>81.0</v>
      </c>
      <c r="N559" s="127">
        <v>94.0</v>
      </c>
      <c r="O559" s="146"/>
      <c r="P559" s="138">
        <v>74.0</v>
      </c>
      <c r="Q559" s="135" t="b">
        <v>0</v>
      </c>
      <c r="R559" s="133"/>
      <c r="S559" s="143"/>
      <c r="T559" s="133"/>
      <c r="U559" s="133"/>
      <c r="V559" s="129"/>
      <c r="W559" s="130" t="s">
        <v>84</v>
      </c>
      <c r="X559" s="130" t="s">
        <v>528</v>
      </c>
      <c r="Y559" s="130" t="s">
        <v>86</v>
      </c>
      <c r="Z559" s="131" t="b">
        <v>1</v>
      </c>
      <c r="AA559" s="131">
        <v>0.044444444444444446</v>
      </c>
      <c r="AB559" s="129"/>
      <c r="AC559" s="129"/>
      <c r="AD559" s="129" t="s">
        <v>241</v>
      </c>
      <c r="AE559" s="129"/>
      <c r="AF559" s="132"/>
      <c r="AG559" s="143" t="b">
        <v>0</v>
      </c>
      <c r="AH559" s="143"/>
      <c r="AI559" s="143"/>
      <c r="AJ559" s="143"/>
      <c r="AK559" s="143"/>
      <c r="AL559" s="129"/>
      <c r="AM559" s="129" t="str">
        <f>IFERROR(__xludf.DUMMYFUNCTION("""COMPUTED_VALUE"""),"Beach")</f>
        <v>Beach</v>
      </c>
      <c r="AN559" s="139"/>
    </row>
    <row r="560">
      <c r="A560" s="140" t="s">
        <v>1620</v>
      </c>
      <c r="B560" s="119">
        <v>83.0</v>
      </c>
      <c r="C560" s="133" t="s">
        <v>75</v>
      </c>
      <c r="D560" s="142"/>
      <c r="E560" s="122"/>
      <c r="F560" s="136"/>
      <c r="G560" s="124">
        <v>724.0</v>
      </c>
      <c r="H560" s="125">
        <v>313.0</v>
      </c>
      <c r="I560" s="125">
        <v>226.0</v>
      </c>
      <c r="J560" s="125">
        <v>89.0</v>
      </c>
      <c r="K560" s="125">
        <v>47.0</v>
      </c>
      <c r="L560" s="125">
        <v>50.0</v>
      </c>
      <c r="M560" s="126">
        <v>79.0</v>
      </c>
      <c r="N560" s="127">
        <v>90.0</v>
      </c>
      <c r="O560" s="146"/>
      <c r="P560" s="127">
        <v>80.0</v>
      </c>
      <c r="Q560" s="122" t="b">
        <v>0</v>
      </c>
      <c r="R560" s="143"/>
      <c r="S560" s="143"/>
      <c r="T560" s="143"/>
      <c r="U560" s="143"/>
      <c r="V560" s="129"/>
      <c r="W560" s="130" t="s">
        <v>1119</v>
      </c>
      <c r="X560" s="130" t="s">
        <v>1621</v>
      </c>
      <c r="Y560" s="130" t="s">
        <v>1622</v>
      </c>
      <c r="Z560" s="145" t="b">
        <v>0</v>
      </c>
      <c r="AA560" s="145"/>
      <c r="AB560" s="129"/>
      <c r="AC560" s="129"/>
      <c r="AD560" s="144"/>
      <c r="AE560" s="144"/>
      <c r="AF560" s="132"/>
      <c r="AG560" s="143" t="b">
        <v>0</v>
      </c>
      <c r="AH560" s="143"/>
      <c r="AI560" s="143"/>
      <c r="AJ560" s="143"/>
      <c r="AK560" s="143"/>
      <c r="AL560" s="129"/>
      <c r="AM560" s="129"/>
      <c r="AN560" s="139"/>
    </row>
    <row r="561">
      <c r="A561" s="118" t="s">
        <v>1623</v>
      </c>
      <c r="B561" s="119">
        <v>83.0</v>
      </c>
      <c r="C561" s="134" t="s">
        <v>75</v>
      </c>
      <c r="D561" s="121"/>
      <c r="E561" s="135"/>
      <c r="F561" s="136"/>
      <c r="G561" s="124">
        <v>5534.0</v>
      </c>
      <c r="H561" s="125">
        <v>3064.0</v>
      </c>
      <c r="I561" s="125">
        <v>1507.0</v>
      </c>
      <c r="J561" s="125">
        <v>573.0</v>
      </c>
      <c r="K561" s="125">
        <v>215.0</v>
      </c>
      <c r="L561" s="125">
        <v>181.0</v>
      </c>
      <c r="M561" s="126">
        <v>85.0</v>
      </c>
      <c r="N561" s="127">
        <v>86.0</v>
      </c>
      <c r="O561" s="146"/>
      <c r="P561" s="127">
        <v>78.0</v>
      </c>
      <c r="Q561" s="135" t="b">
        <v>0</v>
      </c>
      <c r="R561" s="133"/>
      <c r="S561" s="143"/>
      <c r="T561" s="133"/>
      <c r="U561" s="133"/>
      <c r="V561" s="129"/>
      <c r="W561" s="130" t="s">
        <v>84</v>
      </c>
      <c r="X561" s="130" t="s">
        <v>119</v>
      </c>
      <c r="Y561" s="130" t="s">
        <v>120</v>
      </c>
      <c r="Z561" s="131" t="b">
        <v>1</v>
      </c>
      <c r="AA561" s="131">
        <v>0.007638888888888889</v>
      </c>
      <c r="AB561" s="129"/>
      <c r="AC561" s="129"/>
      <c r="AD561" s="129" t="s">
        <v>241</v>
      </c>
      <c r="AE561" s="129"/>
      <c r="AF561" s="132"/>
      <c r="AG561" s="143" t="b">
        <v>0</v>
      </c>
      <c r="AH561" s="143"/>
      <c r="AI561" s="143"/>
      <c r="AJ561" s="143"/>
      <c r="AK561" s="143"/>
      <c r="AL561" s="129"/>
      <c r="AM561" s="129" t="str">
        <f>IFERROR(__xludf.DUMMYFUNCTION("""COMPUTED_VALUE"""),"Beach")</f>
        <v>Beach</v>
      </c>
      <c r="AN561" s="139"/>
    </row>
    <row r="562">
      <c r="A562" s="118" t="s">
        <v>1624</v>
      </c>
      <c r="B562" s="119">
        <v>83.0</v>
      </c>
      <c r="C562" s="134" t="s">
        <v>75</v>
      </c>
      <c r="D562" s="150"/>
      <c r="E562" s="135"/>
      <c r="F562" s="136"/>
      <c r="G562" s="124">
        <v>1359.0</v>
      </c>
      <c r="H562" s="125">
        <v>903.0</v>
      </c>
      <c r="I562" s="125">
        <v>165.0</v>
      </c>
      <c r="J562" s="125">
        <v>109.0</v>
      </c>
      <c r="K562" s="125">
        <v>76.0</v>
      </c>
      <c r="L562" s="125">
        <v>119.0</v>
      </c>
      <c r="M562" s="126">
        <v>84.0</v>
      </c>
      <c r="N562" s="127">
        <v>84.0</v>
      </c>
      <c r="O562" s="138">
        <v>80.0</v>
      </c>
      <c r="P562" s="138">
        <v>84.0</v>
      </c>
      <c r="Q562" s="122" t="b">
        <v>0</v>
      </c>
      <c r="R562" s="133"/>
      <c r="S562" s="143"/>
      <c r="T562" s="133"/>
      <c r="U562" s="133"/>
      <c r="V562" s="130"/>
      <c r="W562" s="130" t="s">
        <v>84</v>
      </c>
      <c r="X562" s="130" t="s">
        <v>337</v>
      </c>
      <c r="Y562" s="130" t="s">
        <v>86</v>
      </c>
      <c r="Z562" s="131" t="b">
        <v>1</v>
      </c>
      <c r="AA562" s="131">
        <v>0.049305555555555554</v>
      </c>
      <c r="AB562" s="130"/>
      <c r="AC562" s="130"/>
      <c r="AD562" s="144"/>
      <c r="AE562" s="144"/>
      <c r="AF562" s="132"/>
      <c r="AG562" s="143" t="b">
        <v>0</v>
      </c>
      <c r="AH562" s="143"/>
      <c r="AI562" s="143"/>
      <c r="AJ562" s="143"/>
      <c r="AK562" s="143"/>
      <c r="AL562" s="129"/>
      <c r="AM562" s="129"/>
      <c r="AN562" s="139"/>
    </row>
    <row r="563">
      <c r="A563" s="118" t="s">
        <v>1625</v>
      </c>
      <c r="B563" s="119">
        <v>83.0</v>
      </c>
      <c r="C563" s="120" t="s">
        <v>68</v>
      </c>
      <c r="D563" s="142"/>
      <c r="E563" s="122"/>
      <c r="F563" s="136"/>
      <c r="G563" s="124">
        <v>5992.0</v>
      </c>
      <c r="H563" s="125">
        <v>2705.0</v>
      </c>
      <c r="I563" s="125">
        <v>1651.0</v>
      </c>
      <c r="J563" s="125">
        <v>828.0</v>
      </c>
      <c r="K563" s="125">
        <v>381.0</v>
      </c>
      <c r="L563" s="125">
        <v>429.0</v>
      </c>
      <c r="M563" s="126">
        <v>79.0</v>
      </c>
      <c r="N563" s="127">
        <v>84.0</v>
      </c>
      <c r="O563" s="127"/>
      <c r="P563" s="138">
        <v>86.0</v>
      </c>
      <c r="Q563" s="122" t="b">
        <v>0</v>
      </c>
      <c r="R563" s="143"/>
      <c r="S563" s="143"/>
      <c r="T563" s="143"/>
      <c r="U563" s="143"/>
      <c r="V563" s="144"/>
      <c r="W563" s="144" t="s">
        <v>270</v>
      </c>
      <c r="X563" s="144" t="s">
        <v>271</v>
      </c>
      <c r="Y563" s="144" t="s">
        <v>272</v>
      </c>
      <c r="Z563" s="133" t="b">
        <v>1</v>
      </c>
      <c r="AA563" s="145"/>
      <c r="AB563" s="130" t="s">
        <v>655</v>
      </c>
      <c r="AC563" s="144"/>
      <c r="AD563" s="130" t="s">
        <v>1524</v>
      </c>
      <c r="AE563" s="129"/>
      <c r="AF563" s="132"/>
      <c r="AG563" s="143" t="b">
        <v>0</v>
      </c>
      <c r="AH563" s="143"/>
      <c r="AI563" s="143"/>
      <c r="AJ563" s="143"/>
      <c r="AK563" s="143"/>
      <c r="AL563" s="129"/>
      <c r="AM563" s="129" t="str">
        <f>IFERROR(__xludf.DUMMYFUNCTION("""COMPUTED_VALUE"""),"Great for Parties")</f>
        <v>Great for Parties</v>
      </c>
      <c r="AN563" s="128"/>
    </row>
    <row r="564">
      <c r="A564" s="118" t="s">
        <v>1626</v>
      </c>
      <c r="B564" s="119">
        <v>83.0</v>
      </c>
      <c r="C564" s="134" t="s">
        <v>75</v>
      </c>
      <c r="D564" s="142"/>
      <c r="E564" s="135"/>
      <c r="F564" s="136"/>
      <c r="G564" s="124">
        <v>8315.0</v>
      </c>
      <c r="H564" s="125">
        <v>4074.0</v>
      </c>
      <c r="I564" s="125">
        <v>1914.0</v>
      </c>
      <c r="J564" s="125">
        <v>1046.0</v>
      </c>
      <c r="K564" s="125">
        <v>647.0</v>
      </c>
      <c r="L564" s="125">
        <v>635.0</v>
      </c>
      <c r="M564" s="126">
        <v>80.0</v>
      </c>
      <c r="N564" s="138">
        <v>86.0</v>
      </c>
      <c r="O564" s="146"/>
      <c r="P564" s="146"/>
      <c r="Q564" s="126" t="b">
        <v>0</v>
      </c>
      <c r="R564" s="128"/>
      <c r="S564" s="128"/>
      <c r="T564" s="128"/>
      <c r="U564" s="128"/>
      <c r="V564" s="129"/>
      <c r="W564" s="130" t="s">
        <v>276</v>
      </c>
      <c r="X564" s="130" t="s">
        <v>327</v>
      </c>
      <c r="Y564" s="130" t="s">
        <v>327</v>
      </c>
      <c r="Z564" s="133" t="b">
        <v>1</v>
      </c>
      <c r="AA564" s="145"/>
      <c r="AB564" s="129"/>
      <c r="AC564" s="129"/>
      <c r="AD564" s="129"/>
      <c r="AE564" s="129"/>
      <c r="AF564" s="132"/>
      <c r="AG564" s="128" t="b">
        <v>0</v>
      </c>
      <c r="AH564" s="128"/>
      <c r="AI564" s="128"/>
      <c r="AJ564" s="128"/>
      <c r="AK564" s="128"/>
      <c r="AL564" s="129"/>
      <c r="AM564" s="129"/>
      <c r="AN564" s="139"/>
    </row>
    <row r="565">
      <c r="A565" s="118" t="s">
        <v>1627</v>
      </c>
      <c r="B565" s="119">
        <v>83.0</v>
      </c>
      <c r="C565" s="120" t="s">
        <v>68</v>
      </c>
      <c r="D565" s="142"/>
      <c r="E565" s="122"/>
      <c r="F565" s="136"/>
      <c r="G565" s="124">
        <v>13834.0</v>
      </c>
      <c r="H565" s="125">
        <v>9242.0</v>
      </c>
      <c r="I565" s="125">
        <v>2614.0</v>
      </c>
      <c r="J565" s="125">
        <v>1138.0</v>
      </c>
      <c r="K565" s="125">
        <v>416.0</v>
      </c>
      <c r="L565" s="125">
        <v>424.0</v>
      </c>
      <c r="M565" s="126">
        <v>89.0</v>
      </c>
      <c r="N565" s="127">
        <v>82.0</v>
      </c>
      <c r="O565" s="127"/>
      <c r="P565" s="127">
        <v>78.0</v>
      </c>
      <c r="Q565" s="122" t="b">
        <v>0</v>
      </c>
      <c r="R565" s="133">
        <v>4.0</v>
      </c>
      <c r="S565" s="128">
        <v>7.0</v>
      </c>
      <c r="T565" s="128"/>
      <c r="U565" s="128"/>
      <c r="V565" s="129"/>
      <c r="W565" s="130" t="s">
        <v>193</v>
      </c>
      <c r="X565" s="130" t="s">
        <v>195</v>
      </c>
      <c r="Y565" s="130" t="s">
        <v>195</v>
      </c>
      <c r="Z565" s="133" t="b">
        <v>1</v>
      </c>
      <c r="AA565" s="131"/>
      <c r="AB565" s="130" t="s">
        <v>451</v>
      </c>
      <c r="AC565" s="130"/>
      <c r="AD565" s="130" t="s">
        <v>1628</v>
      </c>
      <c r="AE565" s="129"/>
      <c r="AF565" s="132"/>
      <c r="AG565" s="143" t="b">
        <v>0</v>
      </c>
      <c r="AH565" s="143">
        <v>320.0</v>
      </c>
      <c r="AI565" s="143">
        <v>2014.0</v>
      </c>
      <c r="AJ565" s="143"/>
      <c r="AK565" s="143">
        <v>3.0</v>
      </c>
      <c r="AL565" s="129"/>
      <c r="AM565" s="129" t="str">
        <f>IFERROR(__xludf.DUMMYFUNCTION("""COMPUTED_VALUE"""),"Great Food, Great for Parties")</f>
        <v>Great Food, Great for Parties</v>
      </c>
      <c r="AN565" s="128"/>
    </row>
    <row r="566">
      <c r="A566" s="118" t="s">
        <v>1629</v>
      </c>
      <c r="B566" s="119">
        <v>83.0</v>
      </c>
      <c r="C566" s="120" t="s">
        <v>68</v>
      </c>
      <c r="D566" s="142"/>
      <c r="E566" s="122"/>
      <c r="F566" s="136"/>
      <c r="G566" s="124">
        <v>6228.0</v>
      </c>
      <c r="H566" s="125">
        <v>3680.0</v>
      </c>
      <c r="I566" s="125">
        <v>1239.0</v>
      </c>
      <c r="J566" s="125">
        <v>649.0</v>
      </c>
      <c r="K566" s="125">
        <v>362.0</v>
      </c>
      <c r="L566" s="125">
        <v>299.0</v>
      </c>
      <c r="M566" s="126">
        <v>85.0</v>
      </c>
      <c r="N566" s="127">
        <v>84.0</v>
      </c>
      <c r="O566" s="127"/>
      <c r="P566" s="127">
        <v>80.0</v>
      </c>
      <c r="Q566" s="122" t="b">
        <v>0</v>
      </c>
      <c r="R566" s="128"/>
      <c r="S566" s="128"/>
      <c r="T566" s="128"/>
      <c r="U566" s="128"/>
      <c r="V566" s="129"/>
      <c r="W566" s="130" t="s">
        <v>642</v>
      </c>
      <c r="X566" s="130" t="s">
        <v>1630</v>
      </c>
      <c r="Y566" s="130" t="s">
        <v>644</v>
      </c>
      <c r="Z566" s="133" t="b">
        <v>1</v>
      </c>
      <c r="AA566" s="145"/>
      <c r="AB566" s="129"/>
      <c r="AC566" s="129"/>
      <c r="AD566" s="129"/>
      <c r="AE566" s="129"/>
      <c r="AF566" s="132"/>
      <c r="AG566" s="128" t="b">
        <v>0</v>
      </c>
      <c r="AH566" s="128"/>
      <c r="AI566" s="128"/>
      <c r="AJ566" s="128"/>
      <c r="AK566" s="128"/>
      <c r="AL566" s="129"/>
      <c r="AM566" s="129"/>
      <c r="AN566" s="128"/>
    </row>
    <row r="567">
      <c r="A567" s="118" t="s">
        <v>1631</v>
      </c>
      <c r="B567" s="119">
        <v>83.0</v>
      </c>
      <c r="C567" s="134" t="s">
        <v>75</v>
      </c>
      <c r="D567" s="142"/>
      <c r="E567" s="135"/>
      <c r="F567" s="136"/>
      <c r="G567" s="124">
        <v>4928.0</v>
      </c>
      <c r="H567" s="125">
        <v>3018.0</v>
      </c>
      <c r="I567" s="125">
        <v>1170.0</v>
      </c>
      <c r="J567" s="125">
        <v>386.0</v>
      </c>
      <c r="K567" s="125">
        <v>169.0</v>
      </c>
      <c r="L567" s="125">
        <v>186.0</v>
      </c>
      <c r="M567" s="126">
        <v>87.0</v>
      </c>
      <c r="N567" s="127">
        <v>88.0</v>
      </c>
      <c r="O567" s="146"/>
      <c r="P567" s="127">
        <v>74.0</v>
      </c>
      <c r="Q567" s="122" t="b">
        <v>0</v>
      </c>
      <c r="R567" s="133"/>
      <c r="S567" s="143"/>
      <c r="T567" s="133"/>
      <c r="U567" s="133"/>
      <c r="V567" s="129"/>
      <c r="W567" s="130" t="s">
        <v>84</v>
      </c>
      <c r="X567" s="130" t="s">
        <v>86</v>
      </c>
      <c r="Y567" s="130" t="s">
        <v>86</v>
      </c>
      <c r="Z567" s="145" t="b">
        <v>1</v>
      </c>
      <c r="AA567" s="145"/>
      <c r="AB567" s="129"/>
      <c r="AC567" s="129"/>
      <c r="AD567" s="130" t="s">
        <v>241</v>
      </c>
      <c r="AE567" s="129"/>
      <c r="AF567" s="132"/>
      <c r="AG567" s="143" t="b">
        <v>1</v>
      </c>
      <c r="AH567" s="143"/>
      <c r="AI567" s="143"/>
      <c r="AJ567" s="143"/>
      <c r="AK567" s="143"/>
      <c r="AL567" s="129"/>
      <c r="AM567" s="129" t="str">
        <f>IFERROR(__xludf.DUMMYFUNCTION("""COMPUTED_VALUE"""),"Beach")</f>
        <v>Beach</v>
      </c>
      <c r="AN567" s="139"/>
    </row>
    <row r="568">
      <c r="A568" s="118" t="s">
        <v>1632</v>
      </c>
      <c r="B568" s="119">
        <v>83.0</v>
      </c>
      <c r="C568" s="120" t="s">
        <v>68</v>
      </c>
      <c r="D568" s="142"/>
      <c r="E568" s="122"/>
      <c r="F568" s="136"/>
      <c r="G568" s="124">
        <v>2791.0</v>
      </c>
      <c r="H568" s="125">
        <v>1355.0</v>
      </c>
      <c r="I568" s="125">
        <v>865.0</v>
      </c>
      <c r="J568" s="125">
        <v>357.0</v>
      </c>
      <c r="K568" s="125">
        <v>123.0</v>
      </c>
      <c r="L568" s="125">
        <v>94.0</v>
      </c>
      <c r="M568" s="126">
        <v>83.0</v>
      </c>
      <c r="N568" s="127">
        <v>86.0</v>
      </c>
      <c r="O568" s="127"/>
      <c r="P568" s="127">
        <v>80.0</v>
      </c>
      <c r="Q568" s="122" t="b">
        <v>0</v>
      </c>
      <c r="R568" s="128"/>
      <c r="S568" s="128"/>
      <c r="T568" s="128"/>
      <c r="U568" s="128"/>
      <c r="V568" s="129"/>
      <c r="W568" s="130" t="s">
        <v>642</v>
      </c>
      <c r="X568" s="130" t="s">
        <v>1633</v>
      </c>
      <c r="Y568" s="130" t="s">
        <v>644</v>
      </c>
      <c r="Z568" s="133" t="b">
        <v>1</v>
      </c>
      <c r="AA568" s="145"/>
      <c r="AB568" s="129"/>
      <c r="AC568" s="129"/>
      <c r="AD568" s="129"/>
      <c r="AE568" s="129"/>
      <c r="AF568" s="132"/>
      <c r="AG568" s="128" t="b">
        <v>0</v>
      </c>
      <c r="AH568" s="128"/>
      <c r="AI568" s="128"/>
      <c r="AJ568" s="128"/>
      <c r="AK568" s="128"/>
      <c r="AL568" s="129"/>
      <c r="AM568" s="129"/>
      <c r="AN568" s="128"/>
    </row>
    <row r="569">
      <c r="A569" s="118" t="s">
        <v>1634</v>
      </c>
      <c r="B569" s="119">
        <v>82.8</v>
      </c>
      <c r="C569" s="134" t="s">
        <v>75</v>
      </c>
      <c r="D569" s="121"/>
      <c r="E569" s="135"/>
      <c r="F569" s="136"/>
      <c r="G569" s="124">
        <v>9302.0</v>
      </c>
      <c r="H569" s="125">
        <v>5225.0</v>
      </c>
      <c r="I569" s="125">
        <v>2397.0</v>
      </c>
      <c r="J569" s="125">
        <v>893.0</v>
      </c>
      <c r="K569" s="125">
        <v>438.0</v>
      </c>
      <c r="L569" s="125">
        <v>351.0</v>
      </c>
      <c r="M569" s="126">
        <v>85.0</v>
      </c>
      <c r="N569" s="138">
        <v>82.0</v>
      </c>
      <c r="O569" s="127">
        <v>82.0</v>
      </c>
      <c r="P569" s="127">
        <v>82.0</v>
      </c>
      <c r="Q569" s="135" t="b">
        <v>0</v>
      </c>
      <c r="R569" s="133"/>
      <c r="S569" s="143"/>
      <c r="T569" s="133"/>
      <c r="U569" s="133"/>
      <c r="V569" s="129"/>
      <c r="W569" s="130" t="s">
        <v>84</v>
      </c>
      <c r="X569" s="130" t="s">
        <v>122</v>
      </c>
      <c r="Y569" s="130" t="s">
        <v>123</v>
      </c>
      <c r="Z569" s="131" t="b">
        <v>1</v>
      </c>
      <c r="AA569" s="131">
        <v>0.025</v>
      </c>
      <c r="AB569" s="129"/>
      <c r="AC569" s="129"/>
      <c r="AD569" s="130" t="s">
        <v>241</v>
      </c>
      <c r="AE569" s="129"/>
      <c r="AF569" s="132"/>
      <c r="AG569" s="143" t="b">
        <v>1</v>
      </c>
      <c r="AH569" s="143"/>
      <c r="AI569" s="143"/>
      <c r="AJ569" s="143"/>
      <c r="AK569" s="143"/>
      <c r="AL569" s="129"/>
      <c r="AM569" s="129" t="str">
        <f>IFERROR(__xludf.DUMMYFUNCTION("""COMPUTED_VALUE"""),"Beach")</f>
        <v>Beach</v>
      </c>
      <c r="AN569" s="139"/>
    </row>
    <row r="570">
      <c r="A570" s="118" t="s">
        <v>1635</v>
      </c>
      <c r="B570" s="119">
        <v>82.7</v>
      </c>
      <c r="C570" s="134" t="s">
        <v>75</v>
      </c>
      <c r="D570" s="121">
        <v>2077.0</v>
      </c>
      <c r="E570" s="135">
        <f>IFERROR(__xludf.DUMMYFUNCTION("""COMPUTED_VALUE"""),2868.4406422999996)</f>
        <v>2868.440642</v>
      </c>
      <c r="F570" s="136">
        <v>1.3</v>
      </c>
      <c r="G570" s="124">
        <v>1856.0</v>
      </c>
      <c r="H570" s="125">
        <v>1292.0</v>
      </c>
      <c r="I570" s="125">
        <v>288.0</v>
      </c>
      <c r="J570" s="125">
        <v>125.0</v>
      </c>
      <c r="K570" s="125">
        <v>56.0</v>
      </c>
      <c r="L570" s="125">
        <v>95.0</v>
      </c>
      <c r="M570" s="126">
        <v>88.0</v>
      </c>
      <c r="N570" s="138">
        <v>76.0</v>
      </c>
      <c r="O570" s="146"/>
      <c r="P570" s="138">
        <v>84.0</v>
      </c>
      <c r="Q570" s="135" t="b">
        <v>0</v>
      </c>
      <c r="R570" s="133"/>
      <c r="S570" s="143">
        <v>8.0</v>
      </c>
      <c r="T570" s="133"/>
      <c r="U570" s="133">
        <v>4.5</v>
      </c>
      <c r="V570" s="129"/>
      <c r="W570" s="130" t="s">
        <v>193</v>
      </c>
      <c r="X570" s="130" t="s">
        <v>516</v>
      </c>
      <c r="Y570" s="130" t="s">
        <v>195</v>
      </c>
      <c r="Z570" s="131" t="b">
        <v>1</v>
      </c>
      <c r="AA570" s="131">
        <v>0.014583333333333334</v>
      </c>
      <c r="AB570" s="130" t="s">
        <v>1636</v>
      </c>
      <c r="AC570" s="129"/>
      <c r="AD570" s="130" t="s">
        <v>1637</v>
      </c>
      <c r="AE570" s="130"/>
      <c r="AF570" s="132" t="s">
        <v>373</v>
      </c>
      <c r="AG570" s="143" t="b">
        <v>0</v>
      </c>
      <c r="AH570" s="143">
        <v>500.0</v>
      </c>
      <c r="AI570" s="143">
        <v>2008.0</v>
      </c>
      <c r="AJ570" s="143"/>
      <c r="AK570" s="143">
        <v>3.0</v>
      </c>
      <c r="AL570" s="129"/>
      <c r="AM570" s="129" t="str">
        <f>IFERROR(__xludf.DUMMYFUNCTION("""COMPUTED_VALUE"""),"Beach, Kids Club, Kids Waterpark, Teen Club")</f>
        <v>Beach, Kids Club, Kids Waterpark, Teen Club</v>
      </c>
      <c r="AN570" s="139"/>
    </row>
    <row r="571">
      <c r="A571" s="118" t="s">
        <v>1638</v>
      </c>
      <c r="B571" s="119">
        <v>82.7</v>
      </c>
      <c r="C571" s="134" t="s">
        <v>75</v>
      </c>
      <c r="D571" s="142"/>
      <c r="E571" s="135"/>
      <c r="F571" s="136"/>
      <c r="G571" s="124">
        <v>1727.0</v>
      </c>
      <c r="H571" s="125">
        <v>879.0</v>
      </c>
      <c r="I571" s="125">
        <v>432.0</v>
      </c>
      <c r="J571" s="125">
        <v>200.0</v>
      </c>
      <c r="K571" s="125">
        <v>118.0</v>
      </c>
      <c r="L571" s="125">
        <v>98.0</v>
      </c>
      <c r="M571" s="126">
        <v>82.0</v>
      </c>
      <c r="N571" s="127">
        <v>86.0</v>
      </c>
      <c r="O571" s="146"/>
      <c r="P571" s="127">
        <v>80.0</v>
      </c>
      <c r="Q571" s="126" t="b">
        <v>0</v>
      </c>
      <c r="R571" s="128"/>
      <c r="S571" s="128"/>
      <c r="T571" s="128"/>
      <c r="U571" s="128"/>
      <c r="V571" s="129"/>
      <c r="W571" s="130" t="s">
        <v>1639</v>
      </c>
      <c r="X571" s="130" t="s">
        <v>1640</v>
      </c>
      <c r="Y571" s="130" t="s">
        <v>1641</v>
      </c>
      <c r="Z571" s="145" t="b">
        <v>0</v>
      </c>
      <c r="AA571" s="145"/>
      <c r="AB571" s="129"/>
      <c r="AC571" s="129"/>
      <c r="AD571" s="129"/>
      <c r="AE571" s="129"/>
      <c r="AF571" s="132"/>
      <c r="AG571" s="128" t="b">
        <v>0</v>
      </c>
      <c r="AH571" s="128"/>
      <c r="AI571" s="128"/>
      <c r="AJ571" s="128"/>
      <c r="AK571" s="128"/>
      <c r="AL571" s="129"/>
      <c r="AM571" s="129"/>
      <c r="AN571" s="139"/>
    </row>
    <row r="572">
      <c r="A572" s="118" t="s">
        <v>1642</v>
      </c>
      <c r="B572" s="119">
        <v>82.7</v>
      </c>
      <c r="C572" s="134" t="s">
        <v>75</v>
      </c>
      <c r="D572" s="142"/>
      <c r="E572" s="135"/>
      <c r="F572" s="136"/>
      <c r="G572" s="124">
        <v>4114.0</v>
      </c>
      <c r="H572" s="125">
        <v>2711.0</v>
      </c>
      <c r="I572" s="125">
        <v>623.0</v>
      </c>
      <c r="J572" s="125">
        <v>334.0</v>
      </c>
      <c r="K572" s="125">
        <v>188.0</v>
      </c>
      <c r="L572" s="125">
        <v>263.0</v>
      </c>
      <c r="M572" s="126">
        <v>86.0</v>
      </c>
      <c r="N572" s="127">
        <v>80.0</v>
      </c>
      <c r="O572" s="146"/>
      <c r="P572" s="127">
        <v>82.0</v>
      </c>
      <c r="Q572" s="135" t="b">
        <v>0</v>
      </c>
      <c r="R572" s="133"/>
      <c r="S572" s="143"/>
      <c r="T572" s="133" t="s">
        <v>492</v>
      </c>
      <c r="U572" s="133"/>
      <c r="V572" s="129"/>
      <c r="W572" s="130" t="s">
        <v>84</v>
      </c>
      <c r="X572" s="130" t="s">
        <v>210</v>
      </c>
      <c r="Y572" s="130" t="s">
        <v>86</v>
      </c>
      <c r="Z572" s="131" t="b">
        <v>1</v>
      </c>
      <c r="AA572" s="131">
        <v>0.013888888888888888</v>
      </c>
      <c r="AB572" s="129"/>
      <c r="AC572" s="129"/>
      <c r="AD572" s="147" t="s">
        <v>1518</v>
      </c>
      <c r="AE572" s="129"/>
      <c r="AF572" s="132"/>
      <c r="AG572" s="143" t="b">
        <v>0</v>
      </c>
      <c r="AH572" s="143"/>
      <c r="AI572" s="143"/>
      <c r="AJ572" s="143"/>
      <c r="AK572" s="143"/>
      <c r="AL572" s="129"/>
      <c r="AM572" s="129" t="str">
        <f>IFERROR(__xludf.DUMMYFUNCTION("""COMPUTED_VALUE"""),"Beach, Kids Club for Under 4")</f>
        <v>Beach, Kids Club for Under 4</v>
      </c>
      <c r="AN572" s="139"/>
    </row>
    <row r="573">
      <c r="A573" s="118" t="s">
        <v>1643</v>
      </c>
      <c r="B573" s="119">
        <v>82.7</v>
      </c>
      <c r="C573" s="134" t="s">
        <v>75</v>
      </c>
      <c r="D573" s="142"/>
      <c r="E573" s="135"/>
      <c r="F573" s="136"/>
      <c r="G573" s="124">
        <v>16474.0</v>
      </c>
      <c r="H573" s="125">
        <v>8402.0</v>
      </c>
      <c r="I573" s="125">
        <v>3635.0</v>
      </c>
      <c r="J573" s="125">
        <v>1887.0</v>
      </c>
      <c r="K573" s="125">
        <v>1302.0</v>
      </c>
      <c r="L573" s="125">
        <v>1252.0</v>
      </c>
      <c r="M573" s="126">
        <v>80.0</v>
      </c>
      <c r="N573" s="127">
        <v>92.0</v>
      </c>
      <c r="O573" s="146"/>
      <c r="P573" s="138">
        <v>76.0</v>
      </c>
      <c r="Q573" s="135" t="b">
        <v>0</v>
      </c>
      <c r="R573" s="133"/>
      <c r="S573" s="143"/>
      <c r="T573" s="133"/>
      <c r="U573" s="133"/>
      <c r="V573" s="129"/>
      <c r="W573" s="130" t="s">
        <v>219</v>
      </c>
      <c r="X573" s="130" t="s">
        <v>1416</v>
      </c>
      <c r="Y573" s="130" t="s">
        <v>221</v>
      </c>
      <c r="Z573" s="131" t="b">
        <v>1</v>
      </c>
      <c r="AA573" s="131">
        <v>0.011111111111111112</v>
      </c>
      <c r="AB573" s="130" t="s">
        <v>412</v>
      </c>
      <c r="AC573" s="129"/>
      <c r="AD573" s="147" t="s">
        <v>1518</v>
      </c>
      <c r="AE573" s="129"/>
      <c r="AF573" s="132"/>
      <c r="AG573" s="143" t="b">
        <v>0</v>
      </c>
      <c r="AH573" s="143"/>
      <c r="AI573" s="143"/>
      <c r="AJ573" s="143"/>
      <c r="AK573" s="143"/>
      <c r="AL573" s="129"/>
      <c r="AM573" s="129" t="str">
        <f>IFERROR(__xludf.DUMMYFUNCTION("""COMPUTED_VALUE"""),"Beach, Kids Club for Under 4")</f>
        <v>Beach, Kids Club for Under 4</v>
      </c>
      <c r="AN573" s="139"/>
    </row>
    <row r="574">
      <c r="A574" s="118" t="s">
        <v>1644</v>
      </c>
      <c r="B574" s="119">
        <v>82.7</v>
      </c>
      <c r="C574" s="134" t="s">
        <v>75</v>
      </c>
      <c r="D574" s="121"/>
      <c r="E574" s="135"/>
      <c r="F574" s="136"/>
      <c r="G574" s="124">
        <v>6061.0</v>
      </c>
      <c r="H574" s="125">
        <v>3955.0</v>
      </c>
      <c r="I574" s="125">
        <v>1244.0</v>
      </c>
      <c r="J574" s="125">
        <v>462.0</v>
      </c>
      <c r="K574" s="125">
        <v>233.0</v>
      </c>
      <c r="L574" s="125">
        <v>173.0</v>
      </c>
      <c r="M574" s="126">
        <v>88.0</v>
      </c>
      <c r="N574" s="127">
        <v>84.0</v>
      </c>
      <c r="O574" s="146"/>
      <c r="P574" s="127">
        <v>76.0</v>
      </c>
      <c r="Q574" s="135" t="b">
        <v>0</v>
      </c>
      <c r="R574" s="133"/>
      <c r="S574" s="143"/>
      <c r="T574" s="133"/>
      <c r="U574" s="133"/>
      <c r="V574" s="129"/>
      <c r="W574" s="130" t="s">
        <v>84</v>
      </c>
      <c r="X574" s="130" t="s">
        <v>726</v>
      </c>
      <c r="Y574" s="130" t="s">
        <v>120</v>
      </c>
      <c r="Z574" s="131" t="b">
        <v>1</v>
      </c>
      <c r="AA574" s="131">
        <v>0.017361111111111112</v>
      </c>
      <c r="AB574" s="129"/>
      <c r="AC574" s="129"/>
      <c r="AD574" s="129" t="s">
        <v>241</v>
      </c>
      <c r="AE574" s="129"/>
      <c r="AF574" s="132"/>
      <c r="AG574" s="143" t="b">
        <v>0</v>
      </c>
      <c r="AH574" s="143"/>
      <c r="AI574" s="143"/>
      <c r="AJ574" s="143"/>
      <c r="AK574" s="143"/>
      <c r="AL574" s="129"/>
      <c r="AM574" s="129" t="str">
        <f>IFERROR(__xludf.DUMMYFUNCTION("""COMPUTED_VALUE"""),"Beach")</f>
        <v>Beach</v>
      </c>
      <c r="AN574" s="139"/>
    </row>
    <row r="575">
      <c r="A575" s="118" t="s">
        <v>1645</v>
      </c>
      <c r="B575" s="119">
        <v>82.5</v>
      </c>
      <c r="C575" s="134" t="s">
        <v>75</v>
      </c>
      <c r="D575" s="142">
        <v>5182.18</v>
      </c>
      <c r="E575" s="122">
        <f>IFERROR(__xludf.DUMMYFUNCTION("""COMPUTED_VALUE"""),7156.849170781999)</f>
        <v>7156.849171</v>
      </c>
      <c r="F575" s="136">
        <v>0.48</v>
      </c>
      <c r="G575" s="124">
        <v>716.0</v>
      </c>
      <c r="H575" s="125">
        <v>438.0</v>
      </c>
      <c r="I575" s="125">
        <v>183.0</v>
      </c>
      <c r="J575" s="125">
        <v>45.0</v>
      </c>
      <c r="K575" s="125">
        <v>24.0</v>
      </c>
      <c r="L575" s="125">
        <v>28.0</v>
      </c>
      <c r="M575" s="126">
        <v>87.0</v>
      </c>
      <c r="N575" s="138">
        <v>78.0</v>
      </c>
      <c r="O575" s="146"/>
      <c r="P575" s="146"/>
      <c r="Q575" s="122" t="b">
        <v>0</v>
      </c>
      <c r="R575" s="128"/>
      <c r="S575" s="128"/>
      <c r="T575" s="128"/>
      <c r="U575" s="143">
        <v>5.0</v>
      </c>
      <c r="V575" s="144"/>
      <c r="W575" s="144" t="s">
        <v>219</v>
      </c>
      <c r="X575" s="144" t="s">
        <v>457</v>
      </c>
      <c r="Y575" s="130" t="s">
        <v>221</v>
      </c>
      <c r="Z575" s="145" t="b">
        <v>1</v>
      </c>
      <c r="AA575" s="145">
        <v>0.025694444444444443</v>
      </c>
      <c r="AB575" s="130" t="s">
        <v>655</v>
      </c>
      <c r="AC575" s="144"/>
      <c r="AD575" s="130" t="s">
        <v>1646</v>
      </c>
      <c r="AE575" s="129"/>
      <c r="AF575" s="132" t="s">
        <v>181</v>
      </c>
      <c r="AG575" s="143" t="b">
        <v>1</v>
      </c>
      <c r="AH575" s="143"/>
      <c r="AI575" s="143"/>
      <c r="AJ575" s="143"/>
      <c r="AK575" s="143"/>
      <c r="AL575" s="129"/>
      <c r="AM575" s="129" t="str">
        <f>IFERROR(__xludf.DUMMYFUNCTION("""COMPUTED_VALUE"""),"2 Bedroom Suites, Beach, Big Waterslides, Family Suite")</f>
        <v>2 Bedroom Suites, Beach, Big Waterslides, Family Suite</v>
      </c>
      <c r="AN575" s="139"/>
    </row>
    <row r="576">
      <c r="A576" s="118" t="s">
        <v>1647</v>
      </c>
      <c r="B576" s="119">
        <v>82.5</v>
      </c>
      <c r="C576" s="134" t="s">
        <v>75</v>
      </c>
      <c r="D576" s="142"/>
      <c r="E576" s="135"/>
      <c r="F576" s="136"/>
      <c r="G576" s="124">
        <v>7639.0</v>
      </c>
      <c r="H576" s="125">
        <v>5238.0</v>
      </c>
      <c r="I576" s="125">
        <v>1247.0</v>
      </c>
      <c r="J576" s="125">
        <v>559.0</v>
      </c>
      <c r="K576" s="125">
        <v>316.0</v>
      </c>
      <c r="L576" s="125">
        <v>284.0</v>
      </c>
      <c r="M576" s="126">
        <v>88.0</v>
      </c>
      <c r="N576" s="127">
        <v>84.0</v>
      </c>
      <c r="O576" s="127">
        <v>80.0</v>
      </c>
      <c r="P576" s="138">
        <v>78.0</v>
      </c>
      <c r="Q576" s="122" t="b">
        <v>0</v>
      </c>
      <c r="R576" s="133">
        <v>4.0</v>
      </c>
      <c r="S576" s="128"/>
      <c r="T576" s="133" t="s">
        <v>492</v>
      </c>
      <c r="U576" s="128"/>
      <c r="V576" s="129"/>
      <c r="W576" s="130" t="s">
        <v>84</v>
      </c>
      <c r="X576" s="130" t="s">
        <v>315</v>
      </c>
      <c r="Y576" s="130" t="s">
        <v>123</v>
      </c>
      <c r="Z576" s="133" t="b">
        <v>1</v>
      </c>
      <c r="AA576" s="145"/>
      <c r="AB576" s="129"/>
      <c r="AC576" s="129"/>
      <c r="AD576" s="147" t="s">
        <v>1568</v>
      </c>
      <c r="AE576" s="129"/>
      <c r="AF576" s="132"/>
      <c r="AG576" s="128" t="b">
        <v>0</v>
      </c>
      <c r="AH576" s="128"/>
      <c r="AI576" s="128"/>
      <c r="AJ576" s="128"/>
      <c r="AK576" s="128"/>
      <c r="AL576" s="129"/>
      <c r="AM576" s="129" t="str">
        <f>IFERROR(__xludf.DUMMYFUNCTION("""COMPUTED_VALUE"""),"Kids Club for Under 4")</f>
        <v>Kids Club for Under 4</v>
      </c>
      <c r="AN576" s="139"/>
    </row>
    <row r="577" hidden="1">
      <c r="A577" s="118" t="s">
        <v>1648</v>
      </c>
      <c r="B577" s="119">
        <v>82.5</v>
      </c>
      <c r="C577" s="134" t="s">
        <v>75</v>
      </c>
      <c r="D577" s="121"/>
      <c r="E577" s="135"/>
      <c r="F577" s="136"/>
      <c r="G577" s="124">
        <v>753.0</v>
      </c>
      <c r="H577" s="133">
        <v>538.0</v>
      </c>
      <c r="I577" s="133">
        <v>112.0</v>
      </c>
      <c r="J577" s="133">
        <v>54.0</v>
      </c>
      <c r="K577" s="133">
        <v>18.0</v>
      </c>
      <c r="L577" s="133">
        <v>33.0</v>
      </c>
      <c r="M577" s="137">
        <v>89.0</v>
      </c>
      <c r="N577" s="138">
        <v>76.0</v>
      </c>
      <c r="O577" s="127"/>
      <c r="P577" s="127"/>
      <c r="Q577" s="137" t="b">
        <v>0</v>
      </c>
      <c r="R577" s="128"/>
      <c r="S577" s="128"/>
      <c r="T577" s="128"/>
      <c r="U577" s="128"/>
      <c r="V577" s="130" t="s">
        <v>118</v>
      </c>
      <c r="W577" s="130" t="s">
        <v>276</v>
      </c>
      <c r="X577" s="129"/>
      <c r="Y577" s="129"/>
      <c r="Z577" s="145" t="b">
        <v>0</v>
      </c>
      <c r="AA577" s="145"/>
      <c r="AB577" s="130"/>
      <c r="AC577" s="129"/>
      <c r="AD577" s="129"/>
      <c r="AE577" s="129"/>
      <c r="AF577" s="132"/>
      <c r="AG577" s="128" t="b">
        <v>0</v>
      </c>
      <c r="AH577" s="128"/>
      <c r="AI577" s="128"/>
      <c r="AJ577" s="128"/>
      <c r="AK577" s="128"/>
      <c r="AL577" s="129"/>
      <c r="AM577" s="129"/>
      <c r="AN577" s="139"/>
    </row>
    <row r="578">
      <c r="A578" s="140" t="s">
        <v>1649</v>
      </c>
      <c r="B578" s="119">
        <v>82.5</v>
      </c>
      <c r="C578" s="141" t="s">
        <v>68</v>
      </c>
      <c r="D578" s="142"/>
      <c r="E578" s="122"/>
      <c r="F578" s="123"/>
      <c r="G578" s="124">
        <v>2796.0</v>
      </c>
      <c r="H578" s="125">
        <v>1514.0</v>
      </c>
      <c r="I578" s="125">
        <v>711.0</v>
      </c>
      <c r="J578" s="125">
        <v>332.0</v>
      </c>
      <c r="K578" s="125">
        <v>121.0</v>
      </c>
      <c r="L578" s="125">
        <v>118.0</v>
      </c>
      <c r="M578" s="126">
        <v>84.0</v>
      </c>
      <c r="N578" s="138">
        <v>82.0</v>
      </c>
      <c r="O578" s="127">
        <v>84.0</v>
      </c>
      <c r="P578" s="127">
        <v>80.0</v>
      </c>
      <c r="Q578" s="122" t="b">
        <v>0</v>
      </c>
      <c r="R578" s="143"/>
      <c r="S578" s="143"/>
      <c r="T578" s="143"/>
      <c r="U578" s="143"/>
      <c r="V578" s="144"/>
      <c r="W578" s="144" t="s">
        <v>96</v>
      </c>
      <c r="X578" s="144" t="s">
        <v>258</v>
      </c>
      <c r="Y578" s="144" t="s">
        <v>98</v>
      </c>
      <c r="Z578" s="145" t="b">
        <v>0</v>
      </c>
      <c r="AA578" s="145"/>
      <c r="AB578" s="130" t="s">
        <v>451</v>
      </c>
      <c r="AC578" s="144"/>
      <c r="AD578" s="144"/>
      <c r="AE578" s="129"/>
      <c r="AF578" s="132"/>
      <c r="AG578" s="143" t="b">
        <v>0</v>
      </c>
      <c r="AH578" s="143"/>
      <c r="AI578" s="143"/>
      <c r="AJ578" s="143"/>
      <c r="AK578" s="143"/>
      <c r="AL578" s="129"/>
      <c r="AM578" s="129"/>
      <c r="AN578" s="128"/>
    </row>
    <row r="579">
      <c r="A579" s="118" t="s">
        <v>1650</v>
      </c>
      <c r="B579" s="119">
        <v>82.5</v>
      </c>
      <c r="C579" s="134" t="s">
        <v>75</v>
      </c>
      <c r="D579" s="142"/>
      <c r="E579" s="135"/>
      <c r="F579" s="136"/>
      <c r="G579" s="124">
        <v>6116.0</v>
      </c>
      <c r="H579" s="125">
        <v>3490.0</v>
      </c>
      <c r="I579" s="125">
        <v>1492.0</v>
      </c>
      <c r="J579" s="125">
        <v>571.0</v>
      </c>
      <c r="K579" s="125">
        <v>267.0</v>
      </c>
      <c r="L579" s="125">
        <v>300.0</v>
      </c>
      <c r="M579" s="126">
        <v>85.0</v>
      </c>
      <c r="N579" s="127">
        <v>80.0</v>
      </c>
      <c r="O579" s="146"/>
      <c r="P579" s="146"/>
      <c r="Q579" s="126" t="b">
        <v>0</v>
      </c>
      <c r="R579" s="128"/>
      <c r="S579" s="128"/>
      <c r="T579" s="128"/>
      <c r="U579" s="128"/>
      <c r="V579" s="129"/>
      <c r="W579" s="130" t="s">
        <v>276</v>
      </c>
      <c r="X579" s="130" t="s">
        <v>393</v>
      </c>
      <c r="Y579" s="130" t="s">
        <v>393</v>
      </c>
      <c r="Z579" s="133" t="b">
        <v>1</v>
      </c>
      <c r="AA579" s="145"/>
      <c r="AB579" s="129"/>
      <c r="AC579" s="129"/>
      <c r="AD579" s="129" t="s">
        <v>1532</v>
      </c>
      <c r="AE579" s="129"/>
      <c r="AF579" s="132"/>
      <c r="AG579" s="128" t="b">
        <v>0</v>
      </c>
      <c r="AH579" s="128"/>
      <c r="AI579" s="128"/>
      <c r="AJ579" s="128"/>
      <c r="AK579" s="128"/>
      <c r="AL579" s="129"/>
      <c r="AM579" s="129" t="str">
        <f>IFERROR(__xludf.DUMMYFUNCTION("""COMPUTED_VALUE"""),"Great Beach")</f>
        <v>Great Beach</v>
      </c>
      <c r="AN579" s="139"/>
    </row>
    <row r="580">
      <c r="A580" s="118" t="s">
        <v>1651</v>
      </c>
      <c r="B580" s="119">
        <v>82.5</v>
      </c>
      <c r="C580" s="134" t="s">
        <v>75</v>
      </c>
      <c r="D580" s="150"/>
      <c r="E580" s="135"/>
      <c r="F580" s="136"/>
      <c r="G580" s="124">
        <v>11709.0</v>
      </c>
      <c r="H580" s="125">
        <v>8192.0</v>
      </c>
      <c r="I580" s="125">
        <v>1808.0</v>
      </c>
      <c r="J580" s="125">
        <v>717.0</v>
      </c>
      <c r="K580" s="125">
        <v>419.0</v>
      </c>
      <c r="L580" s="125">
        <v>578.0</v>
      </c>
      <c r="M580" s="126">
        <v>88.0</v>
      </c>
      <c r="N580" s="127">
        <v>84.0</v>
      </c>
      <c r="O580" s="127">
        <v>76.0</v>
      </c>
      <c r="P580" s="127">
        <v>82.0</v>
      </c>
      <c r="Q580" s="135" t="b">
        <v>0</v>
      </c>
      <c r="R580" s="133">
        <v>4.0</v>
      </c>
      <c r="S580" s="143">
        <v>7.0</v>
      </c>
      <c r="T580" s="133"/>
      <c r="U580" s="133"/>
      <c r="V580" s="130"/>
      <c r="W580" s="130" t="s">
        <v>193</v>
      </c>
      <c r="X580" s="130" t="s">
        <v>225</v>
      </c>
      <c r="Y580" s="130" t="s">
        <v>195</v>
      </c>
      <c r="Z580" s="131" t="b">
        <v>1</v>
      </c>
      <c r="AA580" s="131">
        <v>0.02013888888888889</v>
      </c>
      <c r="AB580" s="130" t="s">
        <v>451</v>
      </c>
      <c r="AC580" s="130"/>
      <c r="AD580" s="144" t="s">
        <v>1652</v>
      </c>
      <c r="AE580" s="144"/>
      <c r="AF580" s="132"/>
      <c r="AG580" s="143" t="b">
        <v>0</v>
      </c>
      <c r="AH580" s="143">
        <v>730.0</v>
      </c>
      <c r="AI580" s="143">
        <v>2017.0</v>
      </c>
      <c r="AJ580" s="143"/>
      <c r="AK580" s="143">
        <v>4.0</v>
      </c>
      <c r="AL580" s="129"/>
      <c r="AM580" s="129" t="str">
        <f>IFERROR(__xludf.DUMMYFUNCTION("""COMPUTED_VALUE"""),"Beach, Big Waterslides, Lazy River")</f>
        <v>Beach, Big Waterslides, Lazy River</v>
      </c>
      <c r="AN580" s="139"/>
    </row>
    <row r="581">
      <c r="A581" s="118" t="s">
        <v>1653</v>
      </c>
      <c r="B581" s="119">
        <v>82.5</v>
      </c>
      <c r="C581" s="141" t="s">
        <v>68</v>
      </c>
      <c r="D581" s="142"/>
      <c r="E581" s="122"/>
      <c r="F581" s="136"/>
      <c r="G581" s="124">
        <v>4872.0</v>
      </c>
      <c r="H581" s="125">
        <v>3094.0</v>
      </c>
      <c r="I581" s="125">
        <v>1178.0</v>
      </c>
      <c r="J581" s="125">
        <v>331.0</v>
      </c>
      <c r="K581" s="125">
        <v>150.0</v>
      </c>
      <c r="L581" s="125">
        <v>121.0</v>
      </c>
      <c r="M581" s="126">
        <v>89.0</v>
      </c>
      <c r="N581" s="127">
        <v>76.0</v>
      </c>
      <c r="O581" s="127"/>
      <c r="P581" s="127"/>
      <c r="Q581" s="122" t="b">
        <v>0</v>
      </c>
      <c r="R581" s="143"/>
      <c r="S581" s="143"/>
      <c r="T581" s="143"/>
      <c r="U581" s="143"/>
      <c r="V581" s="130" t="s">
        <v>144</v>
      </c>
      <c r="W581" s="130" t="s">
        <v>276</v>
      </c>
      <c r="X581" s="130" t="s">
        <v>393</v>
      </c>
      <c r="Y581" s="130" t="s">
        <v>393</v>
      </c>
      <c r="Z581" s="133" t="b">
        <v>1</v>
      </c>
      <c r="AA581" s="145"/>
      <c r="AB581" s="144"/>
      <c r="AC581" s="144"/>
      <c r="AD581" s="144" t="s">
        <v>1532</v>
      </c>
      <c r="AE581" s="129"/>
      <c r="AF581" s="132"/>
      <c r="AG581" s="143" t="b">
        <v>0</v>
      </c>
      <c r="AH581" s="143"/>
      <c r="AI581" s="143"/>
      <c r="AJ581" s="143"/>
      <c r="AK581" s="143"/>
      <c r="AL581" s="129"/>
      <c r="AM581" s="129" t="str">
        <f>IFERROR(__xludf.DUMMYFUNCTION("""COMPUTED_VALUE"""),"Great Beach")</f>
        <v>Great Beach</v>
      </c>
      <c r="AN581" s="128"/>
    </row>
    <row r="582">
      <c r="A582" s="118" t="s">
        <v>1654</v>
      </c>
      <c r="B582" s="119">
        <v>82.3</v>
      </c>
      <c r="C582" s="134" t="s">
        <v>75</v>
      </c>
      <c r="D582" s="121"/>
      <c r="E582" s="135"/>
      <c r="F582" s="136"/>
      <c r="G582" s="124">
        <v>10417.0</v>
      </c>
      <c r="H582" s="125">
        <v>4542.0</v>
      </c>
      <c r="I582" s="125">
        <v>3102.0</v>
      </c>
      <c r="J582" s="125">
        <v>1399.0</v>
      </c>
      <c r="K582" s="125">
        <v>703.0</v>
      </c>
      <c r="L582" s="125">
        <v>675.0</v>
      </c>
      <c r="M582" s="126">
        <v>79.0</v>
      </c>
      <c r="N582" s="127">
        <v>90.0</v>
      </c>
      <c r="O582" s="146"/>
      <c r="P582" s="127">
        <v>78.0</v>
      </c>
      <c r="Q582" s="122" t="b">
        <v>0</v>
      </c>
      <c r="R582" s="133"/>
      <c r="S582" s="143"/>
      <c r="T582" s="133"/>
      <c r="U582" s="133"/>
      <c r="V582" s="129"/>
      <c r="W582" s="130" t="s">
        <v>84</v>
      </c>
      <c r="X582" s="130" t="s">
        <v>85</v>
      </c>
      <c r="Y582" s="130" t="s">
        <v>86</v>
      </c>
      <c r="Z582" s="131" t="b">
        <v>1</v>
      </c>
      <c r="AA582" s="131">
        <v>0.03680555555555556</v>
      </c>
      <c r="AB582" s="129"/>
      <c r="AC582" s="129"/>
      <c r="AD582" s="129" t="s">
        <v>241</v>
      </c>
      <c r="AE582" s="129" t="s">
        <v>396</v>
      </c>
      <c r="AF582" s="132"/>
      <c r="AG582" s="143" t="b">
        <v>0</v>
      </c>
      <c r="AH582" s="143"/>
      <c r="AI582" s="143"/>
      <c r="AJ582" s="143"/>
      <c r="AK582" s="143"/>
      <c r="AL582" s="129"/>
      <c r="AM582" s="129" t="str">
        <f>IFERROR(__xludf.DUMMYFUNCTION("""COMPUTED_VALUE"""),"Beach")</f>
        <v>Beach</v>
      </c>
      <c r="AN582" s="139"/>
    </row>
    <row r="583">
      <c r="A583" s="118" t="s">
        <v>1655</v>
      </c>
      <c r="B583" s="119">
        <v>82.3</v>
      </c>
      <c r="C583" s="134" t="s">
        <v>75</v>
      </c>
      <c r="D583" s="121"/>
      <c r="E583" s="135"/>
      <c r="F583" s="136"/>
      <c r="G583" s="124">
        <v>15419.0</v>
      </c>
      <c r="H583" s="125">
        <v>7067.0</v>
      </c>
      <c r="I583" s="125">
        <v>4645.0</v>
      </c>
      <c r="J583" s="125">
        <v>2002.0</v>
      </c>
      <c r="K583" s="125">
        <v>880.0</v>
      </c>
      <c r="L583" s="125">
        <v>829.0</v>
      </c>
      <c r="M583" s="126">
        <v>81.0</v>
      </c>
      <c r="N583" s="127">
        <v>90.0</v>
      </c>
      <c r="O583" s="146"/>
      <c r="P583" s="127">
        <v>76.0</v>
      </c>
      <c r="Q583" s="122" t="b">
        <v>0</v>
      </c>
      <c r="R583" s="133"/>
      <c r="S583" s="143">
        <v>7.0</v>
      </c>
      <c r="T583" s="133"/>
      <c r="U583" s="133"/>
      <c r="V583" s="130"/>
      <c r="W583" s="130" t="s">
        <v>193</v>
      </c>
      <c r="X583" s="130" t="s">
        <v>195</v>
      </c>
      <c r="Y583" s="130" t="s">
        <v>195</v>
      </c>
      <c r="Z583" s="131" t="b">
        <v>1</v>
      </c>
      <c r="AA583" s="131">
        <v>0.011805555555555555</v>
      </c>
      <c r="AB583" s="130"/>
      <c r="AC583" s="130"/>
      <c r="AD583" s="144" t="s">
        <v>241</v>
      </c>
      <c r="AE583" s="144"/>
      <c r="AF583" s="132"/>
      <c r="AG583" s="143" t="b">
        <v>0</v>
      </c>
      <c r="AH583" s="143">
        <v>711.0</v>
      </c>
      <c r="AI583" s="143"/>
      <c r="AJ583" s="143">
        <v>2009.0</v>
      </c>
      <c r="AK583" s="143">
        <v>3.0</v>
      </c>
      <c r="AL583" s="129"/>
      <c r="AM583" s="129" t="str">
        <f>IFERROR(__xludf.DUMMYFUNCTION("""COMPUTED_VALUE"""),"Beach")</f>
        <v>Beach</v>
      </c>
      <c r="AN583" s="139"/>
    </row>
    <row r="584">
      <c r="A584" s="140" t="s">
        <v>1656</v>
      </c>
      <c r="B584" s="119">
        <v>82.3</v>
      </c>
      <c r="C584" s="133" t="s">
        <v>75</v>
      </c>
      <c r="D584" s="142"/>
      <c r="E584" s="122"/>
      <c r="F584" s="136"/>
      <c r="G584" s="124">
        <v>4790.0</v>
      </c>
      <c r="H584" s="125">
        <v>1958.0</v>
      </c>
      <c r="I584" s="125">
        <v>1498.0</v>
      </c>
      <c r="J584" s="125">
        <v>737.0</v>
      </c>
      <c r="K584" s="125">
        <v>323.0</v>
      </c>
      <c r="L584" s="125">
        <v>277.0</v>
      </c>
      <c r="M584" s="126">
        <v>79.0</v>
      </c>
      <c r="N584" s="127">
        <v>90.0</v>
      </c>
      <c r="O584" s="146"/>
      <c r="P584" s="127">
        <v>78.0</v>
      </c>
      <c r="Q584" s="122" t="b">
        <v>0</v>
      </c>
      <c r="R584" s="128"/>
      <c r="S584" s="128"/>
      <c r="T584" s="128"/>
      <c r="U584" s="128"/>
      <c r="V584" s="129"/>
      <c r="W584" s="130" t="s">
        <v>1119</v>
      </c>
      <c r="X584" s="130" t="s">
        <v>1657</v>
      </c>
      <c r="Y584" s="130" t="s">
        <v>1121</v>
      </c>
      <c r="Z584" s="145" t="b">
        <v>0</v>
      </c>
      <c r="AA584" s="145"/>
      <c r="AB584" s="129"/>
      <c r="AC584" s="129"/>
      <c r="AD584" s="129"/>
      <c r="AE584" s="129"/>
      <c r="AF584" s="132"/>
      <c r="AG584" s="143" t="b">
        <v>0</v>
      </c>
      <c r="AH584" s="143"/>
      <c r="AI584" s="143"/>
      <c r="AJ584" s="143"/>
      <c r="AK584" s="143"/>
      <c r="AL584" s="129"/>
      <c r="AM584" s="129"/>
      <c r="AN584" s="139"/>
    </row>
    <row r="585">
      <c r="A585" s="156" t="s">
        <v>1658</v>
      </c>
      <c r="B585" s="119">
        <v>82.3</v>
      </c>
      <c r="C585" s="133" t="s">
        <v>75</v>
      </c>
      <c r="D585" s="142"/>
      <c r="E585" s="122"/>
      <c r="F585" s="136"/>
      <c r="G585" s="124">
        <v>2548.0</v>
      </c>
      <c r="H585" s="125">
        <v>1435.0</v>
      </c>
      <c r="I585" s="125">
        <v>659.0</v>
      </c>
      <c r="J585" s="125">
        <v>254.0</v>
      </c>
      <c r="K585" s="125">
        <v>96.0</v>
      </c>
      <c r="L585" s="125">
        <v>105.0</v>
      </c>
      <c r="M585" s="126">
        <v>85.0</v>
      </c>
      <c r="N585" s="127">
        <v>86.0</v>
      </c>
      <c r="O585" s="146"/>
      <c r="P585" s="138">
        <v>76.0</v>
      </c>
      <c r="Q585" s="122" t="b">
        <v>0</v>
      </c>
      <c r="R585" s="128"/>
      <c r="S585" s="128"/>
      <c r="T585" s="128"/>
      <c r="U585" s="128"/>
      <c r="V585" s="129"/>
      <c r="W585" s="130" t="s">
        <v>84</v>
      </c>
      <c r="X585" s="130" t="s">
        <v>315</v>
      </c>
      <c r="Y585" s="130" t="s">
        <v>123</v>
      </c>
      <c r="Z585" s="133" t="b">
        <v>1</v>
      </c>
      <c r="AA585" s="145"/>
      <c r="AB585" s="130" t="s">
        <v>412</v>
      </c>
      <c r="AC585" s="129"/>
      <c r="AD585" s="129"/>
      <c r="AE585" s="129"/>
      <c r="AF585" s="132"/>
      <c r="AG585" s="143" t="b">
        <v>0</v>
      </c>
      <c r="AH585" s="143"/>
      <c r="AI585" s="143"/>
      <c r="AJ585" s="143"/>
      <c r="AK585" s="143"/>
      <c r="AL585" s="129"/>
      <c r="AM585" s="129"/>
      <c r="AN585" s="139"/>
    </row>
    <row r="586">
      <c r="A586" s="118" t="s">
        <v>1659</v>
      </c>
      <c r="B586" s="119">
        <v>82.3</v>
      </c>
      <c r="C586" s="134" t="s">
        <v>75</v>
      </c>
      <c r="D586" s="142"/>
      <c r="E586" s="135"/>
      <c r="F586" s="136"/>
      <c r="G586" s="124">
        <v>13165.0</v>
      </c>
      <c r="H586" s="125">
        <v>5900.0</v>
      </c>
      <c r="I586" s="125">
        <v>3716.0</v>
      </c>
      <c r="J586" s="125">
        <v>1789.0</v>
      </c>
      <c r="K586" s="125">
        <v>839.0</v>
      </c>
      <c r="L586" s="125">
        <v>922.0</v>
      </c>
      <c r="M586" s="126">
        <v>79.0</v>
      </c>
      <c r="N586" s="127">
        <v>88.0</v>
      </c>
      <c r="O586" s="146"/>
      <c r="P586" s="127">
        <v>80.0</v>
      </c>
      <c r="Q586" s="122" t="b">
        <v>0</v>
      </c>
      <c r="R586" s="133"/>
      <c r="S586" s="143"/>
      <c r="T586" s="133"/>
      <c r="U586" s="133"/>
      <c r="V586" s="130"/>
      <c r="W586" s="130" t="s">
        <v>84</v>
      </c>
      <c r="X586" s="130" t="s">
        <v>85</v>
      </c>
      <c r="Y586" s="130" t="s">
        <v>86</v>
      </c>
      <c r="Z586" s="131" t="b">
        <v>1</v>
      </c>
      <c r="AA586" s="131">
        <v>0.029166666666666667</v>
      </c>
      <c r="AB586" s="130"/>
      <c r="AC586" s="130"/>
      <c r="AD586" s="129" t="s">
        <v>241</v>
      </c>
      <c r="AE586" s="129"/>
      <c r="AF586" s="132"/>
      <c r="AG586" s="143" t="b">
        <v>0</v>
      </c>
      <c r="AH586" s="143"/>
      <c r="AI586" s="143"/>
      <c r="AJ586" s="143"/>
      <c r="AK586" s="143"/>
      <c r="AL586" s="129"/>
      <c r="AM586" s="129" t="str">
        <f>IFERROR(__xludf.DUMMYFUNCTION("""COMPUTED_VALUE"""),"Beach")</f>
        <v>Beach</v>
      </c>
      <c r="AN586" s="139"/>
    </row>
    <row r="587">
      <c r="A587" s="118" t="s">
        <v>1660</v>
      </c>
      <c r="B587" s="119">
        <v>82.3</v>
      </c>
      <c r="C587" s="134" t="s">
        <v>75</v>
      </c>
      <c r="D587" s="121"/>
      <c r="E587" s="135"/>
      <c r="F587" s="136"/>
      <c r="G587" s="124">
        <v>3738.0</v>
      </c>
      <c r="H587" s="125">
        <v>2307.0</v>
      </c>
      <c r="I587" s="125">
        <v>683.0</v>
      </c>
      <c r="J587" s="125">
        <v>365.0</v>
      </c>
      <c r="K587" s="125">
        <v>194.0</v>
      </c>
      <c r="L587" s="125">
        <v>189.0</v>
      </c>
      <c r="M587" s="126">
        <v>85.0</v>
      </c>
      <c r="N587" s="127">
        <v>84.0</v>
      </c>
      <c r="O587" s="146"/>
      <c r="P587" s="127">
        <v>78.0</v>
      </c>
      <c r="Q587" s="122" t="b">
        <v>0</v>
      </c>
      <c r="R587" s="133"/>
      <c r="S587" s="143"/>
      <c r="T587" s="133"/>
      <c r="U587" s="133"/>
      <c r="V587" s="129"/>
      <c r="W587" s="130" t="s">
        <v>84</v>
      </c>
      <c r="X587" s="130" t="s">
        <v>665</v>
      </c>
      <c r="Y587" s="144" t="s">
        <v>666</v>
      </c>
      <c r="Z587" s="131" t="b">
        <v>1</v>
      </c>
      <c r="AA587" s="131">
        <v>0.014583333333333334</v>
      </c>
      <c r="AB587" s="129"/>
      <c r="AC587" s="129"/>
      <c r="AD587" s="130" t="s">
        <v>241</v>
      </c>
      <c r="AE587" s="129"/>
      <c r="AF587" s="132"/>
      <c r="AG587" s="143" t="b">
        <v>1</v>
      </c>
      <c r="AH587" s="143"/>
      <c r="AI587" s="143"/>
      <c r="AJ587" s="143"/>
      <c r="AK587" s="143"/>
      <c r="AL587" s="129"/>
      <c r="AM587" s="129" t="str">
        <f>IFERROR(__xludf.DUMMYFUNCTION("""COMPUTED_VALUE"""),"Beach")</f>
        <v>Beach</v>
      </c>
      <c r="AN587" s="139"/>
    </row>
    <row r="588">
      <c r="A588" s="118" t="s">
        <v>1661</v>
      </c>
      <c r="B588" s="119">
        <v>82.3</v>
      </c>
      <c r="C588" s="134" t="s">
        <v>75</v>
      </c>
      <c r="D588" s="121"/>
      <c r="E588" s="135"/>
      <c r="F588" s="136"/>
      <c r="G588" s="124">
        <v>11239.0</v>
      </c>
      <c r="H588" s="125">
        <v>5172.0</v>
      </c>
      <c r="I588" s="125">
        <v>2562.0</v>
      </c>
      <c r="J588" s="125">
        <v>1461.0</v>
      </c>
      <c r="K588" s="125">
        <v>937.0</v>
      </c>
      <c r="L588" s="125">
        <v>1108.0</v>
      </c>
      <c r="M588" s="126">
        <v>77.0</v>
      </c>
      <c r="N588" s="127">
        <v>92.0</v>
      </c>
      <c r="O588" s="146"/>
      <c r="P588" s="127">
        <v>78.0</v>
      </c>
      <c r="Q588" s="122" t="b">
        <v>0</v>
      </c>
      <c r="R588" s="133"/>
      <c r="S588" s="143">
        <v>6.0</v>
      </c>
      <c r="T588" s="133"/>
      <c r="U588" s="133"/>
      <c r="V588" s="130"/>
      <c r="W588" s="130" t="s">
        <v>193</v>
      </c>
      <c r="X588" s="130" t="s">
        <v>225</v>
      </c>
      <c r="Y588" s="130" t="s">
        <v>195</v>
      </c>
      <c r="Z588" s="131" t="b">
        <v>1</v>
      </c>
      <c r="AA588" s="131">
        <v>0.018055555555555554</v>
      </c>
      <c r="AB588" s="130"/>
      <c r="AC588" s="130"/>
      <c r="AD588" s="129" t="s">
        <v>241</v>
      </c>
      <c r="AE588" s="129"/>
      <c r="AF588" s="132"/>
      <c r="AG588" s="143" t="b">
        <v>0</v>
      </c>
      <c r="AH588" s="143">
        <v>865.0</v>
      </c>
      <c r="AI588" s="143">
        <v>1999.0</v>
      </c>
      <c r="AJ588" s="143">
        <v>2016.0</v>
      </c>
      <c r="AK588" s="143">
        <v>3.0</v>
      </c>
      <c r="AL588" s="129"/>
      <c r="AM588" s="129" t="str">
        <f>IFERROR(__xludf.DUMMYFUNCTION("""COMPUTED_VALUE"""),"Beach")</f>
        <v>Beach</v>
      </c>
      <c r="AN588" s="139"/>
    </row>
    <row r="589">
      <c r="A589" s="118" t="s">
        <v>1662</v>
      </c>
      <c r="B589" s="119">
        <v>82.3</v>
      </c>
      <c r="C589" s="134" t="s">
        <v>75</v>
      </c>
      <c r="D589" s="142"/>
      <c r="E589" s="135"/>
      <c r="F589" s="136"/>
      <c r="G589" s="124">
        <v>5406.0</v>
      </c>
      <c r="H589" s="125">
        <v>2961.0</v>
      </c>
      <c r="I589" s="125">
        <v>1255.0</v>
      </c>
      <c r="J589" s="125">
        <v>631.0</v>
      </c>
      <c r="K589" s="125">
        <v>268.0</v>
      </c>
      <c r="L589" s="125">
        <v>293.0</v>
      </c>
      <c r="M589" s="126">
        <v>83.0</v>
      </c>
      <c r="N589" s="138">
        <v>82.0</v>
      </c>
      <c r="O589" s="138">
        <v>82.0</v>
      </c>
      <c r="P589" s="127">
        <v>82.0</v>
      </c>
      <c r="Q589" s="135" t="b">
        <v>0</v>
      </c>
      <c r="R589" s="133"/>
      <c r="S589" s="143"/>
      <c r="T589" s="133"/>
      <c r="U589" s="133"/>
      <c r="V589" s="129"/>
      <c r="W589" s="130" t="s">
        <v>96</v>
      </c>
      <c r="X589" s="130" t="s">
        <v>258</v>
      </c>
      <c r="Y589" s="130" t="s">
        <v>1663</v>
      </c>
      <c r="Z589" s="133" t="b">
        <v>0</v>
      </c>
      <c r="AA589" s="131">
        <v>0.01597222222222222</v>
      </c>
      <c r="AB589" s="130" t="s">
        <v>451</v>
      </c>
      <c r="AC589" s="129"/>
      <c r="AD589" s="129" t="s">
        <v>241</v>
      </c>
      <c r="AE589" s="129"/>
      <c r="AF589" s="132"/>
      <c r="AG589" s="143" t="b">
        <v>0</v>
      </c>
      <c r="AH589" s="143"/>
      <c r="AI589" s="143"/>
      <c r="AJ589" s="143"/>
      <c r="AK589" s="143"/>
      <c r="AL589" s="129"/>
      <c r="AM589" s="129" t="str">
        <f>IFERROR(__xludf.DUMMYFUNCTION("""COMPUTED_VALUE"""),"Beach")</f>
        <v>Beach</v>
      </c>
      <c r="AN589" s="139"/>
    </row>
    <row r="590">
      <c r="A590" s="118" t="s">
        <v>1664</v>
      </c>
      <c r="B590" s="119">
        <v>82.3</v>
      </c>
      <c r="C590" s="120" t="s">
        <v>68</v>
      </c>
      <c r="D590" s="142"/>
      <c r="E590" s="122"/>
      <c r="F590" s="136"/>
      <c r="G590" s="124">
        <v>1607.0</v>
      </c>
      <c r="H590" s="125">
        <v>1119.0</v>
      </c>
      <c r="I590" s="125">
        <v>231.0</v>
      </c>
      <c r="J590" s="125">
        <v>97.0</v>
      </c>
      <c r="K590" s="125">
        <v>57.0</v>
      </c>
      <c r="L590" s="125">
        <v>103.0</v>
      </c>
      <c r="M590" s="126">
        <v>87.0</v>
      </c>
      <c r="N590" s="138">
        <v>80.0</v>
      </c>
      <c r="O590" s="127"/>
      <c r="P590" s="127">
        <v>80.0</v>
      </c>
      <c r="Q590" s="122" t="b">
        <v>0</v>
      </c>
      <c r="R590" s="128"/>
      <c r="S590" s="128"/>
      <c r="T590" s="128"/>
      <c r="U590" s="128"/>
      <c r="V590" s="129"/>
      <c r="W590" s="130" t="s">
        <v>84</v>
      </c>
      <c r="X590" s="130" t="s">
        <v>85</v>
      </c>
      <c r="Y590" s="130" t="s">
        <v>86</v>
      </c>
      <c r="Z590" s="133" t="b">
        <v>1</v>
      </c>
      <c r="AA590" s="145"/>
      <c r="AB590" s="129"/>
      <c r="AC590" s="130"/>
      <c r="AD590" s="144"/>
      <c r="AE590" s="129"/>
      <c r="AF590" s="132"/>
      <c r="AG590" s="143" t="b">
        <v>0</v>
      </c>
      <c r="AH590" s="143"/>
      <c r="AI590" s="143"/>
      <c r="AJ590" s="143"/>
      <c r="AK590" s="143"/>
      <c r="AL590" s="129"/>
      <c r="AM590" s="129"/>
      <c r="AN590" s="128"/>
    </row>
    <row r="591" hidden="1">
      <c r="A591" s="118" t="s">
        <v>1665</v>
      </c>
      <c r="B591" s="119">
        <v>78.0</v>
      </c>
      <c r="C591" s="134" t="s">
        <v>75</v>
      </c>
      <c r="D591" s="150"/>
      <c r="E591" s="135"/>
      <c r="F591" s="158"/>
      <c r="G591" s="152">
        <v>6404.0</v>
      </c>
      <c r="H591" s="143"/>
      <c r="I591" s="143"/>
      <c r="J591" s="143"/>
      <c r="K591" s="143"/>
      <c r="L591" s="143"/>
      <c r="M591" s="126"/>
      <c r="N591" s="127">
        <v>82.0</v>
      </c>
      <c r="O591" s="146"/>
      <c r="P591" s="127">
        <v>74.0</v>
      </c>
      <c r="Q591" s="135" t="b">
        <v>0</v>
      </c>
      <c r="R591" s="133"/>
      <c r="S591" s="143"/>
      <c r="T591" s="133" t="s">
        <v>1613</v>
      </c>
      <c r="U591" s="133"/>
      <c r="V591" s="130" t="s">
        <v>531</v>
      </c>
      <c r="W591" s="130" t="s">
        <v>193</v>
      </c>
      <c r="X591" s="130" t="s">
        <v>1546</v>
      </c>
      <c r="Y591" s="130" t="s">
        <v>1070</v>
      </c>
      <c r="Z591" s="131" t="b">
        <v>1</v>
      </c>
      <c r="AA591" s="131">
        <v>0.016666666666666666</v>
      </c>
      <c r="AB591" s="130"/>
      <c r="AC591" s="129"/>
      <c r="AD591" s="129" t="s">
        <v>241</v>
      </c>
      <c r="AE591" s="129"/>
      <c r="AF591" s="132"/>
      <c r="AG591" s="143" t="b">
        <v>0</v>
      </c>
      <c r="AH591" s="143">
        <v>355.0</v>
      </c>
      <c r="AI591" s="143">
        <v>1989.0</v>
      </c>
      <c r="AJ591" s="143">
        <v>2015.0</v>
      </c>
      <c r="AK591" s="143">
        <v>3.0</v>
      </c>
      <c r="AL591" s="129"/>
      <c r="AM591" s="129" t="str">
        <f>IFERROR(__xludf.DUMMYFUNCTION("""COMPUTED_VALUE"""),"Beach")</f>
        <v>Beach</v>
      </c>
      <c r="AN591" s="139"/>
    </row>
    <row r="592">
      <c r="A592" s="118" t="s">
        <v>1666</v>
      </c>
      <c r="B592" s="119">
        <v>82.0</v>
      </c>
      <c r="C592" s="120" t="s">
        <v>68</v>
      </c>
      <c r="D592" s="121">
        <v>2769.44</v>
      </c>
      <c r="E592" s="122">
        <f>IFERROR(__xludf.DUMMYFUNCTION("""COMPUTED_VALUE"""),3824.7348350559996)</f>
        <v>3824.734835</v>
      </c>
      <c r="F592" s="136">
        <v>0.72</v>
      </c>
      <c r="G592" s="124">
        <v>5546.0</v>
      </c>
      <c r="H592" s="125">
        <v>2701.0</v>
      </c>
      <c r="I592" s="125">
        <v>1329.0</v>
      </c>
      <c r="J592" s="125">
        <v>701.0</v>
      </c>
      <c r="K592" s="125">
        <v>411.0</v>
      </c>
      <c r="L592" s="125">
        <v>405.0</v>
      </c>
      <c r="M592" s="126">
        <v>80.0</v>
      </c>
      <c r="N592" s="127"/>
      <c r="O592" s="127"/>
      <c r="P592" s="127">
        <v>84.0</v>
      </c>
      <c r="Q592" s="122" t="b">
        <v>0</v>
      </c>
      <c r="R592" s="133"/>
      <c r="S592" s="133">
        <v>7.0</v>
      </c>
      <c r="T592" s="133"/>
      <c r="U592" s="133"/>
      <c r="V592" s="130"/>
      <c r="W592" s="130" t="s">
        <v>219</v>
      </c>
      <c r="X592" s="130" t="s">
        <v>1293</v>
      </c>
      <c r="Y592" s="144" t="s">
        <v>221</v>
      </c>
      <c r="Z592" s="131" t="b">
        <v>1</v>
      </c>
      <c r="AA592" s="131">
        <v>0.04027777777777778</v>
      </c>
      <c r="AB592" s="130" t="s">
        <v>753</v>
      </c>
      <c r="AC592" s="130" t="s">
        <v>621</v>
      </c>
      <c r="AD592" s="130" t="s">
        <v>241</v>
      </c>
      <c r="AE592" s="129"/>
      <c r="AF592" s="132"/>
      <c r="AG592" s="133" t="b">
        <v>0</v>
      </c>
      <c r="AH592" s="133">
        <v>525.0</v>
      </c>
      <c r="AI592" s="133">
        <v>2012.0</v>
      </c>
      <c r="AJ592" s="143"/>
      <c r="AK592" s="133">
        <v>7.0</v>
      </c>
      <c r="AL592" s="129" t="str">
        <f>IFERROR(__xludf.DUMMYFUNCTION("""COMPUTED_VALUE"""),"Modern")</f>
        <v>Modern</v>
      </c>
      <c r="AM592" s="129" t="str">
        <f>IFERROR(__xludf.DUMMYFUNCTION("""COMPUTED_VALUE"""),"Beach")</f>
        <v>Beach</v>
      </c>
      <c r="AN592" s="128"/>
    </row>
    <row r="593">
      <c r="A593" s="140" t="s">
        <v>1667</v>
      </c>
      <c r="B593" s="119">
        <v>82.0</v>
      </c>
      <c r="C593" s="133" t="s">
        <v>75</v>
      </c>
      <c r="D593" s="142"/>
      <c r="E593" s="122"/>
      <c r="F593" s="136"/>
      <c r="G593" s="124">
        <v>1591.0</v>
      </c>
      <c r="H593" s="125">
        <v>749.0</v>
      </c>
      <c r="I593" s="125">
        <v>550.0</v>
      </c>
      <c r="J593" s="125">
        <v>189.0</v>
      </c>
      <c r="K593" s="125">
        <v>70.0</v>
      </c>
      <c r="L593" s="125">
        <v>33.0</v>
      </c>
      <c r="M593" s="126">
        <v>84.0</v>
      </c>
      <c r="N593" s="127">
        <v>84.0</v>
      </c>
      <c r="O593" s="146"/>
      <c r="P593" s="127">
        <v>78.0</v>
      </c>
      <c r="Q593" s="126" t="b">
        <v>0</v>
      </c>
      <c r="R593" s="128"/>
      <c r="S593" s="128"/>
      <c r="T593" s="128"/>
      <c r="U593" s="128"/>
      <c r="V593" s="129"/>
      <c r="W593" s="144" t="s">
        <v>1668</v>
      </c>
      <c r="X593" s="144"/>
      <c r="Y593" s="144"/>
      <c r="Z593" s="145" t="b">
        <v>0</v>
      </c>
      <c r="AA593" s="145"/>
      <c r="AB593" s="129"/>
      <c r="AC593" s="129"/>
      <c r="AD593" s="129"/>
      <c r="AE593" s="129"/>
      <c r="AF593" s="132"/>
      <c r="AG593" s="143" t="b">
        <v>0</v>
      </c>
      <c r="AH593" s="143"/>
      <c r="AI593" s="143"/>
      <c r="AJ593" s="143"/>
      <c r="AK593" s="143"/>
      <c r="AL593" s="129"/>
      <c r="AM593" s="129"/>
      <c r="AN593" s="139"/>
    </row>
    <row r="594">
      <c r="A594" s="118" t="s">
        <v>1669</v>
      </c>
      <c r="B594" s="119">
        <v>82.0</v>
      </c>
      <c r="C594" s="134" t="s">
        <v>75</v>
      </c>
      <c r="D594" s="121"/>
      <c r="E594" s="135"/>
      <c r="F594" s="136"/>
      <c r="G594" s="124">
        <v>10313.0</v>
      </c>
      <c r="H594" s="125">
        <v>3981.0</v>
      </c>
      <c r="I594" s="125">
        <v>3041.0</v>
      </c>
      <c r="J594" s="125">
        <v>1595.0</v>
      </c>
      <c r="K594" s="125">
        <v>794.0</v>
      </c>
      <c r="L594" s="125">
        <v>906.0</v>
      </c>
      <c r="M594" s="126">
        <v>76.0</v>
      </c>
      <c r="N594" s="127">
        <v>88.0</v>
      </c>
      <c r="O594" s="146"/>
      <c r="P594" s="127">
        <v>82.0</v>
      </c>
      <c r="Q594" s="135" t="b">
        <v>0</v>
      </c>
      <c r="R594" s="133"/>
      <c r="S594" s="143">
        <v>7.0</v>
      </c>
      <c r="T594" s="133"/>
      <c r="U594" s="133"/>
      <c r="V594" s="129"/>
      <c r="W594" s="130" t="s">
        <v>193</v>
      </c>
      <c r="X594" s="130" t="s">
        <v>225</v>
      </c>
      <c r="Y594" s="130" t="s">
        <v>195</v>
      </c>
      <c r="Z594" s="131" t="b">
        <v>1</v>
      </c>
      <c r="AA594" s="131">
        <v>0.017361111111111112</v>
      </c>
      <c r="AB594" s="130" t="s">
        <v>655</v>
      </c>
      <c r="AC594" s="129"/>
      <c r="AD594" s="144" t="s">
        <v>1591</v>
      </c>
      <c r="AE594" s="144"/>
      <c r="AF594" s="132"/>
      <c r="AG594" s="143" t="b">
        <v>0</v>
      </c>
      <c r="AH594" s="143">
        <v>612.0</v>
      </c>
      <c r="AI594" s="143">
        <v>2011.0</v>
      </c>
      <c r="AJ594" s="133">
        <v>2024.0</v>
      </c>
      <c r="AK594" s="143">
        <v>3.0</v>
      </c>
      <c r="AL594" s="129"/>
      <c r="AM594" s="129" t="str">
        <f>IFERROR(__xludf.DUMMYFUNCTION("""COMPUTED_VALUE"""),"Beach, Big Waterslides")</f>
        <v>Beach, Big Waterslides</v>
      </c>
      <c r="AN594" s="139"/>
    </row>
    <row r="595">
      <c r="A595" s="118" t="s">
        <v>1670</v>
      </c>
      <c r="B595" s="119">
        <v>82.0</v>
      </c>
      <c r="C595" s="134" t="s">
        <v>75</v>
      </c>
      <c r="D595" s="142"/>
      <c r="E595" s="135"/>
      <c r="F595" s="136"/>
      <c r="G595" s="124">
        <v>12929.0</v>
      </c>
      <c r="H595" s="125">
        <v>5845.0</v>
      </c>
      <c r="I595" s="125">
        <v>3729.0</v>
      </c>
      <c r="J595" s="125">
        <v>1795.0</v>
      </c>
      <c r="K595" s="125">
        <v>867.0</v>
      </c>
      <c r="L595" s="125">
        <v>695.0</v>
      </c>
      <c r="M595" s="126">
        <v>80.0</v>
      </c>
      <c r="N595" s="127">
        <v>88.0</v>
      </c>
      <c r="O595" s="146"/>
      <c r="P595" s="138">
        <v>78.0</v>
      </c>
      <c r="Q595" s="137" t="b">
        <v>0</v>
      </c>
      <c r="R595" s="128"/>
      <c r="S595" s="128"/>
      <c r="T595" s="128"/>
      <c r="U595" s="128"/>
      <c r="V595" s="129"/>
      <c r="W595" s="130" t="s">
        <v>276</v>
      </c>
      <c r="X595" s="130" t="s">
        <v>576</v>
      </c>
      <c r="Y595" s="130" t="s">
        <v>327</v>
      </c>
      <c r="Z595" s="133" t="b">
        <v>1</v>
      </c>
      <c r="AA595" s="145"/>
      <c r="AB595" s="129"/>
      <c r="AC595" s="129"/>
      <c r="AD595" s="129"/>
      <c r="AE595" s="129"/>
      <c r="AF595" s="132"/>
      <c r="AG595" s="128" t="b">
        <v>0</v>
      </c>
      <c r="AH595" s="128"/>
      <c r="AI595" s="128"/>
      <c r="AJ595" s="128"/>
      <c r="AK595" s="128"/>
      <c r="AL595" s="129"/>
      <c r="AM595" s="129"/>
      <c r="AN595" s="139"/>
    </row>
    <row r="596">
      <c r="A596" s="118" t="s">
        <v>1671</v>
      </c>
      <c r="B596" s="119">
        <v>82.0</v>
      </c>
      <c r="C596" s="134" t="s">
        <v>75</v>
      </c>
      <c r="D596" s="121"/>
      <c r="E596" s="135"/>
      <c r="F596" s="136"/>
      <c r="G596" s="124">
        <v>7931.0</v>
      </c>
      <c r="H596" s="125">
        <v>3460.0</v>
      </c>
      <c r="I596" s="125">
        <v>2140.0</v>
      </c>
      <c r="J596" s="125">
        <v>1143.0</v>
      </c>
      <c r="K596" s="125">
        <v>609.0</v>
      </c>
      <c r="L596" s="125">
        <v>583.0</v>
      </c>
      <c r="M596" s="126">
        <v>78.0</v>
      </c>
      <c r="N596" s="127">
        <v>88.0</v>
      </c>
      <c r="O596" s="146"/>
      <c r="P596" s="138">
        <v>80.0</v>
      </c>
      <c r="Q596" s="122" t="b">
        <v>0</v>
      </c>
      <c r="R596" s="133"/>
      <c r="S596" s="143"/>
      <c r="T596" s="133"/>
      <c r="U596" s="133"/>
      <c r="V596" s="129"/>
      <c r="W596" s="130" t="s">
        <v>84</v>
      </c>
      <c r="X596" s="130" t="s">
        <v>119</v>
      </c>
      <c r="Y596" s="130" t="s">
        <v>120</v>
      </c>
      <c r="Z596" s="131" t="b">
        <v>1</v>
      </c>
      <c r="AA596" s="131">
        <v>0.004166666666666667</v>
      </c>
      <c r="AB596" s="129"/>
      <c r="AC596" s="129"/>
      <c r="AD596" s="130" t="s">
        <v>241</v>
      </c>
      <c r="AE596" s="129"/>
      <c r="AF596" s="132"/>
      <c r="AG596" s="143" t="b">
        <v>1</v>
      </c>
      <c r="AH596" s="143"/>
      <c r="AI596" s="143"/>
      <c r="AJ596" s="143"/>
      <c r="AK596" s="143"/>
      <c r="AL596" s="129"/>
      <c r="AM596" s="129" t="str">
        <f>IFERROR(__xludf.DUMMYFUNCTION("""COMPUTED_VALUE"""),"Beach")</f>
        <v>Beach</v>
      </c>
      <c r="AN596" s="139"/>
    </row>
    <row r="597">
      <c r="A597" s="118" t="s">
        <v>1672</v>
      </c>
      <c r="B597" s="119">
        <v>82.0</v>
      </c>
      <c r="C597" s="134" t="s">
        <v>75</v>
      </c>
      <c r="D597" s="142"/>
      <c r="E597" s="135"/>
      <c r="F597" s="136"/>
      <c r="G597" s="124">
        <v>149.0</v>
      </c>
      <c r="H597" s="125">
        <v>77.0</v>
      </c>
      <c r="I597" s="125">
        <v>18.0</v>
      </c>
      <c r="J597" s="125">
        <v>21.0</v>
      </c>
      <c r="K597" s="125">
        <v>14.0</v>
      </c>
      <c r="L597" s="125">
        <v>19.0</v>
      </c>
      <c r="M597" s="126">
        <v>76.0</v>
      </c>
      <c r="N597" s="138">
        <v>88.0</v>
      </c>
      <c r="O597" s="146"/>
      <c r="P597" s="138">
        <v>82.0</v>
      </c>
      <c r="Q597" s="122" t="b">
        <v>0</v>
      </c>
      <c r="R597" s="133"/>
      <c r="S597" s="143"/>
      <c r="T597" s="133"/>
      <c r="U597" s="133"/>
      <c r="V597" s="130"/>
      <c r="W597" s="130" t="s">
        <v>193</v>
      </c>
      <c r="X597" s="130" t="s">
        <v>225</v>
      </c>
      <c r="Y597" s="130" t="s">
        <v>195</v>
      </c>
      <c r="Z597" s="131" t="b">
        <v>1</v>
      </c>
      <c r="AA597" s="131">
        <v>0.01875</v>
      </c>
      <c r="AB597" s="130"/>
      <c r="AC597" s="130"/>
      <c r="AD597" s="129" t="s">
        <v>241</v>
      </c>
      <c r="AE597" s="129"/>
      <c r="AF597" s="132"/>
      <c r="AG597" s="143" t="b">
        <v>0</v>
      </c>
      <c r="AH597" s="143"/>
      <c r="AI597" s="143"/>
      <c r="AJ597" s="143"/>
      <c r="AK597" s="143"/>
      <c r="AL597" s="129"/>
      <c r="AM597" s="129" t="str">
        <f>IFERROR(__xludf.DUMMYFUNCTION("""COMPUTED_VALUE"""),"Beach")</f>
        <v>Beach</v>
      </c>
      <c r="AN597" s="139"/>
    </row>
    <row r="598">
      <c r="A598" s="118" t="s">
        <v>1673</v>
      </c>
      <c r="B598" s="119">
        <v>82.0</v>
      </c>
      <c r="C598" s="120" t="s">
        <v>68</v>
      </c>
      <c r="D598" s="142"/>
      <c r="E598" s="122"/>
      <c r="F598" s="136"/>
      <c r="G598" s="124">
        <v>13315.0</v>
      </c>
      <c r="H598" s="125">
        <v>7083.0</v>
      </c>
      <c r="I598" s="125">
        <v>2987.0</v>
      </c>
      <c r="J598" s="125">
        <v>1570.0</v>
      </c>
      <c r="K598" s="125">
        <v>938.0</v>
      </c>
      <c r="L598" s="125">
        <v>738.0</v>
      </c>
      <c r="M598" s="126">
        <v>82.0</v>
      </c>
      <c r="N598" s="127">
        <v>82.0</v>
      </c>
      <c r="O598" s="127"/>
      <c r="P598" s="127">
        <v>82.0</v>
      </c>
      <c r="Q598" s="122" t="b">
        <v>0</v>
      </c>
      <c r="R598" s="128"/>
      <c r="S598" s="128"/>
      <c r="T598" s="128"/>
      <c r="U598" s="128"/>
      <c r="V598" s="129"/>
      <c r="W598" s="130" t="s">
        <v>155</v>
      </c>
      <c r="X598" s="130" t="s">
        <v>1579</v>
      </c>
      <c r="Y598" s="130" t="s">
        <v>157</v>
      </c>
      <c r="Z598" s="131" t="b">
        <v>1</v>
      </c>
      <c r="AA598" s="131">
        <v>0.007638888888888889</v>
      </c>
      <c r="AB598" s="130" t="s">
        <v>386</v>
      </c>
      <c r="AC598" s="130"/>
      <c r="AD598" s="144" t="s">
        <v>241</v>
      </c>
      <c r="AE598" s="129"/>
      <c r="AF598" s="132"/>
      <c r="AG598" s="143" t="b">
        <v>0</v>
      </c>
      <c r="AH598" s="143"/>
      <c r="AI598" s="143"/>
      <c r="AJ598" s="143"/>
      <c r="AK598" s="143"/>
      <c r="AL598" s="129"/>
      <c r="AM598" s="129" t="str">
        <f>IFERROR(__xludf.DUMMYFUNCTION("""COMPUTED_VALUE"""),"Beach")</f>
        <v>Beach</v>
      </c>
      <c r="AN598" s="128"/>
    </row>
    <row r="599">
      <c r="A599" s="118" t="s">
        <v>1674</v>
      </c>
      <c r="B599" s="119">
        <v>82.0</v>
      </c>
      <c r="C599" s="134" t="s">
        <v>75</v>
      </c>
      <c r="D599" s="121"/>
      <c r="E599" s="135"/>
      <c r="F599" s="136"/>
      <c r="G599" s="124">
        <v>3590.0</v>
      </c>
      <c r="H599" s="125">
        <v>1792.0</v>
      </c>
      <c r="I599" s="125">
        <v>1094.0</v>
      </c>
      <c r="J599" s="125">
        <v>394.0</v>
      </c>
      <c r="K599" s="125">
        <v>174.0</v>
      </c>
      <c r="L599" s="125">
        <v>136.0</v>
      </c>
      <c r="M599" s="137">
        <v>84.0</v>
      </c>
      <c r="N599" s="138">
        <v>82.0</v>
      </c>
      <c r="O599" s="138"/>
      <c r="P599" s="138">
        <v>80.0</v>
      </c>
      <c r="Q599" s="135" t="b">
        <v>0</v>
      </c>
      <c r="R599" s="133"/>
      <c r="S599" s="143"/>
      <c r="T599" s="133"/>
      <c r="U599" s="133"/>
      <c r="V599" s="130"/>
      <c r="W599" s="130" t="s">
        <v>642</v>
      </c>
      <c r="X599" s="130" t="s">
        <v>642</v>
      </c>
      <c r="Y599" s="130" t="s">
        <v>644</v>
      </c>
      <c r="Z599" s="131" t="b">
        <v>1</v>
      </c>
      <c r="AA599" s="131">
        <v>0.009722222222222222</v>
      </c>
      <c r="AB599" s="130" t="s">
        <v>451</v>
      </c>
      <c r="AC599" s="130"/>
      <c r="AD599" s="129" t="s">
        <v>241</v>
      </c>
      <c r="AE599" s="129" t="s">
        <v>396</v>
      </c>
      <c r="AF599" s="132"/>
      <c r="AG599" s="143" t="b">
        <v>0</v>
      </c>
      <c r="AH599" s="143"/>
      <c r="AI599" s="143"/>
      <c r="AJ599" s="143"/>
      <c r="AK599" s="143"/>
      <c r="AL599" s="129"/>
      <c r="AM599" s="129" t="str">
        <f>IFERROR(__xludf.DUMMYFUNCTION("""COMPUTED_VALUE"""),"Beach")</f>
        <v>Beach</v>
      </c>
      <c r="AN599" s="139"/>
    </row>
    <row r="600">
      <c r="A600" s="118" t="s">
        <v>1675</v>
      </c>
      <c r="B600" s="119">
        <v>81.8</v>
      </c>
      <c r="C600" s="134" t="s">
        <v>75</v>
      </c>
      <c r="D600" s="121"/>
      <c r="E600" s="135"/>
      <c r="F600" s="136"/>
      <c r="G600" s="124">
        <v>10831.0</v>
      </c>
      <c r="H600" s="125">
        <v>6017.0</v>
      </c>
      <c r="I600" s="125">
        <v>2332.0</v>
      </c>
      <c r="J600" s="125">
        <v>1142.0</v>
      </c>
      <c r="K600" s="125">
        <v>677.0</v>
      </c>
      <c r="L600" s="125">
        <v>656.0</v>
      </c>
      <c r="M600" s="126">
        <v>83.0</v>
      </c>
      <c r="N600" s="127">
        <v>88.0</v>
      </c>
      <c r="O600" s="127">
        <v>80.0</v>
      </c>
      <c r="P600" s="138">
        <v>76.0</v>
      </c>
      <c r="Q600" s="122" t="b">
        <v>0</v>
      </c>
      <c r="R600" s="133"/>
      <c r="S600" s="143"/>
      <c r="T600" s="133" t="s">
        <v>492</v>
      </c>
      <c r="U600" s="133"/>
      <c r="V600" s="130"/>
      <c r="W600" s="130" t="s">
        <v>84</v>
      </c>
      <c r="X600" s="130" t="s">
        <v>337</v>
      </c>
      <c r="Y600" s="130" t="s">
        <v>86</v>
      </c>
      <c r="Z600" s="131" t="b">
        <v>1</v>
      </c>
      <c r="AA600" s="131">
        <v>0.05347222222222222</v>
      </c>
      <c r="AB600" s="130"/>
      <c r="AC600" s="130"/>
      <c r="AD600" s="130" t="s">
        <v>1518</v>
      </c>
      <c r="AE600" s="130" t="s">
        <v>94</v>
      </c>
      <c r="AF600" s="132"/>
      <c r="AG600" s="143" t="b">
        <v>0</v>
      </c>
      <c r="AH600" s="143"/>
      <c r="AI600" s="143"/>
      <c r="AJ600" s="143"/>
      <c r="AK600" s="143"/>
      <c r="AL600" s="129"/>
      <c r="AM600" s="129" t="str">
        <f>IFERROR(__xludf.DUMMYFUNCTION("""COMPUTED_VALUE"""),"Beach, Kids Club for Under 4")</f>
        <v>Beach, Kids Club for Under 4</v>
      </c>
      <c r="AN600" s="139"/>
    </row>
    <row r="601">
      <c r="A601" s="118" t="s">
        <v>1676</v>
      </c>
      <c r="B601" s="119">
        <v>81.8</v>
      </c>
      <c r="C601" s="134" t="s">
        <v>75</v>
      </c>
      <c r="D601" s="121"/>
      <c r="E601" s="135"/>
      <c r="F601" s="136"/>
      <c r="G601" s="124">
        <v>7189.0</v>
      </c>
      <c r="H601" s="125">
        <v>4862.0</v>
      </c>
      <c r="I601" s="125">
        <v>1085.0</v>
      </c>
      <c r="J601" s="125">
        <v>576.0</v>
      </c>
      <c r="K601" s="125">
        <v>267.0</v>
      </c>
      <c r="L601" s="125">
        <v>399.0</v>
      </c>
      <c r="M601" s="126">
        <v>87.0</v>
      </c>
      <c r="N601" s="127">
        <v>92.0</v>
      </c>
      <c r="O601" s="127">
        <v>74.0</v>
      </c>
      <c r="P601" s="127">
        <v>74.0</v>
      </c>
      <c r="Q601" s="135" t="b">
        <v>0</v>
      </c>
      <c r="R601" s="133">
        <v>4.0</v>
      </c>
      <c r="S601" s="143">
        <v>8.0</v>
      </c>
      <c r="T601" s="133"/>
      <c r="U601" s="133"/>
      <c r="V601" s="130"/>
      <c r="W601" s="130" t="s">
        <v>193</v>
      </c>
      <c r="X601" s="130" t="s">
        <v>195</v>
      </c>
      <c r="Y601" s="130" t="s">
        <v>195</v>
      </c>
      <c r="Z601" s="131" t="b">
        <v>1</v>
      </c>
      <c r="AA601" s="131"/>
      <c r="AB601" s="130"/>
      <c r="AC601" s="130"/>
      <c r="AD601" s="144"/>
      <c r="AE601" s="144"/>
      <c r="AF601" s="132"/>
      <c r="AG601" s="143" t="b">
        <v>0</v>
      </c>
      <c r="AH601" s="143">
        <v>208.0</v>
      </c>
      <c r="AI601" s="143">
        <v>2016.0</v>
      </c>
      <c r="AJ601" s="143"/>
      <c r="AK601" s="143"/>
      <c r="AL601" s="129"/>
      <c r="AM601" s="129"/>
      <c r="AN601" s="139"/>
    </row>
    <row r="602">
      <c r="A602" s="118" t="s">
        <v>1677</v>
      </c>
      <c r="B602" s="119">
        <v>81.7</v>
      </c>
      <c r="C602" s="134" t="s">
        <v>75</v>
      </c>
      <c r="D602" s="142"/>
      <c r="E602" s="122"/>
      <c r="F602" s="136"/>
      <c r="G602" s="124">
        <v>5640.0</v>
      </c>
      <c r="H602" s="125">
        <v>2102.0</v>
      </c>
      <c r="I602" s="125">
        <v>1816.0</v>
      </c>
      <c r="J602" s="125">
        <v>871.0</v>
      </c>
      <c r="K602" s="125">
        <v>410.0</v>
      </c>
      <c r="L602" s="125">
        <v>442.0</v>
      </c>
      <c r="M602" s="126">
        <v>77.0</v>
      </c>
      <c r="N602" s="127">
        <v>88.0</v>
      </c>
      <c r="O602" s="146"/>
      <c r="P602" s="127">
        <v>80.0</v>
      </c>
      <c r="Q602" s="126" t="b">
        <v>0</v>
      </c>
      <c r="R602" s="128"/>
      <c r="S602" s="128"/>
      <c r="T602" s="128"/>
      <c r="U602" s="128"/>
      <c r="V602" s="129"/>
      <c r="W602" s="144" t="s">
        <v>84</v>
      </c>
      <c r="X602" s="144"/>
      <c r="Y602" s="144"/>
      <c r="Z602" s="145" t="b">
        <v>0</v>
      </c>
      <c r="AA602" s="145"/>
      <c r="AB602" s="130" t="s">
        <v>655</v>
      </c>
      <c r="AC602" s="129"/>
      <c r="AD602" s="129"/>
      <c r="AE602" s="129"/>
      <c r="AF602" s="132"/>
      <c r="AG602" s="143" t="b">
        <v>0</v>
      </c>
      <c r="AH602" s="143"/>
      <c r="AI602" s="143"/>
      <c r="AJ602" s="143"/>
      <c r="AK602" s="143"/>
      <c r="AL602" s="129"/>
      <c r="AM602" s="129"/>
      <c r="AN602" s="139"/>
    </row>
    <row r="603">
      <c r="A603" s="118" t="s">
        <v>1678</v>
      </c>
      <c r="B603" s="119">
        <v>81.7</v>
      </c>
      <c r="C603" s="134" t="s">
        <v>75</v>
      </c>
      <c r="D603" s="121"/>
      <c r="E603" s="135"/>
      <c r="F603" s="136"/>
      <c r="G603" s="124">
        <v>12300.0</v>
      </c>
      <c r="H603" s="125">
        <v>6556.0</v>
      </c>
      <c r="I603" s="125">
        <v>2987.0</v>
      </c>
      <c r="J603" s="125">
        <v>1320.0</v>
      </c>
      <c r="K603" s="125">
        <v>712.0</v>
      </c>
      <c r="L603" s="125">
        <v>725.0</v>
      </c>
      <c r="M603" s="126">
        <v>83.0</v>
      </c>
      <c r="N603" s="127">
        <v>84.0</v>
      </c>
      <c r="O603" s="146"/>
      <c r="P603" s="127">
        <v>78.0</v>
      </c>
      <c r="Q603" s="122" t="b">
        <v>0</v>
      </c>
      <c r="R603" s="133"/>
      <c r="S603" s="143"/>
      <c r="T603" s="133"/>
      <c r="U603" s="133"/>
      <c r="V603" s="129"/>
      <c r="W603" s="130" t="s">
        <v>84</v>
      </c>
      <c r="X603" s="130" t="s">
        <v>86</v>
      </c>
      <c r="Y603" s="147" t="s">
        <v>86</v>
      </c>
      <c r="Z603" s="131" t="b">
        <v>1</v>
      </c>
      <c r="AA603" s="131">
        <v>0.01875</v>
      </c>
      <c r="AB603" s="129"/>
      <c r="AC603" s="129"/>
      <c r="AD603" s="129" t="s">
        <v>241</v>
      </c>
      <c r="AE603" s="129" t="s">
        <v>396</v>
      </c>
      <c r="AF603" s="132"/>
      <c r="AG603" s="143" t="b">
        <v>0</v>
      </c>
      <c r="AH603" s="143"/>
      <c r="AI603" s="143"/>
      <c r="AJ603" s="143"/>
      <c r="AK603" s="143"/>
      <c r="AL603" s="129"/>
      <c r="AM603" s="129" t="str">
        <f>IFERROR(__xludf.DUMMYFUNCTION("""COMPUTED_VALUE"""),"Beach")</f>
        <v>Beach</v>
      </c>
      <c r="AN603" s="139"/>
    </row>
    <row r="604">
      <c r="A604" s="118" t="s">
        <v>1679</v>
      </c>
      <c r="B604" s="119">
        <v>81.7</v>
      </c>
      <c r="C604" s="134" t="s">
        <v>75</v>
      </c>
      <c r="D604" s="142"/>
      <c r="E604" s="135"/>
      <c r="F604" s="136"/>
      <c r="G604" s="124">
        <v>2005.0</v>
      </c>
      <c r="H604" s="125">
        <v>1099.0</v>
      </c>
      <c r="I604" s="125">
        <v>560.0</v>
      </c>
      <c r="J604" s="125">
        <v>168.0</v>
      </c>
      <c r="K604" s="125">
        <v>81.0</v>
      </c>
      <c r="L604" s="125">
        <v>98.0</v>
      </c>
      <c r="M604" s="126">
        <v>85.0</v>
      </c>
      <c r="N604" s="127">
        <v>88.0</v>
      </c>
      <c r="O604" s="146"/>
      <c r="P604" s="138">
        <v>72.0</v>
      </c>
      <c r="Q604" s="122" t="b">
        <v>0</v>
      </c>
      <c r="R604" s="133"/>
      <c r="S604" s="143">
        <v>7.0</v>
      </c>
      <c r="T604" s="133"/>
      <c r="U604" s="133"/>
      <c r="V604" s="130"/>
      <c r="W604" s="130" t="s">
        <v>84</v>
      </c>
      <c r="X604" s="130" t="s">
        <v>85</v>
      </c>
      <c r="Y604" s="130" t="s">
        <v>86</v>
      </c>
      <c r="Z604" s="131" t="b">
        <v>1</v>
      </c>
      <c r="AA604" s="131">
        <v>0.03958333333333333</v>
      </c>
      <c r="AB604" s="130"/>
      <c r="AC604" s="130"/>
      <c r="AD604" s="129" t="s">
        <v>241</v>
      </c>
      <c r="AE604" s="129"/>
      <c r="AF604" s="132"/>
      <c r="AG604" s="143" t="b">
        <v>0</v>
      </c>
      <c r="AH604" s="143">
        <v>255.0</v>
      </c>
      <c r="AI604" s="143">
        <v>1992.0</v>
      </c>
      <c r="AJ604" s="143"/>
      <c r="AK604" s="143">
        <v>3.0</v>
      </c>
      <c r="AL604" s="129"/>
      <c r="AM604" s="129" t="str">
        <f>IFERROR(__xludf.DUMMYFUNCTION("""COMPUTED_VALUE"""),"Beach")</f>
        <v>Beach</v>
      </c>
      <c r="AN604" s="139"/>
    </row>
    <row r="605">
      <c r="A605" s="118" t="s">
        <v>1680</v>
      </c>
      <c r="B605" s="119">
        <v>81.7</v>
      </c>
      <c r="C605" s="133" t="s">
        <v>75</v>
      </c>
      <c r="D605" s="142"/>
      <c r="E605" s="122"/>
      <c r="F605" s="136"/>
      <c r="G605" s="124">
        <v>93.0</v>
      </c>
      <c r="H605" s="125">
        <v>64.0</v>
      </c>
      <c r="I605" s="125">
        <v>8.0</v>
      </c>
      <c r="J605" s="125">
        <v>7.0</v>
      </c>
      <c r="K605" s="125">
        <v>7.0</v>
      </c>
      <c r="L605" s="125">
        <v>7.0</v>
      </c>
      <c r="M605" s="126">
        <v>85.0</v>
      </c>
      <c r="N605" s="127">
        <v>84.0</v>
      </c>
      <c r="O605" s="146"/>
      <c r="P605" s="138">
        <v>76.0</v>
      </c>
      <c r="Q605" s="122" t="b">
        <v>0</v>
      </c>
      <c r="R605" s="157"/>
      <c r="S605" s="157"/>
      <c r="T605" s="157"/>
      <c r="U605" s="157"/>
      <c r="V605" s="129"/>
      <c r="W605" s="144" t="s">
        <v>84</v>
      </c>
      <c r="X605" s="144" t="s">
        <v>315</v>
      </c>
      <c r="Y605" s="144" t="s">
        <v>123</v>
      </c>
      <c r="Z605" s="133" t="b">
        <v>1</v>
      </c>
      <c r="AA605" s="145"/>
      <c r="AB605" s="129"/>
      <c r="AC605" s="129"/>
      <c r="AD605" s="144"/>
      <c r="AE605" s="144"/>
      <c r="AF605" s="132"/>
      <c r="AG605" s="143" t="b">
        <v>0</v>
      </c>
      <c r="AH605" s="143"/>
      <c r="AI605" s="143"/>
      <c r="AJ605" s="143"/>
      <c r="AK605" s="143"/>
      <c r="AL605" s="129"/>
      <c r="AM605" s="129"/>
      <c r="AN605" s="139"/>
    </row>
    <row r="606">
      <c r="A606" s="118" t="s">
        <v>1681</v>
      </c>
      <c r="B606" s="119">
        <v>81.5</v>
      </c>
      <c r="C606" s="134" t="s">
        <v>75</v>
      </c>
      <c r="D606" s="142"/>
      <c r="E606" s="135"/>
      <c r="F606" s="136"/>
      <c r="G606" s="124">
        <v>3315.0</v>
      </c>
      <c r="H606" s="125">
        <v>1834.0</v>
      </c>
      <c r="I606" s="125">
        <v>765.0</v>
      </c>
      <c r="J606" s="125">
        <v>344.0</v>
      </c>
      <c r="K606" s="125">
        <v>205.0</v>
      </c>
      <c r="L606" s="125">
        <v>173.0</v>
      </c>
      <c r="M606" s="126">
        <v>83.0</v>
      </c>
      <c r="N606" s="138">
        <v>80.0</v>
      </c>
      <c r="O606" s="146"/>
      <c r="P606" s="146"/>
      <c r="Q606" s="126" t="b">
        <v>0</v>
      </c>
      <c r="R606" s="128"/>
      <c r="S606" s="128"/>
      <c r="T606" s="128"/>
      <c r="U606" s="128"/>
      <c r="V606" s="129"/>
      <c r="W606" s="130" t="s">
        <v>276</v>
      </c>
      <c r="X606" s="130" t="s">
        <v>421</v>
      </c>
      <c r="Y606" s="130" t="s">
        <v>327</v>
      </c>
      <c r="Z606" s="133" t="b">
        <v>1</v>
      </c>
      <c r="AA606" s="145"/>
      <c r="AB606" s="129"/>
      <c r="AC606" s="129"/>
      <c r="AD606" s="129"/>
      <c r="AE606" s="129"/>
      <c r="AF606" s="132"/>
      <c r="AG606" s="128" t="b">
        <v>0</v>
      </c>
      <c r="AH606" s="128"/>
      <c r="AI606" s="128"/>
      <c r="AJ606" s="128"/>
      <c r="AK606" s="128"/>
      <c r="AL606" s="129"/>
      <c r="AM606" s="129"/>
      <c r="AN606" s="139"/>
    </row>
    <row r="607">
      <c r="A607" s="118" t="s">
        <v>1682</v>
      </c>
      <c r="B607" s="119">
        <v>81.3</v>
      </c>
      <c r="C607" s="134" t="s">
        <v>75</v>
      </c>
      <c r="D607" s="142"/>
      <c r="E607" s="135"/>
      <c r="F607" s="136"/>
      <c r="G607" s="124">
        <v>5504.0</v>
      </c>
      <c r="H607" s="125">
        <v>2591.0</v>
      </c>
      <c r="I607" s="125">
        <v>1202.0</v>
      </c>
      <c r="J607" s="125">
        <v>779.0</v>
      </c>
      <c r="K607" s="125">
        <v>531.0</v>
      </c>
      <c r="L607" s="125">
        <v>407.0</v>
      </c>
      <c r="M607" s="126">
        <v>78.0</v>
      </c>
      <c r="N607" s="127">
        <v>94.0</v>
      </c>
      <c r="O607" s="146"/>
      <c r="P607" s="127">
        <v>72.0</v>
      </c>
      <c r="Q607" s="137" t="b">
        <v>0</v>
      </c>
      <c r="R607" s="128"/>
      <c r="S607" s="128"/>
      <c r="T607" s="128"/>
      <c r="U607" s="128"/>
      <c r="V607" s="129"/>
      <c r="W607" s="130" t="s">
        <v>171</v>
      </c>
      <c r="X607" s="130" t="s">
        <v>1683</v>
      </c>
      <c r="Y607" s="130" t="s">
        <v>1683</v>
      </c>
      <c r="Z607" s="145" t="b">
        <v>0</v>
      </c>
      <c r="AA607" s="145"/>
      <c r="AB607" s="129"/>
      <c r="AC607" s="129"/>
      <c r="AD607" s="129"/>
      <c r="AE607" s="129"/>
      <c r="AF607" s="132"/>
      <c r="AG607" s="143" t="b">
        <v>0</v>
      </c>
      <c r="AH607" s="143"/>
      <c r="AI607" s="143"/>
      <c r="AJ607" s="143"/>
      <c r="AK607" s="143"/>
      <c r="AL607" s="129"/>
      <c r="AM607" s="129"/>
      <c r="AN607" s="139"/>
    </row>
    <row r="608">
      <c r="A608" s="118" t="s">
        <v>1684</v>
      </c>
      <c r="B608" s="119">
        <v>81.3</v>
      </c>
      <c r="C608" s="134" t="s">
        <v>75</v>
      </c>
      <c r="D608" s="121"/>
      <c r="E608" s="135"/>
      <c r="F608" s="136"/>
      <c r="G608" s="124">
        <v>8938.0</v>
      </c>
      <c r="H608" s="125">
        <v>3490.0</v>
      </c>
      <c r="I608" s="125">
        <v>2777.0</v>
      </c>
      <c r="J608" s="125">
        <v>1432.0</v>
      </c>
      <c r="K608" s="125">
        <v>676.0</v>
      </c>
      <c r="L608" s="125">
        <v>567.0</v>
      </c>
      <c r="M608" s="126">
        <v>78.0</v>
      </c>
      <c r="N608" s="127">
        <v>92.0</v>
      </c>
      <c r="O608" s="146"/>
      <c r="P608" s="138">
        <v>74.0</v>
      </c>
      <c r="Q608" s="135" t="b">
        <v>0</v>
      </c>
      <c r="R608" s="133"/>
      <c r="S608" s="143"/>
      <c r="T608" s="133"/>
      <c r="U608" s="133"/>
      <c r="V608" s="130"/>
      <c r="W608" s="130" t="s">
        <v>84</v>
      </c>
      <c r="X608" s="130" t="s">
        <v>448</v>
      </c>
      <c r="Y608" s="130" t="s">
        <v>448</v>
      </c>
      <c r="Z608" s="131" t="b">
        <v>1</v>
      </c>
      <c r="AA608" s="131"/>
      <c r="AB608" s="130"/>
      <c r="AC608" s="130"/>
      <c r="AD608" s="130" t="s">
        <v>241</v>
      </c>
      <c r="AE608" s="129"/>
      <c r="AF608" s="132"/>
      <c r="AG608" s="143" t="b">
        <v>1</v>
      </c>
      <c r="AH608" s="143"/>
      <c r="AI608" s="143"/>
      <c r="AJ608" s="143"/>
      <c r="AK608" s="143"/>
      <c r="AL608" s="129"/>
      <c r="AM608" s="129" t="str">
        <f>IFERROR(__xludf.DUMMYFUNCTION("""COMPUTED_VALUE"""),"Beach")</f>
        <v>Beach</v>
      </c>
      <c r="AN608" s="139"/>
    </row>
    <row r="609">
      <c r="A609" s="118" t="s">
        <v>1685</v>
      </c>
      <c r="B609" s="119">
        <v>81.3</v>
      </c>
      <c r="C609" s="120" t="s">
        <v>68</v>
      </c>
      <c r="D609" s="142"/>
      <c r="E609" s="122"/>
      <c r="F609" s="136"/>
      <c r="G609" s="124">
        <v>8429.0</v>
      </c>
      <c r="H609" s="125">
        <v>5394.0</v>
      </c>
      <c r="I609" s="125">
        <v>1797.0</v>
      </c>
      <c r="J609" s="125">
        <v>730.0</v>
      </c>
      <c r="K609" s="125">
        <v>249.0</v>
      </c>
      <c r="L609" s="125">
        <v>260.0</v>
      </c>
      <c r="M609" s="126">
        <v>88.0</v>
      </c>
      <c r="N609" s="127">
        <v>80.0</v>
      </c>
      <c r="O609" s="127"/>
      <c r="P609" s="127">
        <v>76.0</v>
      </c>
      <c r="Q609" s="122" t="b">
        <v>0</v>
      </c>
      <c r="R609" s="128"/>
      <c r="S609" s="128"/>
      <c r="T609" s="128"/>
      <c r="U609" s="128"/>
      <c r="V609" s="129"/>
      <c r="W609" s="130" t="s">
        <v>84</v>
      </c>
      <c r="X609" s="130" t="s">
        <v>210</v>
      </c>
      <c r="Y609" s="130" t="s">
        <v>86</v>
      </c>
      <c r="Z609" s="133" t="b">
        <v>1</v>
      </c>
      <c r="AA609" s="145"/>
      <c r="AB609" s="130" t="s">
        <v>451</v>
      </c>
      <c r="AC609" s="130"/>
      <c r="AD609" s="144"/>
      <c r="AE609" s="129"/>
      <c r="AF609" s="132"/>
      <c r="AG609" s="143" t="b">
        <v>0</v>
      </c>
      <c r="AH609" s="143"/>
      <c r="AI609" s="143"/>
      <c r="AJ609" s="143"/>
      <c r="AK609" s="143"/>
      <c r="AL609" s="129"/>
      <c r="AM609" s="129"/>
      <c r="AN609" s="128"/>
    </row>
    <row r="610">
      <c r="A610" s="118" t="s">
        <v>1686</v>
      </c>
      <c r="B610" s="119">
        <v>81.3</v>
      </c>
      <c r="C610" s="134" t="s">
        <v>75</v>
      </c>
      <c r="D610" s="142"/>
      <c r="E610" s="135"/>
      <c r="F610" s="136"/>
      <c r="G610" s="124">
        <v>5038.0</v>
      </c>
      <c r="H610" s="125">
        <v>1912.0</v>
      </c>
      <c r="I610" s="125">
        <v>1630.0</v>
      </c>
      <c r="J610" s="125">
        <v>828.0</v>
      </c>
      <c r="K610" s="125">
        <v>330.0</v>
      </c>
      <c r="L610" s="125">
        <v>341.0</v>
      </c>
      <c r="M610" s="126">
        <v>78.0</v>
      </c>
      <c r="N610" s="127">
        <v>86.0</v>
      </c>
      <c r="O610" s="146"/>
      <c r="P610" s="127">
        <v>80.0</v>
      </c>
      <c r="Q610" s="126" t="b">
        <v>0</v>
      </c>
      <c r="R610" s="128"/>
      <c r="S610" s="128"/>
      <c r="T610" s="128"/>
      <c r="U610" s="128"/>
      <c r="V610" s="129"/>
      <c r="W610" s="130" t="s">
        <v>1687</v>
      </c>
      <c r="X610" s="130" t="s">
        <v>1688</v>
      </c>
      <c r="Y610" s="130" t="s">
        <v>1689</v>
      </c>
      <c r="Z610" s="145" t="b">
        <v>0</v>
      </c>
      <c r="AA610" s="145"/>
      <c r="AB610" s="130" t="s">
        <v>655</v>
      </c>
      <c r="AC610" s="129"/>
      <c r="AD610" s="129"/>
      <c r="AE610" s="129"/>
      <c r="AF610" s="132"/>
      <c r="AG610" s="143" t="b">
        <v>0</v>
      </c>
      <c r="AH610" s="143"/>
      <c r="AI610" s="143"/>
      <c r="AJ610" s="143"/>
      <c r="AK610" s="143"/>
      <c r="AL610" s="129"/>
      <c r="AM610" s="129"/>
      <c r="AN610" s="139"/>
    </row>
    <row r="611">
      <c r="A611" s="140" t="s">
        <v>1690</v>
      </c>
      <c r="B611" s="119">
        <v>81.3</v>
      </c>
      <c r="C611" s="141" t="s">
        <v>68</v>
      </c>
      <c r="D611" s="142"/>
      <c r="E611" s="122"/>
      <c r="F611" s="136"/>
      <c r="G611" s="124">
        <v>7683.0</v>
      </c>
      <c r="H611" s="125">
        <v>3610.0</v>
      </c>
      <c r="I611" s="125">
        <v>2010.0</v>
      </c>
      <c r="J611" s="125">
        <v>1016.0</v>
      </c>
      <c r="K611" s="125">
        <v>577.0</v>
      </c>
      <c r="L611" s="125">
        <v>473.0</v>
      </c>
      <c r="M611" s="126">
        <v>80.0</v>
      </c>
      <c r="N611" s="127">
        <v>86.0</v>
      </c>
      <c r="O611" s="127"/>
      <c r="P611" s="127">
        <v>78.0</v>
      </c>
      <c r="Q611" s="122" t="b">
        <v>0</v>
      </c>
      <c r="R611" s="157"/>
      <c r="S611" s="157"/>
      <c r="T611" s="157"/>
      <c r="U611" s="157"/>
      <c r="V611" s="129"/>
      <c r="W611" s="144" t="s">
        <v>171</v>
      </c>
      <c r="X611" s="130" t="s">
        <v>903</v>
      </c>
      <c r="Y611" s="130" t="s">
        <v>736</v>
      </c>
      <c r="Z611" s="133" t="b">
        <v>1</v>
      </c>
      <c r="AA611" s="145"/>
      <c r="AB611" s="129"/>
      <c r="AC611" s="144"/>
      <c r="AD611" s="144"/>
      <c r="AE611" s="129"/>
      <c r="AF611" s="132"/>
      <c r="AG611" s="143" t="b">
        <v>0</v>
      </c>
      <c r="AH611" s="143"/>
      <c r="AI611" s="143"/>
      <c r="AJ611" s="143"/>
      <c r="AK611" s="143"/>
      <c r="AL611" s="129"/>
      <c r="AM611" s="129"/>
      <c r="AN611" s="128"/>
    </row>
    <row r="612">
      <c r="A612" s="118" t="s">
        <v>1691</v>
      </c>
      <c r="B612" s="119">
        <v>81.3</v>
      </c>
      <c r="C612" s="134" t="s">
        <v>75</v>
      </c>
      <c r="D612" s="142"/>
      <c r="E612" s="135"/>
      <c r="F612" s="136"/>
      <c r="G612" s="124">
        <v>5257.0</v>
      </c>
      <c r="H612" s="125">
        <v>2300.0</v>
      </c>
      <c r="I612" s="125">
        <v>1334.0</v>
      </c>
      <c r="J612" s="125">
        <v>797.0</v>
      </c>
      <c r="K612" s="125">
        <v>427.0</v>
      </c>
      <c r="L612" s="125">
        <v>401.0</v>
      </c>
      <c r="M612" s="126">
        <v>78.0</v>
      </c>
      <c r="N612" s="138">
        <v>92.0</v>
      </c>
      <c r="O612" s="146"/>
      <c r="P612" s="127">
        <v>74.0</v>
      </c>
      <c r="Q612" s="137" t="b">
        <v>0</v>
      </c>
      <c r="R612" s="128"/>
      <c r="S612" s="128"/>
      <c r="T612" s="128"/>
      <c r="U612" s="128"/>
      <c r="V612" s="129"/>
      <c r="W612" s="130" t="s">
        <v>171</v>
      </c>
      <c r="X612" s="130" t="s">
        <v>1692</v>
      </c>
      <c r="Y612" s="130" t="s">
        <v>736</v>
      </c>
      <c r="Z612" s="133" t="b">
        <v>1</v>
      </c>
      <c r="AA612" s="145"/>
      <c r="AB612" s="129"/>
      <c r="AC612" s="129"/>
      <c r="AD612" s="129"/>
      <c r="AE612" s="129"/>
      <c r="AF612" s="132"/>
      <c r="AG612" s="128" t="b">
        <v>0</v>
      </c>
      <c r="AH612" s="128"/>
      <c r="AI612" s="128"/>
      <c r="AJ612" s="128"/>
      <c r="AK612" s="128"/>
      <c r="AL612" s="129"/>
      <c r="AM612" s="129"/>
      <c r="AN612" s="139"/>
    </row>
    <row r="613">
      <c r="A613" s="118" t="s">
        <v>1693</v>
      </c>
      <c r="B613" s="119">
        <v>81.3</v>
      </c>
      <c r="C613" s="134" t="s">
        <v>75</v>
      </c>
      <c r="D613" s="142"/>
      <c r="E613" s="135"/>
      <c r="F613" s="136"/>
      <c r="G613" s="124">
        <v>26154.0</v>
      </c>
      <c r="H613" s="125">
        <v>14798.0</v>
      </c>
      <c r="I613" s="125">
        <v>6181.0</v>
      </c>
      <c r="J613" s="125">
        <v>2550.0</v>
      </c>
      <c r="K613" s="125">
        <v>1286.0</v>
      </c>
      <c r="L613" s="125">
        <v>1348.0</v>
      </c>
      <c r="M613" s="126">
        <v>84.0</v>
      </c>
      <c r="N613" s="127">
        <v>94.0</v>
      </c>
      <c r="O613" s="146"/>
      <c r="P613" s="127">
        <v>66.0</v>
      </c>
      <c r="Q613" s="135" t="b">
        <v>0</v>
      </c>
      <c r="R613" s="133"/>
      <c r="S613" s="143"/>
      <c r="T613" s="133"/>
      <c r="U613" s="133"/>
      <c r="V613" s="129"/>
      <c r="W613" s="130" t="s">
        <v>84</v>
      </c>
      <c r="X613" s="130" t="s">
        <v>85</v>
      </c>
      <c r="Y613" s="147" t="s">
        <v>86</v>
      </c>
      <c r="Z613" s="131" t="b">
        <v>1</v>
      </c>
      <c r="AA613" s="131">
        <v>0.029166666666666667</v>
      </c>
      <c r="AB613" s="130" t="s">
        <v>553</v>
      </c>
      <c r="AC613" s="129"/>
      <c r="AD613" s="129" t="s">
        <v>241</v>
      </c>
      <c r="AE613" s="129"/>
      <c r="AF613" s="132"/>
      <c r="AG613" s="143" t="b">
        <v>0</v>
      </c>
      <c r="AH613" s="143"/>
      <c r="AI613" s="143"/>
      <c r="AJ613" s="143"/>
      <c r="AK613" s="143"/>
      <c r="AL613" s="129"/>
      <c r="AM613" s="129" t="str">
        <f>IFERROR(__xludf.DUMMYFUNCTION("""COMPUTED_VALUE"""),"Beach")</f>
        <v>Beach</v>
      </c>
      <c r="AN613" s="139"/>
    </row>
    <row r="614">
      <c r="A614" s="118" t="s">
        <v>1694</v>
      </c>
      <c r="B614" s="119">
        <v>81.3</v>
      </c>
      <c r="C614" s="134" t="s">
        <v>75</v>
      </c>
      <c r="D614" s="142"/>
      <c r="E614" s="135"/>
      <c r="F614" s="136"/>
      <c r="G614" s="124">
        <v>8006.0</v>
      </c>
      <c r="H614" s="125">
        <v>3383.0</v>
      </c>
      <c r="I614" s="125">
        <v>2513.0</v>
      </c>
      <c r="J614" s="125">
        <v>1123.0</v>
      </c>
      <c r="K614" s="125">
        <v>548.0</v>
      </c>
      <c r="L614" s="125">
        <v>439.0</v>
      </c>
      <c r="M614" s="126">
        <v>80.0</v>
      </c>
      <c r="N614" s="127">
        <v>84.0</v>
      </c>
      <c r="O614" s="146"/>
      <c r="P614" s="127">
        <v>80.0</v>
      </c>
      <c r="Q614" s="122" t="b">
        <v>0</v>
      </c>
      <c r="R614" s="133"/>
      <c r="S614" s="143"/>
      <c r="T614" s="133"/>
      <c r="U614" s="133"/>
      <c r="V614" s="129"/>
      <c r="W614" s="130" t="s">
        <v>84</v>
      </c>
      <c r="X614" s="130" t="s">
        <v>85</v>
      </c>
      <c r="Y614" s="147" t="s">
        <v>86</v>
      </c>
      <c r="Z614" s="131" t="b">
        <v>1</v>
      </c>
      <c r="AA614" s="131">
        <v>0.03611111111111111</v>
      </c>
      <c r="AB614" s="129"/>
      <c r="AC614" s="129"/>
      <c r="AD614" s="129" t="s">
        <v>241</v>
      </c>
      <c r="AE614" s="129"/>
      <c r="AF614" s="132"/>
      <c r="AG614" s="143" t="b">
        <v>0</v>
      </c>
      <c r="AH614" s="143"/>
      <c r="AI614" s="143"/>
      <c r="AJ614" s="143"/>
      <c r="AK614" s="143"/>
      <c r="AL614" s="129"/>
      <c r="AM614" s="129" t="str">
        <f>IFERROR(__xludf.DUMMYFUNCTION("""COMPUTED_VALUE"""),"Beach")</f>
        <v>Beach</v>
      </c>
      <c r="AN614" s="139"/>
    </row>
    <row r="615">
      <c r="A615" s="118" t="s">
        <v>1695</v>
      </c>
      <c r="B615" s="119">
        <v>81.3</v>
      </c>
      <c r="C615" s="134" t="s">
        <v>75</v>
      </c>
      <c r="D615" s="121"/>
      <c r="E615" s="135"/>
      <c r="F615" s="136"/>
      <c r="G615" s="124">
        <v>11736.0</v>
      </c>
      <c r="H615" s="125">
        <v>5469.0</v>
      </c>
      <c r="I615" s="125">
        <v>3718.0</v>
      </c>
      <c r="J615" s="125">
        <v>1495.0</v>
      </c>
      <c r="K615" s="125">
        <v>572.0</v>
      </c>
      <c r="L615" s="125">
        <v>483.0</v>
      </c>
      <c r="M615" s="126">
        <v>82.0</v>
      </c>
      <c r="N615" s="127">
        <v>84.0</v>
      </c>
      <c r="O615" s="146"/>
      <c r="P615" s="127">
        <v>78.0</v>
      </c>
      <c r="Q615" s="122" t="b">
        <v>0</v>
      </c>
      <c r="R615" s="133"/>
      <c r="S615" s="143"/>
      <c r="T615" s="133"/>
      <c r="U615" s="133"/>
      <c r="V615" s="129"/>
      <c r="W615" s="130" t="s">
        <v>84</v>
      </c>
      <c r="X615" s="130" t="s">
        <v>1462</v>
      </c>
      <c r="Y615" s="130" t="s">
        <v>86</v>
      </c>
      <c r="Z615" s="131" t="b">
        <v>1</v>
      </c>
      <c r="AA615" s="131">
        <v>0.03819444444444445</v>
      </c>
      <c r="AB615" s="130" t="s">
        <v>412</v>
      </c>
      <c r="AC615" s="129"/>
      <c r="AD615" s="129" t="s">
        <v>241</v>
      </c>
      <c r="AE615" s="129"/>
      <c r="AF615" s="132"/>
      <c r="AG615" s="143" t="b">
        <v>0</v>
      </c>
      <c r="AH615" s="143"/>
      <c r="AI615" s="143"/>
      <c r="AJ615" s="143"/>
      <c r="AK615" s="143"/>
      <c r="AL615" s="129"/>
      <c r="AM615" s="129" t="str">
        <f>IFERROR(__xludf.DUMMYFUNCTION("""COMPUTED_VALUE"""),"Beach")</f>
        <v>Beach</v>
      </c>
      <c r="AN615" s="139"/>
    </row>
    <row r="616">
      <c r="A616" s="118" t="s">
        <v>1696</v>
      </c>
      <c r="B616" s="119">
        <v>81.0</v>
      </c>
      <c r="C616" s="134" t="s">
        <v>75</v>
      </c>
      <c r="D616" s="121">
        <v>2958.0</v>
      </c>
      <c r="E616" s="135">
        <f>IFERROR(__xludf.DUMMYFUNCTION("""COMPUTED_VALUE"""),4085.1456041999995)</f>
        <v>4085.145604</v>
      </c>
      <c r="F616" s="136">
        <v>0.34</v>
      </c>
      <c r="G616" s="124">
        <v>923.0</v>
      </c>
      <c r="H616" s="125">
        <v>482.0</v>
      </c>
      <c r="I616" s="125">
        <v>170.0</v>
      </c>
      <c r="J616" s="125">
        <v>111.0</v>
      </c>
      <c r="K616" s="125">
        <v>77.0</v>
      </c>
      <c r="L616" s="125">
        <v>83.0</v>
      </c>
      <c r="M616" s="126">
        <v>79.0</v>
      </c>
      <c r="N616" s="127">
        <v>92.0</v>
      </c>
      <c r="O616" s="146"/>
      <c r="P616" s="127">
        <v>72.0</v>
      </c>
      <c r="Q616" s="126" t="b">
        <v>0</v>
      </c>
      <c r="R616" s="128"/>
      <c r="S616" s="128"/>
      <c r="T616" s="133" t="s">
        <v>1613</v>
      </c>
      <c r="U616" s="133">
        <v>5.0</v>
      </c>
      <c r="V616" s="129"/>
      <c r="W616" s="130" t="s">
        <v>193</v>
      </c>
      <c r="X616" s="130" t="s">
        <v>415</v>
      </c>
      <c r="Y616" s="130" t="s">
        <v>195</v>
      </c>
      <c r="Z616" s="131" t="b">
        <v>1</v>
      </c>
      <c r="AA616" s="131">
        <v>0.03888888888888889</v>
      </c>
      <c r="AB616" s="129"/>
      <c r="AC616" s="130" t="s">
        <v>1564</v>
      </c>
      <c r="AD616" s="130" t="s">
        <v>1697</v>
      </c>
      <c r="AE616" s="130"/>
      <c r="AF616" s="132" t="s">
        <v>297</v>
      </c>
      <c r="AG616" s="128" t="b">
        <v>0</v>
      </c>
      <c r="AH616" s="128"/>
      <c r="AI616" s="128"/>
      <c r="AJ616" s="128"/>
      <c r="AK616" s="128"/>
      <c r="AL616" s="129" t="str">
        <f>IFERROR(__xludf.DUMMYFUNCTION("""COMPUTED_VALUE"""),"Business, Romantic")</f>
        <v>Business, Romantic</v>
      </c>
      <c r="AM616" s="129" t="str">
        <f>IFERROR(__xludf.DUMMYFUNCTION("""COMPUTED_VALUE"""),"2 Bedroom Suites, Beach, Big Waterslides, Family Suite, Kids Club, Kids Waterpark, Teen Club")</f>
        <v>2 Bedroom Suites, Beach, Big Waterslides, Family Suite, Kids Club, Kids Waterpark, Teen Club</v>
      </c>
      <c r="AN616" s="139"/>
    </row>
    <row r="617">
      <c r="A617" s="118" t="s">
        <v>1698</v>
      </c>
      <c r="B617" s="119">
        <v>81.0</v>
      </c>
      <c r="C617" s="134" t="s">
        <v>75</v>
      </c>
      <c r="D617" s="121">
        <v>4133.74</v>
      </c>
      <c r="E617" s="135">
        <f>IFERROR(__xludf.DUMMYFUNCTION("""COMPUTED_VALUE"""),5708.901213625999)</f>
        <v>5708.901214</v>
      </c>
      <c r="F617" s="136">
        <v>0.24</v>
      </c>
      <c r="G617" s="124">
        <v>4398.0</v>
      </c>
      <c r="H617" s="125">
        <v>3273.0</v>
      </c>
      <c r="I617" s="125">
        <v>471.0</v>
      </c>
      <c r="J617" s="125">
        <v>287.0</v>
      </c>
      <c r="K617" s="125">
        <v>165.0</v>
      </c>
      <c r="L617" s="125">
        <v>204.0</v>
      </c>
      <c r="M617" s="126">
        <v>89.0</v>
      </c>
      <c r="N617" s="146"/>
      <c r="O617" s="138">
        <v>76.0</v>
      </c>
      <c r="P617" s="138">
        <v>78.0</v>
      </c>
      <c r="Q617" s="122" t="b">
        <v>0</v>
      </c>
      <c r="R617" s="133"/>
      <c r="S617" s="143">
        <v>7.0</v>
      </c>
      <c r="T617" s="133"/>
      <c r="U617" s="133">
        <v>5.0</v>
      </c>
      <c r="V617" s="130"/>
      <c r="W617" s="130" t="s">
        <v>193</v>
      </c>
      <c r="X617" s="130" t="s">
        <v>225</v>
      </c>
      <c r="Y617" s="130" t="s">
        <v>195</v>
      </c>
      <c r="Z617" s="131" t="b">
        <v>1</v>
      </c>
      <c r="AA617" s="131">
        <v>0.01597222222222222</v>
      </c>
      <c r="AB617" s="130" t="s">
        <v>1699</v>
      </c>
      <c r="AC617" s="130" t="s">
        <v>390</v>
      </c>
      <c r="AD617" s="130" t="s">
        <v>1516</v>
      </c>
      <c r="AE617" s="130" t="s">
        <v>396</v>
      </c>
      <c r="AF617" s="132" t="s">
        <v>373</v>
      </c>
      <c r="AG617" s="143" t="b">
        <v>0</v>
      </c>
      <c r="AH617" s="143">
        <v>756.0</v>
      </c>
      <c r="AI617" s="143">
        <v>2003.0</v>
      </c>
      <c r="AJ617" s="143"/>
      <c r="AK617" s="143">
        <v>3.0</v>
      </c>
      <c r="AL617" s="129" t="str">
        <f>IFERROR(__xludf.DUMMYFUNCTION("""COMPUTED_VALUE"""),"Family, Romantic")</f>
        <v>Family, Romantic</v>
      </c>
      <c r="AM617" s="129" t="str">
        <f>IFERROR(__xludf.DUMMYFUNCTION("""COMPUTED_VALUE"""),"Beach, Kids Club")</f>
        <v>Beach, Kids Club</v>
      </c>
      <c r="AN617" s="139"/>
    </row>
    <row r="618">
      <c r="A618" s="118" t="s">
        <v>1700</v>
      </c>
      <c r="B618" s="119">
        <v>81.0</v>
      </c>
      <c r="C618" s="134" t="s">
        <v>75</v>
      </c>
      <c r="D618" s="142"/>
      <c r="E618" s="135"/>
      <c r="F618" s="136"/>
      <c r="G618" s="124">
        <v>9417.0</v>
      </c>
      <c r="H618" s="125">
        <v>3758.0</v>
      </c>
      <c r="I618" s="125">
        <v>2700.0</v>
      </c>
      <c r="J618" s="125">
        <v>1455.0</v>
      </c>
      <c r="K618" s="125">
        <v>809.0</v>
      </c>
      <c r="L618" s="125">
        <v>698.0</v>
      </c>
      <c r="M618" s="126">
        <v>77.0</v>
      </c>
      <c r="N618" s="127">
        <v>88.0</v>
      </c>
      <c r="O618" s="146"/>
      <c r="P618" s="127">
        <v>78.0</v>
      </c>
      <c r="Q618" s="122" t="b">
        <v>0</v>
      </c>
      <c r="R618" s="133"/>
      <c r="S618" s="143"/>
      <c r="T618" s="133"/>
      <c r="U618" s="133"/>
      <c r="V618" s="130"/>
      <c r="W618" s="130" t="s">
        <v>84</v>
      </c>
      <c r="X618" s="130" t="s">
        <v>448</v>
      </c>
      <c r="Y618" s="130" t="s">
        <v>448</v>
      </c>
      <c r="Z618" s="131" t="b">
        <v>1</v>
      </c>
      <c r="AA618" s="131">
        <v>0.020833333333333332</v>
      </c>
      <c r="AB618" s="130"/>
      <c r="AC618" s="130"/>
      <c r="AD618" s="129" t="s">
        <v>1591</v>
      </c>
      <c r="AE618" s="129"/>
      <c r="AF618" s="132"/>
      <c r="AG618" s="143" t="b">
        <v>0</v>
      </c>
      <c r="AH618" s="143"/>
      <c r="AI618" s="143"/>
      <c r="AJ618" s="143"/>
      <c r="AK618" s="143"/>
      <c r="AL618" s="129"/>
      <c r="AM618" s="129" t="str">
        <f>IFERROR(__xludf.DUMMYFUNCTION("""COMPUTED_VALUE"""),"Beach, Big Waterslides")</f>
        <v>Beach, Big Waterslides</v>
      </c>
      <c r="AN618" s="139"/>
    </row>
    <row r="619">
      <c r="A619" s="118" t="s">
        <v>1701</v>
      </c>
      <c r="B619" s="119">
        <v>81.0</v>
      </c>
      <c r="C619" s="134" t="s">
        <v>75</v>
      </c>
      <c r="D619" s="121"/>
      <c r="E619" s="135"/>
      <c r="F619" s="136"/>
      <c r="G619" s="124">
        <v>4695.0</v>
      </c>
      <c r="H619" s="125">
        <v>2365.0</v>
      </c>
      <c r="I619" s="125">
        <v>1363.0</v>
      </c>
      <c r="J619" s="125">
        <v>537.0</v>
      </c>
      <c r="K619" s="125">
        <v>232.0</v>
      </c>
      <c r="L619" s="125">
        <v>198.0</v>
      </c>
      <c r="M619" s="126">
        <v>83.0</v>
      </c>
      <c r="N619" s="127">
        <v>84.0</v>
      </c>
      <c r="O619" s="146"/>
      <c r="P619" s="127">
        <v>76.0</v>
      </c>
      <c r="Q619" s="122" t="b">
        <v>0</v>
      </c>
      <c r="R619" s="133"/>
      <c r="S619" s="143"/>
      <c r="T619" s="133"/>
      <c r="U619" s="133"/>
      <c r="V619" s="129"/>
      <c r="W619" s="130" t="s">
        <v>84</v>
      </c>
      <c r="X619" s="130" t="s">
        <v>119</v>
      </c>
      <c r="Y619" s="130" t="s">
        <v>120</v>
      </c>
      <c r="Z619" s="131" t="b">
        <v>1</v>
      </c>
      <c r="AA619" s="131">
        <v>0.009027777777777777</v>
      </c>
      <c r="AB619" s="129"/>
      <c r="AC619" s="129"/>
      <c r="AD619" s="129" t="s">
        <v>241</v>
      </c>
      <c r="AE619" s="129"/>
      <c r="AF619" s="132"/>
      <c r="AG619" s="143" t="b">
        <v>0</v>
      </c>
      <c r="AH619" s="143"/>
      <c r="AI619" s="143"/>
      <c r="AJ619" s="143"/>
      <c r="AK619" s="143"/>
      <c r="AL619" s="129"/>
      <c r="AM619" s="129" t="str">
        <f>IFERROR(__xludf.DUMMYFUNCTION("""COMPUTED_VALUE"""),"Beach")</f>
        <v>Beach</v>
      </c>
      <c r="AN619" s="139"/>
    </row>
    <row r="620">
      <c r="A620" s="118" t="s">
        <v>1702</v>
      </c>
      <c r="B620" s="119">
        <v>81.0</v>
      </c>
      <c r="C620" s="120" t="s">
        <v>68</v>
      </c>
      <c r="D620" s="142"/>
      <c r="E620" s="122"/>
      <c r="F620" s="136"/>
      <c r="G620" s="124">
        <v>9987.0</v>
      </c>
      <c r="H620" s="125">
        <v>3731.0</v>
      </c>
      <c r="I620" s="125">
        <v>3110.0</v>
      </c>
      <c r="J620" s="125">
        <v>1754.0</v>
      </c>
      <c r="K620" s="125">
        <v>743.0</v>
      </c>
      <c r="L620" s="125">
        <v>654.0</v>
      </c>
      <c r="M620" s="126">
        <v>77.0</v>
      </c>
      <c r="N620" s="127">
        <v>82.0</v>
      </c>
      <c r="O620" s="127"/>
      <c r="P620" s="127">
        <v>84.0</v>
      </c>
      <c r="Q620" s="122" t="b">
        <v>0</v>
      </c>
      <c r="R620" s="128"/>
      <c r="S620" s="128"/>
      <c r="T620" s="128"/>
      <c r="U620" s="128"/>
      <c r="V620" s="129"/>
      <c r="W620" s="130" t="s">
        <v>219</v>
      </c>
      <c r="X620" s="130" t="s">
        <v>1703</v>
      </c>
      <c r="Y620" s="144" t="s">
        <v>221</v>
      </c>
      <c r="Z620" s="133" t="b">
        <v>1</v>
      </c>
      <c r="AA620" s="145"/>
      <c r="AB620" s="130" t="s">
        <v>655</v>
      </c>
      <c r="AC620" s="130"/>
      <c r="AD620" s="130" t="s">
        <v>1524</v>
      </c>
      <c r="AE620" s="129"/>
      <c r="AF620" s="132"/>
      <c r="AG620" s="143" t="b">
        <v>0</v>
      </c>
      <c r="AH620" s="143"/>
      <c r="AI620" s="143"/>
      <c r="AJ620" s="143"/>
      <c r="AK620" s="143"/>
      <c r="AL620" s="129"/>
      <c r="AM620" s="129" t="str">
        <f>IFERROR(__xludf.DUMMYFUNCTION("""COMPUTED_VALUE"""),"Great for Parties")</f>
        <v>Great for Parties</v>
      </c>
      <c r="AN620" s="128"/>
    </row>
    <row r="621">
      <c r="A621" s="118" t="s">
        <v>1704</v>
      </c>
      <c r="B621" s="119">
        <v>81.0</v>
      </c>
      <c r="C621" s="134" t="s">
        <v>75</v>
      </c>
      <c r="D621" s="121"/>
      <c r="E621" s="135"/>
      <c r="F621" s="136"/>
      <c r="G621" s="124">
        <v>7475.0</v>
      </c>
      <c r="H621" s="125">
        <v>4158.0</v>
      </c>
      <c r="I621" s="125">
        <v>1631.0</v>
      </c>
      <c r="J621" s="125">
        <v>818.0</v>
      </c>
      <c r="K621" s="125">
        <v>440.0</v>
      </c>
      <c r="L621" s="125">
        <v>430.0</v>
      </c>
      <c r="M621" s="126">
        <v>83.0</v>
      </c>
      <c r="N621" s="127">
        <v>82.0</v>
      </c>
      <c r="O621" s="146"/>
      <c r="P621" s="127">
        <v>78.0</v>
      </c>
      <c r="Q621" s="122" t="b">
        <v>0</v>
      </c>
      <c r="R621" s="133"/>
      <c r="S621" s="143"/>
      <c r="T621" s="133"/>
      <c r="U621" s="133"/>
      <c r="V621" s="129"/>
      <c r="W621" s="130" t="s">
        <v>84</v>
      </c>
      <c r="X621" s="130" t="s">
        <v>119</v>
      </c>
      <c r="Y621" s="130" t="s">
        <v>120</v>
      </c>
      <c r="Z621" s="131" t="b">
        <v>1</v>
      </c>
      <c r="AA621" s="131">
        <v>0.006944444444444444</v>
      </c>
      <c r="AB621" s="129"/>
      <c r="AC621" s="129"/>
      <c r="AD621" s="130" t="s">
        <v>241</v>
      </c>
      <c r="AE621" s="129"/>
      <c r="AF621" s="132"/>
      <c r="AG621" s="143" t="b">
        <v>1</v>
      </c>
      <c r="AH621" s="143"/>
      <c r="AI621" s="143"/>
      <c r="AJ621" s="143"/>
      <c r="AK621" s="143"/>
      <c r="AL621" s="129"/>
      <c r="AM621" s="129" t="str">
        <f>IFERROR(__xludf.DUMMYFUNCTION("""COMPUTED_VALUE"""),"Beach")</f>
        <v>Beach</v>
      </c>
      <c r="AN621" s="139"/>
    </row>
    <row r="622" hidden="1">
      <c r="A622" s="118" t="s">
        <v>1705</v>
      </c>
      <c r="B622" s="119">
        <v>84.0</v>
      </c>
      <c r="C622" s="120" t="s">
        <v>68</v>
      </c>
      <c r="D622" s="142"/>
      <c r="E622" s="122"/>
      <c r="F622" s="136"/>
      <c r="G622" s="124"/>
      <c r="H622" s="133"/>
      <c r="I622" s="133"/>
      <c r="J622" s="133"/>
      <c r="K622" s="133"/>
      <c r="L622" s="133"/>
      <c r="M622" s="137"/>
      <c r="N622" s="138">
        <v>84.0</v>
      </c>
      <c r="O622" s="127"/>
      <c r="P622" s="127"/>
      <c r="Q622" s="122" t="b">
        <v>0</v>
      </c>
      <c r="R622" s="128"/>
      <c r="S622" s="128"/>
      <c r="T622" s="128"/>
      <c r="U622" s="128"/>
      <c r="V622" s="130" t="s">
        <v>118</v>
      </c>
      <c r="W622" s="130" t="s">
        <v>84</v>
      </c>
      <c r="X622" s="130" t="s">
        <v>86</v>
      </c>
      <c r="Y622" s="130" t="s">
        <v>86</v>
      </c>
      <c r="Z622" s="145" t="b">
        <v>0</v>
      </c>
      <c r="AA622" s="145"/>
      <c r="AB622" s="130"/>
      <c r="AC622" s="130"/>
      <c r="AD622" s="130"/>
      <c r="AE622" s="129"/>
      <c r="AF622" s="132"/>
      <c r="AG622" s="133" t="b">
        <v>1</v>
      </c>
      <c r="AH622" s="133"/>
      <c r="AI622" s="133"/>
      <c r="AJ622" s="133"/>
      <c r="AK622" s="133"/>
      <c r="AL622" s="129"/>
      <c r="AM622" s="129"/>
      <c r="AN622" s="128"/>
    </row>
    <row r="623" hidden="1">
      <c r="A623" s="118" t="s">
        <v>1706</v>
      </c>
      <c r="B623" s="119">
        <v>84.0</v>
      </c>
      <c r="C623" s="120" t="s">
        <v>68</v>
      </c>
      <c r="D623" s="142"/>
      <c r="E623" s="122"/>
      <c r="F623" s="136"/>
      <c r="G623" s="152"/>
      <c r="H623" s="133"/>
      <c r="I623" s="133"/>
      <c r="J623" s="133"/>
      <c r="K623" s="133"/>
      <c r="L623" s="133"/>
      <c r="M623" s="137"/>
      <c r="N623" s="138">
        <v>84.0</v>
      </c>
      <c r="O623" s="127"/>
      <c r="P623" s="127"/>
      <c r="Q623" s="122" t="b">
        <v>0</v>
      </c>
      <c r="R623" s="128"/>
      <c r="S623" s="128"/>
      <c r="T623" s="128"/>
      <c r="U623" s="128"/>
      <c r="V623" s="130" t="s">
        <v>118</v>
      </c>
      <c r="W623" s="130" t="s">
        <v>193</v>
      </c>
      <c r="X623" s="130" t="s">
        <v>1546</v>
      </c>
      <c r="Y623" s="130" t="s">
        <v>1070</v>
      </c>
      <c r="Z623" s="131" t="b">
        <v>1</v>
      </c>
      <c r="AA623" s="131">
        <v>0.027083333333333334</v>
      </c>
      <c r="AB623" s="130"/>
      <c r="AC623" s="130"/>
      <c r="AD623" s="130" t="s">
        <v>241</v>
      </c>
      <c r="AE623" s="129"/>
      <c r="AF623" s="132"/>
      <c r="AG623" s="133" t="b">
        <v>0</v>
      </c>
      <c r="AH623" s="133"/>
      <c r="AI623" s="133"/>
      <c r="AJ623" s="133"/>
      <c r="AK623" s="133"/>
      <c r="AL623" s="129"/>
      <c r="AM623" s="129" t="str">
        <f>IFERROR(__xludf.DUMMYFUNCTION("""COMPUTED_VALUE"""),"Beach")</f>
        <v>Beach</v>
      </c>
      <c r="AN623" s="128"/>
    </row>
    <row r="624" hidden="1">
      <c r="A624" s="118" t="s">
        <v>1705</v>
      </c>
      <c r="B624" s="119">
        <v>84.0</v>
      </c>
      <c r="C624" s="134" t="s">
        <v>75</v>
      </c>
      <c r="D624" s="142"/>
      <c r="E624" s="135"/>
      <c r="F624" s="136"/>
      <c r="G624" s="124"/>
      <c r="H624" s="133"/>
      <c r="I624" s="133"/>
      <c r="J624" s="133"/>
      <c r="K624" s="133"/>
      <c r="L624" s="133"/>
      <c r="M624" s="137"/>
      <c r="N624" s="138">
        <v>84.0</v>
      </c>
      <c r="O624" s="127"/>
      <c r="P624" s="127"/>
      <c r="Q624" s="135" t="b">
        <v>0</v>
      </c>
      <c r="R624" s="133"/>
      <c r="S624" s="133"/>
      <c r="T624" s="133"/>
      <c r="U624" s="133"/>
      <c r="V624" s="130" t="s">
        <v>118</v>
      </c>
      <c r="W624" s="130" t="s">
        <v>84</v>
      </c>
      <c r="X624" s="130" t="s">
        <v>86</v>
      </c>
      <c r="Y624" s="130" t="s">
        <v>86</v>
      </c>
      <c r="Z624" s="145" t="b">
        <v>0</v>
      </c>
      <c r="AA624" s="145"/>
      <c r="AB624" s="130"/>
      <c r="AC624" s="130"/>
      <c r="AD624" s="129"/>
      <c r="AE624" s="129"/>
      <c r="AF624" s="132"/>
      <c r="AG624" s="133" t="b">
        <v>1</v>
      </c>
      <c r="AH624" s="133"/>
      <c r="AI624" s="133"/>
      <c r="AJ624" s="133"/>
      <c r="AK624" s="133"/>
      <c r="AL624" s="129"/>
      <c r="AM624" s="129"/>
      <c r="AN624" s="139"/>
    </row>
    <row r="625" hidden="1">
      <c r="A625" s="118" t="s">
        <v>1706</v>
      </c>
      <c r="B625" s="119">
        <v>84.0</v>
      </c>
      <c r="C625" s="134" t="s">
        <v>75</v>
      </c>
      <c r="D625" s="142"/>
      <c r="E625" s="135"/>
      <c r="F625" s="136"/>
      <c r="G625" s="124"/>
      <c r="H625" s="133"/>
      <c r="I625" s="133"/>
      <c r="J625" s="133"/>
      <c r="K625" s="133"/>
      <c r="L625" s="133"/>
      <c r="M625" s="137"/>
      <c r="N625" s="138">
        <v>84.0</v>
      </c>
      <c r="O625" s="127"/>
      <c r="P625" s="127"/>
      <c r="Q625" s="135" t="b">
        <v>0</v>
      </c>
      <c r="R625" s="133"/>
      <c r="S625" s="133"/>
      <c r="T625" s="133"/>
      <c r="U625" s="133"/>
      <c r="V625" s="130" t="s">
        <v>990</v>
      </c>
      <c r="W625" s="130" t="s">
        <v>193</v>
      </c>
      <c r="X625" s="130" t="s">
        <v>1546</v>
      </c>
      <c r="Y625" s="130" t="s">
        <v>1070</v>
      </c>
      <c r="Z625" s="131" t="b">
        <v>1</v>
      </c>
      <c r="AA625" s="131">
        <v>0.027083333333333334</v>
      </c>
      <c r="AB625" s="130"/>
      <c r="AC625" s="130"/>
      <c r="AD625" s="129" t="s">
        <v>241</v>
      </c>
      <c r="AE625" s="129"/>
      <c r="AF625" s="132"/>
      <c r="AG625" s="133" t="b">
        <v>0</v>
      </c>
      <c r="AH625" s="133"/>
      <c r="AI625" s="133"/>
      <c r="AJ625" s="133"/>
      <c r="AK625" s="133"/>
      <c r="AL625" s="129"/>
      <c r="AM625" s="129" t="str">
        <f>IFERROR(__xludf.DUMMYFUNCTION("""COMPUTED_VALUE"""),"Beach")</f>
        <v>Beach</v>
      </c>
      <c r="AN625" s="139"/>
    </row>
    <row r="626" hidden="1">
      <c r="A626" s="140" t="s">
        <v>1707</v>
      </c>
      <c r="B626" s="119">
        <v>81.0</v>
      </c>
      <c r="C626" s="133" t="s">
        <v>75</v>
      </c>
      <c r="D626" s="142"/>
      <c r="E626" s="122"/>
      <c r="F626" s="136"/>
      <c r="G626" s="124">
        <v>721.0</v>
      </c>
      <c r="H626" s="125">
        <v>219.0</v>
      </c>
      <c r="I626" s="125">
        <v>299.0</v>
      </c>
      <c r="J626" s="125">
        <v>111.0</v>
      </c>
      <c r="K626" s="125">
        <v>47.0</v>
      </c>
      <c r="L626" s="125">
        <v>45.0</v>
      </c>
      <c r="M626" s="126">
        <v>77.0</v>
      </c>
      <c r="N626" s="127">
        <v>84.0</v>
      </c>
      <c r="O626" s="146"/>
      <c r="P626" s="127">
        <v>82.0</v>
      </c>
      <c r="Q626" s="122" t="b">
        <v>0</v>
      </c>
      <c r="R626" s="128"/>
      <c r="S626" s="128"/>
      <c r="T626" s="128"/>
      <c r="U626" s="128"/>
      <c r="V626" s="147" t="s">
        <v>531</v>
      </c>
      <c r="W626" s="130" t="s">
        <v>1708</v>
      </c>
      <c r="X626" s="130" t="s">
        <v>1709</v>
      </c>
      <c r="Y626" s="130" t="s">
        <v>1710</v>
      </c>
      <c r="Z626" s="145" t="b">
        <v>0</v>
      </c>
      <c r="AA626" s="145"/>
      <c r="AB626" s="129"/>
      <c r="AC626" s="129"/>
      <c r="AD626" s="129"/>
      <c r="AE626" s="129"/>
      <c r="AF626" s="132"/>
      <c r="AG626" s="143" t="b">
        <v>0</v>
      </c>
      <c r="AH626" s="143"/>
      <c r="AI626" s="143"/>
      <c r="AJ626" s="143"/>
      <c r="AK626" s="143"/>
      <c r="AL626" s="129"/>
      <c r="AM626" s="129"/>
      <c r="AN626" s="139"/>
    </row>
    <row r="627">
      <c r="A627" s="118" t="s">
        <v>1711</v>
      </c>
      <c r="B627" s="119">
        <v>81.0</v>
      </c>
      <c r="C627" s="134" t="s">
        <v>75</v>
      </c>
      <c r="D627" s="121"/>
      <c r="E627" s="135"/>
      <c r="F627" s="136"/>
      <c r="G627" s="124">
        <v>12567.0</v>
      </c>
      <c r="H627" s="125">
        <v>6739.0</v>
      </c>
      <c r="I627" s="125">
        <v>3048.0</v>
      </c>
      <c r="J627" s="125">
        <v>1447.0</v>
      </c>
      <c r="K627" s="125">
        <v>720.0</v>
      </c>
      <c r="L627" s="125">
        <v>614.0</v>
      </c>
      <c r="M627" s="126">
        <v>83.0</v>
      </c>
      <c r="N627" s="127">
        <v>84.0</v>
      </c>
      <c r="O627" s="146"/>
      <c r="P627" s="127">
        <v>76.0</v>
      </c>
      <c r="Q627" s="122" t="b">
        <v>0</v>
      </c>
      <c r="R627" s="133"/>
      <c r="S627" s="143"/>
      <c r="T627" s="133"/>
      <c r="U627" s="133"/>
      <c r="V627" s="129"/>
      <c r="W627" s="130" t="s">
        <v>84</v>
      </c>
      <c r="X627" s="130" t="s">
        <v>86</v>
      </c>
      <c r="Y627" s="147" t="s">
        <v>86</v>
      </c>
      <c r="Z627" s="131" t="b">
        <v>1</v>
      </c>
      <c r="AA627" s="131"/>
      <c r="AB627" s="129"/>
      <c r="AC627" s="129"/>
      <c r="AD627" s="129"/>
      <c r="AE627" s="129"/>
      <c r="AF627" s="132"/>
      <c r="AG627" s="143" t="b">
        <v>1</v>
      </c>
      <c r="AH627" s="143"/>
      <c r="AI627" s="143"/>
      <c r="AJ627" s="143"/>
      <c r="AK627" s="143"/>
      <c r="AL627" s="129"/>
      <c r="AM627" s="129"/>
      <c r="AN627" s="139"/>
    </row>
    <row r="628">
      <c r="A628" s="140" t="s">
        <v>1712</v>
      </c>
      <c r="B628" s="119">
        <v>81.0</v>
      </c>
      <c r="C628" s="133" t="s">
        <v>75</v>
      </c>
      <c r="D628" s="142"/>
      <c r="E628" s="122"/>
      <c r="F628" s="136"/>
      <c r="G628" s="124">
        <v>43.0</v>
      </c>
      <c r="H628" s="125">
        <v>23.0</v>
      </c>
      <c r="I628" s="125">
        <v>12.0</v>
      </c>
      <c r="J628" s="125">
        <v>4.0</v>
      </c>
      <c r="K628" s="125">
        <v>0.0</v>
      </c>
      <c r="L628" s="125">
        <v>4.0</v>
      </c>
      <c r="M628" s="126">
        <v>83.0</v>
      </c>
      <c r="N628" s="127">
        <v>76.0</v>
      </c>
      <c r="O628" s="146"/>
      <c r="P628" s="127">
        <v>84.0</v>
      </c>
      <c r="Q628" s="126" t="b">
        <v>0</v>
      </c>
      <c r="R628" s="143"/>
      <c r="S628" s="143"/>
      <c r="T628" s="143"/>
      <c r="U628" s="143"/>
      <c r="V628" s="129"/>
      <c r="W628" s="144" t="s">
        <v>1485</v>
      </c>
      <c r="X628" s="144"/>
      <c r="Y628" s="144"/>
      <c r="Z628" s="145" t="b">
        <v>0</v>
      </c>
      <c r="AA628" s="145"/>
      <c r="AB628" s="129"/>
      <c r="AC628" s="129"/>
      <c r="AD628" s="144"/>
      <c r="AE628" s="144"/>
      <c r="AF628" s="132"/>
      <c r="AG628" s="143" t="b">
        <v>0</v>
      </c>
      <c r="AH628" s="143"/>
      <c r="AI628" s="143"/>
      <c r="AJ628" s="143"/>
      <c r="AK628" s="143"/>
      <c r="AL628" s="129"/>
      <c r="AM628" s="129"/>
      <c r="AN628" s="139"/>
    </row>
    <row r="629">
      <c r="A629" s="118" t="s">
        <v>1713</v>
      </c>
      <c r="B629" s="119">
        <v>81.0</v>
      </c>
      <c r="C629" s="134" t="s">
        <v>75</v>
      </c>
      <c r="D629" s="150"/>
      <c r="E629" s="135"/>
      <c r="F629" s="136"/>
      <c r="G629" s="124">
        <v>16700.0</v>
      </c>
      <c r="H629" s="125">
        <v>10957.0</v>
      </c>
      <c r="I629" s="125">
        <v>3273.0</v>
      </c>
      <c r="J629" s="125">
        <v>1242.0</v>
      </c>
      <c r="K629" s="125">
        <v>561.0</v>
      </c>
      <c r="L629" s="125">
        <v>672.0</v>
      </c>
      <c r="M629" s="126">
        <v>88.0</v>
      </c>
      <c r="N629" s="127">
        <v>84.0</v>
      </c>
      <c r="O629" s="127">
        <v>76.0</v>
      </c>
      <c r="P629" s="127">
        <v>76.0</v>
      </c>
      <c r="Q629" s="135" t="b">
        <v>0</v>
      </c>
      <c r="R629" s="133">
        <v>4.0</v>
      </c>
      <c r="S629" s="143">
        <v>7.0</v>
      </c>
      <c r="T629" s="133"/>
      <c r="U629" s="133"/>
      <c r="V629" s="130"/>
      <c r="W629" s="130" t="s">
        <v>193</v>
      </c>
      <c r="X629" s="130" t="s">
        <v>225</v>
      </c>
      <c r="Y629" s="130" t="s">
        <v>195</v>
      </c>
      <c r="Z629" s="131" t="b">
        <v>1</v>
      </c>
      <c r="AA629" s="131">
        <v>0.01875</v>
      </c>
      <c r="AB629" s="130" t="s">
        <v>451</v>
      </c>
      <c r="AC629" s="130"/>
      <c r="AD629" s="144" t="s">
        <v>1714</v>
      </c>
      <c r="AE629" s="144"/>
      <c r="AF629" s="132"/>
      <c r="AG629" s="143" t="b">
        <v>0</v>
      </c>
      <c r="AH629" s="143">
        <v>317.0</v>
      </c>
      <c r="AI629" s="143">
        <v>2013.0</v>
      </c>
      <c r="AJ629" s="133">
        <v>2024.0</v>
      </c>
      <c r="AK629" s="143">
        <v>3.0</v>
      </c>
      <c r="AL629" s="129"/>
      <c r="AM629" s="129" t="str">
        <f>IFERROR(__xludf.DUMMYFUNCTION("""COMPUTED_VALUE"""),"Arcade, Beach, Big Waterslides")</f>
        <v>Arcade, Beach, Big Waterslides</v>
      </c>
      <c r="AN629" s="139"/>
    </row>
    <row r="630">
      <c r="A630" s="118" t="s">
        <v>1715</v>
      </c>
      <c r="B630" s="119">
        <v>81.0</v>
      </c>
      <c r="C630" s="134" t="s">
        <v>75</v>
      </c>
      <c r="D630" s="121"/>
      <c r="E630" s="135"/>
      <c r="F630" s="136"/>
      <c r="G630" s="124">
        <v>2868.0</v>
      </c>
      <c r="H630" s="125">
        <v>1917.0</v>
      </c>
      <c r="I630" s="125">
        <v>403.0</v>
      </c>
      <c r="J630" s="125">
        <v>269.0</v>
      </c>
      <c r="K630" s="125">
        <v>138.0</v>
      </c>
      <c r="L630" s="125">
        <v>146.0</v>
      </c>
      <c r="M630" s="126">
        <v>87.0</v>
      </c>
      <c r="N630" s="127">
        <v>80.0</v>
      </c>
      <c r="O630" s="146"/>
      <c r="P630" s="138">
        <v>76.0</v>
      </c>
      <c r="Q630" s="135" t="b">
        <v>0</v>
      </c>
      <c r="R630" s="133"/>
      <c r="S630" s="143">
        <v>7.0</v>
      </c>
      <c r="T630" s="133"/>
      <c r="U630" s="133"/>
      <c r="V630" s="129"/>
      <c r="W630" s="130" t="s">
        <v>193</v>
      </c>
      <c r="X630" s="130" t="s">
        <v>1546</v>
      </c>
      <c r="Y630" s="130" t="s">
        <v>1070</v>
      </c>
      <c r="Z630" s="131" t="b">
        <v>1</v>
      </c>
      <c r="AA630" s="131">
        <v>0.02847222222222222</v>
      </c>
      <c r="AB630" s="129"/>
      <c r="AC630" s="129"/>
      <c r="AD630" s="129" t="s">
        <v>241</v>
      </c>
      <c r="AE630" s="129"/>
      <c r="AF630" s="132"/>
      <c r="AG630" s="143" t="b">
        <v>0</v>
      </c>
      <c r="AH630" s="143">
        <v>567.0</v>
      </c>
      <c r="AI630" s="143">
        <v>1996.0</v>
      </c>
      <c r="AJ630" s="143">
        <v>2018.0</v>
      </c>
      <c r="AK630" s="143">
        <v>3.0</v>
      </c>
      <c r="AL630" s="129"/>
      <c r="AM630" s="129" t="str">
        <f>IFERROR(__xludf.DUMMYFUNCTION("""COMPUTED_VALUE"""),"Beach")</f>
        <v>Beach</v>
      </c>
      <c r="AN630" s="139"/>
    </row>
    <row r="631">
      <c r="A631" s="118" t="s">
        <v>1716</v>
      </c>
      <c r="B631" s="119">
        <v>81.0</v>
      </c>
      <c r="C631" s="134" t="s">
        <v>75</v>
      </c>
      <c r="D631" s="121"/>
      <c r="E631" s="135"/>
      <c r="F631" s="136"/>
      <c r="G631" s="124">
        <v>8677.0</v>
      </c>
      <c r="H631" s="125">
        <v>4927.0</v>
      </c>
      <c r="I631" s="125">
        <v>2087.0</v>
      </c>
      <c r="J631" s="125">
        <v>883.0</v>
      </c>
      <c r="K631" s="125">
        <v>338.0</v>
      </c>
      <c r="L631" s="125">
        <v>445.0</v>
      </c>
      <c r="M631" s="126">
        <v>85.0</v>
      </c>
      <c r="N631" s="127">
        <v>88.0</v>
      </c>
      <c r="O631" s="146"/>
      <c r="P631" s="127">
        <v>70.0</v>
      </c>
      <c r="Q631" s="122" t="b">
        <v>0</v>
      </c>
      <c r="R631" s="133"/>
      <c r="S631" s="143"/>
      <c r="T631" s="133"/>
      <c r="U631" s="133"/>
      <c r="V631" s="129"/>
      <c r="W631" s="130" t="s">
        <v>84</v>
      </c>
      <c r="X631" s="130" t="s">
        <v>86</v>
      </c>
      <c r="Y631" s="147" t="s">
        <v>86</v>
      </c>
      <c r="Z631" s="131" t="b">
        <v>1</v>
      </c>
      <c r="AA631" s="131"/>
      <c r="AB631" s="129"/>
      <c r="AC631" s="129"/>
      <c r="AD631" s="129"/>
      <c r="AE631" s="129"/>
      <c r="AF631" s="132"/>
      <c r="AG631" s="143" t="b">
        <v>1</v>
      </c>
      <c r="AH631" s="143"/>
      <c r="AI631" s="143"/>
      <c r="AJ631" s="143"/>
      <c r="AK631" s="143"/>
      <c r="AL631" s="129"/>
      <c r="AM631" s="129"/>
      <c r="AN631" s="139"/>
    </row>
    <row r="632">
      <c r="A632" s="118" t="s">
        <v>1717</v>
      </c>
      <c r="B632" s="119">
        <v>80.7</v>
      </c>
      <c r="C632" s="120" t="s">
        <v>68</v>
      </c>
      <c r="D632" s="142"/>
      <c r="E632" s="122"/>
      <c r="F632" s="136"/>
      <c r="G632" s="124">
        <v>2528.0</v>
      </c>
      <c r="H632" s="125">
        <v>1842.0</v>
      </c>
      <c r="I632" s="125">
        <v>207.0</v>
      </c>
      <c r="J632" s="125">
        <v>127.0</v>
      </c>
      <c r="K632" s="125">
        <v>99.0</v>
      </c>
      <c r="L632" s="125">
        <v>253.0</v>
      </c>
      <c r="M632" s="126">
        <v>86.0</v>
      </c>
      <c r="N632" s="138">
        <v>76.0</v>
      </c>
      <c r="O632" s="127"/>
      <c r="P632" s="127">
        <v>80.0</v>
      </c>
      <c r="Q632" s="122" t="b">
        <v>0</v>
      </c>
      <c r="R632" s="128"/>
      <c r="S632" s="128"/>
      <c r="T632" s="128"/>
      <c r="U632" s="128"/>
      <c r="V632" s="129"/>
      <c r="W632" s="130" t="s">
        <v>84</v>
      </c>
      <c r="X632" s="130" t="s">
        <v>337</v>
      </c>
      <c r="Y632" s="130" t="s">
        <v>86</v>
      </c>
      <c r="Z632" s="133" t="b">
        <v>1</v>
      </c>
      <c r="AA632" s="145"/>
      <c r="AB632" s="129"/>
      <c r="AC632" s="130"/>
      <c r="AD632" s="144"/>
      <c r="AE632" s="129"/>
      <c r="AF632" s="132"/>
      <c r="AG632" s="143" t="b">
        <v>0</v>
      </c>
      <c r="AH632" s="143"/>
      <c r="AI632" s="143"/>
      <c r="AJ632" s="143"/>
      <c r="AK632" s="143"/>
      <c r="AL632" s="129"/>
      <c r="AM632" s="129"/>
      <c r="AN632" s="128"/>
    </row>
    <row r="633">
      <c r="A633" s="118" t="s">
        <v>1718</v>
      </c>
      <c r="B633" s="119">
        <v>80.7</v>
      </c>
      <c r="C633" s="134" t="s">
        <v>75</v>
      </c>
      <c r="D633" s="121"/>
      <c r="E633" s="135"/>
      <c r="F633" s="136"/>
      <c r="G633" s="124">
        <v>3170.0</v>
      </c>
      <c r="H633" s="125">
        <v>1157.0</v>
      </c>
      <c r="I633" s="125">
        <v>1076.0</v>
      </c>
      <c r="J633" s="125">
        <v>544.0</v>
      </c>
      <c r="K633" s="125">
        <v>231.0</v>
      </c>
      <c r="L633" s="125">
        <v>168.0</v>
      </c>
      <c r="M633" s="126">
        <v>78.0</v>
      </c>
      <c r="N633" s="138">
        <v>84.0</v>
      </c>
      <c r="O633" s="146"/>
      <c r="P633" s="127">
        <v>80.0</v>
      </c>
      <c r="Q633" s="122" t="b">
        <v>0</v>
      </c>
      <c r="R633" s="133"/>
      <c r="S633" s="143"/>
      <c r="T633" s="133"/>
      <c r="U633" s="133"/>
      <c r="V633" s="129"/>
      <c r="W633" s="130" t="s">
        <v>84</v>
      </c>
      <c r="X633" s="130" t="s">
        <v>448</v>
      </c>
      <c r="Y633" s="130" t="s">
        <v>448</v>
      </c>
      <c r="Z633" s="131" t="b">
        <v>1</v>
      </c>
      <c r="AA633" s="131">
        <v>0.007638888888888889</v>
      </c>
      <c r="AB633" s="129"/>
      <c r="AC633" s="129"/>
      <c r="AD633" s="129" t="s">
        <v>241</v>
      </c>
      <c r="AE633" s="129"/>
      <c r="AF633" s="132"/>
      <c r="AG633" s="143" t="b">
        <v>0</v>
      </c>
      <c r="AH633" s="143"/>
      <c r="AI633" s="143"/>
      <c r="AJ633" s="143"/>
      <c r="AK633" s="143"/>
      <c r="AL633" s="129"/>
      <c r="AM633" s="129" t="str">
        <f>IFERROR(__xludf.DUMMYFUNCTION("""COMPUTED_VALUE"""),"Beach")</f>
        <v>Beach</v>
      </c>
      <c r="AN633" s="139"/>
    </row>
    <row r="634">
      <c r="A634" s="118" t="s">
        <v>1719</v>
      </c>
      <c r="B634" s="119">
        <v>80.7</v>
      </c>
      <c r="C634" s="134" t="s">
        <v>75</v>
      </c>
      <c r="D634" s="142"/>
      <c r="E634" s="122"/>
      <c r="F634" s="136"/>
      <c r="G634" s="124">
        <v>6045.0</v>
      </c>
      <c r="H634" s="125">
        <v>2022.0</v>
      </c>
      <c r="I634" s="125">
        <v>2415.0</v>
      </c>
      <c r="J634" s="125">
        <v>942.0</v>
      </c>
      <c r="K634" s="125">
        <v>402.0</v>
      </c>
      <c r="L634" s="125">
        <v>264.0</v>
      </c>
      <c r="M634" s="126">
        <v>78.0</v>
      </c>
      <c r="N634" s="127">
        <v>86.0</v>
      </c>
      <c r="O634" s="146"/>
      <c r="P634" s="127">
        <v>78.0</v>
      </c>
      <c r="Q634" s="122" t="b">
        <v>0</v>
      </c>
      <c r="R634" s="143"/>
      <c r="S634" s="143"/>
      <c r="T634" s="143"/>
      <c r="U634" s="143"/>
      <c r="V634" s="129"/>
      <c r="W634" s="130" t="s">
        <v>84</v>
      </c>
      <c r="X634" s="130" t="s">
        <v>1720</v>
      </c>
      <c r="Y634" s="130" t="s">
        <v>120</v>
      </c>
      <c r="Z634" s="133" t="b">
        <v>1</v>
      </c>
      <c r="AA634" s="145"/>
      <c r="AB634" s="130" t="s">
        <v>412</v>
      </c>
      <c r="AC634" s="129"/>
      <c r="AD634" s="144"/>
      <c r="AE634" s="144"/>
      <c r="AF634" s="132"/>
      <c r="AG634" s="143" t="b">
        <v>0</v>
      </c>
      <c r="AH634" s="143"/>
      <c r="AI634" s="143"/>
      <c r="AJ634" s="143"/>
      <c r="AK634" s="143"/>
      <c r="AL634" s="129"/>
      <c r="AM634" s="129"/>
      <c r="AN634" s="139"/>
    </row>
    <row r="635">
      <c r="A635" s="118" t="s">
        <v>1721</v>
      </c>
      <c r="B635" s="119">
        <v>80.7</v>
      </c>
      <c r="C635" s="134" t="s">
        <v>75</v>
      </c>
      <c r="D635" s="142"/>
      <c r="E635" s="135"/>
      <c r="F635" s="136"/>
      <c r="G635" s="124">
        <v>12974.0</v>
      </c>
      <c r="H635" s="125">
        <v>5123.0</v>
      </c>
      <c r="I635" s="125">
        <v>4158.0</v>
      </c>
      <c r="J635" s="125">
        <v>1984.0</v>
      </c>
      <c r="K635" s="125">
        <v>908.0</v>
      </c>
      <c r="L635" s="125">
        <v>803.0</v>
      </c>
      <c r="M635" s="126">
        <v>78.0</v>
      </c>
      <c r="N635" s="127">
        <v>82.0</v>
      </c>
      <c r="O635" s="146"/>
      <c r="P635" s="127">
        <v>82.0</v>
      </c>
      <c r="Q635" s="122" t="b">
        <v>0</v>
      </c>
      <c r="R635" s="133"/>
      <c r="S635" s="143"/>
      <c r="T635" s="133"/>
      <c r="U635" s="133"/>
      <c r="V635" s="130"/>
      <c r="W635" s="130" t="s">
        <v>219</v>
      </c>
      <c r="X635" s="130" t="s">
        <v>385</v>
      </c>
      <c r="Y635" s="130" t="s">
        <v>221</v>
      </c>
      <c r="Z635" s="131" t="b">
        <v>1</v>
      </c>
      <c r="AA635" s="131">
        <v>0.05416666666666667</v>
      </c>
      <c r="AB635" s="130" t="s">
        <v>655</v>
      </c>
      <c r="AC635" s="130"/>
      <c r="AD635" s="129" t="s">
        <v>241</v>
      </c>
      <c r="AE635" s="129"/>
      <c r="AF635" s="132"/>
      <c r="AG635" s="143" t="b">
        <v>0</v>
      </c>
      <c r="AH635" s="143"/>
      <c r="AI635" s="143"/>
      <c r="AJ635" s="143"/>
      <c r="AK635" s="143"/>
      <c r="AL635" s="129"/>
      <c r="AM635" s="129" t="str">
        <f>IFERROR(__xludf.DUMMYFUNCTION("""COMPUTED_VALUE"""),"Beach")</f>
        <v>Beach</v>
      </c>
      <c r="AN635" s="139"/>
    </row>
    <row r="636">
      <c r="A636" s="118" t="s">
        <v>1722</v>
      </c>
      <c r="B636" s="119">
        <v>80.7</v>
      </c>
      <c r="C636" s="134" t="s">
        <v>75</v>
      </c>
      <c r="D636" s="121"/>
      <c r="E636" s="135"/>
      <c r="F636" s="136"/>
      <c r="G636" s="124">
        <v>9281.0</v>
      </c>
      <c r="H636" s="125">
        <v>4142.0</v>
      </c>
      <c r="I636" s="125">
        <v>2590.0</v>
      </c>
      <c r="J636" s="125">
        <v>1319.0</v>
      </c>
      <c r="K636" s="125">
        <v>677.0</v>
      </c>
      <c r="L636" s="125">
        <v>559.0</v>
      </c>
      <c r="M636" s="126">
        <v>80.0</v>
      </c>
      <c r="N636" s="127">
        <v>88.0</v>
      </c>
      <c r="O636" s="146"/>
      <c r="P636" s="127">
        <v>74.0</v>
      </c>
      <c r="Q636" s="122" t="b">
        <v>0</v>
      </c>
      <c r="R636" s="133"/>
      <c r="S636" s="143"/>
      <c r="T636" s="133"/>
      <c r="U636" s="133"/>
      <c r="V636" s="130"/>
      <c r="W636" s="130" t="s">
        <v>84</v>
      </c>
      <c r="X636" s="130" t="s">
        <v>448</v>
      </c>
      <c r="Y636" s="130" t="s">
        <v>448</v>
      </c>
      <c r="Z636" s="131" t="b">
        <v>1</v>
      </c>
      <c r="AA636" s="131">
        <v>0.017361111111111112</v>
      </c>
      <c r="AB636" s="130"/>
      <c r="AC636" s="130"/>
      <c r="AD636" s="129" t="s">
        <v>241</v>
      </c>
      <c r="AE636" s="129"/>
      <c r="AF636" s="132"/>
      <c r="AG636" s="143" t="b">
        <v>0</v>
      </c>
      <c r="AH636" s="143"/>
      <c r="AI636" s="143"/>
      <c r="AJ636" s="143"/>
      <c r="AK636" s="143"/>
      <c r="AL636" s="129"/>
      <c r="AM636" s="129" t="str">
        <f>IFERROR(__xludf.DUMMYFUNCTION("""COMPUTED_VALUE"""),"Beach")</f>
        <v>Beach</v>
      </c>
      <c r="AN636" s="139"/>
    </row>
    <row r="637">
      <c r="A637" s="118" t="s">
        <v>1723</v>
      </c>
      <c r="B637" s="119">
        <v>80.7</v>
      </c>
      <c r="C637" s="134" t="s">
        <v>75</v>
      </c>
      <c r="D637" s="142"/>
      <c r="E637" s="135"/>
      <c r="F637" s="136"/>
      <c r="G637" s="124">
        <v>2407.0</v>
      </c>
      <c r="H637" s="125">
        <v>1175.0</v>
      </c>
      <c r="I637" s="125">
        <v>776.0</v>
      </c>
      <c r="J637" s="125">
        <v>282.0</v>
      </c>
      <c r="K637" s="125">
        <v>75.0</v>
      </c>
      <c r="L637" s="125">
        <v>103.0</v>
      </c>
      <c r="M637" s="126">
        <v>84.0</v>
      </c>
      <c r="N637" s="127">
        <v>82.0</v>
      </c>
      <c r="O637" s="146"/>
      <c r="P637" s="127">
        <v>76.0</v>
      </c>
      <c r="Q637" s="122" t="b">
        <v>0</v>
      </c>
      <c r="R637" s="133"/>
      <c r="S637" s="143"/>
      <c r="T637" s="133"/>
      <c r="U637" s="133"/>
      <c r="V637" s="129"/>
      <c r="W637" s="130" t="s">
        <v>642</v>
      </c>
      <c r="X637" s="130" t="s">
        <v>642</v>
      </c>
      <c r="Y637" s="130" t="s">
        <v>644</v>
      </c>
      <c r="Z637" s="131" t="b">
        <v>1</v>
      </c>
      <c r="AA637" s="131"/>
      <c r="AB637" s="129"/>
      <c r="AC637" s="129"/>
      <c r="AD637" s="129"/>
      <c r="AE637" s="129"/>
      <c r="AF637" s="132"/>
      <c r="AG637" s="143" t="b">
        <v>0</v>
      </c>
      <c r="AH637" s="143"/>
      <c r="AI637" s="143"/>
      <c r="AJ637" s="143"/>
      <c r="AK637" s="143"/>
      <c r="AL637" s="129"/>
      <c r="AM637" s="129"/>
      <c r="AN637" s="139"/>
    </row>
    <row r="638">
      <c r="A638" s="118" t="s">
        <v>1724</v>
      </c>
      <c r="B638" s="119">
        <v>80.7</v>
      </c>
      <c r="C638" s="134" t="s">
        <v>75</v>
      </c>
      <c r="D638" s="142"/>
      <c r="E638" s="135"/>
      <c r="F638" s="136"/>
      <c r="G638" s="124">
        <v>8078.0</v>
      </c>
      <c r="H638" s="125">
        <v>3527.0</v>
      </c>
      <c r="I638" s="125">
        <v>2383.0</v>
      </c>
      <c r="J638" s="125">
        <v>1148.0</v>
      </c>
      <c r="K638" s="125">
        <v>541.0</v>
      </c>
      <c r="L638" s="125">
        <v>479.0</v>
      </c>
      <c r="M638" s="126">
        <v>80.0</v>
      </c>
      <c r="N638" s="127">
        <v>84.0</v>
      </c>
      <c r="O638" s="146"/>
      <c r="P638" s="127">
        <v>78.0</v>
      </c>
      <c r="Q638" s="122" t="b">
        <v>0</v>
      </c>
      <c r="R638" s="133"/>
      <c r="S638" s="143"/>
      <c r="T638" s="133"/>
      <c r="U638" s="133"/>
      <c r="V638" s="129"/>
      <c r="W638" s="130" t="s">
        <v>84</v>
      </c>
      <c r="X638" s="130" t="s">
        <v>86</v>
      </c>
      <c r="Y638" s="147" t="s">
        <v>86</v>
      </c>
      <c r="Z638" s="131" t="b">
        <v>1</v>
      </c>
      <c r="AA638" s="131">
        <v>0.03263888888888889</v>
      </c>
      <c r="AB638" s="129"/>
      <c r="AC638" s="129"/>
      <c r="AD638" s="129" t="s">
        <v>1591</v>
      </c>
      <c r="AE638" s="129"/>
      <c r="AF638" s="132"/>
      <c r="AG638" s="143" t="b">
        <v>0</v>
      </c>
      <c r="AH638" s="143"/>
      <c r="AI638" s="143"/>
      <c r="AJ638" s="143"/>
      <c r="AK638" s="143"/>
      <c r="AL638" s="129"/>
      <c r="AM638" s="129" t="str">
        <f>IFERROR(__xludf.DUMMYFUNCTION("""COMPUTED_VALUE"""),"Beach, Big Waterslides")</f>
        <v>Beach, Big Waterslides</v>
      </c>
      <c r="AN638" s="139"/>
    </row>
    <row r="639">
      <c r="A639" s="118" t="s">
        <v>1725</v>
      </c>
      <c r="B639" s="119">
        <v>80.5</v>
      </c>
      <c r="C639" s="134" t="s">
        <v>75</v>
      </c>
      <c r="D639" s="121"/>
      <c r="E639" s="135"/>
      <c r="F639" s="136"/>
      <c r="G639" s="124">
        <v>6247.0</v>
      </c>
      <c r="H639" s="125">
        <v>3933.0</v>
      </c>
      <c r="I639" s="125">
        <v>920.0</v>
      </c>
      <c r="J639" s="125">
        <v>517.0</v>
      </c>
      <c r="K639" s="125">
        <v>373.0</v>
      </c>
      <c r="L639" s="125">
        <v>504.0</v>
      </c>
      <c r="M639" s="126">
        <v>84.0</v>
      </c>
      <c r="N639" s="127">
        <v>86.0</v>
      </c>
      <c r="O639" s="127">
        <v>76.0</v>
      </c>
      <c r="P639" s="127">
        <v>76.0</v>
      </c>
      <c r="Q639" s="122" t="b">
        <v>0</v>
      </c>
      <c r="R639" s="133"/>
      <c r="S639" s="143"/>
      <c r="T639" s="133"/>
      <c r="U639" s="133"/>
      <c r="V639" s="130"/>
      <c r="W639" s="130" t="s">
        <v>193</v>
      </c>
      <c r="X639" s="130" t="s">
        <v>1726</v>
      </c>
      <c r="Y639" s="130" t="s">
        <v>195</v>
      </c>
      <c r="Z639" s="131" t="b">
        <v>1</v>
      </c>
      <c r="AA639" s="131">
        <v>0.016666666666666666</v>
      </c>
      <c r="AB639" s="130"/>
      <c r="AC639" s="130"/>
      <c r="AD639" s="129" t="s">
        <v>241</v>
      </c>
      <c r="AE639" s="129" t="s">
        <v>396</v>
      </c>
      <c r="AF639" s="132"/>
      <c r="AG639" s="143" t="b">
        <v>0</v>
      </c>
      <c r="AH639" s="143"/>
      <c r="AI639" s="143"/>
      <c r="AJ639" s="143"/>
      <c r="AK639" s="143"/>
      <c r="AL639" s="129"/>
      <c r="AM639" s="129" t="str">
        <f>IFERROR(__xludf.DUMMYFUNCTION("""COMPUTED_VALUE"""),"Beach")</f>
        <v>Beach</v>
      </c>
      <c r="AN639" s="139"/>
    </row>
    <row r="640">
      <c r="A640" s="118" t="s">
        <v>1727</v>
      </c>
      <c r="B640" s="119">
        <v>80.5</v>
      </c>
      <c r="C640" s="134" t="s">
        <v>75</v>
      </c>
      <c r="D640" s="121"/>
      <c r="E640" s="135"/>
      <c r="F640" s="136"/>
      <c r="G640" s="124">
        <v>6643.0</v>
      </c>
      <c r="H640" s="125">
        <v>4024.0</v>
      </c>
      <c r="I640" s="125">
        <v>983.0</v>
      </c>
      <c r="J640" s="125">
        <v>597.0</v>
      </c>
      <c r="K640" s="125">
        <v>437.0</v>
      </c>
      <c r="L640" s="125">
        <v>607.0</v>
      </c>
      <c r="M640" s="126">
        <v>82.0</v>
      </c>
      <c r="N640" s="127">
        <v>92.0</v>
      </c>
      <c r="O640" s="127">
        <v>72.0</v>
      </c>
      <c r="P640" s="127">
        <v>76.0</v>
      </c>
      <c r="Q640" s="122" t="b">
        <v>0</v>
      </c>
      <c r="R640" s="133"/>
      <c r="S640" s="143"/>
      <c r="T640" s="133"/>
      <c r="U640" s="133"/>
      <c r="V640" s="130"/>
      <c r="W640" s="130" t="s">
        <v>193</v>
      </c>
      <c r="X640" s="130" t="s">
        <v>225</v>
      </c>
      <c r="Y640" s="130" t="s">
        <v>195</v>
      </c>
      <c r="Z640" s="131" t="b">
        <v>1</v>
      </c>
      <c r="AA640" s="131">
        <v>0.01597222222222222</v>
      </c>
      <c r="AB640" s="130"/>
      <c r="AC640" s="130"/>
      <c r="AD640" s="144" t="s">
        <v>241</v>
      </c>
      <c r="AE640" s="144"/>
      <c r="AF640" s="132"/>
      <c r="AG640" s="143" t="b">
        <v>0</v>
      </c>
      <c r="AH640" s="143"/>
      <c r="AI640" s="143"/>
      <c r="AJ640" s="143"/>
      <c r="AK640" s="143"/>
      <c r="AL640" s="129"/>
      <c r="AM640" s="129" t="str">
        <f>IFERROR(__xludf.DUMMYFUNCTION("""COMPUTED_VALUE"""),"Beach")</f>
        <v>Beach</v>
      </c>
      <c r="AN640" s="139"/>
    </row>
    <row r="641">
      <c r="A641" s="118" t="s">
        <v>1728</v>
      </c>
      <c r="B641" s="149">
        <v>80.3</v>
      </c>
      <c r="C641" s="120" t="s">
        <v>68</v>
      </c>
      <c r="D641" s="142"/>
      <c r="E641" s="122"/>
      <c r="F641" s="123"/>
      <c r="G641" s="124">
        <v>1007.0</v>
      </c>
      <c r="H641" s="125">
        <v>468.0</v>
      </c>
      <c r="I641" s="125">
        <v>171.0</v>
      </c>
      <c r="J641" s="125">
        <v>140.0</v>
      </c>
      <c r="K641" s="125">
        <v>100.0</v>
      </c>
      <c r="L641" s="125">
        <v>131.0</v>
      </c>
      <c r="M641" s="126">
        <v>75.0</v>
      </c>
      <c r="N641" s="138">
        <v>84.0</v>
      </c>
      <c r="O641" s="127"/>
      <c r="P641" s="138">
        <v>82.0</v>
      </c>
      <c r="Q641" s="122" t="b">
        <v>0</v>
      </c>
      <c r="R641" s="128"/>
      <c r="S641" s="128"/>
      <c r="T641" s="133" t="s">
        <v>247</v>
      </c>
      <c r="U641" s="128"/>
      <c r="V641" s="129"/>
      <c r="W641" s="130" t="s">
        <v>84</v>
      </c>
      <c r="X641" s="130" t="s">
        <v>337</v>
      </c>
      <c r="Y641" s="130" t="s">
        <v>337</v>
      </c>
      <c r="Z641" s="133" t="b">
        <v>1</v>
      </c>
      <c r="AA641" s="145"/>
      <c r="AB641" s="130" t="s">
        <v>50</v>
      </c>
      <c r="AC641" s="129"/>
      <c r="AD641" s="129" t="s">
        <v>1729</v>
      </c>
      <c r="AE641" s="130"/>
      <c r="AF641" s="132"/>
      <c r="AG641" s="128" t="b">
        <v>0</v>
      </c>
      <c r="AH641" s="128"/>
      <c r="AI641" s="128"/>
      <c r="AJ641" s="128"/>
      <c r="AK641" s="128"/>
      <c r="AL641" s="129"/>
      <c r="AM641" s="129" t="str">
        <f>IFERROR(__xludf.DUMMYFUNCTION("""COMPUTED_VALUE"""),"Great Food")</f>
        <v>Great Food</v>
      </c>
      <c r="AN641" s="128"/>
    </row>
    <row r="642">
      <c r="A642" s="140" t="s">
        <v>1730</v>
      </c>
      <c r="B642" s="119">
        <v>80.3</v>
      </c>
      <c r="C642" s="133" t="s">
        <v>75</v>
      </c>
      <c r="D642" s="142"/>
      <c r="E642" s="122"/>
      <c r="F642" s="136"/>
      <c r="G642" s="124">
        <v>2992.0</v>
      </c>
      <c r="H642" s="125">
        <v>1334.0</v>
      </c>
      <c r="I642" s="125">
        <v>785.0</v>
      </c>
      <c r="J642" s="125">
        <v>447.0</v>
      </c>
      <c r="K642" s="125">
        <v>206.0</v>
      </c>
      <c r="L642" s="125">
        <v>222.0</v>
      </c>
      <c r="M642" s="126">
        <v>79.0</v>
      </c>
      <c r="N642" s="127">
        <v>88.0</v>
      </c>
      <c r="O642" s="146"/>
      <c r="P642" s="127">
        <v>74.0</v>
      </c>
      <c r="Q642" s="126" t="b">
        <v>0</v>
      </c>
      <c r="R642" s="128"/>
      <c r="S642" s="128"/>
      <c r="T642" s="128"/>
      <c r="U642" s="128"/>
      <c r="V642" s="129"/>
      <c r="W642" s="144" t="s">
        <v>1731</v>
      </c>
      <c r="X642" s="130" t="s">
        <v>1732</v>
      </c>
      <c r="Y642" s="130" t="s">
        <v>1733</v>
      </c>
      <c r="Z642" s="145" t="b">
        <v>0</v>
      </c>
      <c r="AA642" s="145"/>
      <c r="AB642" s="129"/>
      <c r="AC642" s="129"/>
      <c r="AD642" s="129"/>
      <c r="AE642" s="129"/>
      <c r="AF642" s="132"/>
      <c r="AG642" s="143" t="b">
        <v>0</v>
      </c>
      <c r="AH642" s="143"/>
      <c r="AI642" s="143"/>
      <c r="AJ642" s="143"/>
      <c r="AK642" s="143"/>
      <c r="AL642" s="129"/>
      <c r="AM642" s="129"/>
      <c r="AN642" s="139"/>
    </row>
    <row r="643">
      <c r="A643" s="118" t="s">
        <v>1734</v>
      </c>
      <c r="B643" s="119">
        <v>80.3</v>
      </c>
      <c r="C643" s="134" t="s">
        <v>75</v>
      </c>
      <c r="D643" s="121"/>
      <c r="E643" s="135"/>
      <c r="F643" s="136"/>
      <c r="G643" s="124">
        <v>21042.0</v>
      </c>
      <c r="H643" s="125">
        <v>11077.0</v>
      </c>
      <c r="I643" s="125">
        <v>5170.0</v>
      </c>
      <c r="J643" s="125">
        <v>2428.0</v>
      </c>
      <c r="K643" s="125">
        <v>1115.0</v>
      </c>
      <c r="L643" s="125">
        <v>1260.0</v>
      </c>
      <c r="M643" s="126">
        <v>83.0</v>
      </c>
      <c r="N643" s="127">
        <v>86.0</v>
      </c>
      <c r="O643" s="127">
        <v>78.0</v>
      </c>
      <c r="P643" s="127">
        <v>74.0</v>
      </c>
      <c r="Q643" s="122" t="b">
        <v>0</v>
      </c>
      <c r="R643" s="133"/>
      <c r="S643" s="143"/>
      <c r="T643" s="133"/>
      <c r="U643" s="133"/>
      <c r="V643" s="130"/>
      <c r="W643" s="130" t="s">
        <v>84</v>
      </c>
      <c r="X643" s="130" t="s">
        <v>86</v>
      </c>
      <c r="Y643" s="130" t="s">
        <v>86</v>
      </c>
      <c r="Z643" s="131" t="b">
        <v>1</v>
      </c>
      <c r="AA643" s="131">
        <v>0.009722222222222222</v>
      </c>
      <c r="AB643" s="130"/>
      <c r="AC643" s="130"/>
      <c r="AD643" s="130" t="s">
        <v>1568</v>
      </c>
      <c r="AE643" s="144"/>
      <c r="AF643" s="132"/>
      <c r="AG643" s="143" t="b">
        <v>1</v>
      </c>
      <c r="AH643" s="143"/>
      <c r="AI643" s="143"/>
      <c r="AJ643" s="143"/>
      <c r="AK643" s="143"/>
      <c r="AL643" s="129"/>
      <c r="AM643" s="129" t="str">
        <f>IFERROR(__xludf.DUMMYFUNCTION("""COMPUTED_VALUE"""),"Kids Club for Under 4")</f>
        <v>Kids Club for Under 4</v>
      </c>
      <c r="AN643" s="139"/>
    </row>
    <row r="644">
      <c r="A644" s="140" t="s">
        <v>1735</v>
      </c>
      <c r="B644" s="119">
        <v>80.3</v>
      </c>
      <c r="C644" s="133" t="s">
        <v>75</v>
      </c>
      <c r="D644" s="142"/>
      <c r="E644" s="122"/>
      <c r="F644" s="136"/>
      <c r="G644" s="124">
        <v>743.0</v>
      </c>
      <c r="H644" s="125">
        <v>271.0</v>
      </c>
      <c r="I644" s="125">
        <v>231.0</v>
      </c>
      <c r="J644" s="125">
        <v>101.0</v>
      </c>
      <c r="K644" s="125">
        <v>64.0</v>
      </c>
      <c r="L644" s="125">
        <v>76.0</v>
      </c>
      <c r="M644" s="126">
        <v>75.0</v>
      </c>
      <c r="N644" s="127">
        <v>88.0</v>
      </c>
      <c r="O644" s="146"/>
      <c r="P644" s="127">
        <v>78.0</v>
      </c>
      <c r="Q644" s="122" t="b">
        <v>0</v>
      </c>
      <c r="R644" s="128"/>
      <c r="S644" s="128"/>
      <c r="T644" s="128"/>
      <c r="U644" s="128"/>
      <c r="V644" s="129"/>
      <c r="W644" s="130" t="s">
        <v>1736</v>
      </c>
      <c r="X644" s="130" t="s">
        <v>1737</v>
      </c>
      <c r="Y644" s="130" t="s">
        <v>1738</v>
      </c>
      <c r="Z644" s="145" t="b">
        <v>0</v>
      </c>
      <c r="AA644" s="145"/>
      <c r="AB644" s="129"/>
      <c r="AC644" s="129"/>
      <c r="AD644" s="129"/>
      <c r="AE644" s="129"/>
      <c r="AF644" s="132"/>
      <c r="AG644" s="143" t="b">
        <v>0</v>
      </c>
      <c r="AH644" s="143"/>
      <c r="AI644" s="143"/>
      <c r="AJ644" s="143"/>
      <c r="AK644" s="143"/>
      <c r="AL644" s="129"/>
      <c r="AM644" s="129"/>
      <c r="AN644" s="139"/>
    </row>
    <row r="645">
      <c r="A645" s="118" t="s">
        <v>1739</v>
      </c>
      <c r="B645" s="119">
        <v>80.3</v>
      </c>
      <c r="C645" s="120" t="s">
        <v>68</v>
      </c>
      <c r="D645" s="142"/>
      <c r="E645" s="122"/>
      <c r="F645" s="136"/>
      <c r="G645" s="124">
        <v>3480.0</v>
      </c>
      <c r="H645" s="125">
        <v>2643.0</v>
      </c>
      <c r="I645" s="125">
        <v>426.0</v>
      </c>
      <c r="J645" s="125">
        <v>229.0</v>
      </c>
      <c r="K645" s="125">
        <v>88.0</v>
      </c>
      <c r="L645" s="125">
        <v>98.0</v>
      </c>
      <c r="M645" s="126">
        <v>91.0</v>
      </c>
      <c r="N645" s="138">
        <v>66.0</v>
      </c>
      <c r="O645" s="127">
        <v>84.0</v>
      </c>
      <c r="P645" s="127">
        <v>80.0</v>
      </c>
      <c r="Q645" s="126" t="b">
        <v>0</v>
      </c>
      <c r="R645" s="128"/>
      <c r="S645" s="128"/>
      <c r="T645" s="128"/>
      <c r="U645" s="128"/>
      <c r="V645" s="129"/>
      <c r="W645" s="130" t="s">
        <v>219</v>
      </c>
      <c r="X645" s="130" t="s">
        <v>220</v>
      </c>
      <c r="Y645" s="144" t="s">
        <v>221</v>
      </c>
      <c r="Z645" s="133" t="b">
        <v>1</v>
      </c>
      <c r="AA645" s="145"/>
      <c r="AB645" s="130" t="s">
        <v>451</v>
      </c>
      <c r="AC645" s="130"/>
      <c r="AD645" s="144" t="s">
        <v>1532</v>
      </c>
      <c r="AE645" s="129"/>
      <c r="AF645" s="132"/>
      <c r="AG645" s="143" t="b">
        <v>0</v>
      </c>
      <c r="AH645" s="143"/>
      <c r="AI645" s="143"/>
      <c r="AJ645" s="143"/>
      <c r="AK645" s="143"/>
      <c r="AL645" s="129"/>
      <c r="AM645" s="129" t="str">
        <f>IFERROR(__xludf.DUMMYFUNCTION("""COMPUTED_VALUE"""),"Great Beach")</f>
        <v>Great Beach</v>
      </c>
      <c r="AN645" s="128"/>
    </row>
    <row r="646">
      <c r="A646" s="118" t="s">
        <v>1740</v>
      </c>
      <c r="B646" s="119">
        <v>80.3</v>
      </c>
      <c r="C646" s="134" t="s">
        <v>75</v>
      </c>
      <c r="D646" s="142"/>
      <c r="E646" s="135"/>
      <c r="F646" s="136"/>
      <c r="G646" s="124">
        <v>10494.0</v>
      </c>
      <c r="H646" s="125">
        <v>4633.0</v>
      </c>
      <c r="I646" s="125">
        <v>2973.0</v>
      </c>
      <c r="J646" s="125">
        <v>1502.0</v>
      </c>
      <c r="K646" s="125">
        <v>679.0</v>
      </c>
      <c r="L646" s="125">
        <v>712.0</v>
      </c>
      <c r="M646" s="126">
        <v>79.0</v>
      </c>
      <c r="N646" s="127">
        <v>88.0</v>
      </c>
      <c r="O646" s="146"/>
      <c r="P646" s="127">
        <v>74.0</v>
      </c>
      <c r="Q646" s="122" t="b">
        <v>0</v>
      </c>
      <c r="R646" s="133"/>
      <c r="S646" s="143"/>
      <c r="T646" s="133"/>
      <c r="U646" s="133"/>
      <c r="V646" s="129"/>
      <c r="W646" s="130" t="s">
        <v>84</v>
      </c>
      <c r="X646" s="130" t="s">
        <v>86</v>
      </c>
      <c r="Y646" s="130" t="s">
        <v>86</v>
      </c>
      <c r="Z646" s="133" t="b">
        <v>1</v>
      </c>
      <c r="AA646" s="145"/>
      <c r="AB646" s="129"/>
      <c r="AC646" s="129"/>
      <c r="AD646" s="129"/>
      <c r="AE646" s="129"/>
      <c r="AF646" s="132"/>
      <c r="AG646" s="143" t="b">
        <v>1</v>
      </c>
      <c r="AH646" s="143"/>
      <c r="AI646" s="143"/>
      <c r="AJ646" s="143"/>
      <c r="AK646" s="143"/>
      <c r="AL646" s="129"/>
      <c r="AM646" s="129"/>
      <c r="AN646" s="139"/>
    </row>
    <row r="647">
      <c r="A647" s="118" t="s">
        <v>1741</v>
      </c>
      <c r="B647" s="119">
        <v>80.0</v>
      </c>
      <c r="C647" s="134" t="s">
        <v>75</v>
      </c>
      <c r="D647" s="142"/>
      <c r="E647" s="135"/>
      <c r="F647" s="136"/>
      <c r="G647" s="124">
        <v>15369.0</v>
      </c>
      <c r="H647" s="125">
        <v>5459.0</v>
      </c>
      <c r="I647" s="125">
        <v>4508.0</v>
      </c>
      <c r="J647" s="125">
        <v>2582.0</v>
      </c>
      <c r="K647" s="125">
        <v>1368.0</v>
      </c>
      <c r="L647" s="125">
        <v>1457.0</v>
      </c>
      <c r="M647" s="126">
        <v>74.0</v>
      </c>
      <c r="N647" s="138">
        <v>92.0</v>
      </c>
      <c r="O647" s="146"/>
      <c r="P647" s="138">
        <v>74.0</v>
      </c>
      <c r="Q647" s="122" t="b">
        <v>0</v>
      </c>
      <c r="R647" s="133"/>
      <c r="S647" s="143">
        <v>6.0</v>
      </c>
      <c r="T647" s="133"/>
      <c r="U647" s="133"/>
      <c r="V647" s="130"/>
      <c r="W647" s="130" t="s">
        <v>219</v>
      </c>
      <c r="X647" s="130" t="s">
        <v>1293</v>
      </c>
      <c r="Y647" s="130" t="s">
        <v>221</v>
      </c>
      <c r="Z647" s="131" t="b">
        <v>1</v>
      </c>
      <c r="AA647" s="131">
        <v>0.044444444444444446</v>
      </c>
      <c r="AB647" s="130"/>
      <c r="AC647" s="130"/>
      <c r="AD647" s="129" t="s">
        <v>241</v>
      </c>
      <c r="AE647" s="129"/>
      <c r="AF647" s="132"/>
      <c r="AG647" s="143" t="b">
        <v>0</v>
      </c>
      <c r="AH647" s="143">
        <v>584.0</v>
      </c>
      <c r="AI647" s="143"/>
      <c r="AJ647" s="143"/>
      <c r="AK647" s="143">
        <v>3.0</v>
      </c>
      <c r="AL647" s="129"/>
      <c r="AM647" s="129" t="str">
        <f>IFERROR(__xludf.DUMMYFUNCTION("""COMPUTED_VALUE"""),"Beach")</f>
        <v>Beach</v>
      </c>
      <c r="AN647" s="139"/>
    </row>
    <row r="648">
      <c r="A648" s="140" t="s">
        <v>1742</v>
      </c>
      <c r="B648" s="119">
        <v>80.0</v>
      </c>
      <c r="C648" s="141" t="s">
        <v>68</v>
      </c>
      <c r="D648" s="142"/>
      <c r="E648" s="122"/>
      <c r="F648" s="136"/>
      <c r="G648" s="124">
        <v>8425.0</v>
      </c>
      <c r="H648" s="125">
        <v>4423.0</v>
      </c>
      <c r="I648" s="125">
        <v>1888.0</v>
      </c>
      <c r="J648" s="125">
        <v>1114.0</v>
      </c>
      <c r="K648" s="125">
        <v>513.0</v>
      </c>
      <c r="L648" s="125">
        <v>488.0</v>
      </c>
      <c r="M648" s="126">
        <v>82.0</v>
      </c>
      <c r="N648" s="138">
        <v>86.0</v>
      </c>
      <c r="O648" s="127"/>
      <c r="P648" s="127">
        <v>72.0</v>
      </c>
      <c r="Q648" s="126" t="b">
        <v>0</v>
      </c>
      <c r="R648" s="143"/>
      <c r="S648" s="143"/>
      <c r="T648" s="143"/>
      <c r="U648" s="143"/>
      <c r="V648" s="144"/>
      <c r="W648" s="144" t="s">
        <v>84</v>
      </c>
      <c r="X648" s="130" t="s">
        <v>119</v>
      </c>
      <c r="Y648" s="130" t="s">
        <v>120</v>
      </c>
      <c r="Z648" s="133" t="b">
        <v>1</v>
      </c>
      <c r="AA648" s="145"/>
      <c r="AB648" s="144"/>
      <c r="AC648" s="144"/>
      <c r="AD648" s="144"/>
      <c r="AE648" s="129"/>
      <c r="AF648" s="132"/>
      <c r="AG648" s="143" t="b">
        <v>0</v>
      </c>
      <c r="AH648" s="143"/>
      <c r="AI648" s="143"/>
      <c r="AJ648" s="143"/>
      <c r="AK648" s="143"/>
      <c r="AL648" s="129"/>
      <c r="AM648" s="129"/>
      <c r="AN648" s="128"/>
    </row>
    <row r="649">
      <c r="A649" s="118" t="s">
        <v>1743</v>
      </c>
      <c r="B649" s="119">
        <v>80.0</v>
      </c>
      <c r="C649" s="134" t="s">
        <v>75</v>
      </c>
      <c r="D649" s="121"/>
      <c r="E649" s="135"/>
      <c r="F649" s="136"/>
      <c r="G649" s="124">
        <v>7982.0</v>
      </c>
      <c r="H649" s="125">
        <v>3934.0</v>
      </c>
      <c r="I649" s="125">
        <v>2572.0</v>
      </c>
      <c r="J649" s="125">
        <v>967.0</v>
      </c>
      <c r="K649" s="125">
        <v>305.0</v>
      </c>
      <c r="L649" s="125">
        <v>206.0</v>
      </c>
      <c r="M649" s="126">
        <v>84.0</v>
      </c>
      <c r="N649" s="127">
        <v>84.0</v>
      </c>
      <c r="O649" s="138">
        <v>74.0</v>
      </c>
      <c r="P649" s="138">
        <v>78.0</v>
      </c>
      <c r="Q649" s="135" t="b">
        <v>0</v>
      </c>
      <c r="R649" s="133"/>
      <c r="S649" s="143">
        <v>6.0</v>
      </c>
      <c r="T649" s="133"/>
      <c r="U649" s="133"/>
      <c r="V649" s="129"/>
      <c r="W649" s="130" t="s">
        <v>193</v>
      </c>
      <c r="X649" s="130" t="s">
        <v>1546</v>
      </c>
      <c r="Y649" s="130" t="s">
        <v>1070</v>
      </c>
      <c r="Z649" s="131" t="b">
        <v>1</v>
      </c>
      <c r="AA649" s="131">
        <v>0.016666666666666666</v>
      </c>
      <c r="AB649" s="129"/>
      <c r="AC649" s="129"/>
      <c r="AD649" s="129" t="s">
        <v>241</v>
      </c>
      <c r="AE649" s="129"/>
      <c r="AF649" s="132"/>
      <c r="AG649" s="143" t="b">
        <v>0</v>
      </c>
      <c r="AH649" s="143">
        <v>506.0</v>
      </c>
      <c r="AI649" s="143"/>
      <c r="AJ649" s="143"/>
      <c r="AK649" s="143">
        <v>3.0</v>
      </c>
      <c r="AL649" s="129"/>
      <c r="AM649" s="129" t="str">
        <f>IFERROR(__xludf.DUMMYFUNCTION("""COMPUTED_VALUE"""),"Beach")</f>
        <v>Beach</v>
      </c>
      <c r="AN649" s="139"/>
    </row>
    <row r="650">
      <c r="A650" s="118" t="s">
        <v>1744</v>
      </c>
      <c r="B650" s="119">
        <v>80.0</v>
      </c>
      <c r="C650" s="120" t="s">
        <v>68</v>
      </c>
      <c r="D650" s="142"/>
      <c r="E650" s="122"/>
      <c r="F650" s="136"/>
      <c r="G650" s="124">
        <v>3078.0</v>
      </c>
      <c r="H650" s="125">
        <v>2067.0</v>
      </c>
      <c r="I650" s="125">
        <v>517.0</v>
      </c>
      <c r="J650" s="125">
        <v>247.0</v>
      </c>
      <c r="K650" s="125">
        <v>112.0</v>
      </c>
      <c r="L650" s="125">
        <v>136.0</v>
      </c>
      <c r="M650" s="126">
        <v>88.0</v>
      </c>
      <c r="N650" s="127">
        <v>84.0</v>
      </c>
      <c r="O650" s="138">
        <v>78.0</v>
      </c>
      <c r="P650" s="127">
        <v>70.0</v>
      </c>
      <c r="Q650" s="126" t="b">
        <v>0</v>
      </c>
      <c r="R650" s="128"/>
      <c r="S650" s="128">
        <v>7.0</v>
      </c>
      <c r="T650" s="128"/>
      <c r="U650" s="128"/>
      <c r="V650" s="129"/>
      <c r="W650" s="130" t="s">
        <v>193</v>
      </c>
      <c r="X650" s="130" t="s">
        <v>195</v>
      </c>
      <c r="Y650" s="130" t="s">
        <v>195</v>
      </c>
      <c r="Z650" s="133" t="b">
        <v>1</v>
      </c>
      <c r="AA650" s="131"/>
      <c r="AB650" s="130" t="s">
        <v>451</v>
      </c>
      <c r="AC650" s="130"/>
      <c r="AD650" s="144"/>
      <c r="AE650" s="129"/>
      <c r="AF650" s="132"/>
      <c r="AG650" s="143" t="b">
        <v>0</v>
      </c>
      <c r="AH650" s="143">
        <v>168.0</v>
      </c>
      <c r="AI650" s="143">
        <v>2017.0</v>
      </c>
      <c r="AJ650" s="133">
        <v>2024.0</v>
      </c>
      <c r="AK650" s="143">
        <v>3.0</v>
      </c>
      <c r="AL650" s="129"/>
      <c r="AM650" s="129"/>
      <c r="AN650" s="128"/>
    </row>
    <row r="651">
      <c r="A651" s="118" t="s">
        <v>1745</v>
      </c>
      <c r="B651" s="119">
        <v>80.0</v>
      </c>
      <c r="C651" s="134" t="s">
        <v>75</v>
      </c>
      <c r="D651" s="142"/>
      <c r="E651" s="135"/>
      <c r="F651" s="136"/>
      <c r="G651" s="124">
        <v>7427.0</v>
      </c>
      <c r="H651" s="125">
        <v>4594.0</v>
      </c>
      <c r="I651" s="125">
        <v>1524.0</v>
      </c>
      <c r="J651" s="125">
        <v>644.0</v>
      </c>
      <c r="K651" s="125">
        <v>276.0</v>
      </c>
      <c r="L651" s="125">
        <v>390.0</v>
      </c>
      <c r="M651" s="126">
        <v>86.0</v>
      </c>
      <c r="N651" s="127">
        <v>82.0</v>
      </c>
      <c r="O651" s="146"/>
      <c r="P651" s="127">
        <v>72.0</v>
      </c>
      <c r="Q651" s="135" t="b">
        <v>0</v>
      </c>
      <c r="R651" s="133"/>
      <c r="S651" s="143"/>
      <c r="T651" s="133"/>
      <c r="U651" s="133"/>
      <c r="V651" s="130"/>
      <c r="W651" s="130" t="s">
        <v>84</v>
      </c>
      <c r="X651" s="130" t="s">
        <v>86</v>
      </c>
      <c r="Y651" s="130" t="s">
        <v>86</v>
      </c>
      <c r="Z651" s="131" t="b">
        <v>1</v>
      </c>
      <c r="AA651" s="131">
        <v>0.019444444444444445</v>
      </c>
      <c r="AB651" s="130"/>
      <c r="AC651" s="130"/>
      <c r="AD651" s="129" t="s">
        <v>241</v>
      </c>
      <c r="AE651" s="129"/>
      <c r="AF651" s="132"/>
      <c r="AG651" s="143" t="b">
        <v>0</v>
      </c>
      <c r="AH651" s="143"/>
      <c r="AI651" s="143"/>
      <c r="AJ651" s="143"/>
      <c r="AK651" s="143"/>
      <c r="AL651" s="129"/>
      <c r="AM651" s="129" t="str">
        <f>IFERROR(__xludf.DUMMYFUNCTION("""COMPUTED_VALUE"""),"Beach")</f>
        <v>Beach</v>
      </c>
      <c r="AN651" s="139"/>
    </row>
    <row r="652">
      <c r="A652" s="118" t="s">
        <v>1746</v>
      </c>
      <c r="B652" s="119">
        <v>80.0</v>
      </c>
      <c r="C652" s="134" t="s">
        <v>75</v>
      </c>
      <c r="D652" s="142"/>
      <c r="E652" s="135"/>
      <c r="F652" s="136"/>
      <c r="G652" s="124">
        <v>3045.0</v>
      </c>
      <c r="H652" s="125">
        <v>1698.0</v>
      </c>
      <c r="I652" s="125">
        <v>792.0</v>
      </c>
      <c r="J652" s="125">
        <v>363.0</v>
      </c>
      <c r="K652" s="125">
        <v>119.0</v>
      </c>
      <c r="L652" s="125">
        <v>80.0</v>
      </c>
      <c r="M652" s="126">
        <v>86.0</v>
      </c>
      <c r="N652" s="127">
        <v>76.0</v>
      </c>
      <c r="O652" s="146"/>
      <c r="P652" s="138">
        <v>78.0</v>
      </c>
      <c r="Q652" s="126" t="b">
        <v>0</v>
      </c>
      <c r="R652" s="128"/>
      <c r="S652" s="128"/>
      <c r="T652" s="128"/>
      <c r="U652" s="128"/>
      <c r="V652" s="129"/>
      <c r="W652" s="129" t="s">
        <v>276</v>
      </c>
      <c r="X652" s="130" t="s">
        <v>1085</v>
      </c>
      <c r="Y652" s="130" t="s">
        <v>1747</v>
      </c>
      <c r="Z652" s="145" t="b">
        <v>0</v>
      </c>
      <c r="AA652" s="145"/>
      <c r="AB652" s="129"/>
      <c r="AC652" s="129"/>
      <c r="AD652" s="129"/>
      <c r="AE652" s="129"/>
      <c r="AF652" s="132"/>
      <c r="AG652" s="128" t="b">
        <v>0</v>
      </c>
      <c r="AH652" s="128"/>
      <c r="AI652" s="128"/>
      <c r="AJ652" s="128"/>
      <c r="AK652" s="128"/>
      <c r="AL652" s="129"/>
      <c r="AM652" s="129"/>
      <c r="AN652" s="139"/>
    </row>
    <row r="653">
      <c r="A653" s="118" t="s">
        <v>1748</v>
      </c>
      <c r="B653" s="119">
        <v>80.0</v>
      </c>
      <c r="C653" s="134" t="s">
        <v>75</v>
      </c>
      <c r="D653" s="121"/>
      <c r="E653" s="135"/>
      <c r="F653" s="136"/>
      <c r="G653" s="124">
        <v>2460.0</v>
      </c>
      <c r="H653" s="125">
        <v>1621.0</v>
      </c>
      <c r="I653" s="125">
        <v>368.0</v>
      </c>
      <c r="J653" s="125">
        <v>183.0</v>
      </c>
      <c r="K653" s="125">
        <v>127.0</v>
      </c>
      <c r="L653" s="125">
        <v>161.0</v>
      </c>
      <c r="M653" s="126">
        <v>86.0</v>
      </c>
      <c r="N653" s="138">
        <v>84.0</v>
      </c>
      <c r="O653" s="146"/>
      <c r="P653" s="138">
        <v>70.0</v>
      </c>
      <c r="Q653" s="122" t="b">
        <v>0</v>
      </c>
      <c r="R653" s="133"/>
      <c r="S653" s="143">
        <v>7.0</v>
      </c>
      <c r="T653" s="133"/>
      <c r="U653" s="133"/>
      <c r="V653" s="129"/>
      <c r="W653" s="130" t="s">
        <v>84</v>
      </c>
      <c r="X653" s="130" t="s">
        <v>467</v>
      </c>
      <c r="Y653" s="130" t="s">
        <v>468</v>
      </c>
      <c r="Z653" s="133" t="b">
        <v>0</v>
      </c>
      <c r="AA653" s="131">
        <v>0.021527777777777778</v>
      </c>
      <c r="AB653" s="129"/>
      <c r="AC653" s="129"/>
      <c r="AD653" s="130" t="s">
        <v>241</v>
      </c>
      <c r="AE653" s="129"/>
      <c r="AF653" s="132"/>
      <c r="AG653" s="143" t="b">
        <v>1</v>
      </c>
      <c r="AH653" s="143">
        <v>525.0</v>
      </c>
      <c r="AI653" s="143"/>
      <c r="AJ653" s="143">
        <v>2018.0</v>
      </c>
      <c r="AK653" s="143">
        <v>3.0</v>
      </c>
      <c r="AL653" s="129"/>
      <c r="AM653" s="129" t="str">
        <f>IFERROR(__xludf.DUMMYFUNCTION("""COMPUTED_VALUE"""),"Beach")</f>
        <v>Beach</v>
      </c>
      <c r="AN653" s="139"/>
    </row>
    <row r="654">
      <c r="A654" s="118" t="s">
        <v>1749</v>
      </c>
      <c r="B654" s="119">
        <v>80.0</v>
      </c>
      <c r="C654" s="134" t="s">
        <v>75</v>
      </c>
      <c r="D654" s="121"/>
      <c r="E654" s="135"/>
      <c r="F654" s="136"/>
      <c r="G654" s="124">
        <v>7216.0</v>
      </c>
      <c r="H654" s="125">
        <v>4737.0</v>
      </c>
      <c r="I654" s="125">
        <v>1164.0</v>
      </c>
      <c r="J654" s="125">
        <v>524.0</v>
      </c>
      <c r="K654" s="125">
        <v>348.0</v>
      </c>
      <c r="L654" s="125">
        <v>446.0</v>
      </c>
      <c r="M654" s="126">
        <v>86.0</v>
      </c>
      <c r="N654" s="127">
        <v>78.0</v>
      </c>
      <c r="O654" s="138">
        <v>78.0</v>
      </c>
      <c r="P654" s="127">
        <v>78.0</v>
      </c>
      <c r="Q654" s="122" t="b">
        <v>0</v>
      </c>
      <c r="R654" s="133">
        <v>4.0</v>
      </c>
      <c r="S654" s="143"/>
      <c r="T654" s="133"/>
      <c r="U654" s="133"/>
      <c r="V654" s="130"/>
      <c r="W654" s="130" t="s">
        <v>219</v>
      </c>
      <c r="X654" s="130" t="s">
        <v>457</v>
      </c>
      <c r="Y654" s="130" t="s">
        <v>221</v>
      </c>
      <c r="Z654" s="131" t="b">
        <v>1</v>
      </c>
      <c r="AA654" s="131">
        <v>0.024305555555555556</v>
      </c>
      <c r="AB654" s="130" t="s">
        <v>451</v>
      </c>
      <c r="AC654" s="130"/>
      <c r="AD654" s="144" t="s">
        <v>1652</v>
      </c>
      <c r="AE654" s="144"/>
      <c r="AF654" s="132"/>
      <c r="AG654" s="143" t="b">
        <v>0</v>
      </c>
      <c r="AH654" s="143"/>
      <c r="AI654" s="143"/>
      <c r="AJ654" s="143"/>
      <c r="AK654" s="143"/>
      <c r="AL654" s="129"/>
      <c r="AM654" s="129" t="str">
        <f>IFERROR(__xludf.DUMMYFUNCTION("""COMPUTED_VALUE"""),"Beach, Big Waterslides, Lazy River")</f>
        <v>Beach, Big Waterslides, Lazy River</v>
      </c>
      <c r="AN654" s="139"/>
    </row>
    <row r="655">
      <c r="A655" s="118" t="s">
        <v>1750</v>
      </c>
      <c r="B655" s="119">
        <v>80.0</v>
      </c>
      <c r="C655" s="134" t="s">
        <v>75</v>
      </c>
      <c r="D655" s="121"/>
      <c r="E655" s="135"/>
      <c r="F655" s="136"/>
      <c r="G655" s="124">
        <v>3314.0</v>
      </c>
      <c r="H655" s="125">
        <v>2231.0</v>
      </c>
      <c r="I655" s="125">
        <v>471.0</v>
      </c>
      <c r="J655" s="125">
        <v>243.0</v>
      </c>
      <c r="K655" s="125">
        <v>158.0</v>
      </c>
      <c r="L655" s="125">
        <v>215.0</v>
      </c>
      <c r="M655" s="126">
        <v>86.0</v>
      </c>
      <c r="N655" s="138">
        <v>74.0</v>
      </c>
      <c r="O655" s="146"/>
      <c r="P655" s="127">
        <v>80.0</v>
      </c>
      <c r="Q655" s="122" t="b">
        <v>0</v>
      </c>
      <c r="R655" s="133"/>
      <c r="S655" s="143">
        <v>7.0</v>
      </c>
      <c r="T655" s="133"/>
      <c r="U655" s="133"/>
      <c r="V655" s="130"/>
      <c r="W655" s="130" t="s">
        <v>84</v>
      </c>
      <c r="X655" s="130" t="s">
        <v>210</v>
      </c>
      <c r="Y655" s="130" t="s">
        <v>86</v>
      </c>
      <c r="Z655" s="131" t="b">
        <v>1</v>
      </c>
      <c r="AA655" s="131">
        <v>0.014583333333333334</v>
      </c>
      <c r="AB655" s="130" t="s">
        <v>451</v>
      </c>
      <c r="AC655" s="130"/>
      <c r="AD655" s="130" t="s">
        <v>241</v>
      </c>
      <c r="AE655" s="144"/>
      <c r="AF655" s="132"/>
      <c r="AG655" s="143" t="b">
        <v>1</v>
      </c>
      <c r="AH655" s="143">
        <v>349.0</v>
      </c>
      <c r="AI655" s="143">
        <v>1999.0</v>
      </c>
      <c r="AJ655" s="143">
        <v>2021.0</v>
      </c>
      <c r="AK655" s="143">
        <v>3.0</v>
      </c>
      <c r="AL655" s="129"/>
      <c r="AM655" s="129" t="str">
        <f>IFERROR(__xludf.DUMMYFUNCTION("""COMPUTED_VALUE"""),"Beach")</f>
        <v>Beach</v>
      </c>
      <c r="AN655" s="139"/>
    </row>
    <row r="656">
      <c r="A656" s="118" t="s">
        <v>1751</v>
      </c>
      <c r="B656" s="119">
        <v>80.0</v>
      </c>
      <c r="C656" s="134" t="s">
        <v>75</v>
      </c>
      <c r="D656" s="142"/>
      <c r="E656" s="135"/>
      <c r="F656" s="136"/>
      <c r="G656" s="124">
        <v>8353.0</v>
      </c>
      <c r="H656" s="125">
        <v>4384.0</v>
      </c>
      <c r="I656" s="125">
        <v>2372.0</v>
      </c>
      <c r="J656" s="125">
        <v>840.0</v>
      </c>
      <c r="K656" s="125">
        <v>380.0</v>
      </c>
      <c r="L656" s="125">
        <v>379.0</v>
      </c>
      <c r="M656" s="126">
        <v>84.0</v>
      </c>
      <c r="N656" s="127">
        <v>84.0</v>
      </c>
      <c r="O656" s="146"/>
      <c r="P656" s="127">
        <v>72.0</v>
      </c>
      <c r="Q656" s="122" t="b">
        <v>0</v>
      </c>
      <c r="R656" s="133"/>
      <c r="S656" s="143"/>
      <c r="T656" s="133"/>
      <c r="U656" s="133"/>
      <c r="V656" s="129"/>
      <c r="W656" s="130" t="s">
        <v>193</v>
      </c>
      <c r="X656" s="130" t="s">
        <v>557</v>
      </c>
      <c r="Y656" s="130" t="s">
        <v>195</v>
      </c>
      <c r="Z656" s="131" t="b">
        <v>1</v>
      </c>
      <c r="AA656" s="131">
        <v>0.0375</v>
      </c>
      <c r="AB656" s="130" t="s">
        <v>412</v>
      </c>
      <c r="AC656" s="129"/>
      <c r="AD656" s="129" t="s">
        <v>241</v>
      </c>
      <c r="AE656" s="129"/>
      <c r="AF656" s="132"/>
      <c r="AG656" s="143" t="b">
        <v>0</v>
      </c>
      <c r="AH656" s="143"/>
      <c r="AI656" s="143"/>
      <c r="AJ656" s="143"/>
      <c r="AK656" s="143"/>
      <c r="AL656" s="129"/>
      <c r="AM656" s="129" t="str">
        <f>IFERROR(__xludf.DUMMYFUNCTION("""COMPUTED_VALUE"""),"Beach")</f>
        <v>Beach</v>
      </c>
      <c r="AN656" s="139"/>
    </row>
    <row r="657">
      <c r="A657" s="118" t="s">
        <v>1752</v>
      </c>
      <c r="B657" s="119">
        <v>80.0</v>
      </c>
      <c r="C657" s="120" t="s">
        <v>68</v>
      </c>
      <c r="D657" s="142"/>
      <c r="E657" s="135"/>
      <c r="F657" s="136"/>
      <c r="G657" s="124">
        <v>3080.0</v>
      </c>
      <c r="H657" s="125">
        <v>1757.0</v>
      </c>
      <c r="I657" s="125">
        <v>777.0</v>
      </c>
      <c r="J657" s="125">
        <v>340.0</v>
      </c>
      <c r="K657" s="125">
        <v>113.0</v>
      </c>
      <c r="L657" s="125">
        <v>95.0</v>
      </c>
      <c r="M657" s="126">
        <v>86.0</v>
      </c>
      <c r="N657" s="138">
        <v>80.0</v>
      </c>
      <c r="O657" s="127"/>
      <c r="P657" s="127">
        <v>74.0</v>
      </c>
      <c r="Q657" s="122" t="b">
        <v>0</v>
      </c>
      <c r="R657" s="128"/>
      <c r="S657" s="128">
        <v>4.0</v>
      </c>
      <c r="T657" s="128"/>
      <c r="U657" s="128"/>
      <c r="V657" s="129"/>
      <c r="W657" s="130" t="s">
        <v>193</v>
      </c>
      <c r="X657" s="130" t="s">
        <v>1546</v>
      </c>
      <c r="Y657" s="130" t="s">
        <v>1070</v>
      </c>
      <c r="Z657" s="133" t="b">
        <v>1</v>
      </c>
      <c r="AA657" s="131"/>
      <c r="AB657" s="130" t="s">
        <v>412</v>
      </c>
      <c r="AC657" s="130"/>
      <c r="AD657" s="144"/>
      <c r="AE657" s="129"/>
      <c r="AF657" s="132"/>
      <c r="AG657" s="143" t="b">
        <v>0</v>
      </c>
      <c r="AH657" s="143">
        <v>190.0</v>
      </c>
      <c r="AI657" s="143">
        <v>2015.0</v>
      </c>
      <c r="AJ657" s="143"/>
      <c r="AK657" s="143">
        <v>3.0</v>
      </c>
      <c r="AL657" s="129"/>
      <c r="AM657" s="129"/>
      <c r="AN657" s="128"/>
    </row>
    <row r="658">
      <c r="A658" s="118" t="s">
        <v>1753</v>
      </c>
      <c r="B658" s="119">
        <v>80.0</v>
      </c>
      <c r="C658" s="134" t="s">
        <v>75</v>
      </c>
      <c r="D658" s="121"/>
      <c r="E658" s="135"/>
      <c r="F658" s="136"/>
      <c r="G658" s="124">
        <v>1316.0</v>
      </c>
      <c r="H658" s="125">
        <v>695.0</v>
      </c>
      <c r="I658" s="125">
        <v>237.0</v>
      </c>
      <c r="J658" s="125">
        <v>152.0</v>
      </c>
      <c r="K658" s="125">
        <v>90.0</v>
      </c>
      <c r="L658" s="125">
        <v>120.0</v>
      </c>
      <c r="M658" s="126">
        <v>80.0</v>
      </c>
      <c r="N658" s="127">
        <v>84.0</v>
      </c>
      <c r="O658" s="146"/>
      <c r="P658" s="127">
        <v>76.0</v>
      </c>
      <c r="Q658" s="122" t="b">
        <v>0</v>
      </c>
      <c r="R658" s="133"/>
      <c r="S658" s="143"/>
      <c r="T658" s="133"/>
      <c r="U658" s="133"/>
      <c r="V658" s="129"/>
      <c r="W658" s="130" t="s">
        <v>84</v>
      </c>
      <c r="X658" s="130" t="s">
        <v>199</v>
      </c>
      <c r="Y658" s="130" t="s">
        <v>120</v>
      </c>
      <c r="Z658" s="133" t="b">
        <v>1</v>
      </c>
      <c r="AA658" s="145"/>
      <c r="AB658" s="130" t="s">
        <v>412</v>
      </c>
      <c r="AC658" s="129"/>
      <c r="AD658" s="129"/>
      <c r="AE658" s="129"/>
      <c r="AF658" s="132"/>
      <c r="AG658" s="128" t="b">
        <v>0</v>
      </c>
      <c r="AH658" s="128"/>
      <c r="AI658" s="128"/>
      <c r="AJ658" s="128"/>
      <c r="AK658" s="128"/>
      <c r="AL658" s="129"/>
      <c r="AM658" s="129"/>
      <c r="AN658" s="139"/>
    </row>
    <row r="659" hidden="1">
      <c r="A659" s="118" t="s">
        <v>1754</v>
      </c>
      <c r="B659" s="119">
        <v>78.0</v>
      </c>
      <c r="C659" s="120" t="s">
        <v>68</v>
      </c>
      <c r="D659" s="121"/>
      <c r="E659" s="135"/>
      <c r="F659" s="136"/>
      <c r="G659" s="124"/>
      <c r="H659" s="133"/>
      <c r="I659" s="133"/>
      <c r="J659" s="133"/>
      <c r="K659" s="133"/>
      <c r="L659" s="133"/>
      <c r="M659" s="137"/>
      <c r="N659" s="138">
        <v>78.0</v>
      </c>
      <c r="O659" s="138"/>
      <c r="P659" s="138"/>
      <c r="Q659" s="137" t="b">
        <v>0</v>
      </c>
      <c r="R659" s="133"/>
      <c r="S659" s="133"/>
      <c r="T659" s="133"/>
      <c r="U659" s="133"/>
      <c r="V659" s="130" t="s">
        <v>118</v>
      </c>
      <c r="W659" s="130" t="s">
        <v>193</v>
      </c>
      <c r="X659" s="130" t="s">
        <v>195</v>
      </c>
      <c r="Y659" s="130" t="s">
        <v>195</v>
      </c>
      <c r="Z659" s="131" t="b">
        <v>1</v>
      </c>
      <c r="AA659" s="131">
        <v>0.016666666666666666</v>
      </c>
      <c r="AB659" s="130"/>
      <c r="AC659" s="130"/>
      <c r="AD659" s="130" t="s">
        <v>241</v>
      </c>
      <c r="AE659" s="129"/>
      <c r="AF659" s="132"/>
      <c r="AG659" s="133" t="b">
        <v>0</v>
      </c>
      <c r="AH659" s="133"/>
      <c r="AI659" s="133"/>
      <c r="AJ659" s="133"/>
      <c r="AK659" s="133"/>
      <c r="AL659" s="129"/>
      <c r="AM659" s="129" t="str">
        <f>IFERROR(__xludf.DUMMYFUNCTION("""COMPUTED_VALUE"""),"Beach")</f>
        <v>Beach</v>
      </c>
      <c r="AN659" s="128"/>
    </row>
    <row r="660" hidden="1">
      <c r="A660" s="118" t="s">
        <v>1754</v>
      </c>
      <c r="B660" s="119">
        <v>78.0</v>
      </c>
      <c r="C660" s="134" t="s">
        <v>75</v>
      </c>
      <c r="D660" s="121"/>
      <c r="E660" s="135"/>
      <c r="F660" s="123"/>
      <c r="G660" s="124"/>
      <c r="H660" s="133"/>
      <c r="I660" s="133"/>
      <c r="J660" s="133"/>
      <c r="K660" s="133"/>
      <c r="L660" s="133"/>
      <c r="M660" s="137"/>
      <c r="N660" s="138">
        <v>78.0</v>
      </c>
      <c r="O660" s="138"/>
      <c r="P660" s="138"/>
      <c r="Q660" s="135" t="b">
        <v>0</v>
      </c>
      <c r="R660" s="133"/>
      <c r="S660" s="133"/>
      <c r="T660" s="133"/>
      <c r="U660" s="133"/>
      <c r="V660" s="130" t="s">
        <v>118</v>
      </c>
      <c r="W660" s="130" t="s">
        <v>193</v>
      </c>
      <c r="X660" s="130" t="s">
        <v>195</v>
      </c>
      <c r="Y660" s="130" t="s">
        <v>195</v>
      </c>
      <c r="Z660" s="131" t="b">
        <v>1</v>
      </c>
      <c r="AA660" s="131">
        <v>0.016666666666666666</v>
      </c>
      <c r="AB660" s="130"/>
      <c r="AC660" s="130"/>
      <c r="AD660" s="129" t="s">
        <v>241</v>
      </c>
      <c r="AE660" s="129"/>
      <c r="AF660" s="132"/>
      <c r="AG660" s="133" t="b">
        <v>0</v>
      </c>
      <c r="AH660" s="133"/>
      <c r="AI660" s="133"/>
      <c r="AJ660" s="133"/>
      <c r="AK660" s="133"/>
      <c r="AL660" s="129"/>
      <c r="AM660" s="129" t="str">
        <f>IFERROR(__xludf.DUMMYFUNCTION("""COMPUTED_VALUE"""),"Beach")</f>
        <v>Beach</v>
      </c>
      <c r="AN660" s="139"/>
    </row>
    <row r="661">
      <c r="A661" s="118" t="s">
        <v>1755</v>
      </c>
      <c r="B661" s="119">
        <v>79.8</v>
      </c>
      <c r="C661" s="134" t="s">
        <v>75</v>
      </c>
      <c r="D661" s="121"/>
      <c r="E661" s="135"/>
      <c r="F661" s="136"/>
      <c r="G661" s="124">
        <v>14261.0</v>
      </c>
      <c r="H661" s="125">
        <v>8437.0</v>
      </c>
      <c r="I661" s="125">
        <v>3126.0</v>
      </c>
      <c r="J661" s="125">
        <v>1428.0</v>
      </c>
      <c r="K661" s="125">
        <v>664.0</v>
      </c>
      <c r="L661" s="125">
        <v>608.0</v>
      </c>
      <c r="M661" s="126">
        <v>85.0</v>
      </c>
      <c r="N661" s="127">
        <v>82.0</v>
      </c>
      <c r="O661" s="127">
        <v>76.0</v>
      </c>
      <c r="P661" s="127">
        <v>76.0</v>
      </c>
      <c r="Q661" s="122" t="b">
        <v>0</v>
      </c>
      <c r="R661" s="133"/>
      <c r="S661" s="143"/>
      <c r="T661" s="133"/>
      <c r="U661" s="133"/>
      <c r="V661" s="130"/>
      <c r="W661" s="130" t="s">
        <v>84</v>
      </c>
      <c r="X661" s="130" t="s">
        <v>123</v>
      </c>
      <c r="Y661" s="130" t="s">
        <v>123</v>
      </c>
      <c r="Z661" s="131" t="b">
        <v>1</v>
      </c>
      <c r="AA661" s="131">
        <v>0.0125</v>
      </c>
      <c r="AB661" s="130"/>
      <c r="AC661" s="130"/>
      <c r="AD661" s="129" t="s">
        <v>241</v>
      </c>
      <c r="AE661" s="129"/>
      <c r="AF661" s="132"/>
      <c r="AG661" s="143" t="b">
        <v>0</v>
      </c>
      <c r="AH661" s="143"/>
      <c r="AI661" s="143"/>
      <c r="AJ661" s="143"/>
      <c r="AK661" s="143"/>
      <c r="AL661" s="129"/>
      <c r="AM661" s="129" t="str">
        <f>IFERROR(__xludf.DUMMYFUNCTION("""COMPUTED_VALUE"""),"Beach")</f>
        <v>Beach</v>
      </c>
      <c r="AN661" s="139"/>
    </row>
    <row r="662">
      <c r="A662" s="118" t="s">
        <v>1756</v>
      </c>
      <c r="B662" s="119">
        <v>79.7</v>
      </c>
      <c r="C662" s="134" t="s">
        <v>75</v>
      </c>
      <c r="D662" s="121">
        <v>2977.66</v>
      </c>
      <c r="E662" s="135">
        <f>IFERROR(__xludf.DUMMYFUNCTION("""COMPUTED_VALUE"""),4112.297045234)</f>
        <v>4112.297045</v>
      </c>
      <c r="F662" s="136">
        <v>-0.1</v>
      </c>
      <c r="G662" s="124">
        <v>8339.0</v>
      </c>
      <c r="H662" s="125">
        <v>5264.0</v>
      </c>
      <c r="I662" s="125">
        <v>1430.0</v>
      </c>
      <c r="J662" s="125">
        <v>692.0</v>
      </c>
      <c r="K662" s="125">
        <v>395.0</v>
      </c>
      <c r="L662" s="125">
        <v>558.0</v>
      </c>
      <c r="M662" s="137">
        <v>85.0</v>
      </c>
      <c r="N662" s="138">
        <v>82.0</v>
      </c>
      <c r="O662" s="127"/>
      <c r="P662" s="138">
        <v>72.0</v>
      </c>
      <c r="Q662" s="135" t="b">
        <v>0</v>
      </c>
      <c r="R662" s="133"/>
      <c r="S662" s="143"/>
      <c r="T662" s="133"/>
      <c r="U662" s="133">
        <v>5.0</v>
      </c>
      <c r="V662" s="129"/>
      <c r="W662" s="130" t="s">
        <v>84</v>
      </c>
      <c r="X662" s="130" t="s">
        <v>86</v>
      </c>
      <c r="Y662" s="147" t="s">
        <v>86</v>
      </c>
      <c r="Z662" s="131" t="b">
        <v>1</v>
      </c>
      <c r="AA662" s="131">
        <v>0.018055555555555554</v>
      </c>
      <c r="AB662" s="129"/>
      <c r="AC662" s="130" t="s">
        <v>1757</v>
      </c>
      <c r="AD662" s="130" t="s">
        <v>1758</v>
      </c>
      <c r="AE662" s="130" t="s">
        <v>94</v>
      </c>
      <c r="AF662" s="132" t="s">
        <v>1352</v>
      </c>
      <c r="AG662" s="143" t="b">
        <v>1</v>
      </c>
      <c r="AH662" s="143"/>
      <c r="AI662" s="143"/>
      <c r="AJ662" s="143"/>
      <c r="AK662" s="143"/>
      <c r="AL662" s="129" t="str">
        <f>IFERROR(__xludf.DUMMYFUNCTION("""COMPUTED_VALUE"""),"Centrally Located, Mid-Range")</f>
        <v>Centrally Located, Mid-Range</v>
      </c>
      <c r="AM662" s="129" t="str">
        <f>IFERROR(__xludf.DUMMYFUNCTION("""COMPUTED_VALUE"""),"Adults Only Rooms, Beach, Kids Club, Kids Waterpark, Pool Slide, Water Feature")</f>
        <v>Adults Only Rooms, Beach, Kids Club, Kids Waterpark, Pool Slide, Water Feature</v>
      </c>
      <c r="AN662" s="139"/>
    </row>
    <row r="663">
      <c r="A663" s="118" t="s">
        <v>1759</v>
      </c>
      <c r="B663" s="119">
        <v>79.7</v>
      </c>
      <c r="C663" s="134" t="s">
        <v>75</v>
      </c>
      <c r="D663" s="142"/>
      <c r="E663" s="135"/>
      <c r="F663" s="136"/>
      <c r="G663" s="124">
        <v>12676.0</v>
      </c>
      <c r="H663" s="125">
        <v>5571.0</v>
      </c>
      <c r="I663" s="125">
        <v>3478.0</v>
      </c>
      <c r="J663" s="125">
        <v>1747.0</v>
      </c>
      <c r="K663" s="125">
        <v>918.0</v>
      </c>
      <c r="L663" s="125">
        <v>962.0</v>
      </c>
      <c r="M663" s="126">
        <v>79.0</v>
      </c>
      <c r="N663" s="138">
        <v>90.0</v>
      </c>
      <c r="O663" s="146"/>
      <c r="P663" s="127">
        <v>70.0</v>
      </c>
      <c r="Q663" s="135" t="b">
        <v>0</v>
      </c>
      <c r="R663" s="133"/>
      <c r="S663" s="143">
        <v>7.0</v>
      </c>
      <c r="T663" s="133"/>
      <c r="U663" s="133"/>
      <c r="V663" s="129"/>
      <c r="W663" s="130" t="s">
        <v>193</v>
      </c>
      <c r="X663" s="130" t="s">
        <v>195</v>
      </c>
      <c r="Y663" s="130" t="s">
        <v>195</v>
      </c>
      <c r="Z663" s="131" t="b">
        <v>1</v>
      </c>
      <c r="AA663" s="131">
        <v>0.018055555555555554</v>
      </c>
      <c r="AB663" s="129"/>
      <c r="AC663" s="129"/>
      <c r="AD663" s="129" t="s">
        <v>241</v>
      </c>
      <c r="AE663" s="129"/>
      <c r="AF663" s="132"/>
      <c r="AG663" s="143" t="b">
        <v>0</v>
      </c>
      <c r="AH663" s="143">
        <v>744.0</v>
      </c>
      <c r="AI663" s="143">
        <v>2004.0</v>
      </c>
      <c r="AJ663" s="143"/>
      <c r="AK663" s="143">
        <v>3.0</v>
      </c>
      <c r="AL663" s="129"/>
      <c r="AM663" s="129" t="str">
        <f>IFERROR(__xludf.DUMMYFUNCTION("""COMPUTED_VALUE"""),"Beach")</f>
        <v>Beach</v>
      </c>
      <c r="AN663" s="139"/>
    </row>
    <row r="664">
      <c r="A664" s="118" t="s">
        <v>1760</v>
      </c>
      <c r="B664" s="119">
        <v>79.7</v>
      </c>
      <c r="C664" s="134" t="s">
        <v>75</v>
      </c>
      <c r="D664" s="150"/>
      <c r="E664" s="135"/>
      <c r="F664" s="136"/>
      <c r="G664" s="124">
        <v>7063.0</v>
      </c>
      <c r="H664" s="125">
        <v>4081.0</v>
      </c>
      <c r="I664" s="125">
        <v>1626.0</v>
      </c>
      <c r="J664" s="125">
        <v>681.0</v>
      </c>
      <c r="K664" s="125">
        <v>352.0</v>
      </c>
      <c r="L664" s="125">
        <v>323.0</v>
      </c>
      <c r="M664" s="126">
        <v>85.0</v>
      </c>
      <c r="N664" s="127">
        <v>82.0</v>
      </c>
      <c r="O664" s="146"/>
      <c r="P664" s="127">
        <v>72.0</v>
      </c>
      <c r="Q664" s="122" t="b">
        <v>0</v>
      </c>
      <c r="R664" s="133"/>
      <c r="S664" s="143"/>
      <c r="T664" s="133"/>
      <c r="U664" s="133"/>
      <c r="V664" s="129"/>
      <c r="W664" s="130" t="s">
        <v>219</v>
      </c>
      <c r="X664" s="130" t="s">
        <v>385</v>
      </c>
      <c r="Y664" s="130" t="s">
        <v>221</v>
      </c>
      <c r="Z664" s="131" t="b">
        <v>1</v>
      </c>
      <c r="AA664" s="131">
        <v>0.08194444444444444</v>
      </c>
      <c r="AB664" s="130" t="s">
        <v>1345</v>
      </c>
      <c r="AC664" s="129"/>
      <c r="AD664" s="147" t="s">
        <v>1761</v>
      </c>
      <c r="AE664" s="129"/>
      <c r="AF664" s="132"/>
      <c r="AG664" s="143" t="b">
        <v>0</v>
      </c>
      <c r="AH664" s="143"/>
      <c r="AI664" s="143"/>
      <c r="AJ664" s="143"/>
      <c r="AK664" s="143"/>
      <c r="AL664" s="129"/>
      <c r="AM664" s="129" t="str">
        <f>IFERROR(__xludf.DUMMYFUNCTION("""COMPUTED_VALUE"""),"Beach, Kids Club, Kids Club for Under 4")</f>
        <v>Beach, Kids Club, Kids Club for Under 4</v>
      </c>
      <c r="AN664" s="139"/>
    </row>
    <row r="665">
      <c r="A665" s="118" t="s">
        <v>1762</v>
      </c>
      <c r="B665" s="119">
        <v>79.7</v>
      </c>
      <c r="C665" s="134" t="s">
        <v>75</v>
      </c>
      <c r="D665" s="121"/>
      <c r="E665" s="135"/>
      <c r="F665" s="136"/>
      <c r="G665" s="124">
        <v>5978.0</v>
      </c>
      <c r="H665" s="125">
        <v>3100.0</v>
      </c>
      <c r="I665" s="125">
        <v>1113.0</v>
      </c>
      <c r="J665" s="125">
        <v>806.0</v>
      </c>
      <c r="K665" s="125">
        <v>467.0</v>
      </c>
      <c r="L665" s="125">
        <v>504.0</v>
      </c>
      <c r="M665" s="126">
        <v>79.0</v>
      </c>
      <c r="N665" s="127">
        <v>82.0</v>
      </c>
      <c r="O665" s="146"/>
      <c r="P665" s="138">
        <v>78.0</v>
      </c>
      <c r="Q665" s="122" t="b">
        <v>0</v>
      </c>
      <c r="R665" s="133"/>
      <c r="S665" s="143"/>
      <c r="T665" s="133"/>
      <c r="U665" s="133"/>
      <c r="V665" s="129"/>
      <c r="W665" s="130" t="s">
        <v>84</v>
      </c>
      <c r="X665" s="130" t="s">
        <v>726</v>
      </c>
      <c r="Y665" s="130" t="s">
        <v>120</v>
      </c>
      <c r="Z665" s="131" t="b">
        <v>1</v>
      </c>
      <c r="AA665" s="131">
        <v>0.016666666666666666</v>
      </c>
      <c r="AB665" s="129"/>
      <c r="AC665" s="129"/>
      <c r="AD665" s="130" t="s">
        <v>241</v>
      </c>
      <c r="AE665" s="129"/>
      <c r="AF665" s="132"/>
      <c r="AG665" s="143" t="b">
        <v>1</v>
      </c>
      <c r="AH665" s="143"/>
      <c r="AI665" s="143"/>
      <c r="AJ665" s="143"/>
      <c r="AK665" s="143"/>
      <c r="AL665" s="129"/>
      <c r="AM665" s="129" t="str">
        <f>IFERROR(__xludf.DUMMYFUNCTION("""COMPUTED_VALUE"""),"Beach")</f>
        <v>Beach</v>
      </c>
      <c r="AN665" s="139"/>
    </row>
    <row r="666">
      <c r="A666" s="118" t="s">
        <v>1763</v>
      </c>
      <c r="B666" s="119">
        <v>79.7</v>
      </c>
      <c r="C666" s="134" t="s">
        <v>75</v>
      </c>
      <c r="D666" s="121"/>
      <c r="E666" s="122"/>
      <c r="F666" s="136"/>
      <c r="G666" s="124">
        <v>1402.0</v>
      </c>
      <c r="H666" s="125">
        <v>671.0</v>
      </c>
      <c r="I666" s="125">
        <v>222.0</v>
      </c>
      <c r="J666" s="125">
        <v>177.0</v>
      </c>
      <c r="K666" s="125">
        <v>160.0</v>
      </c>
      <c r="L666" s="125">
        <v>173.0</v>
      </c>
      <c r="M666" s="126">
        <v>75.0</v>
      </c>
      <c r="N666" s="127">
        <v>88.0</v>
      </c>
      <c r="O666" s="146"/>
      <c r="P666" s="138">
        <v>76.0</v>
      </c>
      <c r="Q666" s="135" t="b">
        <v>0</v>
      </c>
      <c r="R666" s="133"/>
      <c r="S666" s="133"/>
      <c r="T666" s="133"/>
      <c r="U666" s="133">
        <v>5.0</v>
      </c>
      <c r="V666" s="130"/>
      <c r="W666" s="130" t="s">
        <v>341</v>
      </c>
      <c r="X666" s="130" t="s">
        <v>342</v>
      </c>
      <c r="Y666" s="130" t="s">
        <v>343</v>
      </c>
      <c r="Z666" s="133" t="b">
        <v>1</v>
      </c>
      <c r="AA666" s="131"/>
      <c r="AB666" s="130"/>
      <c r="AC666" s="130" t="s">
        <v>442</v>
      </c>
      <c r="AD666" s="129"/>
      <c r="AE666" s="129"/>
      <c r="AF666" s="132"/>
      <c r="AG666" s="133" t="b">
        <v>0</v>
      </c>
      <c r="AH666" s="133"/>
      <c r="AI666" s="133"/>
      <c r="AJ666" s="133"/>
      <c r="AK666" s="133"/>
      <c r="AL666" s="129" t="str">
        <f>IFERROR(__xludf.DUMMYFUNCTION("""COMPUTED_VALUE"""),"Ocean View")</f>
        <v>Ocean View</v>
      </c>
      <c r="AM666" s="129"/>
      <c r="AN666" s="139"/>
    </row>
    <row r="667">
      <c r="A667" s="118" t="s">
        <v>1764</v>
      </c>
      <c r="B667" s="119">
        <v>79.7</v>
      </c>
      <c r="C667" s="134" t="s">
        <v>75</v>
      </c>
      <c r="D667" s="142"/>
      <c r="E667" s="135"/>
      <c r="F667" s="136"/>
      <c r="G667" s="124">
        <v>523.0</v>
      </c>
      <c r="H667" s="125">
        <v>287.0</v>
      </c>
      <c r="I667" s="125">
        <v>107.0</v>
      </c>
      <c r="J667" s="125">
        <v>44.0</v>
      </c>
      <c r="K667" s="125">
        <v>36.0</v>
      </c>
      <c r="L667" s="125">
        <v>49.0</v>
      </c>
      <c r="M667" s="126">
        <v>81.0</v>
      </c>
      <c r="N667" s="127">
        <v>78.0</v>
      </c>
      <c r="O667" s="146"/>
      <c r="P667" s="138">
        <v>80.0</v>
      </c>
      <c r="Q667" s="122" t="b">
        <v>0</v>
      </c>
      <c r="R667" s="133"/>
      <c r="S667" s="143"/>
      <c r="T667" s="133"/>
      <c r="U667" s="133"/>
      <c r="V667" s="130"/>
      <c r="W667" s="130" t="s">
        <v>84</v>
      </c>
      <c r="X667" s="130" t="s">
        <v>337</v>
      </c>
      <c r="Y667" s="130" t="s">
        <v>86</v>
      </c>
      <c r="Z667" s="131" t="b">
        <v>1</v>
      </c>
      <c r="AA667" s="131">
        <v>0.07291666666666667</v>
      </c>
      <c r="AB667" s="130"/>
      <c r="AC667" s="130"/>
      <c r="AD667" s="129"/>
      <c r="AE667" s="129"/>
      <c r="AF667" s="132"/>
      <c r="AG667" s="143" t="b">
        <v>0</v>
      </c>
      <c r="AH667" s="143"/>
      <c r="AI667" s="143"/>
      <c r="AJ667" s="143"/>
      <c r="AK667" s="143"/>
      <c r="AL667" s="129"/>
      <c r="AM667" s="129"/>
      <c r="AN667" s="139"/>
    </row>
    <row r="668">
      <c r="A668" s="140" t="s">
        <v>1765</v>
      </c>
      <c r="B668" s="119">
        <v>79.7</v>
      </c>
      <c r="C668" s="133" t="s">
        <v>75</v>
      </c>
      <c r="D668" s="142"/>
      <c r="E668" s="122"/>
      <c r="F668" s="136"/>
      <c r="G668" s="124">
        <v>2353.0</v>
      </c>
      <c r="H668" s="125">
        <v>598.0</v>
      </c>
      <c r="I668" s="125">
        <v>821.0</v>
      </c>
      <c r="J668" s="125">
        <v>493.0</v>
      </c>
      <c r="K668" s="125">
        <v>203.0</v>
      </c>
      <c r="L668" s="125">
        <v>238.0</v>
      </c>
      <c r="M668" s="126">
        <v>71.0</v>
      </c>
      <c r="N668" s="127">
        <v>92.0</v>
      </c>
      <c r="O668" s="146"/>
      <c r="P668" s="127">
        <v>76.0</v>
      </c>
      <c r="Q668" s="122" t="b">
        <v>0</v>
      </c>
      <c r="R668" s="128"/>
      <c r="S668" s="128"/>
      <c r="T668" s="128"/>
      <c r="U668" s="128"/>
      <c r="V668" s="129"/>
      <c r="W668" s="130" t="s">
        <v>1736</v>
      </c>
      <c r="X668" s="130" t="s">
        <v>1766</v>
      </c>
      <c r="Y668" s="130" t="s">
        <v>1767</v>
      </c>
      <c r="Z668" s="145" t="b">
        <v>0</v>
      </c>
      <c r="AA668" s="145"/>
      <c r="AB668" s="129"/>
      <c r="AC668" s="129"/>
      <c r="AD668" s="129"/>
      <c r="AE668" s="129"/>
      <c r="AF668" s="132"/>
      <c r="AG668" s="143" t="b">
        <v>0</v>
      </c>
      <c r="AH668" s="143"/>
      <c r="AI668" s="143"/>
      <c r="AJ668" s="143"/>
      <c r="AK668" s="143"/>
      <c r="AL668" s="129"/>
      <c r="AM668" s="129"/>
      <c r="AN668" s="139"/>
    </row>
    <row r="669">
      <c r="A669" s="118" t="s">
        <v>1768</v>
      </c>
      <c r="B669" s="119">
        <v>79.7</v>
      </c>
      <c r="C669" s="134" t="s">
        <v>75</v>
      </c>
      <c r="D669" s="121"/>
      <c r="E669" s="135"/>
      <c r="F669" s="136"/>
      <c r="G669" s="124">
        <v>2404.0</v>
      </c>
      <c r="H669" s="125">
        <v>1587.0</v>
      </c>
      <c r="I669" s="125">
        <v>404.0</v>
      </c>
      <c r="J669" s="125">
        <v>196.0</v>
      </c>
      <c r="K669" s="125">
        <v>96.0</v>
      </c>
      <c r="L669" s="125">
        <v>123.0</v>
      </c>
      <c r="M669" s="126">
        <v>87.0</v>
      </c>
      <c r="N669" s="127">
        <v>74.0</v>
      </c>
      <c r="O669" s="146"/>
      <c r="P669" s="127">
        <v>78.0</v>
      </c>
      <c r="Q669" s="122" t="b">
        <v>0</v>
      </c>
      <c r="R669" s="133">
        <v>4.0</v>
      </c>
      <c r="S669" s="143"/>
      <c r="T669" s="133"/>
      <c r="U669" s="133"/>
      <c r="V669" s="129"/>
      <c r="W669" s="130" t="s">
        <v>129</v>
      </c>
      <c r="X669" s="130" t="s">
        <v>1769</v>
      </c>
      <c r="Y669" s="130" t="s">
        <v>131</v>
      </c>
      <c r="Z669" s="145" t="b">
        <v>0</v>
      </c>
      <c r="AA669" s="145"/>
      <c r="AB669" s="130" t="s">
        <v>451</v>
      </c>
      <c r="AC669" s="129"/>
      <c r="AD669" s="129"/>
      <c r="AE669" s="129"/>
      <c r="AF669" s="132"/>
      <c r="AG669" s="128" t="b">
        <v>0</v>
      </c>
      <c r="AH669" s="128"/>
      <c r="AI669" s="128"/>
      <c r="AJ669" s="128"/>
      <c r="AK669" s="128"/>
      <c r="AL669" s="129"/>
      <c r="AM669" s="129"/>
      <c r="AN669" s="139"/>
    </row>
    <row r="670">
      <c r="A670" s="118" t="s">
        <v>1770</v>
      </c>
      <c r="B670" s="119">
        <v>79.5</v>
      </c>
      <c r="C670" s="120" t="s">
        <v>68</v>
      </c>
      <c r="D670" s="121"/>
      <c r="E670" s="122"/>
      <c r="F670" s="136"/>
      <c r="G670" s="124">
        <v>3288.0</v>
      </c>
      <c r="H670" s="125">
        <v>2732.0</v>
      </c>
      <c r="I670" s="125">
        <v>303.0</v>
      </c>
      <c r="J670" s="125">
        <v>128.0</v>
      </c>
      <c r="K670" s="125">
        <v>63.0</v>
      </c>
      <c r="L670" s="125">
        <v>77.0</v>
      </c>
      <c r="M670" s="126">
        <v>94.0</v>
      </c>
      <c r="N670" s="127">
        <v>72.0</v>
      </c>
      <c r="O670" s="127">
        <v>76.0</v>
      </c>
      <c r="P670" s="127">
        <v>76.0</v>
      </c>
      <c r="Q670" s="126" t="b">
        <v>0</v>
      </c>
      <c r="R670" s="128"/>
      <c r="S670" s="128"/>
      <c r="T670" s="128"/>
      <c r="U670" s="128"/>
      <c r="V670" s="129"/>
      <c r="W670" s="130" t="s">
        <v>84</v>
      </c>
      <c r="X670" s="130" t="s">
        <v>425</v>
      </c>
      <c r="Y670" s="130" t="s">
        <v>86</v>
      </c>
      <c r="Z670" s="133" t="b">
        <v>1</v>
      </c>
      <c r="AA670" s="131"/>
      <c r="AB670" s="130" t="s">
        <v>451</v>
      </c>
      <c r="AC670" s="130"/>
      <c r="AD670" s="144"/>
      <c r="AE670" s="129"/>
      <c r="AF670" s="132"/>
      <c r="AG670" s="143" t="b">
        <v>0</v>
      </c>
      <c r="AH670" s="143"/>
      <c r="AI670" s="143"/>
      <c r="AJ670" s="143"/>
      <c r="AK670" s="143"/>
      <c r="AL670" s="129"/>
      <c r="AM670" s="129"/>
      <c r="AN670" s="128"/>
    </row>
    <row r="671">
      <c r="A671" s="118" t="s">
        <v>1771</v>
      </c>
      <c r="B671" s="119">
        <v>79.5</v>
      </c>
      <c r="C671" s="134" t="s">
        <v>75</v>
      </c>
      <c r="D671" s="121"/>
      <c r="E671" s="135"/>
      <c r="F671" s="136"/>
      <c r="G671" s="124">
        <v>7292.0</v>
      </c>
      <c r="H671" s="125">
        <v>4499.0</v>
      </c>
      <c r="I671" s="125">
        <v>1182.0</v>
      </c>
      <c r="J671" s="125">
        <v>671.0</v>
      </c>
      <c r="K671" s="125">
        <v>389.0</v>
      </c>
      <c r="L671" s="125">
        <v>556.0</v>
      </c>
      <c r="M671" s="126">
        <v>84.0</v>
      </c>
      <c r="N671" s="127">
        <v>82.0</v>
      </c>
      <c r="O671" s="138">
        <v>78.0</v>
      </c>
      <c r="P671" s="127">
        <v>74.0</v>
      </c>
      <c r="Q671" s="122" t="b">
        <v>0</v>
      </c>
      <c r="R671" s="133">
        <v>4.0</v>
      </c>
      <c r="S671" s="143"/>
      <c r="T671" s="133"/>
      <c r="U671" s="133"/>
      <c r="V671" s="130"/>
      <c r="W671" s="130" t="s">
        <v>219</v>
      </c>
      <c r="X671" s="130" t="s">
        <v>220</v>
      </c>
      <c r="Y671" s="130" t="s">
        <v>221</v>
      </c>
      <c r="Z671" s="131" t="b">
        <v>1</v>
      </c>
      <c r="AA671" s="131">
        <v>0.05416666666666667</v>
      </c>
      <c r="AB671" s="130" t="s">
        <v>451</v>
      </c>
      <c r="AC671" s="130"/>
      <c r="AD671" s="144" t="s">
        <v>1772</v>
      </c>
      <c r="AE671" s="144"/>
      <c r="AF671" s="132"/>
      <c r="AG671" s="143" t="b">
        <v>0</v>
      </c>
      <c r="AH671" s="143"/>
      <c r="AI671" s="143"/>
      <c r="AJ671" s="143"/>
      <c r="AK671" s="143"/>
      <c r="AL671" s="129"/>
      <c r="AM671" s="129" t="str">
        <f>IFERROR(__xludf.DUMMYFUNCTION("""COMPUTED_VALUE"""),"Beach, Great Beach")</f>
        <v>Beach, Great Beach</v>
      </c>
      <c r="AN671" s="139"/>
    </row>
    <row r="672">
      <c r="A672" s="140" t="s">
        <v>1773</v>
      </c>
      <c r="B672" s="119">
        <v>79.3</v>
      </c>
      <c r="C672" s="133" t="s">
        <v>75</v>
      </c>
      <c r="D672" s="142"/>
      <c r="E672" s="122"/>
      <c r="F672" s="136"/>
      <c r="G672" s="124">
        <v>10336.0</v>
      </c>
      <c r="H672" s="125">
        <v>3899.0</v>
      </c>
      <c r="I672" s="125">
        <v>3415.0</v>
      </c>
      <c r="J672" s="125">
        <v>1679.0</v>
      </c>
      <c r="K672" s="125">
        <v>689.0</v>
      </c>
      <c r="L672" s="125">
        <v>661.0</v>
      </c>
      <c r="M672" s="126">
        <v>78.0</v>
      </c>
      <c r="N672" s="127">
        <v>84.0</v>
      </c>
      <c r="O672" s="146"/>
      <c r="P672" s="127">
        <v>76.0</v>
      </c>
      <c r="Q672" s="126" t="b">
        <v>0</v>
      </c>
      <c r="R672" s="128"/>
      <c r="S672" s="128"/>
      <c r="T672" s="128"/>
      <c r="U672" s="128"/>
      <c r="V672" s="129"/>
      <c r="W672" s="144" t="s">
        <v>171</v>
      </c>
      <c r="X672" s="144"/>
      <c r="Y672" s="144"/>
      <c r="Z672" s="145" t="b">
        <v>0</v>
      </c>
      <c r="AA672" s="145"/>
      <c r="AB672" s="130" t="s">
        <v>655</v>
      </c>
      <c r="AC672" s="129"/>
      <c r="AD672" s="129"/>
      <c r="AE672" s="129"/>
      <c r="AF672" s="132"/>
      <c r="AG672" s="143" t="b">
        <v>0</v>
      </c>
      <c r="AH672" s="143"/>
      <c r="AI672" s="143"/>
      <c r="AJ672" s="143"/>
      <c r="AK672" s="143"/>
      <c r="AL672" s="129"/>
      <c r="AM672" s="129"/>
      <c r="AN672" s="139"/>
    </row>
    <row r="673">
      <c r="A673" s="140" t="s">
        <v>1774</v>
      </c>
      <c r="B673" s="119">
        <v>79.3</v>
      </c>
      <c r="C673" s="133" t="s">
        <v>75</v>
      </c>
      <c r="D673" s="142"/>
      <c r="E673" s="122"/>
      <c r="F673" s="136"/>
      <c r="G673" s="124">
        <v>6911.0</v>
      </c>
      <c r="H673" s="125">
        <v>2209.0</v>
      </c>
      <c r="I673" s="125">
        <v>2330.0</v>
      </c>
      <c r="J673" s="125">
        <v>1118.0</v>
      </c>
      <c r="K673" s="125">
        <v>669.0</v>
      </c>
      <c r="L673" s="125">
        <v>587.0</v>
      </c>
      <c r="M673" s="126">
        <v>74.0</v>
      </c>
      <c r="N673" s="127">
        <v>86.0</v>
      </c>
      <c r="O673" s="146"/>
      <c r="P673" s="127">
        <v>78.0</v>
      </c>
      <c r="Q673" s="137" t="b">
        <v>0</v>
      </c>
      <c r="R673" s="128"/>
      <c r="S673" s="128"/>
      <c r="T673" s="128"/>
      <c r="U673" s="128"/>
      <c r="V673" s="129"/>
      <c r="W673" s="144" t="s">
        <v>84</v>
      </c>
      <c r="X673" s="144"/>
      <c r="Y673" s="144"/>
      <c r="Z673" s="145" t="b">
        <v>0</v>
      </c>
      <c r="AA673" s="145"/>
      <c r="AB673" s="129" t="s">
        <v>655</v>
      </c>
      <c r="AC673" s="129"/>
      <c r="AD673" s="129"/>
      <c r="AE673" s="129"/>
      <c r="AF673" s="132"/>
      <c r="AG673" s="143" t="b">
        <v>0</v>
      </c>
      <c r="AH673" s="143"/>
      <c r="AI673" s="143"/>
      <c r="AJ673" s="143"/>
      <c r="AK673" s="143"/>
      <c r="AL673" s="129"/>
      <c r="AM673" s="129"/>
      <c r="AN673" s="139"/>
    </row>
    <row r="674">
      <c r="A674" s="118" t="s">
        <v>1775</v>
      </c>
      <c r="B674" s="119">
        <v>79.3</v>
      </c>
      <c r="C674" s="120" t="s">
        <v>68</v>
      </c>
      <c r="D674" s="142"/>
      <c r="E674" s="122"/>
      <c r="F674" s="136"/>
      <c r="G674" s="124">
        <v>9447.0</v>
      </c>
      <c r="H674" s="125">
        <v>4165.0</v>
      </c>
      <c r="I674" s="125">
        <v>2518.0</v>
      </c>
      <c r="J674" s="125">
        <v>1353.0</v>
      </c>
      <c r="K674" s="125">
        <v>678.0</v>
      </c>
      <c r="L674" s="125">
        <v>736.0</v>
      </c>
      <c r="M674" s="126">
        <v>78.0</v>
      </c>
      <c r="N674" s="127">
        <v>86.0</v>
      </c>
      <c r="O674" s="127"/>
      <c r="P674" s="127">
        <v>74.0</v>
      </c>
      <c r="Q674" s="126" t="b">
        <v>0</v>
      </c>
      <c r="R674" s="128"/>
      <c r="S674" s="128">
        <v>7.0</v>
      </c>
      <c r="T674" s="128"/>
      <c r="U674" s="128"/>
      <c r="V674" s="129"/>
      <c r="W674" s="130" t="s">
        <v>193</v>
      </c>
      <c r="X674" s="130" t="s">
        <v>195</v>
      </c>
      <c r="Y674" s="130" t="s">
        <v>195</v>
      </c>
      <c r="Z674" s="133" t="b">
        <v>1</v>
      </c>
      <c r="AA674" s="145"/>
      <c r="AB674" s="130" t="s">
        <v>655</v>
      </c>
      <c r="AC674" s="130"/>
      <c r="AD674" s="130" t="s">
        <v>1524</v>
      </c>
      <c r="AE674" s="129"/>
      <c r="AF674" s="132"/>
      <c r="AG674" s="143" t="b">
        <v>0</v>
      </c>
      <c r="AH674" s="143">
        <v>1501.0</v>
      </c>
      <c r="AI674" s="143">
        <v>2016.0</v>
      </c>
      <c r="AJ674" s="143">
        <v>2017.0</v>
      </c>
      <c r="AK674" s="143"/>
      <c r="AL674" s="129"/>
      <c r="AM674" s="129" t="str">
        <f>IFERROR(__xludf.DUMMYFUNCTION("""COMPUTED_VALUE"""),"Great for Parties")</f>
        <v>Great for Parties</v>
      </c>
      <c r="AN674" s="128"/>
    </row>
    <row r="675">
      <c r="A675" s="118" t="s">
        <v>1776</v>
      </c>
      <c r="B675" s="119">
        <v>79.3</v>
      </c>
      <c r="C675" s="134" t="s">
        <v>75</v>
      </c>
      <c r="D675" s="142"/>
      <c r="E675" s="135"/>
      <c r="F675" s="136"/>
      <c r="G675" s="124">
        <v>5880.0</v>
      </c>
      <c r="H675" s="125">
        <v>2617.0</v>
      </c>
      <c r="I675" s="125">
        <v>1884.0</v>
      </c>
      <c r="J675" s="125">
        <v>835.0</v>
      </c>
      <c r="K675" s="125">
        <v>339.0</v>
      </c>
      <c r="L675" s="125">
        <v>213.0</v>
      </c>
      <c r="M675" s="126">
        <v>82.0</v>
      </c>
      <c r="N675" s="127">
        <v>90.0</v>
      </c>
      <c r="O675" s="146"/>
      <c r="P675" s="127">
        <v>66.0</v>
      </c>
      <c r="Q675" s="126" t="b">
        <v>0</v>
      </c>
      <c r="R675" s="128"/>
      <c r="S675" s="128"/>
      <c r="T675" s="128"/>
      <c r="U675" s="128"/>
      <c r="V675" s="129"/>
      <c r="W675" s="130" t="s">
        <v>276</v>
      </c>
      <c r="X675" s="130" t="s">
        <v>421</v>
      </c>
      <c r="Y675" s="130" t="s">
        <v>327</v>
      </c>
      <c r="Z675" s="133" t="b">
        <v>1</v>
      </c>
      <c r="AA675" s="145"/>
      <c r="AB675" s="129"/>
      <c r="AC675" s="129"/>
      <c r="AD675" s="129"/>
      <c r="AE675" s="129"/>
      <c r="AF675" s="132"/>
      <c r="AG675" s="128" t="b">
        <v>0</v>
      </c>
      <c r="AH675" s="128"/>
      <c r="AI675" s="128"/>
      <c r="AJ675" s="128"/>
      <c r="AK675" s="128"/>
      <c r="AL675" s="129"/>
      <c r="AM675" s="129"/>
      <c r="AN675" s="139"/>
    </row>
    <row r="676">
      <c r="A676" s="118" t="s">
        <v>1777</v>
      </c>
      <c r="B676" s="119">
        <v>79.3</v>
      </c>
      <c r="C676" s="134" t="s">
        <v>75</v>
      </c>
      <c r="D676" s="121"/>
      <c r="E676" s="135"/>
      <c r="F676" s="136"/>
      <c r="G676" s="124">
        <v>21129.0</v>
      </c>
      <c r="H676" s="125">
        <v>13445.0</v>
      </c>
      <c r="I676" s="125">
        <v>3966.0</v>
      </c>
      <c r="J676" s="125">
        <v>1779.0</v>
      </c>
      <c r="K676" s="125">
        <v>743.0</v>
      </c>
      <c r="L676" s="125">
        <v>1181.0</v>
      </c>
      <c r="M676" s="126">
        <v>86.0</v>
      </c>
      <c r="N676" s="127">
        <v>82.0</v>
      </c>
      <c r="O676" s="146"/>
      <c r="P676" s="138">
        <v>70.0</v>
      </c>
      <c r="Q676" s="122" t="b">
        <v>0</v>
      </c>
      <c r="R676" s="133"/>
      <c r="S676" s="143"/>
      <c r="T676" s="133"/>
      <c r="U676" s="133"/>
      <c r="V676" s="130"/>
      <c r="W676" s="130" t="s">
        <v>84</v>
      </c>
      <c r="X676" s="130" t="s">
        <v>86</v>
      </c>
      <c r="Y676" s="147" t="s">
        <v>86</v>
      </c>
      <c r="Z676" s="131" t="b">
        <v>1</v>
      </c>
      <c r="AA676" s="131">
        <v>0.011805555555555555</v>
      </c>
      <c r="AB676" s="130" t="s">
        <v>451</v>
      </c>
      <c r="AC676" s="130"/>
      <c r="AD676" s="144" t="s">
        <v>241</v>
      </c>
      <c r="AE676" s="144"/>
      <c r="AF676" s="132"/>
      <c r="AG676" s="143" t="b">
        <v>0</v>
      </c>
      <c r="AH676" s="143"/>
      <c r="AI676" s="143"/>
      <c r="AJ676" s="143"/>
      <c r="AK676" s="143"/>
      <c r="AL676" s="129"/>
      <c r="AM676" s="129" t="str">
        <f>IFERROR(__xludf.DUMMYFUNCTION("""COMPUTED_VALUE"""),"Beach")</f>
        <v>Beach</v>
      </c>
      <c r="AN676" s="139"/>
    </row>
    <row r="677">
      <c r="A677" s="118" t="s">
        <v>1778</v>
      </c>
      <c r="B677" s="119">
        <v>79.3</v>
      </c>
      <c r="C677" s="134" t="s">
        <v>75</v>
      </c>
      <c r="D677" s="121"/>
      <c r="E677" s="135"/>
      <c r="F677" s="136"/>
      <c r="G677" s="124">
        <v>1837.0</v>
      </c>
      <c r="H677" s="125">
        <v>848.0</v>
      </c>
      <c r="I677" s="125">
        <v>489.0</v>
      </c>
      <c r="J677" s="125">
        <v>244.0</v>
      </c>
      <c r="K677" s="125">
        <v>129.0</v>
      </c>
      <c r="L677" s="125">
        <v>127.0</v>
      </c>
      <c r="M677" s="126">
        <v>80.0</v>
      </c>
      <c r="N677" s="127">
        <v>86.0</v>
      </c>
      <c r="O677" s="146"/>
      <c r="P677" s="127">
        <v>72.0</v>
      </c>
      <c r="Q677" s="122" t="b">
        <v>0</v>
      </c>
      <c r="R677" s="133"/>
      <c r="S677" s="143">
        <v>6.0</v>
      </c>
      <c r="T677" s="133"/>
      <c r="U677" s="133"/>
      <c r="V677" s="129"/>
      <c r="W677" s="130" t="s">
        <v>84</v>
      </c>
      <c r="X677" s="130" t="s">
        <v>665</v>
      </c>
      <c r="Y677" s="144" t="s">
        <v>666</v>
      </c>
      <c r="Z677" s="131" t="b">
        <v>1</v>
      </c>
      <c r="AA677" s="131">
        <v>0.01597222222222222</v>
      </c>
      <c r="AB677" s="129"/>
      <c r="AC677" s="129"/>
      <c r="AD677" s="130" t="s">
        <v>241</v>
      </c>
      <c r="AE677" s="129"/>
      <c r="AF677" s="132"/>
      <c r="AG677" s="143" t="b">
        <v>1</v>
      </c>
      <c r="AH677" s="143">
        <v>538.0</v>
      </c>
      <c r="AI677" s="143">
        <v>1996.0</v>
      </c>
      <c r="AJ677" s="143">
        <v>2003.0</v>
      </c>
      <c r="AK677" s="143">
        <v>3.0</v>
      </c>
      <c r="AL677" s="129"/>
      <c r="AM677" s="129" t="str">
        <f>IFERROR(__xludf.DUMMYFUNCTION("""COMPUTED_VALUE"""),"Beach")</f>
        <v>Beach</v>
      </c>
      <c r="AN677" s="139"/>
    </row>
    <row r="678">
      <c r="A678" s="140" t="s">
        <v>1779</v>
      </c>
      <c r="B678" s="119">
        <v>79.0</v>
      </c>
      <c r="C678" s="133" t="s">
        <v>75</v>
      </c>
      <c r="D678" s="142"/>
      <c r="E678" s="122"/>
      <c r="F678" s="136"/>
      <c r="G678" s="124">
        <v>1115.0</v>
      </c>
      <c r="H678" s="125">
        <v>346.0</v>
      </c>
      <c r="I678" s="125">
        <v>383.0</v>
      </c>
      <c r="J678" s="125">
        <v>219.0</v>
      </c>
      <c r="K678" s="125">
        <v>88.0</v>
      </c>
      <c r="L678" s="125">
        <v>79.0</v>
      </c>
      <c r="M678" s="126">
        <v>75.0</v>
      </c>
      <c r="N678" s="127">
        <v>90.0</v>
      </c>
      <c r="O678" s="146"/>
      <c r="P678" s="127">
        <v>72.0</v>
      </c>
      <c r="Q678" s="122" t="b">
        <v>0</v>
      </c>
      <c r="R678" s="128"/>
      <c r="S678" s="128"/>
      <c r="T678" s="128"/>
      <c r="U678" s="128"/>
      <c r="V678" s="129"/>
      <c r="W678" s="130" t="s">
        <v>1119</v>
      </c>
      <c r="X678" s="130" t="s">
        <v>1780</v>
      </c>
      <c r="Y678" s="130" t="s">
        <v>1781</v>
      </c>
      <c r="Z678" s="145" t="b">
        <v>0</v>
      </c>
      <c r="AA678" s="145"/>
      <c r="AB678" s="129"/>
      <c r="AC678" s="129"/>
      <c r="AD678" s="129"/>
      <c r="AE678" s="129"/>
      <c r="AF678" s="132"/>
      <c r="AG678" s="143" t="b">
        <v>0</v>
      </c>
      <c r="AH678" s="143"/>
      <c r="AI678" s="143"/>
      <c r="AJ678" s="143"/>
      <c r="AK678" s="143"/>
      <c r="AL678" s="129"/>
      <c r="AM678" s="129"/>
      <c r="AN678" s="139"/>
    </row>
    <row r="679">
      <c r="A679" s="140" t="s">
        <v>1782</v>
      </c>
      <c r="B679" s="119">
        <v>79.0</v>
      </c>
      <c r="C679" s="133" t="s">
        <v>75</v>
      </c>
      <c r="D679" s="142"/>
      <c r="E679" s="122"/>
      <c r="F679" s="136"/>
      <c r="G679" s="124">
        <v>423.0</v>
      </c>
      <c r="H679" s="125">
        <v>129.0</v>
      </c>
      <c r="I679" s="125">
        <v>130.0</v>
      </c>
      <c r="J679" s="125">
        <v>92.0</v>
      </c>
      <c r="K679" s="125">
        <v>34.0</v>
      </c>
      <c r="L679" s="125">
        <v>38.0</v>
      </c>
      <c r="M679" s="126">
        <v>73.0</v>
      </c>
      <c r="N679" s="138">
        <v>88.0</v>
      </c>
      <c r="O679" s="146"/>
      <c r="P679" s="138">
        <v>76.0</v>
      </c>
      <c r="Q679" s="122" t="b">
        <v>0</v>
      </c>
      <c r="R679" s="143"/>
      <c r="S679" s="143"/>
      <c r="T679" s="143"/>
      <c r="U679" s="143"/>
      <c r="V679" s="129"/>
      <c r="W679" s="130" t="s">
        <v>1119</v>
      </c>
      <c r="X679" s="130" t="s">
        <v>1783</v>
      </c>
      <c r="Y679" s="130" t="s">
        <v>1784</v>
      </c>
      <c r="Z679" s="145" t="b">
        <v>0</v>
      </c>
      <c r="AA679" s="145"/>
      <c r="AB679" s="129"/>
      <c r="AC679" s="129"/>
      <c r="AD679" s="129"/>
      <c r="AE679" s="129"/>
      <c r="AF679" s="132"/>
      <c r="AG679" s="143" t="b">
        <v>0</v>
      </c>
      <c r="AH679" s="143"/>
      <c r="AI679" s="143"/>
      <c r="AJ679" s="143"/>
      <c r="AK679" s="143"/>
      <c r="AL679" s="129"/>
      <c r="AM679" s="129"/>
      <c r="AN679" s="139"/>
    </row>
    <row r="680">
      <c r="A680" s="118" t="s">
        <v>1785</v>
      </c>
      <c r="B680" s="119">
        <v>79.0</v>
      </c>
      <c r="C680" s="134" t="s">
        <v>75</v>
      </c>
      <c r="D680" s="142"/>
      <c r="E680" s="135"/>
      <c r="F680" s="136"/>
      <c r="G680" s="124">
        <v>1359.0</v>
      </c>
      <c r="H680" s="125">
        <v>647.0</v>
      </c>
      <c r="I680" s="125">
        <v>374.0</v>
      </c>
      <c r="J680" s="125">
        <v>184.0</v>
      </c>
      <c r="K680" s="125">
        <v>76.0</v>
      </c>
      <c r="L680" s="125">
        <v>79.0</v>
      </c>
      <c r="M680" s="126">
        <v>81.0</v>
      </c>
      <c r="N680" s="127">
        <v>78.0</v>
      </c>
      <c r="O680" s="146"/>
      <c r="P680" s="127">
        <v>78.0</v>
      </c>
      <c r="Q680" s="122" t="b">
        <v>0</v>
      </c>
      <c r="R680" s="133"/>
      <c r="S680" s="143"/>
      <c r="T680" s="133"/>
      <c r="U680" s="133"/>
      <c r="V680" s="130"/>
      <c r="W680" s="130" t="s">
        <v>219</v>
      </c>
      <c r="X680" s="130" t="s">
        <v>713</v>
      </c>
      <c r="Y680" s="130" t="s">
        <v>221</v>
      </c>
      <c r="Z680" s="131" t="b">
        <v>1</v>
      </c>
      <c r="AA680" s="131">
        <v>0.002777777777777778</v>
      </c>
      <c r="AB680" s="130"/>
      <c r="AC680" s="130"/>
      <c r="AD680" s="129" t="s">
        <v>241</v>
      </c>
      <c r="AE680" s="129"/>
      <c r="AF680" s="132"/>
      <c r="AG680" s="143" t="b">
        <v>0</v>
      </c>
      <c r="AH680" s="143"/>
      <c r="AI680" s="143"/>
      <c r="AJ680" s="143"/>
      <c r="AK680" s="143"/>
      <c r="AL680" s="129"/>
      <c r="AM680" s="129" t="str">
        <f>IFERROR(__xludf.DUMMYFUNCTION("""COMPUTED_VALUE"""),"Beach")</f>
        <v>Beach</v>
      </c>
      <c r="AN680" s="139"/>
    </row>
    <row r="681">
      <c r="A681" s="118" t="s">
        <v>1786</v>
      </c>
      <c r="B681" s="119">
        <v>79.0</v>
      </c>
      <c r="C681" s="134" t="s">
        <v>75</v>
      </c>
      <c r="D681" s="142"/>
      <c r="E681" s="135"/>
      <c r="F681" s="136"/>
      <c r="G681" s="124">
        <v>10535.0</v>
      </c>
      <c r="H681" s="125">
        <v>5136.0</v>
      </c>
      <c r="I681" s="125">
        <v>2318.0</v>
      </c>
      <c r="J681" s="125">
        <v>1338.0</v>
      </c>
      <c r="K681" s="125">
        <v>746.0</v>
      </c>
      <c r="L681" s="125">
        <v>1002.0</v>
      </c>
      <c r="M681" s="126">
        <v>79.0</v>
      </c>
      <c r="N681" s="127">
        <v>84.0</v>
      </c>
      <c r="O681" s="146"/>
      <c r="P681" s="138">
        <v>74.0</v>
      </c>
      <c r="Q681" s="122" t="b">
        <v>0</v>
      </c>
      <c r="R681" s="133"/>
      <c r="S681" s="143">
        <v>4.0</v>
      </c>
      <c r="T681" s="133"/>
      <c r="U681" s="133"/>
      <c r="V681" s="129"/>
      <c r="W681" s="130" t="s">
        <v>84</v>
      </c>
      <c r="X681" s="130" t="s">
        <v>86</v>
      </c>
      <c r="Y681" s="130" t="s">
        <v>86</v>
      </c>
      <c r="Z681" s="131" t="b">
        <v>1</v>
      </c>
      <c r="AA681" s="131">
        <v>0.019444444444444445</v>
      </c>
      <c r="AB681" s="129"/>
      <c r="AC681" s="129"/>
      <c r="AD681" s="130" t="s">
        <v>241</v>
      </c>
      <c r="AE681" s="129"/>
      <c r="AF681" s="132"/>
      <c r="AG681" s="143" t="b">
        <v>1</v>
      </c>
      <c r="AH681" s="143">
        <v>447.0</v>
      </c>
      <c r="AI681" s="143">
        <v>2000.0</v>
      </c>
      <c r="AJ681" s="143">
        <v>2016.0</v>
      </c>
      <c r="AK681" s="143">
        <v>3.0</v>
      </c>
      <c r="AL681" s="129"/>
      <c r="AM681" s="129" t="str">
        <f>IFERROR(__xludf.DUMMYFUNCTION("""COMPUTED_VALUE"""),"Beach")</f>
        <v>Beach</v>
      </c>
      <c r="AN681" s="139"/>
    </row>
    <row r="682">
      <c r="A682" s="151" t="s">
        <v>1787</v>
      </c>
      <c r="B682" s="119">
        <v>79.0</v>
      </c>
      <c r="C682" s="133" t="s">
        <v>75</v>
      </c>
      <c r="D682" s="142"/>
      <c r="E682" s="135"/>
      <c r="F682" s="136"/>
      <c r="G682" s="124">
        <v>2609.0</v>
      </c>
      <c r="H682" s="125">
        <v>2287.0</v>
      </c>
      <c r="I682" s="125">
        <v>164.0</v>
      </c>
      <c r="J682" s="125">
        <v>76.0</v>
      </c>
      <c r="K682" s="125">
        <v>39.0</v>
      </c>
      <c r="L682" s="125">
        <v>48.0</v>
      </c>
      <c r="M682" s="126">
        <v>95.0</v>
      </c>
      <c r="N682" s="127">
        <v>70.0</v>
      </c>
      <c r="O682" s="146"/>
      <c r="P682" s="127">
        <v>72.0</v>
      </c>
      <c r="Q682" s="126" t="b">
        <v>0</v>
      </c>
      <c r="R682" s="128"/>
      <c r="S682" s="128"/>
      <c r="T682" s="128"/>
      <c r="U682" s="128">
        <v>4.0</v>
      </c>
      <c r="V682" s="129"/>
      <c r="W682" s="129" t="s">
        <v>276</v>
      </c>
      <c r="X682" s="129" t="s">
        <v>1788</v>
      </c>
      <c r="Y682" s="129" t="s">
        <v>278</v>
      </c>
      <c r="Z682" s="145" t="b">
        <v>1</v>
      </c>
      <c r="AA682" s="145">
        <v>0.10069444444444445</v>
      </c>
      <c r="AB682" s="129"/>
      <c r="AC682" s="129" t="s">
        <v>839</v>
      </c>
      <c r="AD682" s="129" t="s">
        <v>241</v>
      </c>
      <c r="AE682" s="129"/>
      <c r="AF682" s="132"/>
      <c r="AG682" s="128" t="b">
        <v>0</v>
      </c>
      <c r="AH682" s="128"/>
      <c r="AI682" s="128"/>
      <c r="AJ682" s="128">
        <v>2005.0</v>
      </c>
      <c r="AK682" s="128">
        <v>3.0</v>
      </c>
      <c r="AL682" s="129" t="str">
        <f>IFERROR(__xludf.DUMMYFUNCTION("""COMPUTED_VALUE"""),"Bay View")</f>
        <v>Bay View</v>
      </c>
      <c r="AM682" s="129" t="str">
        <f>IFERROR(__xludf.DUMMYFUNCTION("""COMPUTED_VALUE"""),"Beach")</f>
        <v>Beach</v>
      </c>
      <c r="AN682" s="139"/>
    </row>
    <row r="683">
      <c r="A683" s="140" t="s">
        <v>1789</v>
      </c>
      <c r="B683" s="119">
        <v>79.0</v>
      </c>
      <c r="C683" s="133" t="s">
        <v>75</v>
      </c>
      <c r="D683" s="142"/>
      <c r="E683" s="122"/>
      <c r="F683" s="136"/>
      <c r="G683" s="124">
        <v>782.0</v>
      </c>
      <c r="H683" s="125">
        <v>217.0</v>
      </c>
      <c r="I683" s="125">
        <v>253.0</v>
      </c>
      <c r="J683" s="125">
        <v>177.0</v>
      </c>
      <c r="K683" s="125">
        <v>79.0</v>
      </c>
      <c r="L683" s="125">
        <v>57.0</v>
      </c>
      <c r="M683" s="126">
        <v>73.0</v>
      </c>
      <c r="N683" s="127">
        <v>88.0</v>
      </c>
      <c r="O683" s="146"/>
      <c r="P683" s="127">
        <v>76.0</v>
      </c>
      <c r="Q683" s="122" t="b">
        <v>0</v>
      </c>
      <c r="R683" s="128"/>
      <c r="S683" s="128"/>
      <c r="T683" s="128"/>
      <c r="U683" s="128"/>
      <c r="V683" s="129"/>
      <c r="W683" s="130" t="s">
        <v>1574</v>
      </c>
      <c r="X683" s="130" t="s">
        <v>1790</v>
      </c>
      <c r="Y683" s="130" t="s">
        <v>1791</v>
      </c>
      <c r="Z683" s="145" t="b">
        <v>0</v>
      </c>
      <c r="AA683" s="145"/>
      <c r="AB683" s="129"/>
      <c r="AC683" s="129"/>
      <c r="AD683" s="129"/>
      <c r="AE683" s="129"/>
      <c r="AF683" s="132"/>
      <c r="AG683" s="143" t="b">
        <v>0</v>
      </c>
      <c r="AH683" s="143"/>
      <c r="AI683" s="143"/>
      <c r="AJ683" s="143"/>
      <c r="AK683" s="143"/>
      <c r="AL683" s="129"/>
      <c r="AM683" s="129"/>
      <c r="AN683" s="139"/>
    </row>
    <row r="684">
      <c r="A684" s="118" t="s">
        <v>1792</v>
      </c>
      <c r="B684" s="119">
        <v>79.0</v>
      </c>
      <c r="C684" s="134" t="s">
        <v>75</v>
      </c>
      <c r="D684" s="142"/>
      <c r="E684" s="122"/>
      <c r="F684" s="136"/>
      <c r="G684" s="124">
        <v>2843.0</v>
      </c>
      <c r="H684" s="125">
        <v>960.0</v>
      </c>
      <c r="I684" s="125">
        <v>852.0</v>
      </c>
      <c r="J684" s="125">
        <v>476.0</v>
      </c>
      <c r="K684" s="125">
        <v>229.0</v>
      </c>
      <c r="L684" s="125">
        <v>327.0</v>
      </c>
      <c r="M684" s="126">
        <v>73.0</v>
      </c>
      <c r="N684" s="127">
        <v>94.0</v>
      </c>
      <c r="O684" s="146"/>
      <c r="P684" s="127">
        <v>70.0</v>
      </c>
      <c r="Q684" s="135" t="b">
        <v>0</v>
      </c>
      <c r="R684" s="128"/>
      <c r="S684" s="128"/>
      <c r="T684" s="128"/>
      <c r="U684" s="128"/>
      <c r="V684" s="129"/>
      <c r="W684" s="130" t="s">
        <v>1793</v>
      </c>
      <c r="X684" s="130" t="s">
        <v>1794</v>
      </c>
      <c r="Y684" s="130" t="s">
        <v>1795</v>
      </c>
      <c r="Z684" s="131" t="b">
        <v>0</v>
      </c>
      <c r="AA684" s="131"/>
      <c r="AB684" s="129"/>
      <c r="AC684" s="129"/>
      <c r="AD684" s="129"/>
      <c r="AE684" s="129"/>
      <c r="AF684" s="132"/>
      <c r="AG684" s="133" t="b">
        <v>0</v>
      </c>
      <c r="AH684" s="133"/>
      <c r="AI684" s="133"/>
      <c r="AJ684" s="133"/>
      <c r="AK684" s="133"/>
      <c r="AL684" s="129"/>
      <c r="AM684" s="129"/>
      <c r="AN684" s="139"/>
    </row>
    <row r="685">
      <c r="A685" s="118" t="s">
        <v>1796</v>
      </c>
      <c r="B685" s="119">
        <v>79.0</v>
      </c>
      <c r="C685" s="134" t="s">
        <v>75</v>
      </c>
      <c r="D685" s="121"/>
      <c r="E685" s="135"/>
      <c r="F685" s="136"/>
      <c r="G685" s="124">
        <v>17141.0</v>
      </c>
      <c r="H685" s="125">
        <v>8146.0</v>
      </c>
      <c r="I685" s="125">
        <v>4936.0</v>
      </c>
      <c r="J685" s="125">
        <v>1965.0</v>
      </c>
      <c r="K685" s="125">
        <v>1037.0</v>
      </c>
      <c r="L685" s="125">
        <v>1062.0</v>
      </c>
      <c r="M685" s="126">
        <v>81.0</v>
      </c>
      <c r="N685" s="127">
        <v>82.0</v>
      </c>
      <c r="O685" s="146"/>
      <c r="P685" s="127">
        <v>74.0</v>
      </c>
      <c r="Q685" s="122" t="b">
        <v>0</v>
      </c>
      <c r="R685" s="133"/>
      <c r="S685" s="143"/>
      <c r="T685" s="133"/>
      <c r="U685" s="133"/>
      <c r="V685" s="130"/>
      <c r="W685" s="130" t="s">
        <v>193</v>
      </c>
      <c r="X685" s="130" t="s">
        <v>557</v>
      </c>
      <c r="Y685" s="130" t="s">
        <v>195</v>
      </c>
      <c r="Z685" s="131" t="b">
        <v>1</v>
      </c>
      <c r="AA685" s="131">
        <v>0.035416666666666666</v>
      </c>
      <c r="AB685" s="130" t="s">
        <v>412</v>
      </c>
      <c r="AC685" s="130"/>
      <c r="AD685" s="129" t="s">
        <v>241</v>
      </c>
      <c r="AE685" s="129"/>
      <c r="AF685" s="132"/>
      <c r="AG685" s="143" t="b">
        <v>0</v>
      </c>
      <c r="AH685" s="143"/>
      <c r="AI685" s="143"/>
      <c r="AJ685" s="143"/>
      <c r="AK685" s="143"/>
      <c r="AL685" s="129"/>
      <c r="AM685" s="129" t="str">
        <f>IFERROR(__xludf.DUMMYFUNCTION("""COMPUTED_VALUE"""),"Beach")</f>
        <v>Beach</v>
      </c>
      <c r="AN685" s="139"/>
    </row>
    <row r="686">
      <c r="A686" s="140" t="s">
        <v>1797</v>
      </c>
      <c r="B686" s="119">
        <v>78.7</v>
      </c>
      <c r="C686" s="133" t="s">
        <v>75</v>
      </c>
      <c r="D686" s="142"/>
      <c r="E686" s="122"/>
      <c r="F686" s="136"/>
      <c r="G686" s="124">
        <v>2871.0</v>
      </c>
      <c r="H686" s="125">
        <v>975.0</v>
      </c>
      <c r="I686" s="125">
        <v>924.0</v>
      </c>
      <c r="J686" s="125">
        <v>443.0</v>
      </c>
      <c r="K686" s="125">
        <v>257.0</v>
      </c>
      <c r="L686" s="125">
        <v>272.0</v>
      </c>
      <c r="M686" s="126">
        <v>74.0</v>
      </c>
      <c r="N686" s="127">
        <v>86.0</v>
      </c>
      <c r="O686" s="146"/>
      <c r="P686" s="127">
        <v>76.0</v>
      </c>
      <c r="Q686" s="122" t="b">
        <v>0</v>
      </c>
      <c r="R686" s="128"/>
      <c r="S686" s="128"/>
      <c r="T686" s="128"/>
      <c r="U686" s="128"/>
      <c r="V686" s="129"/>
      <c r="W686" s="130" t="s">
        <v>1119</v>
      </c>
      <c r="X686" s="130" t="s">
        <v>1783</v>
      </c>
      <c r="Y686" s="130" t="s">
        <v>1784</v>
      </c>
      <c r="Z686" s="145" t="b">
        <v>0</v>
      </c>
      <c r="AA686" s="145"/>
      <c r="AB686" s="129"/>
      <c r="AC686" s="129"/>
      <c r="AD686" s="129"/>
      <c r="AE686" s="129"/>
      <c r="AF686" s="132"/>
      <c r="AG686" s="143" t="b">
        <v>0</v>
      </c>
      <c r="AH686" s="143"/>
      <c r="AI686" s="143"/>
      <c r="AJ686" s="143"/>
      <c r="AK686" s="143"/>
      <c r="AL686" s="129"/>
      <c r="AM686" s="129"/>
      <c r="AN686" s="139"/>
    </row>
    <row r="687">
      <c r="A687" s="140" t="s">
        <v>1798</v>
      </c>
      <c r="B687" s="119">
        <v>78.7</v>
      </c>
      <c r="C687" s="133" t="s">
        <v>75</v>
      </c>
      <c r="D687" s="142"/>
      <c r="E687" s="122"/>
      <c r="F687" s="136"/>
      <c r="G687" s="124">
        <v>11916.0</v>
      </c>
      <c r="H687" s="125">
        <v>3777.0</v>
      </c>
      <c r="I687" s="125">
        <v>4052.0</v>
      </c>
      <c r="J687" s="125">
        <v>1950.0</v>
      </c>
      <c r="K687" s="125">
        <v>990.0</v>
      </c>
      <c r="L687" s="125">
        <v>1153.0</v>
      </c>
      <c r="M687" s="126">
        <v>74.0</v>
      </c>
      <c r="N687" s="138">
        <v>82.0</v>
      </c>
      <c r="O687" s="146"/>
      <c r="P687" s="127">
        <v>80.0</v>
      </c>
      <c r="Q687" s="122" t="b">
        <v>0</v>
      </c>
      <c r="R687" s="128"/>
      <c r="S687" s="128"/>
      <c r="T687" s="128"/>
      <c r="U687" s="128"/>
      <c r="V687" s="129"/>
      <c r="W687" s="144" t="s">
        <v>84</v>
      </c>
      <c r="X687" s="129"/>
      <c r="Y687" s="144"/>
      <c r="Z687" s="145" t="b">
        <v>0</v>
      </c>
      <c r="AA687" s="145"/>
      <c r="AB687" s="129" t="s">
        <v>655</v>
      </c>
      <c r="AC687" s="129"/>
      <c r="AD687" s="129" t="s">
        <v>1524</v>
      </c>
      <c r="AE687" s="129"/>
      <c r="AF687" s="132"/>
      <c r="AG687" s="143" t="b">
        <v>0</v>
      </c>
      <c r="AH687" s="143"/>
      <c r="AI687" s="143"/>
      <c r="AJ687" s="143"/>
      <c r="AK687" s="143"/>
      <c r="AL687" s="129"/>
      <c r="AM687" s="129" t="str">
        <f>IFERROR(__xludf.DUMMYFUNCTION("""COMPUTED_VALUE"""),"Great for Parties")</f>
        <v>Great for Parties</v>
      </c>
      <c r="AN687" s="139"/>
    </row>
    <row r="688">
      <c r="A688" s="118" t="s">
        <v>1799</v>
      </c>
      <c r="B688" s="119">
        <v>78.7</v>
      </c>
      <c r="C688" s="134" t="s">
        <v>75</v>
      </c>
      <c r="D688" s="142"/>
      <c r="E688" s="135"/>
      <c r="F688" s="136"/>
      <c r="G688" s="124">
        <v>731.0</v>
      </c>
      <c r="H688" s="125">
        <v>254.0</v>
      </c>
      <c r="I688" s="125">
        <v>266.0</v>
      </c>
      <c r="J688" s="125">
        <v>97.0</v>
      </c>
      <c r="K688" s="125">
        <v>54.0</v>
      </c>
      <c r="L688" s="125">
        <v>60.0</v>
      </c>
      <c r="M688" s="126">
        <v>76.0</v>
      </c>
      <c r="N688" s="127">
        <v>84.0</v>
      </c>
      <c r="O688" s="146"/>
      <c r="P688" s="127">
        <v>76.0</v>
      </c>
      <c r="Q688" s="122" t="b">
        <v>0</v>
      </c>
      <c r="R688" s="133"/>
      <c r="S688" s="143"/>
      <c r="T688" s="133"/>
      <c r="U688" s="133"/>
      <c r="V688" s="129"/>
      <c r="W688" s="130" t="s">
        <v>341</v>
      </c>
      <c r="X688" s="130" t="s">
        <v>1800</v>
      </c>
      <c r="Y688" s="130" t="s">
        <v>343</v>
      </c>
      <c r="Z688" s="145" t="b">
        <v>1</v>
      </c>
      <c r="AA688" s="145"/>
      <c r="AB688" s="130" t="s">
        <v>412</v>
      </c>
      <c r="AC688" s="129"/>
      <c r="AD688" s="129"/>
      <c r="AE688" s="129"/>
      <c r="AF688" s="132"/>
      <c r="AG688" s="143" t="b">
        <v>0</v>
      </c>
      <c r="AH688" s="143"/>
      <c r="AI688" s="143"/>
      <c r="AJ688" s="143"/>
      <c r="AK688" s="143"/>
      <c r="AL688" s="129"/>
      <c r="AM688" s="129"/>
      <c r="AN688" s="139"/>
    </row>
    <row r="689">
      <c r="A689" s="118" t="s">
        <v>1801</v>
      </c>
      <c r="B689" s="119">
        <v>78.7</v>
      </c>
      <c r="C689" s="134" t="s">
        <v>75</v>
      </c>
      <c r="D689" s="142"/>
      <c r="E689" s="135"/>
      <c r="F689" s="136"/>
      <c r="G689" s="124">
        <v>14612.0</v>
      </c>
      <c r="H689" s="125">
        <v>8729.0</v>
      </c>
      <c r="I689" s="125">
        <v>3292.0</v>
      </c>
      <c r="J689" s="125">
        <v>1298.0</v>
      </c>
      <c r="K689" s="125">
        <v>571.0</v>
      </c>
      <c r="L689" s="125">
        <v>728.0</v>
      </c>
      <c r="M689" s="126">
        <v>86.0</v>
      </c>
      <c r="N689" s="127">
        <v>78.0</v>
      </c>
      <c r="O689" s="146"/>
      <c r="P689" s="127">
        <v>72.0</v>
      </c>
      <c r="Q689" s="122" t="b">
        <v>0</v>
      </c>
      <c r="R689" s="133"/>
      <c r="S689" s="143">
        <v>6.0</v>
      </c>
      <c r="T689" s="133"/>
      <c r="U689" s="133"/>
      <c r="V689" s="129"/>
      <c r="W689" s="130" t="s">
        <v>193</v>
      </c>
      <c r="X689" s="130" t="s">
        <v>225</v>
      </c>
      <c r="Y689" s="130" t="s">
        <v>195</v>
      </c>
      <c r="Z689" s="133" t="b">
        <v>1</v>
      </c>
      <c r="AA689" s="131">
        <v>0.01875</v>
      </c>
      <c r="AB689" s="130" t="s">
        <v>451</v>
      </c>
      <c r="AC689" s="129"/>
      <c r="AD689" s="129"/>
      <c r="AE689" s="129"/>
      <c r="AF689" s="132"/>
      <c r="AG689" s="143" t="b">
        <v>0</v>
      </c>
      <c r="AH689" s="143">
        <v>314.0</v>
      </c>
      <c r="AI689" s="143">
        <v>2003.0</v>
      </c>
      <c r="AJ689" s="143">
        <v>2016.0</v>
      </c>
      <c r="AK689" s="143">
        <v>3.0</v>
      </c>
      <c r="AL689" s="129"/>
      <c r="AM689" s="129"/>
      <c r="AN689" s="139"/>
    </row>
    <row r="690" hidden="1">
      <c r="A690" s="118" t="s">
        <v>1802</v>
      </c>
      <c r="B690" s="119">
        <v>78.0</v>
      </c>
      <c r="C690" s="120" t="s">
        <v>68</v>
      </c>
      <c r="D690" s="142"/>
      <c r="E690" s="122"/>
      <c r="F690" s="136"/>
      <c r="G690" s="152"/>
      <c r="H690" s="133"/>
      <c r="I690" s="133"/>
      <c r="J690" s="133"/>
      <c r="K690" s="133"/>
      <c r="L690" s="133"/>
      <c r="M690" s="137"/>
      <c r="N690" s="138">
        <v>84.0</v>
      </c>
      <c r="O690" s="127"/>
      <c r="P690" s="138">
        <v>72.0</v>
      </c>
      <c r="Q690" s="126" t="b">
        <v>0</v>
      </c>
      <c r="R690" s="128"/>
      <c r="S690" s="128"/>
      <c r="T690" s="128"/>
      <c r="U690" s="128"/>
      <c r="V690" s="130" t="s">
        <v>118</v>
      </c>
      <c r="W690" s="130" t="s">
        <v>193</v>
      </c>
      <c r="X690" s="130" t="s">
        <v>1546</v>
      </c>
      <c r="Y690" s="130" t="s">
        <v>1070</v>
      </c>
      <c r="Z690" s="131" t="b">
        <v>1</v>
      </c>
      <c r="AA690" s="131">
        <v>0.014583333333333334</v>
      </c>
      <c r="AB690" s="130"/>
      <c r="AC690" s="130"/>
      <c r="AD690" s="130" t="s">
        <v>241</v>
      </c>
      <c r="AE690" s="129"/>
      <c r="AF690" s="132"/>
      <c r="AG690" s="133" t="b">
        <v>0</v>
      </c>
      <c r="AH690" s="133"/>
      <c r="AI690" s="133"/>
      <c r="AJ690" s="133"/>
      <c r="AK690" s="133"/>
      <c r="AL690" s="129"/>
      <c r="AM690" s="129" t="str">
        <f>IFERROR(__xludf.DUMMYFUNCTION("""COMPUTED_VALUE"""),"Beach")</f>
        <v>Beach</v>
      </c>
      <c r="AN690" s="128"/>
    </row>
    <row r="691" hidden="1">
      <c r="A691" s="118" t="s">
        <v>1802</v>
      </c>
      <c r="B691" s="119">
        <v>78.0</v>
      </c>
      <c r="C691" s="134" t="s">
        <v>75</v>
      </c>
      <c r="D691" s="142"/>
      <c r="E691" s="135"/>
      <c r="F691" s="136"/>
      <c r="G691" s="124"/>
      <c r="H691" s="133"/>
      <c r="I691" s="133"/>
      <c r="J691" s="133"/>
      <c r="K691" s="133"/>
      <c r="L691" s="133"/>
      <c r="M691" s="137"/>
      <c r="N691" s="138">
        <v>84.0</v>
      </c>
      <c r="O691" s="127"/>
      <c r="P691" s="138">
        <v>72.0</v>
      </c>
      <c r="Q691" s="135" t="b">
        <v>0</v>
      </c>
      <c r="R691" s="133"/>
      <c r="S691" s="133"/>
      <c r="T691" s="133"/>
      <c r="U691" s="133"/>
      <c r="V691" s="130" t="s">
        <v>118</v>
      </c>
      <c r="W691" s="130" t="s">
        <v>193</v>
      </c>
      <c r="X691" s="130" t="s">
        <v>1546</v>
      </c>
      <c r="Y691" s="130" t="s">
        <v>1070</v>
      </c>
      <c r="Z691" s="131" t="b">
        <v>1</v>
      </c>
      <c r="AA691" s="131">
        <v>0.014583333333333334</v>
      </c>
      <c r="AB691" s="130"/>
      <c r="AC691" s="130"/>
      <c r="AD691" s="129" t="s">
        <v>241</v>
      </c>
      <c r="AE691" s="129"/>
      <c r="AF691" s="132"/>
      <c r="AG691" s="133" t="b">
        <v>0</v>
      </c>
      <c r="AH691" s="133"/>
      <c r="AI691" s="133"/>
      <c r="AJ691" s="133"/>
      <c r="AK691" s="133"/>
      <c r="AL691" s="129"/>
      <c r="AM691" s="129" t="str">
        <f>IFERROR(__xludf.DUMMYFUNCTION("""COMPUTED_VALUE"""),"Beach")</f>
        <v>Beach</v>
      </c>
      <c r="AN691" s="139"/>
    </row>
    <row r="692">
      <c r="A692" s="118" t="s">
        <v>1803</v>
      </c>
      <c r="B692" s="119">
        <v>78.7</v>
      </c>
      <c r="C692" s="134" t="s">
        <v>75</v>
      </c>
      <c r="D692" s="121"/>
      <c r="E692" s="135"/>
      <c r="F692" s="136"/>
      <c r="G692" s="124">
        <v>8309.0</v>
      </c>
      <c r="H692" s="125">
        <v>3310.0</v>
      </c>
      <c r="I692" s="125">
        <v>2647.0</v>
      </c>
      <c r="J692" s="125">
        <v>1262.0</v>
      </c>
      <c r="K692" s="125">
        <v>554.0</v>
      </c>
      <c r="L692" s="125">
        <v>536.0</v>
      </c>
      <c r="M692" s="126">
        <v>78.0</v>
      </c>
      <c r="N692" s="138">
        <v>82.0</v>
      </c>
      <c r="O692" s="146"/>
      <c r="P692" s="127">
        <v>76.0</v>
      </c>
      <c r="Q692" s="122" t="b">
        <v>0</v>
      </c>
      <c r="R692" s="133"/>
      <c r="S692" s="143"/>
      <c r="T692" s="133"/>
      <c r="U692" s="133"/>
      <c r="V692" s="129"/>
      <c r="W692" s="130" t="s">
        <v>193</v>
      </c>
      <c r="X692" s="130" t="s">
        <v>225</v>
      </c>
      <c r="Y692" s="130" t="s">
        <v>195</v>
      </c>
      <c r="Z692" s="131" t="b">
        <v>1</v>
      </c>
      <c r="AA692" s="131">
        <v>0.016666666666666666</v>
      </c>
      <c r="AB692" s="129"/>
      <c r="AC692" s="129"/>
      <c r="AD692" s="129" t="s">
        <v>241</v>
      </c>
      <c r="AE692" s="129"/>
      <c r="AF692" s="132"/>
      <c r="AG692" s="143" t="b">
        <v>0</v>
      </c>
      <c r="AH692" s="143"/>
      <c r="AI692" s="143"/>
      <c r="AJ692" s="143"/>
      <c r="AK692" s="143"/>
      <c r="AL692" s="129"/>
      <c r="AM692" s="129" t="str">
        <f>IFERROR(__xludf.DUMMYFUNCTION("""COMPUTED_VALUE"""),"Beach")</f>
        <v>Beach</v>
      </c>
      <c r="AN692" s="139"/>
    </row>
    <row r="693">
      <c r="A693" s="118" t="s">
        <v>1804</v>
      </c>
      <c r="B693" s="119">
        <v>78.5</v>
      </c>
      <c r="C693" s="134" t="s">
        <v>75</v>
      </c>
      <c r="D693" s="142"/>
      <c r="E693" s="135"/>
      <c r="F693" s="136"/>
      <c r="G693" s="124">
        <v>6764.0</v>
      </c>
      <c r="H693" s="125">
        <v>4548.0</v>
      </c>
      <c r="I693" s="125">
        <v>904.0</v>
      </c>
      <c r="J693" s="125">
        <v>481.0</v>
      </c>
      <c r="K693" s="125">
        <v>303.0</v>
      </c>
      <c r="L693" s="125">
        <v>527.0</v>
      </c>
      <c r="M693" s="126">
        <v>86.0</v>
      </c>
      <c r="N693" s="127">
        <v>76.0</v>
      </c>
      <c r="O693" s="127">
        <v>76.0</v>
      </c>
      <c r="P693" s="127">
        <v>76.0</v>
      </c>
      <c r="Q693" s="122" t="b">
        <v>0</v>
      </c>
      <c r="R693" s="133"/>
      <c r="S693" s="143"/>
      <c r="T693" s="133"/>
      <c r="U693" s="133"/>
      <c r="V693" s="130"/>
      <c r="W693" s="130" t="s">
        <v>84</v>
      </c>
      <c r="X693" s="130" t="s">
        <v>425</v>
      </c>
      <c r="Y693" s="130" t="s">
        <v>86</v>
      </c>
      <c r="Z693" s="131" t="b">
        <v>1</v>
      </c>
      <c r="AA693" s="131">
        <v>0.03333333333333333</v>
      </c>
      <c r="AB693" s="130" t="s">
        <v>451</v>
      </c>
      <c r="AC693" s="130"/>
      <c r="AD693" s="147" t="s">
        <v>1805</v>
      </c>
      <c r="AE693" s="130" t="s">
        <v>94</v>
      </c>
      <c r="AF693" s="132"/>
      <c r="AG693" s="143" t="b">
        <v>0</v>
      </c>
      <c r="AH693" s="143"/>
      <c r="AI693" s="143"/>
      <c r="AJ693" s="143"/>
      <c r="AK693" s="143"/>
      <c r="AL693" s="129"/>
      <c r="AM693" s="129" t="str">
        <f>IFERROR(__xludf.DUMMYFUNCTION("""COMPUTED_VALUE"""),"Beach, Family Suite, Flowrider, Kids Club, Lazy River, Swim Out/Plunge Pool Rooms")</f>
        <v>Beach, Family Suite, Flowrider, Kids Club, Lazy River, Swim Out/Plunge Pool Rooms</v>
      </c>
      <c r="AN693" s="139"/>
    </row>
    <row r="694">
      <c r="A694" s="118" t="s">
        <v>1806</v>
      </c>
      <c r="B694" s="119">
        <v>78.3</v>
      </c>
      <c r="C694" s="134" t="s">
        <v>75</v>
      </c>
      <c r="D694" s="121">
        <v>4321.8</v>
      </c>
      <c r="E694" s="135">
        <f>IFERROR(__xludf.DUMMYFUNCTION("""COMPUTED_VALUE"""),5968.62145782)</f>
        <v>5968.621458</v>
      </c>
      <c r="F694" s="136">
        <v>-0.39</v>
      </c>
      <c r="G694" s="124">
        <v>2136.0</v>
      </c>
      <c r="H694" s="125">
        <v>1131.0</v>
      </c>
      <c r="I694" s="125">
        <v>366.0</v>
      </c>
      <c r="J694" s="125">
        <v>263.0</v>
      </c>
      <c r="K694" s="125">
        <v>149.0</v>
      </c>
      <c r="L694" s="125">
        <v>230.0</v>
      </c>
      <c r="M694" s="126">
        <v>79.0</v>
      </c>
      <c r="N694" s="127">
        <v>78.0</v>
      </c>
      <c r="O694" s="146"/>
      <c r="P694" s="127">
        <v>78.0</v>
      </c>
      <c r="Q694" s="122" t="b">
        <v>0</v>
      </c>
      <c r="R694" s="133"/>
      <c r="S694" s="133">
        <v>8.0</v>
      </c>
      <c r="T694" s="133" t="s">
        <v>492</v>
      </c>
      <c r="U694" s="133">
        <v>5.0</v>
      </c>
      <c r="V694" s="130"/>
      <c r="W694" s="130" t="s">
        <v>84</v>
      </c>
      <c r="X694" s="130" t="s">
        <v>210</v>
      </c>
      <c r="Y694" s="130" t="s">
        <v>86</v>
      </c>
      <c r="Z694" s="131" t="b">
        <v>1</v>
      </c>
      <c r="AA694" s="131">
        <v>0.014583333333333334</v>
      </c>
      <c r="AB694" s="130"/>
      <c r="AC694" s="130" t="s">
        <v>365</v>
      </c>
      <c r="AD694" s="130" t="s">
        <v>1807</v>
      </c>
      <c r="AE694" s="130" t="s">
        <v>134</v>
      </c>
      <c r="AF694" s="132" t="s">
        <v>1377</v>
      </c>
      <c r="AG694" s="133" t="b">
        <v>0</v>
      </c>
      <c r="AH694" s="133">
        <v>438.0</v>
      </c>
      <c r="AI694" s="133">
        <v>2008.0</v>
      </c>
      <c r="AJ694" s="133">
        <v>2021.0</v>
      </c>
      <c r="AK694" s="133">
        <v>4.0</v>
      </c>
      <c r="AL694" s="129" t="str">
        <f>IFERROR(__xludf.DUMMYFUNCTION("""COMPUTED_VALUE"""),"Business")</f>
        <v>Business</v>
      </c>
      <c r="AM694" s="129" t="str">
        <f>IFERROR(__xludf.DUMMYFUNCTION("""COMPUTED_VALUE"""),"Beach, Big Waterslides, Kids Club, Kids Waterpark")</f>
        <v>Beach, Big Waterslides, Kids Club, Kids Waterpark</v>
      </c>
      <c r="AN694" s="139"/>
    </row>
    <row r="695">
      <c r="A695" s="118" t="s">
        <v>1808</v>
      </c>
      <c r="B695" s="119">
        <v>78.3</v>
      </c>
      <c r="C695" s="134" t="s">
        <v>75</v>
      </c>
      <c r="D695" s="142"/>
      <c r="E695" s="135"/>
      <c r="F695" s="136"/>
      <c r="G695" s="124">
        <v>10044.0</v>
      </c>
      <c r="H695" s="125">
        <v>4231.0</v>
      </c>
      <c r="I695" s="125">
        <v>2623.0</v>
      </c>
      <c r="J695" s="125">
        <v>1505.0</v>
      </c>
      <c r="K695" s="125">
        <v>747.0</v>
      </c>
      <c r="L695" s="125">
        <v>941.0</v>
      </c>
      <c r="M695" s="126">
        <v>77.0</v>
      </c>
      <c r="N695" s="138">
        <v>88.0</v>
      </c>
      <c r="O695" s="146"/>
      <c r="P695" s="127">
        <v>70.0</v>
      </c>
      <c r="Q695" s="122" t="b">
        <v>0</v>
      </c>
      <c r="R695" s="133"/>
      <c r="S695" s="143"/>
      <c r="T695" s="133"/>
      <c r="U695" s="133"/>
      <c r="V695" s="129"/>
      <c r="W695" s="130" t="s">
        <v>193</v>
      </c>
      <c r="X695" s="130" t="s">
        <v>195</v>
      </c>
      <c r="Y695" s="130" t="s">
        <v>195</v>
      </c>
      <c r="Z695" s="131" t="b">
        <v>1</v>
      </c>
      <c r="AA695" s="131">
        <v>0.018055555555555554</v>
      </c>
      <c r="AB695" s="129"/>
      <c r="AC695" s="129"/>
      <c r="AD695" s="129" t="s">
        <v>241</v>
      </c>
      <c r="AE695" s="129"/>
      <c r="AF695" s="132"/>
      <c r="AG695" s="143" t="b">
        <v>0</v>
      </c>
      <c r="AH695" s="143"/>
      <c r="AI695" s="143"/>
      <c r="AJ695" s="143"/>
      <c r="AK695" s="143"/>
      <c r="AL695" s="129"/>
      <c r="AM695" s="129" t="str">
        <f>IFERROR(__xludf.DUMMYFUNCTION("""COMPUTED_VALUE"""),"Beach")</f>
        <v>Beach</v>
      </c>
      <c r="AN695" s="139"/>
    </row>
    <row r="696">
      <c r="A696" s="118" t="s">
        <v>1809</v>
      </c>
      <c r="B696" s="119">
        <v>78.3</v>
      </c>
      <c r="C696" s="134" t="s">
        <v>75</v>
      </c>
      <c r="D696" s="142"/>
      <c r="E696" s="135"/>
      <c r="F696" s="136"/>
      <c r="G696" s="124">
        <v>8389.0</v>
      </c>
      <c r="H696" s="125">
        <v>3025.0</v>
      </c>
      <c r="I696" s="125">
        <v>2833.0</v>
      </c>
      <c r="J696" s="125">
        <v>1458.0</v>
      </c>
      <c r="K696" s="125">
        <v>595.0</v>
      </c>
      <c r="L696" s="125">
        <v>481.0</v>
      </c>
      <c r="M696" s="126">
        <v>77.0</v>
      </c>
      <c r="N696" s="127">
        <v>82.0</v>
      </c>
      <c r="O696" s="146"/>
      <c r="P696" s="127">
        <v>76.0</v>
      </c>
      <c r="Q696" s="122" t="b">
        <v>0</v>
      </c>
      <c r="R696" s="133"/>
      <c r="S696" s="143">
        <v>7.0</v>
      </c>
      <c r="T696" s="133"/>
      <c r="U696" s="133"/>
      <c r="V696" s="130"/>
      <c r="W696" s="130" t="s">
        <v>219</v>
      </c>
      <c r="X696" s="130" t="s">
        <v>220</v>
      </c>
      <c r="Y696" s="130" t="s">
        <v>221</v>
      </c>
      <c r="Z696" s="131" t="b">
        <v>1</v>
      </c>
      <c r="AA696" s="131">
        <v>0.052083333333333336</v>
      </c>
      <c r="AB696" s="130" t="s">
        <v>655</v>
      </c>
      <c r="AC696" s="130"/>
      <c r="AD696" s="129" t="s">
        <v>1772</v>
      </c>
      <c r="AE696" s="129"/>
      <c r="AF696" s="132"/>
      <c r="AG696" s="143" t="b">
        <v>0</v>
      </c>
      <c r="AH696" s="143">
        <v>654.0</v>
      </c>
      <c r="AI696" s="143">
        <v>1992.0</v>
      </c>
      <c r="AJ696" s="133">
        <v>2024.0</v>
      </c>
      <c r="AK696" s="143">
        <v>3.0</v>
      </c>
      <c r="AL696" s="129"/>
      <c r="AM696" s="129" t="str">
        <f>IFERROR(__xludf.DUMMYFUNCTION("""COMPUTED_VALUE"""),"Beach, Great Beach")</f>
        <v>Beach, Great Beach</v>
      </c>
      <c r="AN696" s="139"/>
    </row>
    <row r="697">
      <c r="A697" s="118" t="s">
        <v>1810</v>
      </c>
      <c r="B697" s="119">
        <v>78.3</v>
      </c>
      <c r="C697" s="120" t="s">
        <v>68</v>
      </c>
      <c r="D697" s="142"/>
      <c r="E697" s="122"/>
      <c r="F697" s="136"/>
      <c r="G697" s="124">
        <v>2395.0</v>
      </c>
      <c r="H697" s="125">
        <v>1182.0</v>
      </c>
      <c r="I697" s="125">
        <v>540.0</v>
      </c>
      <c r="J697" s="125">
        <v>277.0</v>
      </c>
      <c r="K697" s="125">
        <v>159.0</v>
      </c>
      <c r="L697" s="125">
        <v>238.0</v>
      </c>
      <c r="M697" s="126">
        <v>79.0</v>
      </c>
      <c r="N697" s="138">
        <v>78.0</v>
      </c>
      <c r="O697" s="127"/>
      <c r="P697" s="138">
        <v>78.0</v>
      </c>
      <c r="Q697" s="122" t="b">
        <v>0</v>
      </c>
      <c r="R697" s="128"/>
      <c r="S697" s="128"/>
      <c r="T697" s="128"/>
      <c r="U697" s="128"/>
      <c r="V697" s="129"/>
      <c r="W697" s="130" t="s">
        <v>84</v>
      </c>
      <c r="X697" s="130" t="s">
        <v>337</v>
      </c>
      <c r="Y697" s="130" t="s">
        <v>86</v>
      </c>
      <c r="Z697" s="133" t="b">
        <v>1</v>
      </c>
      <c r="AA697" s="145"/>
      <c r="AB697" s="129"/>
      <c r="AC697" s="130"/>
      <c r="AD697" s="144"/>
      <c r="AE697" s="129"/>
      <c r="AF697" s="132"/>
      <c r="AG697" s="143" t="b">
        <v>0</v>
      </c>
      <c r="AH697" s="143"/>
      <c r="AI697" s="143"/>
      <c r="AJ697" s="143"/>
      <c r="AK697" s="143"/>
      <c r="AL697" s="129"/>
      <c r="AM697" s="129"/>
      <c r="AN697" s="128"/>
    </row>
    <row r="698">
      <c r="A698" s="118" t="s">
        <v>1811</v>
      </c>
      <c r="B698" s="149">
        <v>78.3</v>
      </c>
      <c r="C698" s="120" t="s">
        <v>68</v>
      </c>
      <c r="D698" s="142"/>
      <c r="E698" s="122"/>
      <c r="F698" s="123"/>
      <c r="G698" s="124">
        <v>1003.0</v>
      </c>
      <c r="H698" s="125">
        <v>582.0</v>
      </c>
      <c r="I698" s="125">
        <v>172.0</v>
      </c>
      <c r="J698" s="125">
        <v>90.0</v>
      </c>
      <c r="K698" s="125">
        <v>60.0</v>
      </c>
      <c r="L698" s="125">
        <v>99.0</v>
      </c>
      <c r="M698" s="126">
        <v>81.0</v>
      </c>
      <c r="N698" s="127">
        <v>80.0</v>
      </c>
      <c r="O698" s="127"/>
      <c r="P698" s="138">
        <v>74.0</v>
      </c>
      <c r="Q698" s="122" t="b">
        <v>0</v>
      </c>
      <c r="R698" s="128"/>
      <c r="S698" s="128"/>
      <c r="T698" s="128"/>
      <c r="U698" s="128"/>
      <c r="V698" s="129"/>
      <c r="W698" s="130" t="s">
        <v>84</v>
      </c>
      <c r="X698" s="130" t="s">
        <v>214</v>
      </c>
      <c r="Y698" s="130" t="s">
        <v>86</v>
      </c>
      <c r="Z698" s="133" t="b">
        <v>1</v>
      </c>
      <c r="AA698" s="145"/>
      <c r="AB698" s="129"/>
      <c r="AC698" s="130"/>
      <c r="AD698" s="144"/>
      <c r="AE698" s="130"/>
      <c r="AF698" s="132"/>
      <c r="AG698" s="143" t="b">
        <v>0</v>
      </c>
      <c r="AH698" s="143"/>
      <c r="AI698" s="143"/>
      <c r="AJ698" s="143"/>
      <c r="AK698" s="143"/>
      <c r="AL698" s="129"/>
      <c r="AM698" s="129"/>
      <c r="AN698" s="128"/>
    </row>
    <row r="699">
      <c r="A699" s="118" t="s">
        <v>1812</v>
      </c>
      <c r="B699" s="119">
        <v>78.3</v>
      </c>
      <c r="C699" s="134" t="s">
        <v>75</v>
      </c>
      <c r="D699" s="121"/>
      <c r="E699" s="135"/>
      <c r="F699" s="136"/>
      <c r="G699" s="124">
        <v>4330.0</v>
      </c>
      <c r="H699" s="125">
        <v>2308.0</v>
      </c>
      <c r="I699" s="125">
        <v>1031.0</v>
      </c>
      <c r="J699" s="125">
        <v>519.0</v>
      </c>
      <c r="K699" s="125">
        <v>245.0</v>
      </c>
      <c r="L699" s="125">
        <v>227.0</v>
      </c>
      <c r="M699" s="126">
        <v>83.0</v>
      </c>
      <c r="N699" s="127">
        <v>80.0</v>
      </c>
      <c r="O699" s="146"/>
      <c r="P699" s="127">
        <v>72.0</v>
      </c>
      <c r="Q699" s="122" t="b">
        <v>0</v>
      </c>
      <c r="R699" s="133"/>
      <c r="S699" s="143"/>
      <c r="T699" s="133"/>
      <c r="U699" s="133"/>
      <c r="V699" s="130"/>
      <c r="W699" s="130" t="s">
        <v>193</v>
      </c>
      <c r="X699" s="130" t="s">
        <v>1813</v>
      </c>
      <c r="Y699" s="130" t="s">
        <v>1070</v>
      </c>
      <c r="Z699" s="131" t="b">
        <v>1</v>
      </c>
      <c r="AA699" s="131">
        <v>0.024305555555555556</v>
      </c>
      <c r="AB699" s="130" t="s">
        <v>412</v>
      </c>
      <c r="AC699" s="130"/>
      <c r="AD699" s="129" t="s">
        <v>241</v>
      </c>
      <c r="AE699" s="129"/>
      <c r="AF699" s="132"/>
      <c r="AG699" s="143" t="b">
        <v>0</v>
      </c>
      <c r="AH699" s="143"/>
      <c r="AI699" s="143"/>
      <c r="AJ699" s="143"/>
      <c r="AK699" s="143">
        <v>6.0</v>
      </c>
      <c r="AL699" s="129"/>
      <c r="AM699" s="129" t="str">
        <f>IFERROR(__xludf.DUMMYFUNCTION("""COMPUTED_VALUE"""),"Beach")</f>
        <v>Beach</v>
      </c>
      <c r="AN699" s="139"/>
    </row>
    <row r="700">
      <c r="A700" s="118" t="s">
        <v>1814</v>
      </c>
      <c r="B700" s="119">
        <v>78.0</v>
      </c>
      <c r="C700" s="134" t="s">
        <v>75</v>
      </c>
      <c r="D700" s="121"/>
      <c r="E700" s="135"/>
      <c r="F700" s="123"/>
      <c r="G700" s="124">
        <v>0.0</v>
      </c>
      <c r="H700" s="125"/>
      <c r="I700" s="125"/>
      <c r="J700" s="125"/>
      <c r="K700" s="125"/>
      <c r="L700" s="125"/>
      <c r="M700" s="137"/>
      <c r="N700" s="138">
        <v>84.0</v>
      </c>
      <c r="O700" s="138"/>
      <c r="P700" s="138">
        <v>72.0</v>
      </c>
      <c r="Q700" s="135" t="b">
        <v>0</v>
      </c>
      <c r="R700" s="133"/>
      <c r="S700" s="133"/>
      <c r="T700" s="133"/>
      <c r="U700" s="133"/>
      <c r="V700" s="130"/>
      <c r="W700" s="130" t="s">
        <v>193</v>
      </c>
      <c r="X700" s="130" t="s">
        <v>195</v>
      </c>
      <c r="Y700" s="130" t="s">
        <v>195</v>
      </c>
      <c r="Z700" s="131" t="b">
        <v>1</v>
      </c>
      <c r="AA700" s="131">
        <v>0.011111111111111112</v>
      </c>
      <c r="AB700" s="130"/>
      <c r="AC700" s="130"/>
      <c r="AD700" s="129" t="s">
        <v>241</v>
      </c>
      <c r="AE700" s="129"/>
      <c r="AF700" s="132"/>
      <c r="AG700" s="133" t="b">
        <v>0</v>
      </c>
      <c r="AH700" s="133"/>
      <c r="AI700" s="133"/>
      <c r="AJ700" s="133"/>
      <c r="AK700" s="133"/>
      <c r="AL700" s="129"/>
      <c r="AM700" s="129" t="str">
        <f>IFERROR(__xludf.DUMMYFUNCTION("""COMPUTED_VALUE"""),"Beach")</f>
        <v>Beach</v>
      </c>
      <c r="AN700" s="139"/>
    </row>
    <row r="701">
      <c r="A701" s="140" t="s">
        <v>1815</v>
      </c>
      <c r="B701" s="119">
        <v>78.0</v>
      </c>
      <c r="C701" s="133" t="s">
        <v>75</v>
      </c>
      <c r="D701" s="142"/>
      <c r="E701" s="122"/>
      <c r="F701" s="136"/>
      <c r="G701" s="124">
        <v>689.0</v>
      </c>
      <c r="H701" s="125">
        <v>241.0</v>
      </c>
      <c r="I701" s="125">
        <v>250.0</v>
      </c>
      <c r="J701" s="125">
        <v>117.0</v>
      </c>
      <c r="K701" s="125">
        <v>44.0</v>
      </c>
      <c r="L701" s="125">
        <v>37.0</v>
      </c>
      <c r="M701" s="126">
        <v>78.0</v>
      </c>
      <c r="N701" s="127">
        <v>86.0</v>
      </c>
      <c r="O701" s="146"/>
      <c r="P701" s="127">
        <v>70.0</v>
      </c>
      <c r="Q701" s="122" t="b">
        <v>0</v>
      </c>
      <c r="R701" s="128"/>
      <c r="S701" s="128"/>
      <c r="T701" s="128"/>
      <c r="U701" s="128"/>
      <c r="V701" s="129"/>
      <c r="W701" s="130" t="s">
        <v>1119</v>
      </c>
      <c r="X701" s="130" t="s">
        <v>1783</v>
      </c>
      <c r="Y701" s="130" t="s">
        <v>1784</v>
      </c>
      <c r="Z701" s="145" t="b">
        <v>0</v>
      </c>
      <c r="AA701" s="145"/>
      <c r="AB701" s="129"/>
      <c r="AC701" s="129"/>
      <c r="AD701" s="129"/>
      <c r="AE701" s="129"/>
      <c r="AF701" s="132"/>
      <c r="AG701" s="143" t="b">
        <v>0</v>
      </c>
      <c r="AH701" s="143"/>
      <c r="AI701" s="143"/>
      <c r="AJ701" s="143"/>
      <c r="AK701" s="143"/>
      <c r="AL701" s="129"/>
      <c r="AM701" s="129"/>
      <c r="AN701" s="139"/>
    </row>
    <row r="702">
      <c r="A702" s="118" t="s">
        <v>1816</v>
      </c>
      <c r="B702" s="119">
        <v>78.0</v>
      </c>
      <c r="C702" s="134" t="s">
        <v>75</v>
      </c>
      <c r="D702" s="121"/>
      <c r="E702" s="135"/>
      <c r="F702" s="136"/>
      <c r="G702" s="124">
        <v>2145.0</v>
      </c>
      <c r="H702" s="125">
        <v>1356.0</v>
      </c>
      <c r="I702" s="125">
        <v>389.0</v>
      </c>
      <c r="J702" s="125">
        <v>187.0</v>
      </c>
      <c r="K702" s="125">
        <v>92.0</v>
      </c>
      <c r="L702" s="125">
        <v>123.0</v>
      </c>
      <c r="M702" s="126">
        <v>86.0</v>
      </c>
      <c r="N702" s="127">
        <v>78.0</v>
      </c>
      <c r="O702" s="146"/>
      <c r="P702" s="127">
        <v>70.0</v>
      </c>
      <c r="Q702" s="122" t="b">
        <v>0</v>
      </c>
      <c r="R702" s="133"/>
      <c r="S702" s="143"/>
      <c r="T702" s="133"/>
      <c r="U702" s="133"/>
      <c r="V702" s="129"/>
      <c r="W702" s="130" t="s">
        <v>84</v>
      </c>
      <c r="X702" s="130" t="s">
        <v>1309</v>
      </c>
      <c r="Y702" s="130" t="s">
        <v>120</v>
      </c>
      <c r="Z702" s="131" t="b">
        <v>1</v>
      </c>
      <c r="AA702" s="131">
        <v>0.02361111111111111</v>
      </c>
      <c r="AB702" s="129"/>
      <c r="AC702" s="129"/>
      <c r="AD702" s="130" t="s">
        <v>241</v>
      </c>
      <c r="AE702" s="129"/>
      <c r="AF702" s="132"/>
      <c r="AG702" s="143" t="b">
        <v>1</v>
      </c>
      <c r="AH702" s="143"/>
      <c r="AI702" s="143"/>
      <c r="AJ702" s="143"/>
      <c r="AK702" s="143"/>
      <c r="AL702" s="129"/>
      <c r="AM702" s="129" t="str">
        <f>IFERROR(__xludf.DUMMYFUNCTION("""COMPUTED_VALUE"""),"Beach")</f>
        <v>Beach</v>
      </c>
      <c r="AN702" s="139"/>
    </row>
    <row r="703">
      <c r="A703" s="118" t="s">
        <v>1817</v>
      </c>
      <c r="B703" s="119">
        <v>78.0</v>
      </c>
      <c r="C703" s="134" t="s">
        <v>75</v>
      </c>
      <c r="D703" s="142"/>
      <c r="E703" s="135"/>
      <c r="F703" s="136"/>
      <c r="G703" s="124">
        <v>1756.0</v>
      </c>
      <c r="H703" s="125">
        <v>950.0</v>
      </c>
      <c r="I703" s="125">
        <v>391.0</v>
      </c>
      <c r="J703" s="125">
        <v>175.0</v>
      </c>
      <c r="K703" s="125">
        <v>108.0</v>
      </c>
      <c r="L703" s="125">
        <v>131.0</v>
      </c>
      <c r="M703" s="126">
        <v>82.0</v>
      </c>
      <c r="N703" s="138">
        <v>74.0</v>
      </c>
      <c r="O703" s="146"/>
      <c r="P703" s="146"/>
      <c r="Q703" s="126" t="b">
        <v>0</v>
      </c>
      <c r="R703" s="128"/>
      <c r="S703" s="128"/>
      <c r="T703" s="128"/>
      <c r="U703" s="128"/>
      <c r="V703" s="129"/>
      <c r="W703" s="130" t="s">
        <v>276</v>
      </c>
      <c r="X703" s="130" t="s">
        <v>393</v>
      </c>
      <c r="Y703" s="130" t="s">
        <v>393</v>
      </c>
      <c r="Z703" s="133" t="b">
        <v>1</v>
      </c>
      <c r="AA703" s="145"/>
      <c r="AB703" s="129"/>
      <c r="AC703" s="129"/>
      <c r="AD703" s="129" t="s">
        <v>1532</v>
      </c>
      <c r="AE703" s="129"/>
      <c r="AF703" s="132"/>
      <c r="AG703" s="128" t="b">
        <v>0</v>
      </c>
      <c r="AH703" s="128"/>
      <c r="AI703" s="128"/>
      <c r="AJ703" s="128"/>
      <c r="AK703" s="128"/>
      <c r="AL703" s="129"/>
      <c r="AM703" s="129" t="str">
        <f>IFERROR(__xludf.DUMMYFUNCTION("""COMPUTED_VALUE"""),"Great Beach")</f>
        <v>Great Beach</v>
      </c>
      <c r="AN703" s="139"/>
    </row>
    <row r="704">
      <c r="A704" s="140" t="s">
        <v>1818</v>
      </c>
      <c r="B704" s="119">
        <v>78.0</v>
      </c>
      <c r="C704" s="133" t="s">
        <v>75</v>
      </c>
      <c r="D704" s="142"/>
      <c r="E704" s="122"/>
      <c r="F704" s="136"/>
      <c r="G704" s="124">
        <v>4497.0</v>
      </c>
      <c r="H704" s="125">
        <v>2175.0</v>
      </c>
      <c r="I704" s="125">
        <v>1155.0</v>
      </c>
      <c r="J704" s="125">
        <v>543.0</v>
      </c>
      <c r="K704" s="125">
        <v>334.0</v>
      </c>
      <c r="L704" s="125">
        <v>291.0</v>
      </c>
      <c r="M704" s="126">
        <v>80.0</v>
      </c>
      <c r="N704" s="127">
        <v>76.0</v>
      </c>
      <c r="O704" s="146"/>
      <c r="P704" s="146"/>
      <c r="Q704" s="126" t="b">
        <v>0</v>
      </c>
      <c r="R704" s="128"/>
      <c r="S704" s="128"/>
      <c r="T704" s="128"/>
      <c r="U704" s="128"/>
      <c r="V704" s="130" t="s">
        <v>479</v>
      </c>
      <c r="W704" s="144" t="s">
        <v>276</v>
      </c>
      <c r="X704" s="144" t="s">
        <v>576</v>
      </c>
      <c r="Y704" s="144" t="s">
        <v>327</v>
      </c>
      <c r="Z704" s="133" t="b">
        <v>1</v>
      </c>
      <c r="AA704" s="145"/>
      <c r="AB704" s="129"/>
      <c r="AC704" s="129"/>
      <c r="AD704" s="129"/>
      <c r="AE704" s="129"/>
      <c r="AF704" s="132"/>
      <c r="AG704" s="128" t="b">
        <v>0</v>
      </c>
      <c r="AH704" s="128"/>
      <c r="AI704" s="128"/>
      <c r="AJ704" s="128"/>
      <c r="AK704" s="128"/>
      <c r="AL704" s="129"/>
      <c r="AM704" s="129"/>
      <c r="AN704" s="139"/>
    </row>
    <row r="705">
      <c r="A705" s="118" t="s">
        <v>1819</v>
      </c>
      <c r="B705" s="119">
        <v>78.0</v>
      </c>
      <c r="C705" s="134" t="s">
        <v>75</v>
      </c>
      <c r="D705" s="121"/>
      <c r="E705" s="135"/>
      <c r="F705" s="136"/>
      <c r="G705" s="124">
        <v>1307.0</v>
      </c>
      <c r="H705" s="125">
        <v>819.0</v>
      </c>
      <c r="I705" s="125">
        <v>198.0</v>
      </c>
      <c r="J705" s="125">
        <v>119.0</v>
      </c>
      <c r="K705" s="125">
        <v>78.0</v>
      </c>
      <c r="L705" s="125">
        <v>98.0</v>
      </c>
      <c r="M705" s="126">
        <v>84.0</v>
      </c>
      <c r="N705" s="127">
        <v>76.0</v>
      </c>
      <c r="O705" s="146"/>
      <c r="P705" s="127">
        <v>74.0</v>
      </c>
      <c r="Q705" s="122" t="b">
        <v>0</v>
      </c>
      <c r="R705" s="133"/>
      <c r="S705" s="133">
        <v>6.0</v>
      </c>
      <c r="T705" s="133" t="s">
        <v>1613</v>
      </c>
      <c r="U705" s="133">
        <v>5.0</v>
      </c>
      <c r="V705" s="129"/>
      <c r="W705" s="130" t="s">
        <v>193</v>
      </c>
      <c r="X705" s="130" t="s">
        <v>195</v>
      </c>
      <c r="Y705" s="130" t="s">
        <v>195</v>
      </c>
      <c r="Z705" s="131" t="b">
        <v>1</v>
      </c>
      <c r="AA705" s="131">
        <v>0.0125</v>
      </c>
      <c r="AB705" s="129"/>
      <c r="AC705" s="129"/>
      <c r="AD705" s="130" t="s">
        <v>1820</v>
      </c>
      <c r="AE705" s="130"/>
      <c r="AF705" s="132"/>
      <c r="AG705" s="133" t="b">
        <v>0</v>
      </c>
      <c r="AH705" s="133">
        <v>1059.0</v>
      </c>
      <c r="AI705" s="133">
        <v>1999.0</v>
      </c>
      <c r="AJ705" s="133">
        <v>2023.0</v>
      </c>
      <c r="AK705" s="133">
        <v>3.0</v>
      </c>
      <c r="AL705" s="129"/>
      <c r="AM705" s="129" t="str">
        <f>IFERROR(__xludf.DUMMYFUNCTION("""COMPUTED_VALUE"""),"Beach, Kids Club, Teen Club")</f>
        <v>Beach, Kids Club, Teen Club</v>
      </c>
      <c r="AN705" s="139"/>
    </row>
    <row r="706">
      <c r="A706" s="140" t="s">
        <v>1821</v>
      </c>
      <c r="B706" s="119">
        <v>77.7</v>
      </c>
      <c r="C706" s="141" t="s">
        <v>68</v>
      </c>
      <c r="D706" s="142">
        <v>5250.0</v>
      </c>
      <c r="E706" s="122">
        <f>IFERROR(__xludf.DUMMYFUNCTION("""COMPUTED_VALUE"""),7250.511974999999)</f>
        <v>7250.511975</v>
      </c>
      <c r="F706" s="136">
        <v>-0.44</v>
      </c>
      <c r="G706" s="124">
        <v>410.0</v>
      </c>
      <c r="H706" s="125">
        <v>254.0</v>
      </c>
      <c r="I706" s="125">
        <v>43.0</v>
      </c>
      <c r="J706" s="125">
        <v>36.0</v>
      </c>
      <c r="K706" s="125">
        <v>37.0</v>
      </c>
      <c r="L706" s="125">
        <v>40.0</v>
      </c>
      <c r="M706" s="126">
        <v>81.0</v>
      </c>
      <c r="N706" s="138">
        <v>80.0</v>
      </c>
      <c r="O706" s="127"/>
      <c r="P706" s="138">
        <v>72.0</v>
      </c>
      <c r="Q706" s="126" t="b">
        <v>0</v>
      </c>
      <c r="R706" s="128"/>
      <c r="S706" s="128"/>
      <c r="T706" s="128"/>
      <c r="U706" s="128"/>
      <c r="V706" s="130"/>
      <c r="W706" s="130" t="s">
        <v>113</v>
      </c>
      <c r="X706" s="130" t="s">
        <v>1822</v>
      </c>
      <c r="Y706" s="130" t="s">
        <v>114</v>
      </c>
      <c r="Z706" s="131" t="b">
        <v>1</v>
      </c>
      <c r="AA706" s="131">
        <v>0.016666666666666666</v>
      </c>
      <c r="AB706" s="130" t="s">
        <v>451</v>
      </c>
      <c r="AC706" s="130"/>
      <c r="AD706" s="130" t="s">
        <v>1524</v>
      </c>
      <c r="AE706" s="129"/>
      <c r="AF706" s="132"/>
      <c r="AG706" s="133" t="b">
        <v>0</v>
      </c>
      <c r="AH706" s="133">
        <v>235.0</v>
      </c>
      <c r="AI706" s="133">
        <v>1972.0</v>
      </c>
      <c r="AJ706" s="133">
        <v>2023.0</v>
      </c>
      <c r="AK706" s="133">
        <v>3.0</v>
      </c>
      <c r="AL706" s="129"/>
      <c r="AM706" s="129" t="str">
        <f>IFERROR(__xludf.DUMMYFUNCTION("""COMPUTED_VALUE"""),"Great for Parties")</f>
        <v>Great for Parties</v>
      </c>
      <c r="AN706" s="128"/>
    </row>
    <row r="707">
      <c r="A707" s="118" t="s">
        <v>1823</v>
      </c>
      <c r="B707" s="119">
        <v>77.7</v>
      </c>
      <c r="C707" s="120" t="s">
        <v>68</v>
      </c>
      <c r="D707" s="121"/>
      <c r="E707" s="122"/>
      <c r="F707" s="136"/>
      <c r="G707" s="124">
        <v>415.0</v>
      </c>
      <c r="H707" s="125">
        <v>180.0</v>
      </c>
      <c r="I707" s="125">
        <v>74.0</v>
      </c>
      <c r="J707" s="125">
        <v>56.0</v>
      </c>
      <c r="K707" s="125">
        <v>55.0</v>
      </c>
      <c r="L707" s="125">
        <v>51.0</v>
      </c>
      <c r="M707" s="126">
        <v>73.0</v>
      </c>
      <c r="N707" s="127">
        <v>78.0</v>
      </c>
      <c r="O707" s="127" t="s">
        <v>491</v>
      </c>
      <c r="P707" s="138">
        <v>82.0</v>
      </c>
      <c r="Q707" s="126" t="b">
        <v>0</v>
      </c>
      <c r="R707" s="133">
        <v>4.0</v>
      </c>
      <c r="S707" s="143"/>
      <c r="T707" s="133" t="s">
        <v>492</v>
      </c>
      <c r="U707" s="133">
        <v>4.0</v>
      </c>
      <c r="V707" s="129"/>
      <c r="W707" s="130" t="s">
        <v>341</v>
      </c>
      <c r="X707" s="130" t="s">
        <v>342</v>
      </c>
      <c r="Y707" s="130" t="s">
        <v>343</v>
      </c>
      <c r="Z707" s="131" t="b">
        <v>1</v>
      </c>
      <c r="AA707" s="131">
        <v>0.009027777777777777</v>
      </c>
      <c r="AB707" s="129"/>
      <c r="AC707" s="129"/>
      <c r="AD707" s="129"/>
      <c r="AE707" s="129"/>
      <c r="AF707" s="132"/>
      <c r="AG707" s="128" t="b">
        <v>0</v>
      </c>
      <c r="AH707" s="128"/>
      <c r="AI707" s="128"/>
      <c r="AJ707" s="128"/>
      <c r="AK707" s="128"/>
      <c r="AL707" s="129"/>
      <c r="AM707" s="129"/>
      <c r="AN707" s="128"/>
    </row>
    <row r="708" hidden="1">
      <c r="A708" s="118" t="s">
        <v>1814</v>
      </c>
      <c r="B708" s="119">
        <v>78.0</v>
      </c>
      <c r="C708" s="120" t="s">
        <v>68</v>
      </c>
      <c r="D708" s="121"/>
      <c r="E708" s="122"/>
      <c r="F708" s="136"/>
      <c r="G708" s="124"/>
      <c r="H708" s="133"/>
      <c r="I708" s="133"/>
      <c r="J708" s="133"/>
      <c r="K708" s="133"/>
      <c r="L708" s="133"/>
      <c r="M708" s="137"/>
      <c r="N708" s="138">
        <v>84.0</v>
      </c>
      <c r="O708" s="138"/>
      <c r="P708" s="138">
        <v>72.0</v>
      </c>
      <c r="Q708" s="126" t="b">
        <v>0</v>
      </c>
      <c r="R708" s="159"/>
      <c r="S708" s="159"/>
      <c r="T708" s="159"/>
      <c r="U708" s="159"/>
      <c r="V708" s="130" t="s">
        <v>118</v>
      </c>
      <c r="W708" s="130" t="s">
        <v>193</v>
      </c>
      <c r="X708" s="130" t="s">
        <v>195</v>
      </c>
      <c r="Y708" s="130" t="s">
        <v>195</v>
      </c>
      <c r="Z708" s="131" t="b">
        <v>1</v>
      </c>
      <c r="AA708" s="131">
        <v>0.011111111111111112</v>
      </c>
      <c r="AB708" s="130"/>
      <c r="AC708" s="130"/>
      <c r="AD708" s="130" t="s">
        <v>241</v>
      </c>
      <c r="AE708" s="129"/>
      <c r="AF708" s="132"/>
      <c r="AG708" s="133" t="b">
        <v>0</v>
      </c>
      <c r="AH708" s="133"/>
      <c r="AI708" s="133"/>
      <c r="AJ708" s="133"/>
      <c r="AK708" s="133"/>
      <c r="AL708" s="129"/>
      <c r="AM708" s="129" t="str">
        <f>IFERROR(__xludf.DUMMYFUNCTION("""COMPUTED_VALUE"""),"Beach")</f>
        <v>Beach</v>
      </c>
      <c r="AN708" s="128"/>
    </row>
    <row r="709">
      <c r="A709" s="118" t="s">
        <v>1824</v>
      </c>
      <c r="B709" s="119">
        <v>77.3</v>
      </c>
      <c r="C709" s="120" t="s">
        <v>68</v>
      </c>
      <c r="D709" s="142"/>
      <c r="E709" s="122"/>
      <c r="F709" s="136"/>
      <c r="G709" s="124">
        <v>10047.0</v>
      </c>
      <c r="H709" s="125">
        <v>4541.0</v>
      </c>
      <c r="I709" s="125">
        <v>2928.0</v>
      </c>
      <c r="J709" s="125">
        <v>1344.0</v>
      </c>
      <c r="K709" s="125">
        <v>635.0</v>
      </c>
      <c r="L709" s="125">
        <v>599.0</v>
      </c>
      <c r="M709" s="126">
        <v>80.0</v>
      </c>
      <c r="N709" s="127">
        <v>80.0</v>
      </c>
      <c r="O709" s="127"/>
      <c r="P709" s="127">
        <v>72.0</v>
      </c>
      <c r="Q709" s="126" t="b">
        <v>0</v>
      </c>
      <c r="R709" s="128"/>
      <c r="S709" s="128"/>
      <c r="T709" s="128"/>
      <c r="U709" s="128"/>
      <c r="V709" s="129"/>
      <c r="W709" s="130" t="s">
        <v>84</v>
      </c>
      <c r="X709" s="130" t="s">
        <v>86</v>
      </c>
      <c r="Y709" s="130" t="s">
        <v>86</v>
      </c>
      <c r="Z709" s="133" t="b">
        <v>1</v>
      </c>
      <c r="AA709" s="145"/>
      <c r="AB709" s="129"/>
      <c r="AC709" s="130"/>
      <c r="AD709" s="144"/>
      <c r="AE709" s="129"/>
      <c r="AF709" s="132"/>
      <c r="AG709" s="143" t="b">
        <v>0</v>
      </c>
      <c r="AH709" s="143"/>
      <c r="AI709" s="143"/>
      <c r="AJ709" s="143"/>
      <c r="AK709" s="143"/>
      <c r="AL709" s="129"/>
      <c r="AM709" s="129"/>
      <c r="AN709" s="128"/>
    </row>
    <row r="710">
      <c r="A710" s="118" t="s">
        <v>1825</v>
      </c>
      <c r="B710" s="119">
        <v>77.3</v>
      </c>
      <c r="C710" s="134" t="s">
        <v>75</v>
      </c>
      <c r="D710" s="121"/>
      <c r="E710" s="135"/>
      <c r="F710" s="136"/>
      <c r="G710" s="124">
        <v>4020.0</v>
      </c>
      <c r="H710" s="125">
        <v>2280.0</v>
      </c>
      <c r="I710" s="125">
        <v>677.0</v>
      </c>
      <c r="J710" s="125">
        <v>493.0</v>
      </c>
      <c r="K710" s="125">
        <v>281.0</v>
      </c>
      <c r="L710" s="125">
        <v>290.0</v>
      </c>
      <c r="M710" s="126">
        <v>82.0</v>
      </c>
      <c r="N710" s="127">
        <v>78.0</v>
      </c>
      <c r="O710" s="146"/>
      <c r="P710" s="127">
        <v>72.0</v>
      </c>
      <c r="Q710" s="122" t="b">
        <v>0</v>
      </c>
      <c r="R710" s="133"/>
      <c r="S710" s="143"/>
      <c r="T710" s="133"/>
      <c r="U710" s="133"/>
      <c r="V710" s="129"/>
      <c r="W710" s="130" t="s">
        <v>84</v>
      </c>
      <c r="X710" s="130" t="s">
        <v>665</v>
      </c>
      <c r="Y710" s="144" t="s">
        <v>666</v>
      </c>
      <c r="Z710" s="131" t="b">
        <v>1</v>
      </c>
      <c r="AA710" s="131">
        <v>0.015277777777777777</v>
      </c>
      <c r="AB710" s="129"/>
      <c r="AC710" s="129"/>
      <c r="AD710" s="130" t="s">
        <v>241</v>
      </c>
      <c r="AE710" s="129"/>
      <c r="AF710" s="132"/>
      <c r="AG710" s="143" t="b">
        <v>1</v>
      </c>
      <c r="AH710" s="143"/>
      <c r="AI710" s="143"/>
      <c r="AJ710" s="143"/>
      <c r="AK710" s="143"/>
      <c r="AL710" s="129"/>
      <c r="AM710" s="129" t="str">
        <f>IFERROR(__xludf.DUMMYFUNCTION("""COMPUTED_VALUE"""),"Beach")</f>
        <v>Beach</v>
      </c>
      <c r="AN710" s="139"/>
    </row>
    <row r="711">
      <c r="A711" s="118" t="s">
        <v>1826</v>
      </c>
      <c r="B711" s="119">
        <v>77.3</v>
      </c>
      <c r="C711" s="134" t="s">
        <v>75</v>
      </c>
      <c r="D711" s="142"/>
      <c r="E711" s="135"/>
      <c r="F711" s="136"/>
      <c r="G711" s="124">
        <v>4523.0</v>
      </c>
      <c r="H711" s="125">
        <v>1614.0</v>
      </c>
      <c r="I711" s="125">
        <v>1202.0</v>
      </c>
      <c r="J711" s="125">
        <v>680.0</v>
      </c>
      <c r="K711" s="125">
        <v>409.0</v>
      </c>
      <c r="L711" s="125">
        <v>623.0</v>
      </c>
      <c r="M711" s="126">
        <v>72.0</v>
      </c>
      <c r="N711" s="127">
        <v>84.0</v>
      </c>
      <c r="O711" s="146"/>
      <c r="P711" s="127">
        <v>76.0</v>
      </c>
      <c r="Q711" s="122" t="b">
        <v>0</v>
      </c>
      <c r="R711" s="133"/>
      <c r="S711" s="143"/>
      <c r="T711" s="133"/>
      <c r="U711" s="133"/>
      <c r="V711" s="129"/>
      <c r="W711" s="130" t="s">
        <v>193</v>
      </c>
      <c r="X711" s="130" t="s">
        <v>195</v>
      </c>
      <c r="Y711" s="130" t="s">
        <v>195</v>
      </c>
      <c r="Z711" s="131" t="b">
        <v>1</v>
      </c>
      <c r="AA711" s="131">
        <v>0.019444444444444445</v>
      </c>
      <c r="AB711" s="130" t="s">
        <v>655</v>
      </c>
      <c r="AC711" s="129"/>
      <c r="AD711" s="129" t="s">
        <v>241</v>
      </c>
      <c r="AE711" s="129"/>
      <c r="AF711" s="132"/>
      <c r="AG711" s="143" t="b">
        <v>0</v>
      </c>
      <c r="AH711" s="143"/>
      <c r="AI711" s="143"/>
      <c r="AJ711" s="143"/>
      <c r="AK711" s="143"/>
      <c r="AL711" s="129"/>
      <c r="AM711" s="129" t="str">
        <f>IFERROR(__xludf.DUMMYFUNCTION("""COMPUTED_VALUE"""),"Beach")</f>
        <v>Beach</v>
      </c>
      <c r="AN711" s="139"/>
    </row>
    <row r="712">
      <c r="A712" s="118" t="s">
        <v>1827</v>
      </c>
      <c r="B712" s="119">
        <v>77.3</v>
      </c>
      <c r="C712" s="134" t="s">
        <v>75</v>
      </c>
      <c r="D712" s="142"/>
      <c r="E712" s="135"/>
      <c r="F712" s="136"/>
      <c r="G712" s="124">
        <v>229.0</v>
      </c>
      <c r="H712" s="125">
        <v>71.0</v>
      </c>
      <c r="I712" s="125">
        <v>67.0</v>
      </c>
      <c r="J712" s="125">
        <v>48.0</v>
      </c>
      <c r="K712" s="125">
        <v>18.0</v>
      </c>
      <c r="L712" s="125">
        <v>26.0</v>
      </c>
      <c r="M712" s="126">
        <v>72.0</v>
      </c>
      <c r="N712" s="127">
        <v>86.0</v>
      </c>
      <c r="O712" s="146"/>
      <c r="P712" s="127">
        <v>74.0</v>
      </c>
      <c r="Q712" s="122" t="b">
        <v>0</v>
      </c>
      <c r="R712" s="128"/>
      <c r="S712" s="128"/>
      <c r="T712" s="128"/>
      <c r="U712" s="128"/>
      <c r="V712" s="129"/>
      <c r="W712" s="130" t="s">
        <v>155</v>
      </c>
      <c r="X712" s="130" t="s">
        <v>1828</v>
      </c>
      <c r="Y712" s="130" t="s">
        <v>1829</v>
      </c>
      <c r="Z712" s="145" t="b">
        <v>0</v>
      </c>
      <c r="AA712" s="145"/>
      <c r="AB712" s="129"/>
      <c r="AC712" s="129"/>
      <c r="AD712" s="129"/>
      <c r="AE712" s="129"/>
      <c r="AF712" s="132"/>
      <c r="AG712" s="128" t="b">
        <v>0</v>
      </c>
      <c r="AH712" s="128"/>
      <c r="AI712" s="128"/>
      <c r="AJ712" s="128"/>
      <c r="AK712" s="128"/>
      <c r="AL712" s="129"/>
      <c r="AM712" s="129"/>
      <c r="AN712" s="139"/>
    </row>
    <row r="713">
      <c r="A713" s="118" t="s">
        <v>1830</v>
      </c>
      <c r="B713" s="119">
        <v>77.3</v>
      </c>
      <c r="C713" s="134" t="s">
        <v>75</v>
      </c>
      <c r="D713" s="121"/>
      <c r="E713" s="135"/>
      <c r="F713" s="136"/>
      <c r="G713" s="124">
        <v>8576.0</v>
      </c>
      <c r="H713" s="125">
        <v>4443.0</v>
      </c>
      <c r="I713" s="125">
        <v>2078.0</v>
      </c>
      <c r="J713" s="125">
        <v>1104.0</v>
      </c>
      <c r="K713" s="125">
        <v>491.0</v>
      </c>
      <c r="L713" s="125">
        <v>460.0</v>
      </c>
      <c r="M713" s="126">
        <v>82.0</v>
      </c>
      <c r="N713" s="127">
        <v>78.0</v>
      </c>
      <c r="O713" s="146"/>
      <c r="P713" s="127">
        <v>72.0</v>
      </c>
      <c r="Q713" s="122" t="b">
        <v>0</v>
      </c>
      <c r="R713" s="133"/>
      <c r="S713" s="143">
        <v>6.0</v>
      </c>
      <c r="T713" s="133"/>
      <c r="U713" s="133"/>
      <c r="V713" s="129"/>
      <c r="W713" s="130" t="s">
        <v>193</v>
      </c>
      <c r="X713" s="130" t="s">
        <v>1546</v>
      </c>
      <c r="Y713" s="130" t="s">
        <v>1070</v>
      </c>
      <c r="Z713" s="131" t="b">
        <v>1</v>
      </c>
      <c r="AA713" s="131">
        <v>0.015277777777777777</v>
      </c>
      <c r="AB713" s="129"/>
      <c r="AC713" s="129"/>
      <c r="AD713" s="144" t="s">
        <v>241</v>
      </c>
      <c r="AE713" s="144"/>
      <c r="AF713" s="132"/>
      <c r="AG713" s="143" t="b">
        <v>0</v>
      </c>
      <c r="AH713" s="143">
        <v>180.0</v>
      </c>
      <c r="AI713" s="143"/>
      <c r="AJ713" s="143"/>
      <c r="AK713" s="143"/>
      <c r="AL713" s="129"/>
      <c r="AM713" s="129" t="str">
        <f>IFERROR(__xludf.DUMMYFUNCTION("""COMPUTED_VALUE"""),"Beach")</f>
        <v>Beach</v>
      </c>
      <c r="AN713" s="139"/>
    </row>
    <row r="714">
      <c r="A714" s="118" t="s">
        <v>1831</v>
      </c>
      <c r="B714" s="119">
        <v>77.3</v>
      </c>
      <c r="C714" s="120" t="s">
        <v>68</v>
      </c>
      <c r="D714" s="142"/>
      <c r="E714" s="122"/>
      <c r="F714" s="136"/>
      <c r="G714" s="124">
        <v>3718.0</v>
      </c>
      <c r="H714" s="125">
        <v>2147.0</v>
      </c>
      <c r="I714" s="125">
        <v>563.0</v>
      </c>
      <c r="J714" s="125">
        <v>448.0</v>
      </c>
      <c r="K714" s="125">
        <v>307.0</v>
      </c>
      <c r="L714" s="125">
        <v>258.0</v>
      </c>
      <c r="M714" s="126">
        <v>82.0</v>
      </c>
      <c r="N714" s="127">
        <v>78.0</v>
      </c>
      <c r="O714" s="127"/>
      <c r="P714" s="127">
        <v>72.0</v>
      </c>
      <c r="Q714" s="126" t="b">
        <v>0</v>
      </c>
      <c r="R714" s="133"/>
      <c r="S714" s="143"/>
      <c r="T714" s="133"/>
      <c r="U714" s="133"/>
      <c r="V714" s="129"/>
      <c r="W714" s="130" t="s">
        <v>642</v>
      </c>
      <c r="X714" s="130" t="s">
        <v>1832</v>
      </c>
      <c r="Y714" s="130" t="s">
        <v>644</v>
      </c>
      <c r="Z714" s="133" t="b">
        <v>1</v>
      </c>
      <c r="AA714" s="131"/>
      <c r="AB714" s="130"/>
      <c r="AC714" s="130"/>
      <c r="AD714" s="144"/>
      <c r="AE714" s="129"/>
      <c r="AF714" s="132"/>
      <c r="AG714" s="143" t="b">
        <v>0</v>
      </c>
      <c r="AH714" s="143"/>
      <c r="AI714" s="143"/>
      <c r="AJ714" s="143"/>
      <c r="AK714" s="143"/>
      <c r="AL714" s="129"/>
      <c r="AM714" s="129"/>
      <c r="AN714" s="128"/>
    </row>
    <row r="715">
      <c r="A715" s="118" t="s">
        <v>1833</v>
      </c>
      <c r="B715" s="119">
        <v>77.3</v>
      </c>
      <c r="C715" s="134" t="s">
        <v>75</v>
      </c>
      <c r="D715" s="121"/>
      <c r="E715" s="135"/>
      <c r="F715" s="136"/>
      <c r="G715" s="124">
        <v>4443.0</v>
      </c>
      <c r="H715" s="125">
        <v>2848.0</v>
      </c>
      <c r="I715" s="125">
        <v>623.0</v>
      </c>
      <c r="J715" s="125">
        <v>321.0</v>
      </c>
      <c r="K715" s="125">
        <v>236.0</v>
      </c>
      <c r="L715" s="125">
        <v>416.0</v>
      </c>
      <c r="M715" s="126">
        <v>84.0</v>
      </c>
      <c r="N715" s="127">
        <v>78.0</v>
      </c>
      <c r="O715" s="146"/>
      <c r="P715" s="127">
        <v>70.0</v>
      </c>
      <c r="Q715" s="122" t="b">
        <v>0</v>
      </c>
      <c r="R715" s="133"/>
      <c r="S715" s="143"/>
      <c r="T715" s="133"/>
      <c r="U715" s="133"/>
      <c r="V715" s="129"/>
      <c r="W715" s="130" t="s">
        <v>84</v>
      </c>
      <c r="X715" s="130" t="s">
        <v>86</v>
      </c>
      <c r="Y715" s="147" t="s">
        <v>86</v>
      </c>
      <c r="Z715" s="131" t="b">
        <v>1</v>
      </c>
      <c r="AA715" s="131"/>
      <c r="AB715" s="129"/>
      <c r="AC715" s="129"/>
      <c r="AD715" s="129"/>
      <c r="AE715" s="129"/>
      <c r="AF715" s="132"/>
      <c r="AG715" s="143" t="b">
        <v>1</v>
      </c>
      <c r="AH715" s="143"/>
      <c r="AI715" s="143"/>
      <c r="AJ715" s="143"/>
      <c r="AK715" s="143"/>
      <c r="AL715" s="129"/>
      <c r="AM715" s="129"/>
      <c r="AN715" s="139"/>
    </row>
    <row r="716">
      <c r="A716" s="118" t="s">
        <v>1834</v>
      </c>
      <c r="B716" s="119">
        <v>77.3</v>
      </c>
      <c r="C716" s="134" t="s">
        <v>75</v>
      </c>
      <c r="D716" s="121"/>
      <c r="E716" s="135"/>
      <c r="F716" s="136"/>
      <c r="G716" s="124">
        <v>3276.0</v>
      </c>
      <c r="H716" s="125">
        <v>1910.0</v>
      </c>
      <c r="I716" s="125">
        <v>707.0</v>
      </c>
      <c r="J716" s="125">
        <v>287.0</v>
      </c>
      <c r="K716" s="125">
        <v>169.0</v>
      </c>
      <c r="L716" s="125">
        <v>206.0</v>
      </c>
      <c r="M716" s="126">
        <v>84.0</v>
      </c>
      <c r="N716" s="127">
        <v>80.0</v>
      </c>
      <c r="O716" s="146"/>
      <c r="P716" s="127">
        <v>68.0</v>
      </c>
      <c r="Q716" s="122" t="b">
        <v>0</v>
      </c>
      <c r="R716" s="133"/>
      <c r="S716" s="143"/>
      <c r="T716" s="133"/>
      <c r="U716" s="133"/>
      <c r="V716" s="129"/>
      <c r="W716" s="130" t="s">
        <v>84</v>
      </c>
      <c r="X716" s="130" t="s">
        <v>119</v>
      </c>
      <c r="Y716" s="130" t="s">
        <v>120</v>
      </c>
      <c r="Z716" s="131" t="b">
        <v>1</v>
      </c>
      <c r="AA716" s="131">
        <v>0.006944444444444444</v>
      </c>
      <c r="AB716" s="129"/>
      <c r="AC716" s="129"/>
      <c r="AD716" s="129"/>
      <c r="AE716" s="129"/>
      <c r="AF716" s="132"/>
      <c r="AG716" s="143" t="b">
        <v>0</v>
      </c>
      <c r="AH716" s="143"/>
      <c r="AI716" s="143"/>
      <c r="AJ716" s="143"/>
      <c r="AK716" s="143"/>
      <c r="AL716" s="129"/>
      <c r="AM716" s="129"/>
      <c r="AN716" s="139"/>
    </row>
    <row r="717">
      <c r="A717" s="140" t="s">
        <v>1835</v>
      </c>
      <c r="B717" s="119">
        <v>77.0</v>
      </c>
      <c r="C717" s="133" t="s">
        <v>75</v>
      </c>
      <c r="D717" s="142"/>
      <c r="E717" s="122"/>
      <c r="F717" s="136"/>
      <c r="G717" s="124">
        <v>1599.0</v>
      </c>
      <c r="H717" s="125">
        <v>398.0</v>
      </c>
      <c r="I717" s="125">
        <v>591.0</v>
      </c>
      <c r="J717" s="125">
        <v>358.0</v>
      </c>
      <c r="K717" s="125">
        <v>145.0</v>
      </c>
      <c r="L717" s="125">
        <v>108.0</v>
      </c>
      <c r="M717" s="126">
        <v>73.0</v>
      </c>
      <c r="N717" s="127">
        <v>86.0</v>
      </c>
      <c r="O717" s="146"/>
      <c r="P717" s="127">
        <v>72.0</v>
      </c>
      <c r="Q717" s="122" t="b">
        <v>0</v>
      </c>
      <c r="R717" s="128"/>
      <c r="S717" s="128"/>
      <c r="T717" s="128"/>
      <c r="U717" s="128"/>
      <c r="V717" s="129"/>
      <c r="W717" s="130" t="s">
        <v>1119</v>
      </c>
      <c r="X717" s="130" t="s">
        <v>1783</v>
      </c>
      <c r="Y717" s="130" t="s">
        <v>1784</v>
      </c>
      <c r="Z717" s="145" t="b">
        <v>0</v>
      </c>
      <c r="AA717" s="145"/>
      <c r="AB717" s="129"/>
      <c r="AC717" s="129"/>
      <c r="AD717" s="129"/>
      <c r="AE717" s="129"/>
      <c r="AF717" s="132"/>
      <c r="AG717" s="143" t="b">
        <v>0</v>
      </c>
      <c r="AH717" s="143"/>
      <c r="AI717" s="143"/>
      <c r="AJ717" s="143"/>
      <c r="AK717" s="143"/>
      <c r="AL717" s="129"/>
      <c r="AM717" s="129"/>
      <c r="AN717" s="139"/>
    </row>
    <row r="718">
      <c r="A718" s="118" t="s">
        <v>1836</v>
      </c>
      <c r="B718" s="119">
        <v>77.0</v>
      </c>
      <c r="C718" s="134" t="s">
        <v>75</v>
      </c>
      <c r="D718" s="142"/>
      <c r="E718" s="122"/>
      <c r="F718" s="136"/>
      <c r="G718" s="124">
        <v>5570.0</v>
      </c>
      <c r="H718" s="125">
        <v>1213.0</v>
      </c>
      <c r="I718" s="125">
        <v>2097.0</v>
      </c>
      <c r="J718" s="125">
        <v>1313.0</v>
      </c>
      <c r="K718" s="125">
        <v>532.0</v>
      </c>
      <c r="L718" s="125">
        <v>415.0</v>
      </c>
      <c r="M718" s="126">
        <v>71.0</v>
      </c>
      <c r="N718" s="127">
        <v>86.0</v>
      </c>
      <c r="O718" s="146"/>
      <c r="P718" s="127">
        <v>74.0</v>
      </c>
      <c r="Q718" s="122" t="b">
        <v>0</v>
      </c>
      <c r="R718" s="128"/>
      <c r="S718" s="128"/>
      <c r="T718" s="128"/>
      <c r="U718" s="128"/>
      <c r="V718" s="129"/>
      <c r="W718" s="130" t="s">
        <v>1687</v>
      </c>
      <c r="X718" s="130" t="s">
        <v>1837</v>
      </c>
      <c r="Y718" s="130" t="s">
        <v>1689</v>
      </c>
      <c r="Z718" s="145" t="b">
        <v>0</v>
      </c>
      <c r="AA718" s="145"/>
      <c r="AB718" s="129" t="s">
        <v>412</v>
      </c>
      <c r="AC718" s="129"/>
      <c r="AD718" s="129"/>
      <c r="AE718" s="129"/>
      <c r="AF718" s="132"/>
      <c r="AG718" s="143" t="b">
        <v>0</v>
      </c>
      <c r="AH718" s="143"/>
      <c r="AI718" s="143"/>
      <c r="AJ718" s="143"/>
      <c r="AK718" s="143"/>
      <c r="AL718" s="129"/>
      <c r="AM718" s="129"/>
      <c r="AN718" s="139"/>
    </row>
    <row r="719">
      <c r="A719" s="118" t="s">
        <v>1838</v>
      </c>
      <c r="B719" s="119">
        <v>77.0</v>
      </c>
      <c r="C719" s="134" t="s">
        <v>75</v>
      </c>
      <c r="D719" s="142"/>
      <c r="E719" s="135"/>
      <c r="F719" s="136"/>
      <c r="G719" s="124">
        <v>5800.0</v>
      </c>
      <c r="H719" s="125">
        <v>2518.0</v>
      </c>
      <c r="I719" s="125">
        <v>1941.0</v>
      </c>
      <c r="J719" s="125">
        <v>805.0</v>
      </c>
      <c r="K719" s="125">
        <v>321.0</v>
      </c>
      <c r="L719" s="125">
        <v>215.0</v>
      </c>
      <c r="M719" s="126">
        <v>81.0</v>
      </c>
      <c r="N719" s="127">
        <v>78.0</v>
      </c>
      <c r="O719" s="146"/>
      <c r="P719" s="138">
        <v>72.0</v>
      </c>
      <c r="Q719" s="126" t="b">
        <v>0</v>
      </c>
      <c r="R719" s="128"/>
      <c r="S719" s="128"/>
      <c r="T719" s="128"/>
      <c r="U719" s="128"/>
      <c r="V719" s="129"/>
      <c r="W719" s="130" t="s">
        <v>276</v>
      </c>
      <c r="X719" s="130" t="s">
        <v>327</v>
      </c>
      <c r="Y719" s="130" t="s">
        <v>327</v>
      </c>
      <c r="Z719" s="133" t="b">
        <v>1</v>
      </c>
      <c r="AA719" s="145"/>
      <c r="AB719" s="129"/>
      <c r="AC719" s="129"/>
      <c r="AD719" s="129"/>
      <c r="AE719" s="129"/>
      <c r="AF719" s="132"/>
      <c r="AG719" s="128" t="b">
        <v>0</v>
      </c>
      <c r="AH719" s="128"/>
      <c r="AI719" s="128"/>
      <c r="AJ719" s="128"/>
      <c r="AK719" s="128"/>
      <c r="AL719" s="129"/>
      <c r="AM719" s="129"/>
      <c r="AN719" s="139"/>
    </row>
    <row r="720">
      <c r="A720" s="118" t="s">
        <v>1839</v>
      </c>
      <c r="B720" s="119">
        <v>77.0</v>
      </c>
      <c r="C720" s="134" t="s">
        <v>75</v>
      </c>
      <c r="D720" s="142"/>
      <c r="E720" s="135"/>
      <c r="F720" s="136"/>
      <c r="G720" s="124">
        <v>768.0</v>
      </c>
      <c r="H720" s="125">
        <v>355.0</v>
      </c>
      <c r="I720" s="125">
        <v>183.0</v>
      </c>
      <c r="J720" s="125">
        <v>82.0</v>
      </c>
      <c r="K720" s="125">
        <v>65.0</v>
      </c>
      <c r="L720" s="125">
        <v>84.0</v>
      </c>
      <c r="M720" s="126">
        <v>77.0</v>
      </c>
      <c r="N720" s="127">
        <v>82.0</v>
      </c>
      <c r="O720" s="146"/>
      <c r="P720" s="127">
        <v>72.0</v>
      </c>
      <c r="Q720" s="122" t="b">
        <v>0</v>
      </c>
      <c r="R720" s="133"/>
      <c r="S720" s="143"/>
      <c r="T720" s="133"/>
      <c r="U720" s="133"/>
      <c r="V720" s="130"/>
      <c r="W720" s="130" t="s">
        <v>193</v>
      </c>
      <c r="X720" s="130" t="s">
        <v>1546</v>
      </c>
      <c r="Y720" s="130" t="s">
        <v>1070</v>
      </c>
      <c r="Z720" s="131" t="b">
        <v>1</v>
      </c>
      <c r="AA720" s="131">
        <v>0.03263888888888889</v>
      </c>
      <c r="AB720" s="130"/>
      <c r="AC720" s="130"/>
      <c r="AD720" s="129" t="s">
        <v>241</v>
      </c>
      <c r="AE720" s="129"/>
      <c r="AF720" s="132"/>
      <c r="AG720" s="143" t="b">
        <v>0</v>
      </c>
      <c r="AH720" s="143"/>
      <c r="AI720" s="143"/>
      <c r="AJ720" s="143"/>
      <c r="AK720" s="143"/>
      <c r="AL720" s="129"/>
      <c r="AM720" s="129" t="str">
        <f>IFERROR(__xludf.DUMMYFUNCTION("""COMPUTED_VALUE"""),"Beach")</f>
        <v>Beach</v>
      </c>
      <c r="AN720" s="139"/>
    </row>
    <row r="721">
      <c r="A721" s="118" t="s">
        <v>1840</v>
      </c>
      <c r="B721" s="119">
        <v>77.0</v>
      </c>
      <c r="C721" s="134" t="s">
        <v>75</v>
      </c>
      <c r="D721" s="142"/>
      <c r="E721" s="135"/>
      <c r="F721" s="136"/>
      <c r="G721" s="124">
        <v>6843.0</v>
      </c>
      <c r="H721" s="125">
        <v>3937.0</v>
      </c>
      <c r="I721" s="125">
        <v>1272.0</v>
      </c>
      <c r="J721" s="125">
        <v>790.0</v>
      </c>
      <c r="K721" s="125">
        <v>379.0</v>
      </c>
      <c r="L721" s="125">
        <v>470.0</v>
      </c>
      <c r="M721" s="126">
        <v>83.0</v>
      </c>
      <c r="N721" s="127">
        <v>78.0</v>
      </c>
      <c r="O721" s="146"/>
      <c r="P721" s="127">
        <v>70.0</v>
      </c>
      <c r="Q721" s="126" t="b">
        <v>0</v>
      </c>
      <c r="R721" s="128"/>
      <c r="S721" s="128"/>
      <c r="T721" s="128"/>
      <c r="U721" s="128"/>
      <c r="V721" s="129"/>
      <c r="W721" s="130" t="s">
        <v>84</v>
      </c>
      <c r="X721" s="130" t="s">
        <v>119</v>
      </c>
      <c r="Y721" s="130" t="s">
        <v>120</v>
      </c>
      <c r="Z721" s="133" t="b">
        <v>1</v>
      </c>
      <c r="AA721" s="145"/>
      <c r="AB721" s="129"/>
      <c r="AC721" s="129"/>
      <c r="AD721" s="129"/>
      <c r="AE721" s="129"/>
      <c r="AF721" s="132"/>
      <c r="AG721" s="128" t="b">
        <v>0</v>
      </c>
      <c r="AH721" s="128"/>
      <c r="AI721" s="128"/>
      <c r="AJ721" s="128"/>
      <c r="AK721" s="128"/>
      <c r="AL721" s="129"/>
      <c r="AM721" s="129"/>
      <c r="AN721" s="139"/>
    </row>
    <row r="722" hidden="1">
      <c r="A722" s="118" t="s">
        <v>1841</v>
      </c>
      <c r="B722" s="119">
        <v>80.0</v>
      </c>
      <c r="C722" s="134" t="s">
        <v>75</v>
      </c>
      <c r="D722" s="142"/>
      <c r="E722" s="135"/>
      <c r="F722" s="136"/>
      <c r="G722" s="124">
        <v>1066.0</v>
      </c>
      <c r="H722" s="133"/>
      <c r="I722" s="133"/>
      <c r="J722" s="133"/>
      <c r="K722" s="133"/>
      <c r="L722" s="133"/>
      <c r="M722" s="137"/>
      <c r="N722" s="138">
        <v>80.0</v>
      </c>
      <c r="O722" s="127"/>
      <c r="P722" s="127"/>
      <c r="Q722" s="135" t="b">
        <v>0</v>
      </c>
      <c r="R722" s="133"/>
      <c r="S722" s="143">
        <v>6.0</v>
      </c>
      <c r="T722" s="133"/>
      <c r="U722" s="133"/>
      <c r="V722" s="130" t="s">
        <v>990</v>
      </c>
      <c r="W722" s="130" t="s">
        <v>193</v>
      </c>
      <c r="X722" s="130" t="s">
        <v>1546</v>
      </c>
      <c r="Y722" s="130" t="s">
        <v>1070</v>
      </c>
      <c r="Z722" s="131" t="b">
        <v>1</v>
      </c>
      <c r="AA722" s="131">
        <v>0.027083333333333334</v>
      </c>
      <c r="AB722" s="130"/>
      <c r="AC722" s="130"/>
      <c r="AD722" s="129" t="s">
        <v>241</v>
      </c>
      <c r="AE722" s="129"/>
      <c r="AF722" s="132"/>
      <c r="AG722" s="143" t="b">
        <v>0</v>
      </c>
      <c r="AH722" s="143">
        <v>282.0</v>
      </c>
      <c r="AI722" s="143">
        <v>1996.0</v>
      </c>
      <c r="AJ722" s="143">
        <v>2017.0</v>
      </c>
      <c r="AK722" s="143">
        <v>3.0</v>
      </c>
      <c r="AL722" s="129"/>
      <c r="AM722" s="129" t="str">
        <f>IFERROR(__xludf.DUMMYFUNCTION("""COMPUTED_VALUE"""),"Beach")</f>
        <v>Beach</v>
      </c>
      <c r="AN722" s="139"/>
    </row>
    <row r="723">
      <c r="A723" s="140" t="s">
        <v>1842</v>
      </c>
      <c r="B723" s="119">
        <v>76.7</v>
      </c>
      <c r="C723" s="133" t="s">
        <v>75</v>
      </c>
      <c r="D723" s="142"/>
      <c r="E723" s="122"/>
      <c r="F723" s="136"/>
      <c r="G723" s="124">
        <v>386.0</v>
      </c>
      <c r="H723" s="125">
        <v>166.0</v>
      </c>
      <c r="I723" s="125">
        <v>108.0</v>
      </c>
      <c r="J723" s="125">
        <v>49.0</v>
      </c>
      <c r="K723" s="125">
        <v>28.0</v>
      </c>
      <c r="L723" s="125">
        <v>35.0</v>
      </c>
      <c r="M723" s="126">
        <v>78.0</v>
      </c>
      <c r="N723" s="138">
        <v>92.0</v>
      </c>
      <c r="O723" s="146"/>
      <c r="P723" s="127">
        <v>60.0</v>
      </c>
      <c r="Q723" s="122" t="b">
        <v>0</v>
      </c>
      <c r="R723" s="128"/>
      <c r="S723" s="128"/>
      <c r="T723" s="128"/>
      <c r="U723" s="128"/>
      <c r="V723" s="129"/>
      <c r="W723" s="130" t="s">
        <v>1119</v>
      </c>
      <c r="X723" s="130" t="s">
        <v>1621</v>
      </c>
      <c r="Y723" s="130" t="s">
        <v>1622</v>
      </c>
      <c r="Z723" s="145" t="b">
        <v>0</v>
      </c>
      <c r="AA723" s="145"/>
      <c r="AB723" s="129"/>
      <c r="AC723" s="129"/>
      <c r="AD723" s="129"/>
      <c r="AE723" s="129"/>
      <c r="AF723" s="132"/>
      <c r="AG723" s="143" t="b">
        <v>0</v>
      </c>
      <c r="AH723" s="143"/>
      <c r="AI723" s="143"/>
      <c r="AJ723" s="143"/>
      <c r="AK723" s="143"/>
      <c r="AL723" s="129"/>
      <c r="AM723" s="129"/>
      <c r="AN723" s="139"/>
    </row>
    <row r="724" hidden="1">
      <c r="A724" s="151" t="s">
        <v>1746</v>
      </c>
      <c r="B724" s="119">
        <v>75.0</v>
      </c>
      <c r="C724" s="133" t="s">
        <v>75</v>
      </c>
      <c r="D724" s="142"/>
      <c r="E724" s="122"/>
      <c r="F724" s="136"/>
      <c r="G724" s="124">
        <v>2023.0</v>
      </c>
      <c r="H724" s="133"/>
      <c r="I724" s="133"/>
      <c r="J724" s="133"/>
      <c r="K724" s="133"/>
      <c r="L724" s="133"/>
      <c r="M724" s="137"/>
      <c r="N724" s="138">
        <v>74.0</v>
      </c>
      <c r="O724" s="127"/>
      <c r="P724" s="138">
        <v>76.0</v>
      </c>
      <c r="Q724" s="137" t="b">
        <v>0</v>
      </c>
      <c r="R724" s="128"/>
      <c r="S724" s="128"/>
      <c r="T724" s="128"/>
      <c r="U724" s="128"/>
      <c r="V724" s="130" t="s">
        <v>118</v>
      </c>
      <c r="W724" s="129" t="s">
        <v>276</v>
      </c>
      <c r="X724" s="129"/>
      <c r="Y724" s="129"/>
      <c r="Z724" s="145" t="b">
        <v>0</v>
      </c>
      <c r="AA724" s="145"/>
      <c r="AB724" s="129"/>
      <c r="AC724" s="129"/>
      <c r="AD724" s="129"/>
      <c r="AE724" s="129"/>
      <c r="AF724" s="132"/>
      <c r="AG724" s="128" t="b">
        <v>0</v>
      </c>
      <c r="AH724" s="128"/>
      <c r="AI724" s="128"/>
      <c r="AJ724" s="128"/>
      <c r="AK724" s="128"/>
      <c r="AL724" s="129"/>
      <c r="AM724" s="129"/>
      <c r="AN724" s="139"/>
    </row>
    <row r="725">
      <c r="A725" s="118" t="s">
        <v>1843</v>
      </c>
      <c r="B725" s="119">
        <v>76.7</v>
      </c>
      <c r="C725" s="134" t="s">
        <v>75</v>
      </c>
      <c r="D725" s="121"/>
      <c r="E725" s="135"/>
      <c r="F725" s="136"/>
      <c r="G725" s="124">
        <v>4934.0</v>
      </c>
      <c r="H725" s="125">
        <v>2884.0</v>
      </c>
      <c r="I725" s="125">
        <v>955.0</v>
      </c>
      <c r="J725" s="125">
        <v>589.0</v>
      </c>
      <c r="K725" s="125">
        <v>237.0</v>
      </c>
      <c r="L725" s="125">
        <v>270.0</v>
      </c>
      <c r="M725" s="126">
        <v>84.0</v>
      </c>
      <c r="N725" s="127">
        <v>80.0</v>
      </c>
      <c r="O725" s="146"/>
      <c r="P725" s="127">
        <v>66.0</v>
      </c>
      <c r="Q725" s="122" t="b">
        <v>0</v>
      </c>
      <c r="R725" s="133"/>
      <c r="S725" s="143">
        <v>4.0</v>
      </c>
      <c r="T725" s="133"/>
      <c r="U725" s="133"/>
      <c r="V725" s="129"/>
      <c r="W725" s="130" t="s">
        <v>84</v>
      </c>
      <c r="X725" s="130" t="s">
        <v>665</v>
      </c>
      <c r="Y725" s="144" t="s">
        <v>666</v>
      </c>
      <c r="Z725" s="131" t="b">
        <v>1</v>
      </c>
      <c r="AA725" s="131">
        <v>0.014583333333333334</v>
      </c>
      <c r="AB725" s="129"/>
      <c r="AC725" s="129"/>
      <c r="AD725" s="130" t="s">
        <v>241</v>
      </c>
      <c r="AE725" s="129"/>
      <c r="AF725" s="132"/>
      <c r="AG725" s="143" t="b">
        <v>1</v>
      </c>
      <c r="AH725" s="143">
        <v>1000.0</v>
      </c>
      <c r="AI725" s="143">
        <v>2000.0</v>
      </c>
      <c r="AJ725" s="143">
        <v>2017.0</v>
      </c>
      <c r="AK725" s="143">
        <v>3.0</v>
      </c>
      <c r="AL725" s="129"/>
      <c r="AM725" s="129" t="str">
        <f>IFERROR(__xludf.DUMMYFUNCTION("""COMPUTED_VALUE"""),"Beach")</f>
        <v>Beach</v>
      </c>
      <c r="AN725" s="139"/>
    </row>
    <row r="726">
      <c r="A726" s="118" t="s">
        <v>1844</v>
      </c>
      <c r="B726" s="119">
        <v>76.7</v>
      </c>
      <c r="C726" s="120" t="s">
        <v>68</v>
      </c>
      <c r="D726" s="142"/>
      <c r="E726" s="122"/>
      <c r="F726" s="136"/>
      <c r="G726" s="124">
        <v>2542.0</v>
      </c>
      <c r="H726" s="125">
        <v>969.0</v>
      </c>
      <c r="I726" s="125">
        <v>698.0</v>
      </c>
      <c r="J726" s="125">
        <v>364.0</v>
      </c>
      <c r="K726" s="125">
        <v>237.0</v>
      </c>
      <c r="L726" s="125">
        <v>277.0</v>
      </c>
      <c r="M726" s="126">
        <v>74.0</v>
      </c>
      <c r="N726" s="138">
        <v>76.0</v>
      </c>
      <c r="O726" s="127"/>
      <c r="P726" s="127">
        <v>80.0</v>
      </c>
      <c r="Q726" s="126" t="b">
        <v>0</v>
      </c>
      <c r="R726" s="128"/>
      <c r="S726" s="128"/>
      <c r="T726" s="128"/>
      <c r="U726" s="128"/>
      <c r="V726" s="129"/>
      <c r="W726" s="130" t="s">
        <v>155</v>
      </c>
      <c r="X726" s="130" t="s">
        <v>1845</v>
      </c>
      <c r="Y726" s="130" t="s">
        <v>157</v>
      </c>
      <c r="Z726" s="133" t="b">
        <v>1</v>
      </c>
      <c r="AA726" s="145"/>
      <c r="AB726" s="130" t="s">
        <v>655</v>
      </c>
      <c r="AC726" s="129"/>
      <c r="AD726" s="130" t="s">
        <v>1524</v>
      </c>
      <c r="AE726" s="129"/>
      <c r="AF726" s="132"/>
      <c r="AG726" s="128" t="b">
        <v>0</v>
      </c>
      <c r="AH726" s="128"/>
      <c r="AI726" s="128"/>
      <c r="AJ726" s="128"/>
      <c r="AK726" s="128"/>
      <c r="AL726" s="129"/>
      <c r="AM726" s="129" t="str">
        <f>IFERROR(__xludf.DUMMYFUNCTION("""COMPUTED_VALUE"""),"Great for Parties")</f>
        <v>Great for Parties</v>
      </c>
      <c r="AN726" s="128"/>
    </row>
    <row r="727">
      <c r="A727" s="140" t="s">
        <v>1846</v>
      </c>
      <c r="B727" s="119">
        <v>76.3</v>
      </c>
      <c r="C727" s="133" t="s">
        <v>75</v>
      </c>
      <c r="D727" s="142"/>
      <c r="E727" s="122"/>
      <c r="F727" s="136"/>
      <c r="G727" s="124">
        <v>240.0</v>
      </c>
      <c r="H727" s="125">
        <v>94.0</v>
      </c>
      <c r="I727" s="125">
        <v>40.0</v>
      </c>
      <c r="J727" s="125">
        <v>34.0</v>
      </c>
      <c r="K727" s="125">
        <v>29.0</v>
      </c>
      <c r="L727" s="125">
        <v>43.0</v>
      </c>
      <c r="M727" s="126">
        <v>69.0</v>
      </c>
      <c r="N727" s="138">
        <v>80.0</v>
      </c>
      <c r="O727" s="146"/>
      <c r="P727" s="127">
        <v>80.0</v>
      </c>
      <c r="Q727" s="126" t="b">
        <v>0</v>
      </c>
      <c r="R727" s="128"/>
      <c r="S727" s="128"/>
      <c r="T727" s="128"/>
      <c r="U727" s="128"/>
      <c r="V727" s="129"/>
      <c r="W727" s="144" t="s">
        <v>642</v>
      </c>
      <c r="X727" s="144"/>
      <c r="Y727" s="144"/>
      <c r="Z727" s="145" t="b">
        <v>0</v>
      </c>
      <c r="AA727" s="145"/>
      <c r="AB727" s="129" t="s">
        <v>412</v>
      </c>
      <c r="AC727" s="129"/>
      <c r="AD727" s="129"/>
      <c r="AE727" s="129"/>
      <c r="AF727" s="132"/>
      <c r="AG727" s="143" t="b">
        <v>0</v>
      </c>
      <c r="AH727" s="143"/>
      <c r="AI727" s="143"/>
      <c r="AJ727" s="143"/>
      <c r="AK727" s="143"/>
      <c r="AL727" s="129"/>
      <c r="AM727" s="129"/>
      <c r="AN727" s="139"/>
    </row>
    <row r="728">
      <c r="A728" s="118" t="s">
        <v>1847</v>
      </c>
      <c r="B728" s="119">
        <v>76.3</v>
      </c>
      <c r="C728" s="134" t="s">
        <v>75</v>
      </c>
      <c r="D728" s="121"/>
      <c r="E728" s="135"/>
      <c r="F728" s="136"/>
      <c r="G728" s="124">
        <v>6598.0</v>
      </c>
      <c r="H728" s="125">
        <v>4127.0</v>
      </c>
      <c r="I728" s="125">
        <v>1240.0</v>
      </c>
      <c r="J728" s="125">
        <v>546.0</v>
      </c>
      <c r="K728" s="125">
        <v>279.0</v>
      </c>
      <c r="L728" s="125">
        <v>406.0</v>
      </c>
      <c r="M728" s="126">
        <v>85.0</v>
      </c>
      <c r="N728" s="127">
        <v>78.0</v>
      </c>
      <c r="O728" s="146"/>
      <c r="P728" s="127">
        <v>66.0</v>
      </c>
      <c r="Q728" s="135" t="b">
        <v>0</v>
      </c>
      <c r="R728" s="133"/>
      <c r="S728" s="143"/>
      <c r="T728" s="133"/>
      <c r="U728" s="133"/>
      <c r="V728" s="129"/>
      <c r="W728" s="130" t="s">
        <v>84</v>
      </c>
      <c r="X728" s="130" t="s">
        <v>86</v>
      </c>
      <c r="Y728" s="130" t="s">
        <v>86</v>
      </c>
      <c r="Z728" s="131" t="b">
        <v>1</v>
      </c>
      <c r="AA728" s="131">
        <v>0.021527777777777778</v>
      </c>
      <c r="AB728" s="129"/>
      <c r="AC728" s="129"/>
      <c r="AD728" s="129" t="s">
        <v>241</v>
      </c>
      <c r="AE728" s="129"/>
      <c r="AF728" s="132"/>
      <c r="AG728" s="143" t="b">
        <v>0</v>
      </c>
      <c r="AH728" s="143"/>
      <c r="AI728" s="143"/>
      <c r="AJ728" s="143"/>
      <c r="AK728" s="143"/>
      <c r="AL728" s="129"/>
      <c r="AM728" s="129" t="str">
        <f>IFERROR(__xludf.DUMMYFUNCTION("""COMPUTED_VALUE"""),"Beach")</f>
        <v>Beach</v>
      </c>
      <c r="AN728" s="139"/>
    </row>
    <row r="729">
      <c r="A729" s="140" t="s">
        <v>1848</v>
      </c>
      <c r="B729" s="119">
        <v>76.3</v>
      </c>
      <c r="C729" s="133" t="s">
        <v>75</v>
      </c>
      <c r="D729" s="142"/>
      <c r="E729" s="122"/>
      <c r="F729" s="136"/>
      <c r="G729" s="124">
        <v>4044.0</v>
      </c>
      <c r="H729" s="125">
        <v>1137.0</v>
      </c>
      <c r="I729" s="125">
        <v>1584.0</v>
      </c>
      <c r="J729" s="125">
        <v>777.0</v>
      </c>
      <c r="K729" s="125">
        <v>270.0</v>
      </c>
      <c r="L729" s="125">
        <v>277.0</v>
      </c>
      <c r="M729" s="126">
        <v>75.0</v>
      </c>
      <c r="N729" s="127">
        <v>86.0</v>
      </c>
      <c r="O729" s="146"/>
      <c r="P729" s="138">
        <v>68.0</v>
      </c>
      <c r="Q729" s="122" t="b">
        <v>0</v>
      </c>
      <c r="R729" s="128"/>
      <c r="S729" s="128"/>
      <c r="T729" s="128"/>
      <c r="U729" s="128"/>
      <c r="V729" s="144"/>
      <c r="W729" s="130" t="s">
        <v>1119</v>
      </c>
      <c r="X729" s="130" t="s">
        <v>1783</v>
      </c>
      <c r="Y729" s="130" t="s">
        <v>1784</v>
      </c>
      <c r="Z729" s="145" t="b">
        <v>0</v>
      </c>
      <c r="AA729" s="145"/>
      <c r="AB729" s="144"/>
      <c r="AC729" s="144"/>
      <c r="AD729" s="129"/>
      <c r="AE729" s="129"/>
      <c r="AF729" s="132"/>
      <c r="AG729" s="143" t="b">
        <v>0</v>
      </c>
      <c r="AH729" s="143"/>
      <c r="AI729" s="143"/>
      <c r="AJ729" s="143"/>
      <c r="AK729" s="143"/>
      <c r="AL729" s="129"/>
      <c r="AM729" s="129"/>
      <c r="AN729" s="139"/>
    </row>
    <row r="730">
      <c r="A730" s="118" t="s">
        <v>1849</v>
      </c>
      <c r="B730" s="119">
        <v>76.3</v>
      </c>
      <c r="C730" s="134" t="s">
        <v>75</v>
      </c>
      <c r="D730" s="142"/>
      <c r="E730" s="135"/>
      <c r="F730" s="136"/>
      <c r="G730" s="124">
        <v>3263.0</v>
      </c>
      <c r="H730" s="125">
        <v>1044.0</v>
      </c>
      <c r="I730" s="125">
        <v>811.0</v>
      </c>
      <c r="J730" s="125">
        <v>646.0</v>
      </c>
      <c r="K730" s="125">
        <v>416.0</v>
      </c>
      <c r="L730" s="125">
        <v>346.0</v>
      </c>
      <c r="M730" s="126">
        <v>71.0</v>
      </c>
      <c r="N730" s="127">
        <v>84.0</v>
      </c>
      <c r="O730" s="146"/>
      <c r="P730" s="127">
        <v>74.0</v>
      </c>
      <c r="Q730" s="126" t="b">
        <v>0</v>
      </c>
      <c r="R730" s="128"/>
      <c r="S730" s="128"/>
      <c r="T730" s="133" t="s">
        <v>955</v>
      </c>
      <c r="U730" s="128"/>
      <c r="V730" s="129"/>
      <c r="W730" s="130" t="s">
        <v>1687</v>
      </c>
      <c r="X730" s="130" t="s">
        <v>1850</v>
      </c>
      <c r="Y730" s="130" t="s">
        <v>1851</v>
      </c>
      <c r="Z730" s="145" t="b">
        <v>0</v>
      </c>
      <c r="AA730" s="145"/>
      <c r="AB730" s="129"/>
      <c r="AC730" s="129"/>
      <c r="AD730" s="147" t="s">
        <v>1568</v>
      </c>
      <c r="AE730" s="129"/>
      <c r="AF730" s="132"/>
      <c r="AG730" s="143" t="b">
        <v>0</v>
      </c>
      <c r="AH730" s="143"/>
      <c r="AI730" s="143"/>
      <c r="AJ730" s="143"/>
      <c r="AK730" s="143"/>
      <c r="AL730" s="129"/>
      <c r="AM730" s="129" t="str">
        <f>IFERROR(__xludf.DUMMYFUNCTION("""COMPUTED_VALUE"""),"Kids Club for Under 4")</f>
        <v>Kids Club for Under 4</v>
      </c>
      <c r="AN730" s="139"/>
    </row>
    <row r="731">
      <c r="A731" s="118" t="s">
        <v>1852</v>
      </c>
      <c r="B731" s="119">
        <v>76.3</v>
      </c>
      <c r="C731" s="120" t="s">
        <v>68</v>
      </c>
      <c r="D731" s="142"/>
      <c r="E731" s="122"/>
      <c r="F731" s="136"/>
      <c r="G731" s="124">
        <v>582.0</v>
      </c>
      <c r="H731" s="125">
        <v>302.0</v>
      </c>
      <c r="I731" s="125">
        <v>100.0</v>
      </c>
      <c r="J731" s="125">
        <v>50.0</v>
      </c>
      <c r="K731" s="125">
        <v>55.0</v>
      </c>
      <c r="L731" s="125">
        <v>77.0</v>
      </c>
      <c r="M731" s="126">
        <v>77.0</v>
      </c>
      <c r="N731" s="127">
        <v>76.0</v>
      </c>
      <c r="O731" s="127">
        <v>76.0</v>
      </c>
      <c r="P731" s="127">
        <v>76.0</v>
      </c>
      <c r="Q731" s="126" t="b">
        <v>0</v>
      </c>
      <c r="R731" s="128"/>
      <c r="S731" s="128"/>
      <c r="T731" s="128"/>
      <c r="U731" s="128"/>
      <c r="V731" s="129"/>
      <c r="W731" s="130" t="s">
        <v>219</v>
      </c>
      <c r="X731" s="130" t="s">
        <v>713</v>
      </c>
      <c r="Y731" s="144" t="s">
        <v>221</v>
      </c>
      <c r="Z731" s="133" t="b">
        <v>1</v>
      </c>
      <c r="AA731" s="145"/>
      <c r="AB731" s="130" t="s">
        <v>451</v>
      </c>
      <c r="AC731" s="130"/>
      <c r="AD731" s="144"/>
      <c r="AE731" s="129"/>
      <c r="AF731" s="132"/>
      <c r="AG731" s="143" t="b">
        <v>0</v>
      </c>
      <c r="AH731" s="143"/>
      <c r="AI731" s="143"/>
      <c r="AJ731" s="143"/>
      <c r="AK731" s="143"/>
      <c r="AL731" s="129"/>
      <c r="AM731" s="129"/>
      <c r="AN731" s="128"/>
    </row>
    <row r="732">
      <c r="A732" s="118" t="s">
        <v>1853</v>
      </c>
      <c r="B732" s="119">
        <v>76.3</v>
      </c>
      <c r="C732" s="134" t="s">
        <v>75</v>
      </c>
      <c r="D732" s="121"/>
      <c r="E732" s="135"/>
      <c r="F732" s="136"/>
      <c r="G732" s="124">
        <v>3610.0</v>
      </c>
      <c r="H732" s="125">
        <v>2162.0</v>
      </c>
      <c r="I732" s="125">
        <v>519.0</v>
      </c>
      <c r="J732" s="125">
        <v>443.0</v>
      </c>
      <c r="K732" s="125">
        <v>244.0</v>
      </c>
      <c r="L732" s="125">
        <v>245.0</v>
      </c>
      <c r="M732" s="126">
        <v>83.0</v>
      </c>
      <c r="N732" s="127">
        <v>78.0</v>
      </c>
      <c r="O732" s="146"/>
      <c r="P732" s="127">
        <v>68.0</v>
      </c>
      <c r="Q732" s="122" t="b">
        <v>0</v>
      </c>
      <c r="R732" s="133"/>
      <c r="S732" s="143"/>
      <c r="T732" s="133"/>
      <c r="U732" s="133"/>
      <c r="V732" s="129"/>
      <c r="W732" s="130" t="s">
        <v>84</v>
      </c>
      <c r="X732" s="130" t="s">
        <v>1262</v>
      </c>
      <c r="Y732" s="130" t="s">
        <v>1263</v>
      </c>
      <c r="Z732" s="131" t="b">
        <v>0</v>
      </c>
      <c r="AA732" s="131">
        <v>0.029861111111111113</v>
      </c>
      <c r="AB732" s="129"/>
      <c r="AC732" s="129"/>
      <c r="AD732" s="130" t="s">
        <v>241</v>
      </c>
      <c r="AE732" s="129"/>
      <c r="AF732" s="132"/>
      <c r="AG732" s="143" t="b">
        <v>1</v>
      </c>
      <c r="AH732" s="143"/>
      <c r="AI732" s="143"/>
      <c r="AJ732" s="143"/>
      <c r="AK732" s="143"/>
      <c r="AL732" s="129"/>
      <c r="AM732" s="129" t="str">
        <f>IFERROR(__xludf.DUMMYFUNCTION("""COMPUTED_VALUE"""),"Beach")</f>
        <v>Beach</v>
      </c>
      <c r="AN732" s="139"/>
    </row>
    <row r="733">
      <c r="A733" s="118" t="s">
        <v>1854</v>
      </c>
      <c r="B733" s="119">
        <v>76.3</v>
      </c>
      <c r="C733" s="134" t="s">
        <v>75</v>
      </c>
      <c r="D733" s="142"/>
      <c r="E733" s="135"/>
      <c r="F733" s="136"/>
      <c r="G733" s="124">
        <v>17263.0</v>
      </c>
      <c r="H733" s="125">
        <v>6821.0</v>
      </c>
      <c r="I733" s="125">
        <v>4279.0</v>
      </c>
      <c r="J733" s="125">
        <v>2640.0</v>
      </c>
      <c r="K733" s="125">
        <v>1692.0</v>
      </c>
      <c r="L733" s="125">
        <v>1836.0</v>
      </c>
      <c r="M733" s="126">
        <v>75.0</v>
      </c>
      <c r="N733" s="127">
        <v>90.0</v>
      </c>
      <c r="O733" s="146"/>
      <c r="P733" s="127">
        <v>64.0</v>
      </c>
      <c r="Q733" s="122" t="b">
        <v>0</v>
      </c>
      <c r="R733" s="133"/>
      <c r="S733" s="143"/>
      <c r="T733" s="133"/>
      <c r="U733" s="133"/>
      <c r="V733" s="129"/>
      <c r="W733" s="130" t="s">
        <v>193</v>
      </c>
      <c r="X733" s="130" t="s">
        <v>195</v>
      </c>
      <c r="Y733" s="130" t="s">
        <v>195</v>
      </c>
      <c r="Z733" s="131" t="b">
        <v>1</v>
      </c>
      <c r="AA733" s="131"/>
      <c r="AB733" s="129"/>
      <c r="AC733" s="129"/>
      <c r="AD733" s="129"/>
      <c r="AE733" s="129"/>
      <c r="AF733" s="132"/>
      <c r="AG733" s="143" t="b">
        <v>0</v>
      </c>
      <c r="AH733" s="143"/>
      <c r="AI733" s="143"/>
      <c r="AJ733" s="143"/>
      <c r="AK733" s="143"/>
      <c r="AL733" s="129"/>
      <c r="AM733" s="129"/>
      <c r="AN733" s="139"/>
    </row>
    <row r="734">
      <c r="A734" s="118" t="s">
        <v>1855</v>
      </c>
      <c r="B734" s="119">
        <v>76.0</v>
      </c>
      <c r="C734" s="134" t="s">
        <v>75</v>
      </c>
      <c r="D734" s="142"/>
      <c r="E734" s="135"/>
      <c r="F734" s="136"/>
      <c r="G734" s="124">
        <v>6468.0</v>
      </c>
      <c r="H734" s="125">
        <v>3318.0</v>
      </c>
      <c r="I734" s="125">
        <v>1369.0</v>
      </c>
      <c r="J734" s="125">
        <v>792.0</v>
      </c>
      <c r="K734" s="125">
        <v>446.0</v>
      </c>
      <c r="L734" s="125">
        <v>545.0</v>
      </c>
      <c r="M734" s="126">
        <v>80.0</v>
      </c>
      <c r="N734" s="127">
        <v>82.0</v>
      </c>
      <c r="O734" s="146"/>
      <c r="P734" s="138">
        <v>66.0</v>
      </c>
      <c r="Q734" s="122" t="b">
        <v>0</v>
      </c>
      <c r="R734" s="133"/>
      <c r="S734" s="143"/>
      <c r="T734" s="133"/>
      <c r="U734" s="133"/>
      <c r="V734" s="129"/>
      <c r="W734" s="130" t="s">
        <v>84</v>
      </c>
      <c r="X734" s="130" t="s">
        <v>86</v>
      </c>
      <c r="Y734" s="130" t="s">
        <v>86</v>
      </c>
      <c r="Z734" s="131" t="b">
        <v>1</v>
      </c>
      <c r="AA734" s="131">
        <v>0.013194444444444444</v>
      </c>
      <c r="AB734" s="129"/>
      <c r="AC734" s="129"/>
      <c r="AD734" s="130" t="s">
        <v>241</v>
      </c>
      <c r="AE734" s="129"/>
      <c r="AF734" s="132"/>
      <c r="AG734" s="143" t="b">
        <v>1</v>
      </c>
      <c r="AH734" s="143"/>
      <c r="AI734" s="143"/>
      <c r="AJ734" s="143"/>
      <c r="AK734" s="143"/>
      <c r="AL734" s="129"/>
      <c r="AM734" s="129" t="str">
        <f>IFERROR(__xludf.DUMMYFUNCTION("""COMPUTED_VALUE"""),"Beach")</f>
        <v>Beach</v>
      </c>
      <c r="AN734" s="139"/>
    </row>
    <row r="735">
      <c r="A735" s="118" t="s">
        <v>1856</v>
      </c>
      <c r="B735" s="119">
        <v>76.0</v>
      </c>
      <c r="C735" s="134" t="s">
        <v>75</v>
      </c>
      <c r="D735" s="142"/>
      <c r="E735" s="135"/>
      <c r="F735" s="136"/>
      <c r="G735" s="124">
        <v>4388.0</v>
      </c>
      <c r="H735" s="125">
        <v>2336.0</v>
      </c>
      <c r="I735" s="125">
        <v>1017.0</v>
      </c>
      <c r="J735" s="125">
        <v>489.0</v>
      </c>
      <c r="K735" s="125">
        <v>275.0</v>
      </c>
      <c r="L735" s="125">
        <v>275.0</v>
      </c>
      <c r="M735" s="126">
        <v>82.0</v>
      </c>
      <c r="N735" s="127">
        <v>70.0</v>
      </c>
      <c r="O735" s="146"/>
      <c r="P735" s="146"/>
      <c r="Q735" s="126" t="b">
        <v>0</v>
      </c>
      <c r="R735" s="128"/>
      <c r="S735" s="128"/>
      <c r="T735" s="128"/>
      <c r="U735" s="128"/>
      <c r="V735" s="129"/>
      <c r="W735" s="130" t="s">
        <v>276</v>
      </c>
      <c r="X735" s="130" t="s">
        <v>421</v>
      </c>
      <c r="Y735" s="130" t="s">
        <v>327</v>
      </c>
      <c r="Z735" s="133" t="b">
        <v>1</v>
      </c>
      <c r="AA735" s="145"/>
      <c r="AB735" s="129"/>
      <c r="AC735" s="129"/>
      <c r="AD735" s="129"/>
      <c r="AE735" s="129"/>
      <c r="AF735" s="132"/>
      <c r="AG735" s="128" t="b">
        <v>0</v>
      </c>
      <c r="AH735" s="128"/>
      <c r="AI735" s="128"/>
      <c r="AJ735" s="128"/>
      <c r="AK735" s="128"/>
      <c r="AL735" s="129"/>
      <c r="AM735" s="129"/>
      <c r="AN735" s="139"/>
    </row>
    <row r="736">
      <c r="A736" s="118" t="s">
        <v>1857</v>
      </c>
      <c r="B736" s="119">
        <v>75.7</v>
      </c>
      <c r="C736" s="134" t="s">
        <v>75</v>
      </c>
      <c r="D736" s="142"/>
      <c r="E736" s="135"/>
      <c r="F736" s="136"/>
      <c r="G736" s="124">
        <v>5367.0</v>
      </c>
      <c r="H736" s="125">
        <v>1961.0</v>
      </c>
      <c r="I736" s="125">
        <v>1652.0</v>
      </c>
      <c r="J736" s="125">
        <v>973.0</v>
      </c>
      <c r="K736" s="125">
        <v>438.0</v>
      </c>
      <c r="L736" s="125">
        <v>343.0</v>
      </c>
      <c r="M736" s="126">
        <v>77.0</v>
      </c>
      <c r="N736" s="138">
        <v>78.0</v>
      </c>
      <c r="O736" s="146"/>
      <c r="P736" s="138">
        <v>72.0</v>
      </c>
      <c r="Q736" s="122" t="b">
        <v>0</v>
      </c>
      <c r="R736" s="133"/>
      <c r="S736" s="143"/>
      <c r="T736" s="133"/>
      <c r="U736" s="133"/>
      <c r="V736" s="130"/>
      <c r="W736" s="130" t="s">
        <v>193</v>
      </c>
      <c r="X736" s="130" t="s">
        <v>1858</v>
      </c>
      <c r="Y736" s="130" t="s">
        <v>1070</v>
      </c>
      <c r="Z736" s="131" t="b">
        <v>1</v>
      </c>
      <c r="AA736" s="131">
        <v>0.009722222222222222</v>
      </c>
      <c r="AB736" s="130"/>
      <c r="AC736" s="130"/>
      <c r="AD736" s="129" t="s">
        <v>241</v>
      </c>
      <c r="AE736" s="130" t="s">
        <v>94</v>
      </c>
      <c r="AF736" s="132"/>
      <c r="AG736" s="143" t="b">
        <v>0</v>
      </c>
      <c r="AH736" s="143"/>
      <c r="AI736" s="143">
        <v>2007.0</v>
      </c>
      <c r="AJ736" s="143">
        <v>2011.0</v>
      </c>
      <c r="AK736" s="143">
        <v>4.0</v>
      </c>
      <c r="AL736" s="129"/>
      <c r="AM736" s="129" t="str">
        <f>IFERROR(__xludf.DUMMYFUNCTION("""COMPUTED_VALUE"""),"Beach")</f>
        <v>Beach</v>
      </c>
      <c r="AN736" s="139"/>
    </row>
    <row r="737">
      <c r="A737" s="118" t="s">
        <v>1859</v>
      </c>
      <c r="B737" s="119">
        <v>75.7</v>
      </c>
      <c r="C737" s="120" t="s">
        <v>68</v>
      </c>
      <c r="D737" s="142"/>
      <c r="E737" s="122"/>
      <c r="F737" s="136"/>
      <c r="G737" s="124">
        <v>3872.0</v>
      </c>
      <c r="H737" s="125">
        <v>1625.0</v>
      </c>
      <c r="I737" s="125">
        <v>1174.0</v>
      </c>
      <c r="J737" s="125">
        <v>598.0</v>
      </c>
      <c r="K737" s="125">
        <v>268.0</v>
      </c>
      <c r="L737" s="125">
        <v>207.0</v>
      </c>
      <c r="M737" s="126">
        <v>79.0</v>
      </c>
      <c r="N737" s="138">
        <v>80.0</v>
      </c>
      <c r="O737" s="127"/>
      <c r="P737" s="127">
        <v>68.0</v>
      </c>
      <c r="Q737" s="126" t="b">
        <v>0</v>
      </c>
      <c r="R737" s="128"/>
      <c r="S737" s="128"/>
      <c r="T737" s="128"/>
      <c r="U737" s="128"/>
      <c r="V737" s="129"/>
      <c r="W737" s="130" t="s">
        <v>276</v>
      </c>
      <c r="X737" s="130" t="s">
        <v>393</v>
      </c>
      <c r="Y737" s="130" t="s">
        <v>393</v>
      </c>
      <c r="Z737" s="133" t="b">
        <v>1</v>
      </c>
      <c r="AA737" s="145"/>
      <c r="AB737" s="129"/>
      <c r="AC737" s="129"/>
      <c r="AD737" s="129" t="s">
        <v>1532</v>
      </c>
      <c r="AE737" s="129"/>
      <c r="AF737" s="132"/>
      <c r="AG737" s="128" t="b">
        <v>0</v>
      </c>
      <c r="AH737" s="128"/>
      <c r="AI737" s="128"/>
      <c r="AJ737" s="128"/>
      <c r="AK737" s="128"/>
      <c r="AL737" s="129"/>
      <c r="AM737" s="129" t="str">
        <f>IFERROR(__xludf.DUMMYFUNCTION("""COMPUTED_VALUE"""),"Great Beach")</f>
        <v>Great Beach</v>
      </c>
      <c r="AN737" s="128"/>
    </row>
    <row r="738">
      <c r="A738" s="118" t="s">
        <v>1860</v>
      </c>
      <c r="B738" s="119">
        <v>75.7</v>
      </c>
      <c r="C738" s="134" t="s">
        <v>75</v>
      </c>
      <c r="D738" s="121"/>
      <c r="E738" s="135"/>
      <c r="F738" s="136"/>
      <c r="G738" s="124">
        <v>6260.0</v>
      </c>
      <c r="H738" s="125">
        <v>2765.0</v>
      </c>
      <c r="I738" s="125">
        <v>1501.0</v>
      </c>
      <c r="J738" s="125">
        <v>797.0</v>
      </c>
      <c r="K738" s="125">
        <v>534.0</v>
      </c>
      <c r="L738" s="125">
        <v>664.0</v>
      </c>
      <c r="M738" s="126">
        <v>77.0</v>
      </c>
      <c r="N738" s="127">
        <v>82.0</v>
      </c>
      <c r="O738" s="146"/>
      <c r="P738" s="138">
        <v>68.0</v>
      </c>
      <c r="Q738" s="122" t="b">
        <v>0</v>
      </c>
      <c r="R738" s="133"/>
      <c r="S738" s="143"/>
      <c r="T738" s="133"/>
      <c r="U738" s="133"/>
      <c r="V738" s="129"/>
      <c r="W738" s="130" t="s">
        <v>193</v>
      </c>
      <c r="X738" s="130" t="s">
        <v>1546</v>
      </c>
      <c r="Y738" s="130" t="s">
        <v>1070</v>
      </c>
      <c r="Z738" s="131" t="b">
        <v>1</v>
      </c>
      <c r="AA738" s="131">
        <v>0.025694444444444443</v>
      </c>
      <c r="AB738" s="129"/>
      <c r="AC738" s="129"/>
      <c r="AD738" s="129" t="s">
        <v>241</v>
      </c>
      <c r="AE738" s="129"/>
      <c r="AF738" s="132"/>
      <c r="AG738" s="143" t="b">
        <v>0</v>
      </c>
      <c r="AH738" s="143"/>
      <c r="AI738" s="143"/>
      <c r="AJ738" s="143"/>
      <c r="AK738" s="143"/>
      <c r="AL738" s="129"/>
      <c r="AM738" s="129" t="str">
        <f>IFERROR(__xludf.DUMMYFUNCTION("""COMPUTED_VALUE"""),"Beach")</f>
        <v>Beach</v>
      </c>
      <c r="AN738" s="139"/>
    </row>
    <row r="739">
      <c r="A739" s="118" t="s">
        <v>1861</v>
      </c>
      <c r="B739" s="119">
        <v>75.7</v>
      </c>
      <c r="C739" s="134" t="s">
        <v>75</v>
      </c>
      <c r="D739" s="142"/>
      <c r="E739" s="135"/>
      <c r="F739" s="136"/>
      <c r="G739" s="124">
        <v>1041.0</v>
      </c>
      <c r="H739" s="125">
        <v>339.0</v>
      </c>
      <c r="I739" s="125">
        <v>356.0</v>
      </c>
      <c r="J739" s="125">
        <v>161.0</v>
      </c>
      <c r="K739" s="125">
        <v>92.0</v>
      </c>
      <c r="L739" s="125">
        <v>93.0</v>
      </c>
      <c r="M739" s="126">
        <v>75.0</v>
      </c>
      <c r="N739" s="127">
        <v>78.0</v>
      </c>
      <c r="O739" s="146"/>
      <c r="P739" s="127">
        <v>74.0</v>
      </c>
      <c r="Q739" s="122" t="b">
        <v>0</v>
      </c>
      <c r="R739" s="133"/>
      <c r="S739" s="143"/>
      <c r="T739" s="133"/>
      <c r="U739" s="133"/>
      <c r="V739" s="130"/>
      <c r="W739" s="130" t="s">
        <v>219</v>
      </c>
      <c r="X739" s="130" t="s">
        <v>713</v>
      </c>
      <c r="Y739" s="130" t="s">
        <v>221</v>
      </c>
      <c r="Z739" s="131" t="b">
        <v>1</v>
      </c>
      <c r="AA739" s="131">
        <v>0.002777777777777778</v>
      </c>
      <c r="AB739" s="130"/>
      <c r="AC739" s="130"/>
      <c r="AD739" s="129" t="s">
        <v>241</v>
      </c>
      <c r="AE739" s="129"/>
      <c r="AF739" s="132"/>
      <c r="AG739" s="143" t="b">
        <v>0</v>
      </c>
      <c r="AH739" s="143"/>
      <c r="AI739" s="143"/>
      <c r="AJ739" s="143"/>
      <c r="AK739" s="143"/>
      <c r="AL739" s="129"/>
      <c r="AM739" s="129" t="str">
        <f>IFERROR(__xludf.DUMMYFUNCTION("""COMPUTED_VALUE"""),"Beach")</f>
        <v>Beach</v>
      </c>
      <c r="AN739" s="139"/>
    </row>
    <row r="740">
      <c r="A740" s="118" t="s">
        <v>1862</v>
      </c>
      <c r="B740" s="119">
        <v>75.7</v>
      </c>
      <c r="C740" s="134" t="s">
        <v>75</v>
      </c>
      <c r="D740" s="142"/>
      <c r="E740" s="135"/>
      <c r="F740" s="136"/>
      <c r="G740" s="124">
        <v>4218.0</v>
      </c>
      <c r="H740" s="125">
        <v>1441.0</v>
      </c>
      <c r="I740" s="125">
        <v>1373.0</v>
      </c>
      <c r="J740" s="125">
        <v>720.0</v>
      </c>
      <c r="K740" s="125">
        <v>376.0</v>
      </c>
      <c r="L740" s="125">
        <v>308.0</v>
      </c>
      <c r="M740" s="126">
        <v>75.0</v>
      </c>
      <c r="N740" s="127">
        <v>80.0</v>
      </c>
      <c r="O740" s="146"/>
      <c r="P740" s="127">
        <v>72.0</v>
      </c>
      <c r="Q740" s="122" t="b">
        <v>0</v>
      </c>
      <c r="R740" s="133"/>
      <c r="S740" s="143"/>
      <c r="T740" s="133" t="s">
        <v>955</v>
      </c>
      <c r="U740" s="133"/>
      <c r="V740" s="130"/>
      <c r="W740" s="130" t="s">
        <v>84</v>
      </c>
      <c r="X740" s="130" t="s">
        <v>448</v>
      </c>
      <c r="Y740" s="130" t="s">
        <v>448</v>
      </c>
      <c r="Z740" s="131" t="b">
        <v>1</v>
      </c>
      <c r="AA740" s="131">
        <v>0.003472222222222222</v>
      </c>
      <c r="AB740" s="130"/>
      <c r="AC740" s="130"/>
      <c r="AD740" s="129" t="s">
        <v>241</v>
      </c>
      <c r="AE740" s="130" t="s">
        <v>94</v>
      </c>
      <c r="AF740" s="132"/>
      <c r="AG740" s="143" t="b">
        <v>0</v>
      </c>
      <c r="AH740" s="143"/>
      <c r="AI740" s="143"/>
      <c r="AJ740" s="143"/>
      <c r="AK740" s="143"/>
      <c r="AL740" s="129"/>
      <c r="AM740" s="129" t="str">
        <f>IFERROR(__xludf.DUMMYFUNCTION("""COMPUTED_VALUE"""),"Beach")</f>
        <v>Beach</v>
      </c>
      <c r="AN740" s="139"/>
    </row>
    <row r="741">
      <c r="A741" s="118" t="s">
        <v>1863</v>
      </c>
      <c r="B741" s="119">
        <v>75.3</v>
      </c>
      <c r="C741" s="134" t="s">
        <v>75</v>
      </c>
      <c r="D741" s="121"/>
      <c r="E741" s="135"/>
      <c r="F741" s="136"/>
      <c r="G741" s="124">
        <v>3610.0</v>
      </c>
      <c r="H741" s="125">
        <v>1769.0</v>
      </c>
      <c r="I741" s="125">
        <v>733.0</v>
      </c>
      <c r="J741" s="125">
        <v>435.0</v>
      </c>
      <c r="K741" s="125">
        <v>281.0</v>
      </c>
      <c r="L741" s="125">
        <v>292.0</v>
      </c>
      <c r="M741" s="126">
        <v>79.0</v>
      </c>
      <c r="N741" s="127">
        <v>74.0</v>
      </c>
      <c r="O741" s="127">
        <v>74.0</v>
      </c>
      <c r="P741" s="127">
        <v>74.0</v>
      </c>
      <c r="Q741" s="122" t="b">
        <v>0</v>
      </c>
      <c r="R741" s="133"/>
      <c r="S741" s="143"/>
      <c r="T741" s="133"/>
      <c r="U741" s="133"/>
      <c r="V741" s="130"/>
      <c r="W741" s="130" t="s">
        <v>113</v>
      </c>
      <c r="X741" s="130" t="s">
        <v>281</v>
      </c>
      <c r="Y741" s="130" t="s">
        <v>114</v>
      </c>
      <c r="Z741" s="131" t="b">
        <v>1</v>
      </c>
      <c r="AA741" s="131"/>
      <c r="AB741" s="130" t="s">
        <v>451</v>
      </c>
      <c r="AC741" s="130"/>
      <c r="AD741" s="144"/>
      <c r="AE741" s="144"/>
      <c r="AF741" s="132"/>
      <c r="AG741" s="143" t="b">
        <v>1</v>
      </c>
      <c r="AH741" s="143"/>
      <c r="AI741" s="143"/>
      <c r="AJ741" s="143"/>
      <c r="AK741" s="143"/>
      <c r="AL741" s="129"/>
      <c r="AM741" s="129"/>
      <c r="AN741" s="139"/>
    </row>
    <row r="742">
      <c r="A742" s="118" t="s">
        <v>1864</v>
      </c>
      <c r="B742" s="119">
        <v>75.3</v>
      </c>
      <c r="C742" s="134" t="s">
        <v>75</v>
      </c>
      <c r="D742" s="142"/>
      <c r="E742" s="135"/>
      <c r="F742" s="136"/>
      <c r="G742" s="124">
        <v>1937.0</v>
      </c>
      <c r="H742" s="125">
        <v>687.0</v>
      </c>
      <c r="I742" s="125">
        <v>625.0</v>
      </c>
      <c r="J742" s="125">
        <v>312.0</v>
      </c>
      <c r="K742" s="125">
        <v>139.0</v>
      </c>
      <c r="L742" s="125">
        <v>176.0</v>
      </c>
      <c r="M742" s="126">
        <v>76.0</v>
      </c>
      <c r="N742" s="127">
        <v>76.0</v>
      </c>
      <c r="O742" s="146"/>
      <c r="P742" s="138">
        <v>74.0</v>
      </c>
      <c r="Q742" s="122" t="b">
        <v>0</v>
      </c>
      <c r="R742" s="133"/>
      <c r="S742" s="143"/>
      <c r="T742" s="133"/>
      <c r="U742" s="133"/>
      <c r="V742" s="129"/>
      <c r="W742" s="130" t="s">
        <v>219</v>
      </c>
      <c r="X742" s="130" t="s">
        <v>220</v>
      </c>
      <c r="Y742" s="130" t="s">
        <v>221</v>
      </c>
      <c r="Z742" s="133" t="b">
        <v>1</v>
      </c>
      <c r="AA742" s="145"/>
      <c r="AB742" s="129"/>
      <c r="AC742" s="129"/>
      <c r="AD742" s="129"/>
      <c r="AE742" s="129"/>
      <c r="AF742" s="132"/>
      <c r="AG742" s="143" t="b">
        <v>0</v>
      </c>
      <c r="AH742" s="143"/>
      <c r="AI742" s="143"/>
      <c r="AJ742" s="143"/>
      <c r="AK742" s="143"/>
      <c r="AL742" s="129"/>
      <c r="AM742" s="129"/>
      <c r="AN742" s="139"/>
    </row>
    <row r="743">
      <c r="A743" s="118" t="s">
        <v>1865</v>
      </c>
      <c r="B743" s="119">
        <v>75.0</v>
      </c>
      <c r="C743" s="134" t="s">
        <v>75</v>
      </c>
      <c r="D743" s="121">
        <v>8128.0</v>
      </c>
      <c r="E743" s="135">
        <f>IFERROR(__xludf.DUMMYFUNCTION("""COMPUTED_VALUE"""),11225.173587199999)</f>
        <v>11225.17359</v>
      </c>
      <c r="F743" s="136">
        <v>-0.62</v>
      </c>
      <c r="G743" s="124">
        <v>600.0</v>
      </c>
      <c r="H743" s="125">
        <v>323.0</v>
      </c>
      <c r="I743" s="125">
        <v>107.0</v>
      </c>
      <c r="J743" s="125">
        <v>54.0</v>
      </c>
      <c r="K743" s="125">
        <v>42.0</v>
      </c>
      <c r="L743" s="125">
        <v>74.0</v>
      </c>
      <c r="M743" s="126">
        <v>79.0</v>
      </c>
      <c r="N743" s="138">
        <v>74.0</v>
      </c>
      <c r="O743" s="146"/>
      <c r="P743" s="138">
        <v>72.0</v>
      </c>
      <c r="Q743" s="122" t="b">
        <v>0</v>
      </c>
      <c r="R743" s="133"/>
      <c r="S743" s="143"/>
      <c r="T743" s="133"/>
      <c r="U743" s="133"/>
      <c r="V743" s="130"/>
      <c r="W743" s="130" t="s">
        <v>84</v>
      </c>
      <c r="X743" s="130" t="s">
        <v>86</v>
      </c>
      <c r="Y743" s="130" t="s">
        <v>86</v>
      </c>
      <c r="Z743" s="131" t="b">
        <v>1</v>
      </c>
      <c r="AA743" s="131">
        <v>0.008333333333333333</v>
      </c>
      <c r="AB743" s="130"/>
      <c r="AC743" s="129"/>
      <c r="AD743" s="130"/>
      <c r="AE743" s="130"/>
      <c r="AF743" s="132" t="s">
        <v>318</v>
      </c>
      <c r="AG743" s="133" t="b">
        <v>1</v>
      </c>
      <c r="AH743" s="133">
        <v>1743.0</v>
      </c>
      <c r="AI743" s="133">
        <v>2024.0</v>
      </c>
      <c r="AJ743" s="128"/>
      <c r="AK743" s="128"/>
      <c r="AL743" s="129"/>
      <c r="AM743" s="129"/>
      <c r="AN743" s="139"/>
    </row>
    <row r="744">
      <c r="A744" s="118" t="s">
        <v>1866</v>
      </c>
      <c r="B744" s="119">
        <v>75.0</v>
      </c>
      <c r="C744" s="134" t="s">
        <v>75</v>
      </c>
      <c r="D744" s="142"/>
      <c r="E744" s="135"/>
      <c r="F744" s="136"/>
      <c r="G744" s="124">
        <v>10708.0</v>
      </c>
      <c r="H744" s="125">
        <v>4447.0</v>
      </c>
      <c r="I744" s="125">
        <v>2959.0</v>
      </c>
      <c r="J744" s="125">
        <v>1546.0</v>
      </c>
      <c r="K744" s="125">
        <v>889.0</v>
      </c>
      <c r="L744" s="125">
        <v>867.0</v>
      </c>
      <c r="M744" s="126">
        <v>77.0</v>
      </c>
      <c r="N744" s="127">
        <v>76.0</v>
      </c>
      <c r="O744" s="146"/>
      <c r="P744" s="127">
        <v>72.0</v>
      </c>
      <c r="Q744" s="126" t="b">
        <v>0</v>
      </c>
      <c r="R744" s="133"/>
      <c r="S744" s="143"/>
      <c r="T744" s="133"/>
      <c r="U744" s="133"/>
      <c r="V744" s="129"/>
      <c r="W744" s="129" t="s">
        <v>155</v>
      </c>
      <c r="X744" s="129" t="s">
        <v>1579</v>
      </c>
      <c r="Y744" s="129" t="s">
        <v>157</v>
      </c>
      <c r="Z744" s="133" t="b">
        <v>1</v>
      </c>
      <c r="AA744" s="145"/>
      <c r="AB744" s="129"/>
      <c r="AC744" s="129"/>
      <c r="AD744" s="129"/>
      <c r="AE744" s="129"/>
      <c r="AF744" s="132"/>
      <c r="AG744" s="160" t="b">
        <v>0</v>
      </c>
      <c r="AH744" s="160"/>
      <c r="AI744" s="160"/>
      <c r="AJ744" s="160"/>
      <c r="AK744" s="160"/>
      <c r="AL744" s="129"/>
      <c r="AM744" s="129"/>
      <c r="AN744" s="139"/>
    </row>
    <row r="745" hidden="1">
      <c r="A745" s="118" t="s">
        <v>1867</v>
      </c>
      <c r="B745" s="119">
        <v>76.0</v>
      </c>
      <c r="C745" s="120" t="s">
        <v>68</v>
      </c>
      <c r="D745" s="142"/>
      <c r="E745" s="122"/>
      <c r="F745" s="136"/>
      <c r="G745" s="152"/>
      <c r="H745" s="133"/>
      <c r="I745" s="133"/>
      <c r="J745" s="133"/>
      <c r="K745" s="133"/>
      <c r="L745" s="133"/>
      <c r="M745" s="137"/>
      <c r="N745" s="138">
        <v>78.0</v>
      </c>
      <c r="O745" s="127"/>
      <c r="P745" s="138">
        <v>74.0</v>
      </c>
      <c r="Q745" s="126" t="b">
        <v>0</v>
      </c>
      <c r="R745" s="128"/>
      <c r="S745" s="128"/>
      <c r="T745" s="128"/>
      <c r="U745" s="128"/>
      <c r="V745" s="130" t="s">
        <v>118</v>
      </c>
      <c r="W745" s="130" t="s">
        <v>219</v>
      </c>
      <c r="X745" s="130" t="s">
        <v>220</v>
      </c>
      <c r="Y745" s="144" t="s">
        <v>221</v>
      </c>
      <c r="Z745" s="131" t="b">
        <v>1</v>
      </c>
      <c r="AA745" s="131">
        <v>0.058333333333333334</v>
      </c>
      <c r="AB745" s="130"/>
      <c r="AC745" s="130"/>
      <c r="AD745" s="130" t="s">
        <v>241</v>
      </c>
      <c r="AE745" s="129"/>
      <c r="AF745" s="132"/>
      <c r="AG745" s="133" t="b">
        <v>0</v>
      </c>
      <c r="AH745" s="133"/>
      <c r="AI745" s="133"/>
      <c r="AJ745" s="133"/>
      <c r="AK745" s="133"/>
      <c r="AL745" s="129"/>
      <c r="AM745" s="129" t="str">
        <f>IFERROR(__xludf.DUMMYFUNCTION("""COMPUTED_VALUE"""),"Beach")</f>
        <v>Beach</v>
      </c>
      <c r="AN745" s="128"/>
    </row>
    <row r="746" hidden="1">
      <c r="A746" s="118" t="s">
        <v>1867</v>
      </c>
      <c r="B746" s="119">
        <v>76.0</v>
      </c>
      <c r="C746" s="134" t="s">
        <v>75</v>
      </c>
      <c r="D746" s="142"/>
      <c r="E746" s="135"/>
      <c r="F746" s="136"/>
      <c r="G746" s="124"/>
      <c r="H746" s="133"/>
      <c r="I746" s="133"/>
      <c r="J746" s="133"/>
      <c r="K746" s="133"/>
      <c r="L746" s="133"/>
      <c r="M746" s="137"/>
      <c r="N746" s="138">
        <v>78.0</v>
      </c>
      <c r="O746" s="127"/>
      <c r="P746" s="138">
        <v>74.0</v>
      </c>
      <c r="Q746" s="135" t="b">
        <v>0</v>
      </c>
      <c r="R746" s="133"/>
      <c r="S746" s="133"/>
      <c r="T746" s="133"/>
      <c r="U746" s="133"/>
      <c r="V746" s="130" t="s">
        <v>118</v>
      </c>
      <c r="W746" s="130" t="s">
        <v>219</v>
      </c>
      <c r="X746" s="130" t="s">
        <v>220</v>
      </c>
      <c r="Y746" s="130" t="s">
        <v>221</v>
      </c>
      <c r="Z746" s="131" t="b">
        <v>1</v>
      </c>
      <c r="AA746" s="131">
        <v>0.058333333333333334</v>
      </c>
      <c r="AB746" s="130"/>
      <c r="AC746" s="130"/>
      <c r="AD746" s="129" t="s">
        <v>241</v>
      </c>
      <c r="AE746" s="129"/>
      <c r="AF746" s="132"/>
      <c r="AG746" s="133" t="b">
        <v>0</v>
      </c>
      <c r="AH746" s="133"/>
      <c r="AI746" s="133"/>
      <c r="AJ746" s="133"/>
      <c r="AK746" s="133"/>
      <c r="AL746" s="129"/>
      <c r="AM746" s="129" t="str">
        <f>IFERROR(__xludf.DUMMYFUNCTION("""COMPUTED_VALUE"""),"Beach")</f>
        <v>Beach</v>
      </c>
      <c r="AN746" s="139"/>
    </row>
    <row r="747">
      <c r="A747" s="140" t="s">
        <v>1868</v>
      </c>
      <c r="B747" s="119">
        <v>75.0</v>
      </c>
      <c r="C747" s="141" t="s">
        <v>68</v>
      </c>
      <c r="D747" s="142"/>
      <c r="E747" s="122"/>
      <c r="F747" s="136"/>
      <c r="G747" s="152">
        <v>0.0</v>
      </c>
      <c r="H747" s="155"/>
      <c r="I747" s="155"/>
      <c r="J747" s="155"/>
      <c r="K747" s="155"/>
      <c r="L747" s="155"/>
      <c r="M747" s="126"/>
      <c r="N747" s="138">
        <v>72.0</v>
      </c>
      <c r="O747" s="127"/>
      <c r="P747" s="127">
        <v>78.0</v>
      </c>
      <c r="Q747" s="126" t="b">
        <v>0</v>
      </c>
      <c r="R747" s="143"/>
      <c r="S747" s="143"/>
      <c r="T747" s="143"/>
      <c r="U747" s="143"/>
      <c r="V747" s="144"/>
      <c r="W747" s="144" t="s">
        <v>1869</v>
      </c>
      <c r="X747" s="144"/>
      <c r="Y747" s="144"/>
      <c r="Z747" s="145" t="b">
        <v>0</v>
      </c>
      <c r="AA747" s="145"/>
      <c r="AB747" s="144"/>
      <c r="AC747" s="144"/>
      <c r="AD747" s="144"/>
      <c r="AE747" s="129"/>
      <c r="AF747" s="132"/>
      <c r="AG747" s="143" t="b">
        <v>0</v>
      </c>
      <c r="AH747" s="143"/>
      <c r="AI747" s="143"/>
      <c r="AJ747" s="143"/>
      <c r="AK747" s="143"/>
      <c r="AL747" s="129"/>
      <c r="AM747" s="129"/>
      <c r="AN747" s="128"/>
    </row>
    <row r="748">
      <c r="A748" s="118" t="s">
        <v>1870</v>
      </c>
      <c r="B748" s="119">
        <v>75.0</v>
      </c>
      <c r="C748" s="134" t="s">
        <v>75</v>
      </c>
      <c r="D748" s="142"/>
      <c r="E748" s="135"/>
      <c r="F748" s="136"/>
      <c r="G748" s="124">
        <v>2325.0</v>
      </c>
      <c r="H748" s="125">
        <v>1485.0</v>
      </c>
      <c r="I748" s="125">
        <v>269.0</v>
      </c>
      <c r="J748" s="125">
        <v>212.0</v>
      </c>
      <c r="K748" s="125">
        <v>144.0</v>
      </c>
      <c r="L748" s="125">
        <v>215.0</v>
      </c>
      <c r="M748" s="126">
        <v>83.0</v>
      </c>
      <c r="N748" s="127">
        <v>76.0</v>
      </c>
      <c r="O748" s="146"/>
      <c r="P748" s="127">
        <v>66.0</v>
      </c>
      <c r="Q748" s="122" t="b">
        <v>0</v>
      </c>
      <c r="R748" s="133"/>
      <c r="S748" s="143"/>
      <c r="T748" s="133"/>
      <c r="U748" s="133"/>
      <c r="V748" s="130"/>
      <c r="W748" s="130" t="s">
        <v>193</v>
      </c>
      <c r="X748" s="130" t="s">
        <v>1546</v>
      </c>
      <c r="Y748" s="130" t="s">
        <v>1070</v>
      </c>
      <c r="Z748" s="131" t="b">
        <v>1</v>
      </c>
      <c r="AA748" s="131">
        <v>0.02847222222222222</v>
      </c>
      <c r="AB748" s="130"/>
      <c r="AC748" s="130"/>
      <c r="AD748" s="129" t="s">
        <v>241</v>
      </c>
      <c r="AE748" s="129"/>
      <c r="AF748" s="132"/>
      <c r="AG748" s="143" t="b">
        <v>0</v>
      </c>
      <c r="AH748" s="143"/>
      <c r="AI748" s="143"/>
      <c r="AJ748" s="143"/>
      <c r="AK748" s="143"/>
      <c r="AL748" s="129"/>
      <c r="AM748" s="129" t="str">
        <f>IFERROR(__xludf.DUMMYFUNCTION("""COMPUTED_VALUE"""),"Beach")</f>
        <v>Beach</v>
      </c>
      <c r="AN748" s="139"/>
    </row>
    <row r="749">
      <c r="A749" s="140" t="s">
        <v>1871</v>
      </c>
      <c r="B749" s="119">
        <v>74.7</v>
      </c>
      <c r="C749" s="141" t="s">
        <v>68</v>
      </c>
      <c r="D749" s="142"/>
      <c r="E749" s="122"/>
      <c r="F749" s="136"/>
      <c r="G749" s="124">
        <v>1073.0</v>
      </c>
      <c r="H749" s="125">
        <v>356.0</v>
      </c>
      <c r="I749" s="125">
        <v>304.0</v>
      </c>
      <c r="J749" s="125">
        <v>164.0</v>
      </c>
      <c r="K749" s="125">
        <v>144.0</v>
      </c>
      <c r="L749" s="125">
        <v>106.0</v>
      </c>
      <c r="M749" s="126">
        <v>72.0</v>
      </c>
      <c r="N749" s="127">
        <v>74.0</v>
      </c>
      <c r="O749" s="127"/>
      <c r="P749" s="127">
        <v>78.0</v>
      </c>
      <c r="Q749" s="126" t="b">
        <v>0</v>
      </c>
      <c r="R749" s="143"/>
      <c r="S749" s="143"/>
      <c r="T749" s="143"/>
      <c r="U749" s="143"/>
      <c r="V749" s="144"/>
      <c r="W749" s="144" t="s">
        <v>1869</v>
      </c>
      <c r="X749" s="144"/>
      <c r="Y749" s="144"/>
      <c r="Z749" s="145" t="b">
        <v>0</v>
      </c>
      <c r="AA749" s="145"/>
      <c r="AB749" s="144"/>
      <c r="AC749" s="144"/>
      <c r="AD749" s="144"/>
      <c r="AE749" s="129"/>
      <c r="AF749" s="132"/>
      <c r="AG749" s="143" t="b">
        <v>0</v>
      </c>
      <c r="AH749" s="143"/>
      <c r="AI749" s="143"/>
      <c r="AJ749" s="143"/>
      <c r="AK749" s="143"/>
      <c r="AL749" s="129"/>
      <c r="AM749" s="129"/>
      <c r="AN749" s="128"/>
    </row>
    <row r="750">
      <c r="A750" s="118" t="s">
        <v>1872</v>
      </c>
      <c r="B750" s="119">
        <v>74.7</v>
      </c>
      <c r="C750" s="134" t="s">
        <v>75</v>
      </c>
      <c r="D750" s="142"/>
      <c r="E750" s="135"/>
      <c r="F750" s="136"/>
      <c r="G750" s="124">
        <v>1366.0</v>
      </c>
      <c r="H750" s="125">
        <v>476.0</v>
      </c>
      <c r="I750" s="125">
        <v>436.0</v>
      </c>
      <c r="J750" s="125">
        <v>190.0</v>
      </c>
      <c r="K750" s="125">
        <v>115.0</v>
      </c>
      <c r="L750" s="125">
        <v>150.0</v>
      </c>
      <c r="M750" s="126">
        <v>74.0</v>
      </c>
      <c r="N750" s="127">
        <v>78.0</v>
      </c>
      <c r="O750" s="146"/>
      <c r="P750" s="127">
        <v>72.0</v>
      </c>
      <c r="Q750" s="122" t="b">
        <v>0</v>
      </c>
      <c r="R750" s="133"/>
      <c r="S750" s="143"/>
      <c r="T750" s="133"/>
      <c r="U750" s="133"/>
      <c r="V750" s="130"/>
      <c r="W750" s="130" t="s">
        <v>219</v>
      </c>
      <c r="X750" s="130" t="s">
        <v>713</v>
      </c>
      <c r="Y750" s="130" t="s">
        <v>221</v>
      </c>
      <c r="Z750" s="131" t="b">
        <v>1</v>
      </c>
      <c r="AA750" s="131">
        <v>0.003472222222222222</v>
      </c>
      <c r="AB750" s="130" t="s">
        <v>412</v>
      </c>
      <c r="AC750" s="130"/>
      <c r="AD750" s="129" t="s">
        <v>241</v>
      </c>
      <c r="AE750" s="129"/>
      <c r="AF750" s="132"/>
      <c r="AG750" s="143" t="b">
        <v>0</v>
      </c>
      <c r="AH750" s="143"/>
      <c r="AI750" s="143"/>
      <c r="AJ750" s="143"/>
      <c r="AK750" s="143"/>
      <c r="AL750" s="129"/>
      <c r="AM750" s="129" t="str">
        <f>IFERROR(__xludf.DUMMYFUNCTION("""COMPUTED_VALUE"""),"Beach")</f>
        <v>Beach</v>
      </c>
      <c r="AN750" s="139"/>
    </row>
    <row r="751">
      <c r="A751" s="118" t="s">
        <v>1873</v>
      </c>
      <c r="B751" s="119">
        <v>74.5</v>
      </c>
      <c r="C751" s="134" t="s">
        <v>75</v>
      </c>
      <c r="D751" s="142"/>
      <c r="E751" s="135"/>
      <c r="F751" s="136"/>
      <c r="G751" s="152">
        <v>22.0</v>
      </c>
      <c r="H751" s="125">
        <v>3.0</v>
      </c>
      <c r="I751" s="125">
        <v>12.0</v>
      </c>
      <c r="J751" s="125">
        <v>1.0</v>
      </c>
      <c r="K751" s="125">
        <v>2.0</v>
      </c>
      <c r="L751" s="125">
        <v>4.0</v>
      </c>
      <c r="M751" s="126">
        <v>67.0</v>
      </c>
      <c r="N751" s="127">
        <v>82.0</v>
      </c>
      <c r="O751" s="146"/>
      <c r="P751" s="146"/>
      <c r="Q751" s="122" t="b">
        <v>0</v>
      </c>
      <c r="R751" s="133"/>
      <c r="S751" s="143"/>
      <c r="T751" s="133"/>
      <c r="U751" s="133"/>
      <c r="V751" s="147" t="s">
        <v>479</v>
      </c>
      <c r="W751" s="130" t="s">
        <v>193</v>
      </c>
      <c r="X751" s="130" t="s">
        <v>1456</v>
      </c>
      <c r="Y751" s="130" t="s">
        <v>229</v>
      </c>
      <c r="Z751" s="133" t="b">
        <v>1</v>
      </c>
      <c r="AA751" s="145"/>
      <c r="AB751" s="129"/>
      <c r="AC751" s="129"/>
      <c r="AD751" s="129"/>
      <c r="AE751" s="129"/>
      <c r="AF751" s="132"/>
      <c r="AG751" s="143" t="b">
        <v>0</v>
      </c>
      <c r="AH751" s="143"/>
      <c r="AI751" s="143"/>
      <c r="AJ751" s="143"/>
      <c r="AK751" s="143"/>
      <c r="AL751" s="129"/>
      <c r="AM751" s="129"/>
      <c r="AN751" s="139"/>
    </row>
    <row r="752">
      <c r="A752" s="118" t="s">
        <v>1874</v>
      </c>
      <c r="B752" s="119">
        <v>74.3</v>
      </c>
      <c r="C752" s="134" t="s">
        <v>75</v>
      </c>
      <c r="D752" s="121"/>
      <c r="E752" s="135"/>
      <c r="F752" s="136"/>
      <c r="G752" s="124">
        <v>17464.0</v>
      </c>
      <c r="H752" s="125">
        <v>7067.0</v>
      </c>
      <c r="I752" s="125">
        <v>4983.0</v>
      </c>
      <c r="J752" s="125">
        <v>2505.0</v>
      </c>
      <c r="K752" s="125">
        <v>1343.0</v>
      </c>
      <c r="L752" s="125">
        <v>1565.0</v>
      </c>
      <c r="M752" s="126">
        <v>77.0</v>
      </c>
      <c r="N752" s="127">
        <v>82.0</v>
      </c>
      <c r="O752" s="146"/>
      <c r="P752" s="138">
        <v>64.0</v>
      </c>
      <c r="Q752" s="122" t="b">
        <v>0</v>
      </c>
      <c r="R752" s="133"/>
      <c r="S752" s="143"/>
      <c r="T752" s="133"/>
      <c r="U752" s="133"/>
      <c r="V752" s="130"/>
      <c r="W752" s="130" t="s">
        <v>84</v>
      </c>
      <c r="X752" s="130" t="s">
        <v>85</v>
      </c>
      <c r="Y752" s="130" t="s">
        <v>86</v>
      </c>
      <c r="Z752" s="131" t="b">
        <v>1</v>
      </c>
      <c r="AA752" s="131">
        <v>0.024305555555555556</v>
      </c>
      <c r="AB752" s="130"/>
      <c r="AC752" s="130"/>
      <c r="AD752" s="129" t="s">
        <v>241</v>
      </c>
      <c r="AE752" s="129"/>
      <c r="AF752" s="132"/>
      <c r="AG752" s="143" t="b">
        <v>0</v>
      </c>
      <c r="AH752" s="143"/>
      <c r="AI752" s="143"/>
      <c r="AJ752" s="143"/>
      <c r="AK752" s="143"/>
      <c r="AL752" s="129"/>
      <c r="AM752" s="129" t="str">
        <f>IFERROR(__xludf.DUMMYFUNCTION("""COMPUTED_VALUE"""),"Beach")</f>
        <v>Beach</v>
      </c>
      <c r="AN752" s="139"/>
    </row>
    <row r="753">
      <c r="A753" s="118" t="s">
        <v>1875</v>
      </c>
      <c r="B753" s="119">
        <v>74.3</v>
      </c>
      <c r="C753" s="134" t="s">
        <v>75</v>
      </c>
      <c r="D753" s="121"/>
      <c r="E753" s="135"/>
      <c r="F753" s="136"/>
      <c r="G753" s="124">
        <v>5040.0</v>
      </c>
      <c r="H753" s="125">
        <v>1922.0</v>
      </c>
      <c r="I753" s="125">
        <v>1617.0</v>
      </c>
      <c r="J753" s="125">
        <v>805.0</v>
      </c>
      <c r="K753" s="125">
        <v>339.0</v>
      </c>
      <c r="L753" s="125">
        <v>359.0</v>
      </c>
      <c r="M753" s="126">
        <v>77.0</v>
      </c>
      <c r="N753" s="127">
        <v>76.0</v>
      </c>
      <c r="O753" s="146"/>
      <c r="P753" s="127">
        <v>70.0</v>
      </c>
      <c r="Q753" s="122" t="b">
        <v>0</v>
      </c>
      <c r="R753" s="133"/>
      <c r="S753" s="143"/>
      <c r="T753" s="133"/>
      <c r="U753" s="133"/>
      <c r="V753" s="130"/>
      <c r="W753" s="130" t="s">
        <v>219</v>
      </c>
      <c r="X753" s="130" t="s">
        <v>713</v>
      </c>
      <c r="Y753" s="130" t="s">
        <v>221</v>
      </c>
      <c r="Z753" s="131" t="b">
        <v>1</v>
      </c>
      <c r="AA753" s="131">
        <v>0.007638888888888889</v>
      </c>
      <c r="AB753" s="130"/>
      <c r="AC753" s="130"/>
      <c r="AD753" s="144" t="s">
        <v>241</v>
      </c>
      <c r="AE753" s="144"/>
      <c r="AF753" s="132"/>
      <c r="AG753" s="143" t="b">
        <v>0</v>
      </c>
      <c r="AH753" s="143"/>
      <c r="AI753" s="143"/>
      <c r="AJ753" s="143"/>
      <c r="AK753" s="143"/>
      <c r="AL753" s="129"/>
      <c r="AM753" s="129" t="str">
        <f>IFERROR(__xludf.DUMMYFUNCTION("""COMPUTED_VALUE"""),"Beach")</f>
        <v>Beach</v>
      </c>
      <c r="AN753" s="139"/>
    </row>
    <row r="754">
      <c r="A754" s="118" t="s">
        <v>1876</v>
      </c>
      <c r="B754" s="119">
        <v>74.3</v>
      </c>
      <c r="C754" s="134" t="s">
        <v>75</v>
      </c>
      <c r="D754" s="142"/>
      <c r="E754" s="135"/>
      <c r="F754" s="136"/>
      <c r="G754" s="124">
        <v>5221.0</v>
      </c>
      <c r="H754" s="125">
        <v>2193.0</v>
      </c>
      <c r="I754" s="125">
        <v>1642.0</v>
      </c>
      <c r="J754" s="125">
        <v>695.0</v>
      </c>
      <c r="K754" s="125">
        <v>353.0</v>
      </c>
      <c r="L754" s="125">
        <v>343.0</v>
      </c>
      <c r="M754" s="126">
        <v>79.0</v>
      </c>
      <c r="N754" s="127">
        <v>74.0</v>
      </c>
      <c r="O754" s="146"/>
      <c r="P754" s="138">
        <v>70.0</v>
      </c>
      <c r="Q754" s="122" t="b">
        <v>0</v>
      </c>
      <c r="R754" s="133"/>
      <c r="S754" s="143"/>
      <c r="T754" s="133"/>
      <c r="U754" s="133"/>
      <c r="V754" s="130"/>
      <c r="W754" s="130" t="s">
        <v>219</v>
      </c>
      <c r="X754" s="130" t="s">
        <v>1293</v>
      </c>
      <c r="Y754" s="130" t="s">
        <v>221</v>
      </c>
      <c r="Z754" s="131" t="b">
        <v>1</v>
      </c>
      <c r="AA754" s="131">
        <v>0.0020833333333333333</v>
      </c>
      <c r="AB754" s="130" t="s">
        <v>412</v>
      </c>
      <c r="AC754" s="130"/>
      <c r="AD754" s="129" t="s">
        <v>241</v>
      </c>
      <c r="AE754" s="129"/>
      <c r="AF754" s="132"/>
      <c r="AG754" s="160" t="b">
        <v>0</v>
      </c>
      <c r="AH754" s="160"/>
      <c r="AI754" s="160"/>
      <c r="AJ754" s="160"/>
      <c r="AK754" s="160"/>
      <c r="AL754" s="129"/>
      <c r="AM754" s="129" t="str">
        <f>IFERROR(__xludf.DUMMYFUNCTION("""COMPUTED_VALUE"""),"Beach")</f>
        <v>Beach</v>
      </c>
      <c r="AN754" s="139"/>
    </row>
    <row r="755">
      <c r="A755" s="118" t="s">
        <v>1877</v>
      </c>
      <c r="B755" s="119">
        <v>74.3</v>
      </c>
      <c r="C755" s="133" t="s">
        <v>75</v>
      </c>
      <c r="D755" s="142"/>
      <c r="E755" s="122"/>
      <c r="F755" s="136"/>
      <c r="G755" s="152">
        <v>1127.0</v>
      </c>
      <c r="H755" s="125">
        <v>567.0</v>
      </c>
      <c r="I755" s="125">
        <v>140.0</v>
      </c>
      <c r="J755" s="125">
        <v>144.0</v>
      </c>
      <c r="K755" s="125">
        <v>115.0</v>
      </c>
      <c r="L755" s="125">
        <v>161.0</v>
      </c>
      <c r="M755" s="126">
        <v>75.0</v>
      </c>
      <c r="N755" s="127">
        <v>80.0</v>
      </c>
      <c r="O755" s="146"/>
      <c r="P755" s="127">
        <v>68.0</v>
      </c>
      <c r="Q755" s="126" t="b">
        <v>0</v>
      </c>
      <c r="R755" s="128"/>
      <c r="S755" s="128"/>
      <c r="T755" s="143" t="s">
        <v>955</v>
      </c>
      <c r="U755" s="128"/>
      <c r="V755" s="130" t="s">
        <v>479</v>
      </c>
      <c r="W755" s="144" t="s">
        <v>84</v>
      </c>
      <c r="X755" s="129"/>
      <c r="Y755" s="129"/>
      <c r="Z755" s="145" t="b">
        <v>0</v>
      </c>
      <c r="AA755" s="145"/>
      <c r="AB755" s="144"/>
      <c r="AC755" s="129"/>
      <c r="AD755" s="147" t="s">
        <v>1568</v>
      </c>
      <c r="AE755" s="129"/>
      <c r="AF755" s="132"/>
      <c r="AG755" s="128" t="b">
        <v>0</v>
      </c>
      <c r="AH755" s="128"/>
      <c r="AI755" s="128"/>
      <c r="AJ755" s="128"/>
      <c r="AK755" s="128"/>
      <c r="AL755" s="129"/>
      <c r="AM755" s="129" t="str">
        <f>IFERROR(__xludf.DUMMYFUNCTION("""COMPUTED_VALUE"""),"Kids Club for Under 4")</f>
        <v>Kids Club for Under 4</v>
      </c>
      <c r="AN755" s="139"/>
    </row>
    <row r="756">
      <c r="A756" s="118" t="s">
        <v>1878</v>
      </c>
      <c r="B756" s="119">
        <v>74.3</v>
      </c>
      <c r="C756" s="134" t="s">
        <v>75</v>
      </c>
      <c r="D756" s="142"/>
      <c r="E756" s="135"/>
      <c r="F756" s="136"/>
      <c r="G756" s="124">
        <v>7449.0</v>
      </c>
      <c r="H756" s="125">
        <v>2611.0</v>
      </c>
      <c r="I756" s="125">
        <v>2783.0</v>
      </c>
      <c r="J756" s="125">
        <v>1049.0</v>
      </c>
      <c r="K756" s="125">
        <v>500.0</v>
      </c>
      <c r="L756" s="125">
        <v>507.0</v>
      </c>
      <c r="M756" s="126">
        <v>77.0</v>
      </c>
      <c r="N756" s="127">
        <v>76.0</v>
      </c>
      <c r="O756" s="146"/>
      <c r="P756" s="127">
        <v>70.0</v>
      </c>
      <c r="Q756" s="122" t="b">
        <v>0</v>
      </c>
      <c r="R756" s="133"/>
      <c r="S756" s="143"/>
      <c r="T756" s="133"/>
      <c r="U756" s="133"/>
      <c r="V756" s="129"/>
      <c r="W756" s="130" t="s">
        <v>84</v>
      </c>
      <c r="X756" s="130" t="s">
        <v>448</v>
      </c>
      <c r="Y756" s="130" t="s">
        <v>448</v>
      </c>
      <c r="Z756" s="131" t="b">
        <v>1</v>
      </c>
      <c r="AA756" s="131">
        <v>0.007638888888888889</v>
      </c>
      <c r="AB756" s="129"/>
      <c r="AC756" s="129"/>
      <c r="AD756" s="130" t="s">
        <v>241</v>
      </c>
      <c r="AE756" s="129"/>
      <c r="AF756" s="132"/>
      <c r="AG756" s="143" t="b">
        <v>1</v>
      </c>
      <c r="AH756" s="143"/>
      <c r="AI756" s="143"/>
      <c r="AJ756" s="143"/>
      <c r="AK756" s="143"/>
      <c r="AL756" s="129"/>
      <c r="AM756" s="129" t="str">
        <f>IFERROR(__xludf.DUMMYFUNCTION("""COMPUTED_VALUE"""),"Beach")</f>
        <v>Beach</v>
      </c>
      <c r="AN756" s="139"/>
    </row>
    <row r="757">
      <c r="A757" s="118" t="s">
        <v>1879</v>
      </c>
      <c r="B757" s="119">
        <v>74.3</v>
      </c>
      <c r="C757" s="120" t="s">
        <v>68</v>
      </c>
      <c r="D757" s="142"/>
      <c r="E757" s="122"/>
      <c r="F757" s="136"/>
      <c r="G757" s="124">
        <v>4142.0</v>
      </c>
      <c r="H757" s="125">
        <v>1528.0</v>
      </c>
      <c r="I757" s="125">
        <v>1465.0</v>
      </c>
      <c r="J757" s="125">
        <v>688.0</v>
      </c>
      <c r="K757" s="125">
        <v>272.0</v>
      </c>
      <c r="L757" s="125">
        <v>192.0</v>
      </c>
      <c r="M757" s="126">
        <v>79.0</v>
      </c>
      <c r="N757" s="127">
        <v>74.0</v>
      </c>
      <c r="O757" s="127"/>
      <c r="P757" s="138">
        <v>70.0</v>
      </c>
      <c r="Q757" s="126" t="b">
        <v>0</v>
      </c>
      <c r="R757" s="128"/>
      <c r="S757" s="128"/>
      <c r="T757" s="128"/>
      <c r="U757" s="128"/>
      <c r="V757" s="129"/>
      <c r="W757" s="130" t="s">
        <v>276</v>
      </c>
      <c r="X757" s="130" t="s">
        <v>393</v>
      </c>
      <c r="Y757" s="130" t="s">
        <v>393</v>
      </c>
      <c r="Z757" s="133" t="b">
        <v>1</v>
      </c>
      <c r="AA757" s="145"/>
      <c r="AB757" s="129"/>
      <c r="AC757" s="129"/>
      <c r="AD757" s="129" t="s">
        <v>1532</v>
      </c>
      <c r="AE757" s="129"/>
      <c r="AF757" s="132"/>
      <c r="AG757" s="128" t="b">
        <v>0</v>
      </c>
      <c r="AH757" s="128"/>
      <c r="AI757" s="128"/>
      <c r="AJ757" s="128"/>
      <c r="AK757" s="128"/>
      <c r="AL757" s="129"/>
      <c r="AM757" s="129" t="str">
        <f>IFERROR(__xludf.DUMMYFUNCTION("""COMPUTED_VALUE"""),"Great Beach")</f>
        <v>Great Beach</v>
      </c>
      <c r="AN757" s="128"/>
    </row>
    <row r="758">
      <c r="A758" s="118" t="s">
        <v>1880</v>
      </c>
      <c r="B758" s="119">
        <v>74.0</v>
      </c>
      <c r="C758" s="134" t="s">
        <v>75</v>
      </c>
      <c r="D758" s="142"/>
      <c r="E758" s="135"/>
      <c r="F758" s="136"/>
      <c r="G758" s="124">
        <v>583.0</v>
      </c>
      <c r="H758" s="125">
        <v>230.0</v>
      </c>
      <c r="I758" s="125">
        <v>127.0</v>
      </c>
      <c r="J758" s="125">
        <v>81.0</v>
      </c>
      <c r="K758" s="125">
        <v>57.0</v>
      </c>
      <c r="L758" s="125">
        <v>88.0</v>
      </c>
      <c r="M758" s="126">
        <v>72.0</v>
      </c>
      <c r="N758" s="127">
        <v>72.0</v>
      </c>
      <c r="O758" s="146"/>
      <c r="P758" s="138">
        <v>78.0</v>
      </c>
      <c r="Q758" s="137" t="b">
        <v>0</v>
      </c>
      <c r="R758" s="128"/>
      <c r="S758" s="128"/>
      <c r="T758" s="133" t="s">
        <v>492</v>
      </c>
      <c r="U758" s="128"/>
      <c r="V758" s="129"/>
      <c r="W758" s="130" t="s">
        <v>84</v>
      </c>
      <c r="X758" s="130" t="s">
        <v>448</v>
      </c>
      <c r="Y758" s="130" t="s">
        <v>448</v>
      </c>
      <c r="Z758" s="133" t="b">
        <v>1</v>
      </c>
      <c r="AA758" s="145"/>
      <c r="AB758" s="129"/>
      <c r="AC758" s="129"/>
      <c r="AD758" s="147" t="s">
        <v>1568</v>
      </c>
      <c r="AE758" s="129"/>
      <c r="AF758" s="132"/>
      <c r="AG758" s="128" t="b">
        <v>0</v>
      </c>
      <c r="AH758" s="128"/>
      <c r="AI758" s="128"/>
      <c r="AJ758" s="128"/>
      <c r="AK758" s="128"/>
      <c r="AL758" s="129"/>
      <c r="AM758" s="129" t="str">
        <f>IFERROR(__xludf.DUMMYFUNCTION("""COMPUTED_VALUE"""),"Kids Club for Under 4")</f>
        <v>Kids Club for Under 4</v>
      </c>
      <c r="AN758" s="139"/>
    </row>
    <row r="759" hidden="1">
      <c r="A759" s="118" t="s">
        <v>1881</v>
      </c>
      <c r="B759" s="119">
        <v>74.0</v>
      </c>
      <c r="C759" s="120" t="s">
        <v>68</v>
      </c>
      <c r="D759" s="142"/>
      <c r="E759" s="122"/>
      <c r="F759" s="136"/>
      <c r="G759" s="124"/>
      <c r="H759" s="143"/>
      <c r="I759" s="143"/>
      <c r="J759" s="143"/>
      <c r="K759" s="143"/>
      <c r="L759" s="143"/>
      <c r="M759" s="126"/>
      <c r="N759" s="138">
        <v>74.0</v>
      </c>
      <c r="O759" s="127"/>
      <c r="P759" s="127"/>
      <c r="Q759" s="126" t="b">
        <v>0</v>
      </c>
      <c r="R759" s="128"/>
      <c r="S759" s="128"/>
      <c r="T759" s="128"/>
      <c r="U759" s="128"/>
      <c r="V759" s="130" t="s">
        <v>118</v>
      </c>
      <c r="W759" s="130" t="s">
        <v>193</v>
      </c>
      <c r="X759" s="130" t="s">
        <v>1546</v>
      </c>
      <c r="Y759" s="130" t="s">
        <v>1070</v>
      </c>
      <c r="Z759" s="131" t="b">
        <v>1</v>
      </c>
      <c r="AA759" s="131">
        <v>0.027083333333333334</v>
      </c>
      <c r="AB759" s="130"/>
      <c r="AC759" s="130"/>
      <c r="AD759" s="130"/>
      <c r="AE759" s="129"/>
      <c r="AF759" s="132"/>
      <c r="AG759" s="133" t="b">
        <v>0</v>
      </c>
      <c r="AH759" s="133"/>
      <c r="AI759" s="133"/>
      <c r="AJ759" s="133"/>
      <c r="AK759" s="133"/>
      <c r="AL759" s="129"/>
      <c r="AM759" s="129"/>
      <c r="AN759" s="128"/>
    </row>
    <row r="760" hidden="1">
      <c r="A760" s="118" t="s">
        <v>1881</v>
      </c>
      <c r="B760" s="119">
        <v>74.0</v>
      </c>
      <c r="C760" s="134" t="s">
        <v>75</v>
      </c>
      <c r="D760" s="142"/>
      <c r="E760" s="135"/>
      <c r="F760" s="136"/>
      <c r="G760" s="124"/>
      <c r="H760" s="143"/>
      <c r="I760" s="143"/>
      <c r="J760" s="143"/>
      <c r="K760" s="143"/>
      <c r="L760" s="143"/>
      <c r="M760" s="126"/>
      <c r="N760" s="138">
        <v>74.0</v>
      </c>
      <c r="O760" s="127"/>
      <c r="P760" s="127"/>
      <c r="Q760" s="135" t="b">
        <v>0</v>
      </c>
      <c r="R760" s="133"/>
      <c r="S760" s="133"/>
      <c r="T760" s="133"/>
      <c r="U760" s="133"/>
      <c r="V760" s="130" t="s">
        <v>990</v>
      </c>
      <c r="W760" s="130" t="s">
        <v>193</v>
      </c>
      <c r="X760" s="130" t="s">
        <v>1546</v>
      </c>
      <c r="Y760" s="130" t="s">
        <v>1070</v>
      </c>
      <c r="Z760" s="131" t="b">
        <v>1</v>
      </c>
      <c r="AA760" s="131">
        <v>0.027083333333333334</v>
      </c>
      <c r="AB760" s="130"/>
      <c r="AC760" s="130"/>
      <c r="AD760" s="129"/>
      <c r="AE760" s="129"/>
      <c r="AF760" s="132"/>
      <c r="AG760" s="133" t="b">
        <v>0</v>
      </c>
      <c r="AH760" s="133"/>
      <c r="AI760" s="133"/>
      <c r="AJ760" s="133"/>
      <c r="AK760" s="133"/>
      <c r="AL760" s="129"/>
      <c r="AM760" s="129"/>
      <c r="AN760" s="139"/>
    </row>
    <row r="761">
      <c r="A761" s="118" t="s">
        <v>1882</v>
      </c>
      <c r="B761" s="119">
        <v>74.0</v>
      </c>
      <c r="C761" s="134" t="s">
        <v>75</v>
      </c>
      <c r="D761" s="142"/>
      <c r="E761" s="135"/>
      <c r="F761" s="136"/>
      <c r="G761" s="124">
        <v>257.0</v>
      </c>
      <c r="H761" s="125">
        <v>86.0</v>
      </c>
      <c r="I761" s="125">
        <v>82.0</v>
      </c>
      <c r="J761" s="125">
        <v>25.0</v>
      </c>
      <c r="K761" s="125">
        <v>24.0</v>
      </c>
      <c r="L761" s="125">
        <v>40.0</v>
      </c>
      <c r="M761" s="126">
        <v>72.0</v>
      </c>
      <c r="N761" s="127">
        <v>78.0</v>
      </c>
      <c r="O761" s="146"/>
      <c r="P761" s="127">
        <v>72.0</v>
      </c>
      <c r="Q761" s="122" t="b">
        <v>0</v>
      </c>
      <c r="R761" s="128"/>
      <c r="S761" s="128"/>
      <c r="T761" s="128"/>
      <c r="U761" s="128"/>
      <c r="V761" s="130" t="s">
        <v>1883</v>
      </c>
      <c r="W761" s="130" t="s">
        <v>113</v>
      </c>
      <c r="X761" s="130" t="s">
        <v>113</v>
      </c>
      <c r="Y761" s="130" t="s">
        <v>114</v>
      </c>
      <c r="Z761" s="133" t="b">
        <v>1</v>
      </c>
      <c r="AA761" s="145"/>
      <c r="AB761" s="130"/>
      <c r="AC761" s="130"/>
      <c r="AD761" s="129"/>
      <c r="AE761" s="129"/>
      <c r="AF761" s="132"/>
      <c r="AG761" s="128" t="b">
        <v>0</v>
      </c>
      <c r="AH761" s="128"/>
      <c r="AI761" s="128"/>
      <c r="AJ761" s="128"/>
      <c r="AK761" s="128"/>
      <c r="AL761" s="129"/>
      <c r="AM761" s="129"/>
      <c r="AN761" s="139"/>
    </row>
    <row r="762">
      <c r="A762" s="118" t="s">
        <v>1884</v>
      </c>
      <c r="B762" s="119">
        <v>74.0</v>
      </c>
      <c r="C762" s="134" t="s">
        <v>75</v>
      </c>
      <c r="D762" s="142"/>
      <c r="E762" s="135"/>
      <c r="F762" s="136"/>
      <c r="G762" s="124">
        <v>9275.0</v>
      </c>
      <c r="H762" s="125">
        <v>3102.0</v>
      </c>
      <c r="I762" s="125">
        <v>2768.0</v>
      </c>
      <c r="J762" s="125">
        <v>1697.0</v>
      </c>
      <c r="K762" s="125">
        <v>937.0</v>
      </c>
      <c r="L762" s="125">
        <v>772.0</v>
      </c>
      <c r="M762" s="126">
        <v>74.0</v>
      </c>
      <c r="N762" s="127">
        <v>78.0</v>
      </c>
      <c r="O762" s="146"/>
      <c r="P762" s="127">
        <v>70.0</v>
      </c>
      <c r="Q762" s="126" t="b">
        <v>0</v>
      </c>
      <c r="R762" s="128"/>
      <c r="S762" s="128"/>
      <c r="T762" s="133" t="s">
        <v>955</v>
      </c>
      <c r="U762" s="128"/>
      <c r="V762" s="129"/>
      <c r="W762" s="130" t="s">
        <v>341</v>
      </c>
      <c r="X762" s="130" t="s">
        <v>342</v>
      </c>
      <c r="Y762" s="130" t="s">
        <v>343</v>
      </c>
      <c r="Z762" s="133" t="b">
        <v>1</v>
      </c>
      <c r="AA762" s="145"/>
      <c r="AB762" s="129"/>
      <c r="AC762" s="129"/>
      <c r="AD762" s="129"/>
      <c r="AE762" s="129"/>
      <c r="AF762" s="132"/>
      <c r="AG762" s="128" t="b">
        <v>0</v>
      </c>
      <c r="AH762" s="128"/>
      <c r="AI762" s="128"/>
      <c r="AJ762" s="128"/>
      <c r="AK762" s="128"/>
      <c r="AL762" s="129"/>
      <c r="AM762" s="129"/>
      <c r="AN762" s="139"/>
    </row>
    <row r="763">
      <c r="A763" s="118" t="s">
        <v>1885</v>
      </c>
      <c r="B763" s="119">
        <v>74.0</v>
      </c>
      <c r="C763" s="134" t="s">
        <v>75</v>
      </c>
      <c r="D763" s="142"/>
      <c r="E763" s="135"/>
      <c r="F763" s="136"/>
      <c r="G763" s="124">
        <v>4227.0</v>
      </c>
      <c r="H763" s="125">
        <v>878.0</v>
      </c>
      <c r="I763" s="125">
        <v>1736.0</v>
      </c>
      <c r="J763" s="125">
        <v>924.0</v>
      </c>
      <c r="K763" s="125">
        <v>387.0</v>
      </c>
      <c r="L763" s="125">
        <v>303.0</v>
      </c>
      <c r="M763" s="126">
        <v>72.0</v>
      </c>
      <c r="N763" s="138">
        <v>80.0</v>
      </c>
      <c r="O763" s="146"/>
      <c r="P763" s="127">
        <v>70.0</v>
      </c>
      <c r="Q763" s="122" t="b">
        <v>0</v>
      </c>
      <c r="R763" s="133"/>
      <c r="S763" s="143"/>
      <c r="T763" s="133"/>
      <c r="U763" s="133"/>
      <c r="V763" s="130"/>
      <c r="W763" s="130" t="s">
        <v>193</v>
      </c>
      <c r="X763" s="130" t="s">
        <v>225</v>
      </c>
      <c r="Y763" s="130" t="s">
        <v>195</v>
      </c>
      <c r="Z763" s="131" t="b">
        <v>1</v>
      </c>
      <c r="AA763" s="131">
        <v>0.018055555555555554</v>
      </c>
      <c r="AB763" s="130"/>
      <c r="AC763" s="130"/>
      <c r="AD763" s="129" t="s">
        <v>241</v>
      </c>
      <c r="AE763" s="129"/>
      <c r="AF763" s="132"/>
      <c r="AG763" s="143" t="b">
        <v>0</v>
      </c>
      <c r="AH763" s="143"/>
      <c r="AI763" s="143"/>
      <c r="AJ763" s="143"/>
      <c r="AK763" s="143"/>
      <c r="AL763" s="129"/>
      <c r="AM763" s="129" t="str">
        <f>IFERROR(__xludf.DUMMYFUNCTION("""COMPUTED_VALUE"""),"Beach")</f>
        <v>Beach</v>
      </c>
      <c r="AN763" s="139"/>
    </row>
    <row r="764">
      <c r="A764" s="118" t="s">
        <v>1886</v>
      </c>
      <c r="B764" s="119">
        <v>73.7</v>
      </c>
      <c r="C764" s="134" t="s">
        <v>75</v>
      </c>
      <c r="D764" s="142"/>
      <c r="E764" s="135"/>
      <c r="F764" s="136"/>
      <c r="G764" s="124">
        <v>348.0</v>
      </c>
      <c r="H764" s="125">
        <v>166.0</v>
      </c>
      <c r="I764" s="125">
        <v>54.0</v>
      </c>
      <c r="J764" s="125">
        <v>40.0</v>
      </c>
      <c r="K764" s="125">
        <v>28.0</v>
      </c>
      <c r="L764" s="125">
        <v>62.0</v>
      </c>
      <c r="M764" s="126">
        <v>73.0</v>
      </c>
      <c r="N764" s="127">
        <v>76.0</v>
      </c>
      <c r="O764" s="146"/>
      <c r="P764" s="127">
        <v>72.0</v>
      </c>
      <c r="Q764" s="122" t="b">
        <v>0</v>
      </c>
      <c r="R764" s="133"/>
      <c r="S764" s="143"/>
      <c r="T764" s="133"/>
      <c r="U764" s="133"/>
      <c r="V764" s="130"/>
      <c r="W764" s="130" t="s">
        <v>84</v>
      </c>
      <c r="X764" s="130" t="s">
        <v>337</v>
      </c>
      <c r="Y764" s="130" t="s">
        <v>86</v>
      </c>
      <c r="Z764" s="131" t="b">
        <v>1</v>
      </c>
      <c r="AA764" s="131">
        <v>0.05555555555555555</v>
      </c>
      <c r="AB764" s="130"/>
      <c r="AC764" s="130"/>
      <c r="AD764" s="129" t="s">
        <v>241</v>
      </c>
      <c r="AE764" s="129"/>
      <c r="AF764" s="132"/>
      <c r="AG764" s="143" t="b">
        <v>0</v>
      </c>
      <c r="AH764" s="143"/>
      <c r="AI764" s="143"/>
      <c r="AJ764" s="143"/>
      <c r="AK764" s="143"/>
      <c r="AL764" s="129"/>
      <c r="AM764" s="129" t="str">
        <f>IFERROR(__xludf.DUMMYFUNCTION("""COMPUTED_VALUE"""),"Beach")</f>
        <v>Beach</v>
      </c>
      <c r="AN764" s="139"/>
    </row>
    <row r="765">
      <c r="A765" s="140" t="s">
        <v>1887</v>
      </c>
      <c r="B765" s="119">
        <v>73.7</v>
      </c>
      <c r="C765" s="133" t="s">
        <v>75</v>
      </c>
      <c r="D765" s="142"/>
      <c r="E765" s="122"/>
      <c r="F765" s="136"/>
      <c r="G765" s="124">
        <v>1981.0</v>
      </c>
      <c r="H765" s="125">
        <v>435.0</v>
      </c>
      <c r="I765" s="125">
        <v>765.0</v>
      </c>
      <c r="J765" s="125">
        <v>412.0</v>
      </c>
      <c r="K765" s="125">
        <v>190.0</v>
      </c>
      <c r="L765" s="125">
        <v>179.0</v>
      </c>
      <c r="M765" s="126">
        <v>71.0</v>
      </c>
      <c r="N765" s="138">
        <v>82.0</v>
      </c>
      <c r="O765" s="146"/>
      <c r="P765" s="127">
        <v>68.0</v>
      </c>
      <c r="Q765" s="122" t="b">
        <v>0</v>
      </c>
      <c r="R765" s="128"/>
      <c r="S765" s="128"/>
      <c r="T765" s="128"/>
      <c r="U765" s="128"/>
      <c r="V765" s="129"/>
      <c r="W765" s="144" t="s">
        <v>107</v>
      </c>
      <c r="X765" s="144" t="s">
        <v>1888</v>
      </c>
      <c r="Y765" s="144"/>
      <c r="Z765" s="145" t="b">
        <v>0</v>
      </c>
      <c r="AA765" s="145"/>
      <c r="AB765" s="129"/>
      <c r="AC765" s="129"/>
      <c r="AD765" s="129"/>
      <c r="AE765" s="129"/>
      <c r="AF765" s="132"/>
      <c r="AG765" s="143" t="b">
        <v>0</v>
      </c>
      <c r="AH765" s="143"/>
      <c r="AI765" s="143"/>
      <c r="AJ765" s="143"/>
      <c r="AK765" s="143"/>
      <c r="AL765" s="129"/>
      <c r="AM765" s="129"/>
      <c r="AN765" s="139"/>
    </row>
    <row r="766">
      <c r="A766" s="118" t="s">
        <v>1889</v>
      </c>
      <c r="B766" s="119">
        <v>73.3</v>
      </c>
      <c r="C766" s="134" t="s">
        <v>75</v>
      </c>
      <c r="D766" s="121"/>
      <c r="E766" s="135"/>
      <c r="F766" s="136"/>
      <c r="G766" s="124">
        <v>9706.0</v>
      </c>
      <c r="H766" s="125">
        <v>5736.0</v>
      </c>
      <c r="I766" s="125">
        <v>1950.0</v>
      </c>
      <c r="J766" s="125">
        <v>988.0</v>
      </c>
      <c r="K766" s="125">
        <v>473.0</v>
      </c>
      <c r="L766" s="125">
        <v>567.0</v>
      </c>
      <c r="M766" s="126">
        <v>84.0</v>
      </c>
      <c r="N766" s="127">
        <v>64.0</v>
      </c>
      <c r="O766" s="146"/>
      <c r="P766" s="138">
        <v>72.0</v>
      </c>
      <c r="Q766" s="122" t="b">
        <v>0</v>
      </c>
      <c r="R766" s="133"/>
      <c r="S766" s="143"/>
      <c r="T766" s="133"/>
      <c r="U766" s="133"/>
      <c r="V766" s="130"/>
      <c r="W766" s="130" t="s">
        <v>84</v>
      </c>
      <c r="X766" s="130" t="s">
        <v>86</v>
      </c>
      <c r="Y766" s="130" t="s">
        <v>86</v>
      </c>
      <c r="Z766" s="131" t="b">
        <v>1</v>
      </c>
      <c r="AA766" s="131"/>
      <c r="AB766" s="130"/>
      <c r="AC766" s="130"/>
      <c r="AD766" s="129"/>
      <c r="AE766" s="129"/>
      <c r="AF766" s="132"/>
      <c r="AG766" s="143" t="b">
        <v>1</v>
      </c>
      <c r="AH766" s="143"/>
      <c r="AI766" s="143"/>
      <c r="AJ766" s="143"/>
      <c r="AK766" s="143"/>
      <c r="AL766" s="129"/>
      <c r="AM766" s="129"/>
      <c r="AN766" s="139"/>
    </row>
    <row r="767">
      <c r="A767" s="118" t="s">
        <v>1890</v>
      </c>
      <c r="B767" s="119">
        <v>73.3</v>
      </c>
      <c r="C767" s="134" t="s">
        <v>75</v>
      </c>
      <c r="D767" s="142"/>
      <c r="E767" s="135"/>
      <c r="F767" s="136"/>
      <c r="G767" s="124">
        <v>1002.0</v>
      </c>
      <c r="H767" s="125">
        <v>466.0</v>
      </c>
      <c r="I767" s="125">
        <v>193.0</v>
      </c>
      <c r="J767" s="125">
        <v>139.0</v>
      </c>
      <c r="K767" s="125">
        <v>67.0</v>
      </c>
      <c r="L767" s="125">
        <v>137.0</v>
      </c>
      <c r="M767" s="126">
        <v>76.0</v>
      </c>
      <c r="N767" s="127">
        <v>76.0</v>
      </c>
      <c r="O767" s="146"/>
      <c r="P767" s="127">
        <v>68.0</v>
      </c>
      <c r="Q767" s="122" t="b">
        <v>0</v>
      </c>
      <c r="R767" s="133"/>
      <c r="S767" s="143"/>
      <c r="T767" s="133"/>
      <c r="U767" s="133"/>
      <c r="V767" s="129"/>
      <c r="W767" s="130" t="s">
        <v>193</v>
      </c>
      <c r="X767" s="130" t="s">
        <v>1891</v>
      </c>
      <c r="Y767" s="130" t="s">
        <v>195</v>
      </c>
      <c r="Z767" s="131" t="b">
        <v>1</v>
      </c>
      <c r="AA767" s="131">
        <v>0.07430555555555556</v>
      </c>
      <c r="AB767" s="129"/>
      <c r="AC767" s="129"/>
      <c r="AD767" s="129"/>
      <c r="AE767" s="129"/>
      <c r="AF767" s="132"/>
      <c r="AG767" s="143" t="b">
        <v>0</v>
      </c>
      <c r="AH767" s="143"/>
      <c r="AI767" s="143"/>
      <c r="AJ767" s="143"/>
      <c r="AK767" s="143"/>
      <c r="AL767" s="129"/>
      <c r="AM767" s="129"/>
      <c r="AN767" s="139"/>
    </row>
    <row r="768">
      <c r="A768" s="130" t="s">
        <v>1892</v>
      </c>
      <c r="B768" s="119">
        <v>73.0</v>
      </c>
      <c r="C768" s="133" t="s">
        <v>75</v>
      </c>
      <c r="D768" s="142"/>
      <c r="E768" s="135"/>
      <c r="F768" s="136"/>
      <c r="G768" s="124">
        <v>0.0</v>
      </c>
      <c r="H768" s="155"/>
      <c r="I768" s="155"/>
      <c r="J768" s="155"/>
      <c r="K768" s="155"/>
      <c r="L768" s="155"/>
      <c r="M768" s="126"/>
      <c r="N768" s="138">
        <v>80.0</v>
      </c>
      <c r="O768" s="127"/>
      <c r="P768" s="138">
        <v>66.0</v>
      </c>
      <c r="Q768" s="135" t="b">
        <v>0</v>
      </c>
      <c r="R768" s="133"/>
      <c r="S768" s="133"/>
      <c r="T768" s="133"/>
      <c r="U768" s="133"/>
      <c r="V768" s="130" t="s">
        <v>479</v>
      </c>
      <c r="W768" s="130" t="s">
        <v>84</v>
      </c>
      <c r="X768" s="130" t="s">
        <v>85</v>
      </c>
      <c r="Y768" s="130" t="s">
        <v>86</v>
      </c>
      <c r="Z768" s="131" t="b">
        <v>1</v>
      </c>
      <c r="AA768" s="131">
        <v>0.029861111111111113</v>
      </c>
      <c r="AB768" s="130"/>
      <c r="AC768" s="130"/>
      <c r="AD768" s="129" t="s">
        <v>241</v>
      </c>
      <c r="AE768" s="129"/>
      <c r="AF768" s="132"/>
      <c r="AG768" s="133" t="b">
        <v>0</v>
      </c>
      <c r="AH768" s="133"/>
      <c r="AI768" s="133"/>
      <c r="AJ768" s="133"/>
      <c r="AK768" s="133"/>
      <c r="AL768" s="129"/>
      <c r="AM768" s="129" t="str">
        <f>IFERROR(__xludf.DUMMYFUNCTION("""COMPUTED_VALUE"""),"Beach")</f>
        <v>Beach</v>
      </c>
      <c r="AN768" s="139"/>
    </row>
    <row r="769">
      <c r="A769" s="118" t="s">
        <v>1893</v>
      </c>
      <c r="B769" s="119">
        <v>73.0</v>
      </c>
      <c r="C769" s="134" t="s">
        <v>75</v>
      </c>
      <c r="D769" s="142"/>
      <c r="E769" s="135"/>
      <c r="F769" s="136"/>
      <c r="G769" s="124">
        <v>1356.0</v>
      </c>
      <c r="H769" s="125">
        <v>411.0</v>
      </c>
      <c r="I769" s="125">
        <v>422.0</v>
      </c>
      <c r="J769" s="125">
        <v>263.0</v>
      </c>
      <c r="K769" s="125">
        <v>127.0</v>
      </c>
      <c r="L769" s="125">
        <v>134.0</v>
      </c>
      <c r="M769" s="126">
        <v>73.0</v>
      </c>
      <c r="N769" s="127">
        <v>74.0</v>
      </c>
      <c r="O769" s="146"/>
      <c r="P769" s="138">
        <v>72.0</v>
      </c>
      <c r="Q769" s="122" t="b">
        <v>0</v>
      </c>
      <c r="R769" s="133"/>
      <c r="S769" s="143"/>
      <c r="T769" s="133"/>
      <c r="U769" s="133"/>
      <c r="V769" s="129"/>
      <c r="W769" s="130" t="s">
        <v>219</v>
      </c>
      <c r="X769" s="130" t="s">
        <v>220</v>
      </c>
      <c r="Y769" s="130" t="s">
        <v>221</v>
      </c>
      <c r="Z769" s="131" t="b">
        <v>1</v>
      </c>
      <c r="AA769" s="131">
        <v>0.08263888888888889</v>
      </c>
      <c r="AB769" s="129"/>
      <c r="AC769" s="129"/>
      <c r="AD769" s="129" t="s">
        <v>241</v>
      </c>
      <c r="AE769" s="129"/>
      <c r="AF769" s="132"/>
      <c r="AG769" s="143" t="b">
        <v>0</v>
      </c>
      <c r="AH769" s="143"/>
      <c r="AI769" s="143"/>
      <c r="AJ769" s="143"/>
      <c r="AK769" s="143"/>
      <c r="AL769" s="129"/>
      <c r="AM769" s="129" t="str">
        <f>IFERROR(__xludf.DUMMYFUNCTION("""COMPUTED_VALUE"""),"Beach")</f>
        <v>Beach</v>
      </c>
      <c r="AN769" s="139"/>
    </row>
    <row r="770">
      <c r="A770" s="118" t="s">
        <v>1894</v>
      </c>
      <c r="B770" s="119">
        <v>73.0</v>
      </c>
      <c r="C770" s="120" t="s">
        <v>68</v>
      </c>
      <c r="D770" s="142"/>
      <c r="E770" s="122"/>
      <c r="F770" s="136"/>
      <c r="G770" s="124">
        <v>13.0</v>
      </c>
      <c r="H770" s="125">
        <v>5.0</v>
      </c>
      <c r="I770" s="125">
        <v>1.0</v>
      </c>
      <c r="J770" s="125">
        <v>3.0</v>
      </c>
      <c r="K770" s="125">
        <v>0.0</v>
      </c>
      <c r="L770" s="125">
        <v>4.0</v>
      </c>
      <c r="M770" s="126">
        <v>65.0</v>
      </c>
      <c r="N770" s="127">
        <v>80.0</v>
      </c>
      <c r="O770" s="127"/>
      <c r="P770" s="138">
        <v>74.0</v>
      </c>
      <c r="Q770" s="126" t="b">
        <v>0</v>
      </c>
      <c r="R770" s="128"/>
      <c r="S770" s="128">
        <v>6.0</v>
      </c>
      <c r="T770" s="128"/>
      <c r="U770" s="128"/>
      <c r="V770" s="130" t="s">
        <v>842</v>
      </c>
      <c r="W770" s="130" t="s">
        <v>193</v>
      </c>
      <c r="X770" s="130" t="s">
        <v>1546</v>
      </c>
      <c r="Y770" s="130" t="s">
        <v>1070</v>
      </c>
      <c r="Z770" s="133" t="b">
        <v>1</v>
      </c>
      <c r="AA770" s="145"/>
      <c r="AB770" s="130"/>
      <c r="AC770" s="130"/>
      <c r="AD770" s="144"/>
      <c r="AE770" s="129"/>
      <c r="AF770" s="132"/>
      <c r="AG770" s="143" t="b">
        <v>0</v>
      </c>
      <c r="AH770" s="143">
        <v>88.0</v>
      </c>
      <c r="AI770" s="143"/>
      <c r="AJ770" s="143"/>
      <c r="AK770" s="143">
        <v>3.0</v>
      </c>
      <c r="AL770" s="129"/>
      <c r="AM770" s="129"/>
      <c r="AN770" s="128"/>
    </row>
    <row r="771">
      <c r="A771" s="118" t="s">
        <v>1895</v>
      </c>
      <c r="B771" s="119">
        <v>72.7</v>
      </c>
      <c r="C771" s="134" t="s">
        <v>75</v>
      </c>
      <c r="D771" s="142"/>
      <c r="E771" s="135"/>
      <c r="F771" s="136"/>
      <c r="G771" s="124">
        <v>6569.0</v>
      </c>
      <c r="H771" s="125">
        <v>2857.0</v>
      </c>
      <c r="I771" s="125">
        <v>1524.0</v>
      </c>
      <c r="J771" s="125">
        <v>967.0</v>
      </c>
      <c r="K771" s="125">
        <v>527.0</v>
      </c>
      <c r="L771" s="125">
        <v>697.0</v>
      </c>
      <c r="M771" s="126">
        <v>76.0</v>
      </c>
      <c r="N771" s="127">
        <v>76.0</v>
      </c>
      <c r="O771" s="146"/>
      <c r="P771" s="127">
        <v>66.0</v>
      </c>
      <c r="Q771" s="122" t="b">
        <v>0</v>
      </c>
      <c r="R771" s="133"/>
      <c r="S771" s="143"/>
      <c r="T771" s="133"/>
      <c r="U771" s="133"/>
      <c r="V771" s="130"/>
      <c r="W771" s="130" t="s">
        <v>84</v>
      </c>
      <c r="X771" s="130" t="s">
        <v>86</v>
      </c>
      <c r="Y771" s="130" t="s">
        <v>86</v>
      </c>
      <c r="Z771" s="131" t="b">
        <v>1</v>
      </c>
      <c r="AA771" s="131">
        <v>0.017361111111111112</v>
      </c>
      <c r="AB771" s="130"/>
      <c r="AC771" s="130"/>
      <c r="AD771" s="129" t="s">
        <v>241</v>
      </c>
      <c r="AE771" s="129"/>
      <c r="AF771" s="132"/>
      <c r="AG771" s="143" t="b">
        <v>0</v>
      </c>
      <c r="AH771" s="143"/>
      <c r="AI771" s="143"/>
      <c r="AJ771" s="143"/>
      <c r="AK771" s="143"/>
      <c r="AL771" s="129"/>
      <c r="AM771" s="129" t="str">
        <f>IFERROR(__xludf.DUMMYFUNCTION("""COMPUTED_VALUE"""),"Beach")</f>
        <v>Beach</v>
      </c>
      <c r="AN771" s="139"/>
    </row>
    <row r="772">
      <c r="A772" s="118" t="s">
        <v>1896</v>
      </c>
      <c r="B772" s="119">
        <v>72.7</v>
      </c>
      <c r="C772" s="120" t="s">
        <v>68</v>
      </c>
      <c r="D772" s="142"/>
      <c r="E772" s="122"/>
      <c r="F772" s="136"/>
      <c r="G772" s="124">
        <v>7240.0</v>
      </c>
      <c r="H772" s="125">
        <v>2695.0</v>
      </c>
      <c r="I772" s="125">
        <v>1857.0</v>
      </c>
      <c r="J772" s="125">
        <v>1221.0</v>
      </c>
      <c r="K772" s="125">
        <v>765.0</v>
      </c>
      <c r="L772" s="125">
        <v>706.0</v>
      </c>
      <c r="M772" s="126">
        <v>74.0</v>
      </c>
      <c r="N772" s="138">
        <v>76.0</v>
      </c>
      <c r="O772" s="127"/>
      <c r="P772" s="138">
        <v>68.0</v>
      </c>
      <c r="Q772" s="126" t="b">
        <v>0</v>
      </c>
      <c r="R772" s="128"/>
      <c r="S772" s="128"/>
      <c r="T772" s="133" t="s">
        <v>492</v>
      </c>
      <c r="U772" s="128"/>
      <c r="V772" s="129"/>
      <c r="W772" s="130" t="s">
        <v>84</v>
      </c>
      <c r="X772" s="130" t="s">
        <v>448</v>
      </c>
      <c r="Y772" s="130" t="s">
        <v>448</v>
      </c>
      <c r="Z772" s="133" t="b">
        <v>1</v>
      </c>
      <c r="AA772" s="145"/>
      <c r="AB772" s="130" t="s">
        <v>50</v>
      </c>
      <c r="AC772" s="130"/>
      <c r="AD772" s="144" t="s">
        <v>1729</v>
      </c>
      <c r="AE772" s="129"/>
      <c r="AF772" s="132"/>
      <c r="AG772" s="143" t="b">
        <v>0</v>
      </c>
      <c r="AH772" s="143"/>
      <c r="AI772" s="143"/>
      <c r="AJ772" s="143"/>
      <c r="AK772" s="143"/>
      <c r="AL772" s="129"/>
      <c r="AM772" s="129" t="str">
        <f>IFERROR(__xludf.DUMMYFUNCTION("""COMPUTED_VALUE"""),"Great Food")</f>
        <v>Great Food</v>
      </c>
      <c r="AN772" s="128"/>
    </row>
    <row r="773">
      <c r="A773" s="118" t="s">
        <v>1897</v>
      </c>
      <c r="B773" s="119">
        <v>72.5</v>
      </c>
      <c r="C773" s="120" t="s">
        <v>68</v>
      </c>
      <c r="D773" s="142"/>
      <c r="E773" s="122"/>
      <c r="F773" s="136"/>
      <c r="G773" s="152">
        <v>1420.0</v>
      </c>
      <c r="H773" s="125">
        <v>517.0</v>
      </c>
      <c r="I773" s="125">
        <v>445.0</v>
      </c>
      <c r="J773" s="125">
        <v>209.0</v>
      </c>
      <c r="K773" s="125">
        <v>116.0</v>
      </c>
      <c r="L773" s="125">
        <v>133.0</v>
      </c>
      <c r="M773" s="126">
        <v>75.0</v>
      </c>
      <c r="N773" s="127">
        <v>70.0</v>
      </c>
      <c r="O773" s="127"/>
      <c r="P773" s="127"/>
      <c r="Q773" s="126" t="b">
        <v>0</v>
      </c>
      <c r="R773" s="128"/>
      <c r="S773" s="128"/>
      <c r="T773" s="128"/>
      <c r="U773" s="128"/>
      <c r="V773" s="130"/>
      <c r="W773" s="130" t="s">
        <v>219</v>
      </c>
      <c r="X773" s="130" t="s">
        <v>1293</v>
      </c>
      <c r="Y773" s="144" t="s">
        <v>221</v>
      </c>
      <c r="Z773" s="133" t="b">
        <v>1</v>
      </c>
      <c r="AA773" s="145"/>
      <c r="AB773" s="130"/>
      <c r="AC773" s="130"/>
      <c r="AD773" s="144"/>
      <c r="AE773" s="129"/>
      <c r="AF773" s="132"/>
      <c r="AG773" s="143" t="b">
        <v>0</v>
      </c>
      <c r="AH773" s="143"/>
      <c r="AI773" s="143"/>
      <c r="AJ773" s="143"/>
      <c r="AK773" s="143"/>
      <c r="AL773" s="129"/>
      <c r="AM773" s="129"/>
      <c r="AN773" s="128"/>
    </row>
    <row r="774">
      <c r="A774" s="140" t="s">
        <v>1898</v>
      </c>
      <c r="B774" s="119">
        <v>72.3</v>
      </c>
      <c r="C774" s="133" t="s">
        <v>75</v>
      </c>
      <c r="D774" s="142"/>
      <c r="E774" s="122"/>
      <c r="F774" s="136"/>
      <c r="G774" s="124">
        <v>2463.0</v>
      </c>
      <c r="H774" s="125">
        <v>443.0</v>
      </c>
      <c r="I774" s="125">
        <v>720.0</v>
      </c>
      <c r="J774" s="125">
        <v>798.0</v>
      </c>
      <c r="K774" s="125">
        <v>270.0</v>
      </c>
      <c r="L774" s="125">
        <v>232.0</v>
      </c>
      <c r="M774" s="126">
        <v>67.0</v>
      </c>
      <c r="N774" s="127">
        <v>84.0</v>
      </c>
      <c r="O774" s="146"/>
      <c r="P774" s="127">
        <v>66.0</v>
      </c>
      <c r="Q774" s="122" t="b">
        <v>0</v>
      </c>
      <c r="R774" s="128"/>
      <c r="S774" s="128"/>
      <c r="T774" s="128"/>
      <c r="U774" s="128"/>
      <c r="V774" s="144"/>
      <c r="W774" s="130" t="s">
        <v>1119</v>
      </c>
      <c r="X774" s="130" t="s">
        <v>1120</v>
      </c>
      <c r="Y774" s="130" t="s">
        <v>1121</v>
      </c>
      <c r="Z774" s="145" t="b">
        <v>0</v>
      </c>
      <c r="AA774" s="145"/>
      <c r="AB774" s="144"/>
      <c r="AC774" s="144"/>
      <c r="AD774" s="129"/>
      <c r="AE774" s="129"/>
      <c r="AF774" s="132"/>
      <c r="AG774" s="143" t="b">
        <v>0</v>
      </c>
      <c r="AH774" s="143"/>
      <c r="AI774" s="143"/>
      <c r="AJ774" s="143"/>
      <c r="AK774" s="143"/>
      <c r="AL774" s="129"/>
      <c r="AM774" s="129"/>
      <c r="AN774" s="139"/>
    </row>
    <row r="775" hidden="1">
      <c r="A775" s="118" t="s">
        <v>1899</v>
      </c>
      <c r="B775" s="119"/>
      <c r="C775" s="120" t="s">
        <v>68</v>
      </c>
      <c r="D775" s="142"/>
      <c r="E775" s="122"/>
      <c r="F775" s="136"/>
      <c r="G775" s="152"/>
      <c r="H775" s="133"/>
      <c r="I775" s="133"/>
      <c r="J775" s="133"/>
      <c r="K775" s="133"/>
      <c r="L775" s="133"/>
      <c r="M775" s="137"/>
      <c r="N775" s="127"/>
      <c r="O775" s="127"/>
      <c r="P775" s="138"/>
      <c r="Q775" s="126"/>
      <c r="R775" s="128"/>
      <c r="S775" s="128"/>
      <c r="T775" s="128"/>
      <c r="U775" s="128"/>
      <c r="V775" s="130" t="s">
        <v>118</v>
      </c>
      <c r="W775" s="130" t="s">
        <v>193</v>
      </c>
      <c r="X775" s="129"/>
      <c r="Y775" s="129"/>
      <c r="Z775" s="131" t="b">
        <v>0</v>
      </c>
      <c r="AA775" s="131">
        <v>0.14305555555555555</v>
      </c>
      <c r="AB775" s="130"/>
      <c r="AC775" s="130"/>
      <c r="AD775" s="130"/>
      <c r="AE775" s="129"/>
      <c r="AF775" s="132"/>
      <c r="AG775" s="133" t="b">
        <v>0</v>
      </c>
      <c r="AH775" s="133"/>
      <c r="AI775" s="133"/>
      <c r="AJ775" s="133"/>
      <c r="AK775" s="133"/>
      <c r="AL775" s="129"/>
      <c r="AM775" s="129"/>
      <c r="AN775" s="128"/>
    </row>
    <row r="776" hidden="1">
      <c r="A776" s="118" t="s">
        <v>1900</v>
      </c>
      <c r="B776" s="119"/>
      <c r="C776" s="120" t="s">
        <v>68</v>
      </c>
      <c r="D776" s="142"/>
      <c r="E776" s="122"/>
      <c r="F776" s="136"/>
      <c r="G776" s="152"/>
      <c r="H776" s="133"/>
      <c r="I776" s="133"/>
      <c r="J776" s="133"/>
      <c r="K776" s="133"/>
      <c r="L776" s="133"/>
      <c r="M776" s="137"/>
      <c r="N776" s="127"/>
      <c r="O776" s="127"/>
      <c r="P776" s="127"/>
      <c r="Q776" s="126"/>
      <c r="R776" s="128"/>
      <c r="S776" s="128"/>
      <c r="T776" s="128"/>
      <c r="U776" s="128"/>
      <c r="V776" s="130" t="s">
        <v>118</v>
      </c>
      <c r="W776" s="130" t="s">
        <v>84</v>
      </c>
      <c r="X776" s="130" t="s">
        <v>85</v>
      </c>
      <c r="Y776" s="130" t="s">
        <v>86</v>
      </c>
      <c r="Z776" s="131" t="b">
        <v>1</v>
      </c>
      <c r="AA776" s="131">
        <v>0.03125</v>
      </c>
      <c r="AB776" s="130"/>
      <c r="AC776" s="130"/>
      <c r="AD776" s="130" t="s">
        <v>241</v>
      </c>
      <c r="AE776" s="129"/>
      <c r="AF776" s="132"/>
      <c r="AG776" s="133" t="b">
        <v>0</v>
      </c>
      <c r="AH776" s="133"/>
      <c r="AI776" s="133"/>
      <c r="AJ776" s="133"/>
      <c r="AK776" s="133"/>
      <c r="AL776" s="129"/>
      <c r="AM776" s="129" t="str">
        <f>IFERROR(__xludf.DUMMYFUNCTION("""COMPUTED_VALUE"""),"Beach")</f>
        <v>Beach</v>
      </c>
      <c r="AN776" s="128"/>
    </row>
    <row r="777" hidden="1">
      <c r="A777" s="118" t="s">
        <v>1899</v>
      </c>
      <c r="B777" s="119"/>
      <c r="C777" s="134" t="s">
        <v>75</v>
      </c>
      <c r="D777" s="142"/>
      <c r="E777" s="135"/>
      <c r="F777" s="136"/>
      <c r="G777" s="124"/>
      <c r="H777" s="133"/>
      <c r="I777" s="133"/>
      <c r="J777" s="133"/>
      <c r="K777" s="133"/>
      <c r="L777" s="133"/>
      <c r="M777" s="137"/>
      <c r="N777" s="127"/>
      <c r="O777" s="127"/>
      <c r="P777" s="138"/>
      <c r="Q777" s="135"/>
      <c r="R777" s="133"/>
      <c r="S777" s="133"/>
      <c r="T777" s="133"/>
      <c r="U777" s="133"/>
      <c r="V777" s="130" t="s">
        <v>118</v>
      </c>
      <c r="W777" s="130" t="s">
        <v>193</v>
      </c>
      <c r="X777" s="129"/>
      <c r="Y777" s="129"/>
      <c r="Z777" s="131" t="b">
        <v>0</v>
      </c>
      <c r="AA777" s="131">
        <v>0.14305555555555555</v>
      </c>
      <c r="AB777" s="130"/>
      <c r="AC777" s="130"/>
      <c r="AD777" s="129"/>
      <c r="AE777" s="129"/>
      <c r="AF777" s="132"/>
      <c r="AG777" s="133" t="b">
        <v>0</v>
      </c>
      <c r="AH777" s="133"/>
      <c r="AI777" s="133"/>
      <c r="AJ777" s="133"/>
      <c r="AK777" s="133"/>
      <c r="AL777" s="129"/>
      <c r="AM777" s="129"/>
      <c r="AN777" s="139"/>
    </row>
    <row r="778" hidden="1">
      <c r="A778" s="118" t="s">
        <v>1900</v>
      </c>
      <c r="B778" s="119"/>
      <c r="C778" s="134" t="s">
        <v>75</v>
      </c>
      <c r="D778" s="142"/>
      <c r="E778" s="135"/>
      <c r="F778" s="136"/>
      <c r="G778" s="124"/>
      <c r="H778" s="133"/>
      <c r="I778" s="133"/>
      <c r="J778" s="133"/>
      <c r="K778" s="133"/>
      <c r="L778" s="133"/>
      <c r="M778" s="137"/>
      <c r="N778" s="127"/>
      <c r="O778" s="127"/>
      <c r="P778" s="127"/>
      <c r="Q778" s="135"/>
      <c r="R778" s="133"/>
      <c r="S778" s="133"/>
      <c r="T778" s="133"/>
      <c r="U778" s="133"/>
      <c r="V778" s="130" t="s">
        <v>118</v>
      </c>
      <c r="W778" s="130" t="s">
        <v>84</v>
      </c>
      <c r="X778" s="130" t="s">
        <v>85</v>
      </c>
      <c r="Y778" s="130" t="s">
        <v>86</v>
      </c>
      <c r="Z778" s="131" t="b">
        <v>1</v>
      </c>
      <c r="AA778" s="131">
        <v>0.03125</v>
      </c>
      <c r="AB778" s="130"/>
      <c r="AC778" s="130"/>
      <c r="AD778" s="129" t="s">
        <v>241</v>
      </c>
      <c r="AE778" s="129"/>
      <c r="AF778" s="132"/>
      <c r="AG778" s="133" t="b">
        <v>0</v>
      </c>
      <c r="AH778" s="133"/>
      <c r="AI778" s="133"/>
      <c r="AJ778" s="133"/>
      <c r="AK778" s="133"/>
      <c r="AL778" s="129"/>
      <c r="AM778" s="129" t="str">
        <f>IFERROR(__xludf.DUMMYFUNCTION("""COMPUTED_VALUE"""),"Beach")</f>
        <v>Beach</v>
      </c>
      <c r="AN778" s="139"/>
    </row>
    <row r="779" hidden="1">
      <c r="A779" s="118" t="s">
        <v>1901</v>
      </c>
      <c r="B779" s="119">
        <v>78.0</v>
      </c>
      <c r="C779" s="120" t="s">
        <v>68</v>
      </c>
      <c r="D779" s="142"/>
      <c r="E779" s="122"/>
      <c r="F779" s="136"/>
      <c r="G779" s="124"/>
      <c r="H779" s="133"/>
      <c r="I779" s="133"/>
      <c r="J779" s="133"/>
      <c r="K779" s="133"/>
      <c r="L779" s="133"/>
      <c r="M779" s="137"/>
      <c r="N779" s="138">
        <v>78.0</v>
      </c>
      <c r="O779" s="127"/>
      <c r="P779" s="127"/>
      <c r="Q779" s="126" t="b">
        <v>0</v>
      </c>
      <c r="R779" s="128"/>
      <c r="S779" s="128"/>
      <c r="T779" s="128"/>
      <c r="U779" s="128"/>
      <c r="V779" s="130" t="s">
        <v>118</v>
      </c>
      <c r="W779" s="130" t="s">
        <v>193</v>
      </c>
      <c r="X779" s="130" t="s">
        <v>1546</v>
      </c>
      <c r="Y779" s="130" t="s">
        <v>1070</v>
      </c>
      <c r="Z779" s="131" t="b">
        <v>1</v>
      </c>
      <c r="AA779" s="131">
        <v>0.027777777777777776</v>
      </c>
      <c r="AB779" s="130"/>
      <c r="AC779" s="130"/>
      <c r="AD779" s="130"/>
      <c r="AE779" s="129"/>
      <c r="AF779" s="132"/>
      <c r="AG779" s="133" t="b">
        <v>0</v>
      </c>
      <c r="AH779" s="133"/>
      <c r="AI779" s="133"/>
      <c r="AJ779" s="133"/>
      <c r="AK779" s="133"/>
      <c r="AL779" s="129"/>
      <c r="AM779" s="129"/>
      <c r="AN779" s="128"/>
    </row>
    <row r="780" hidden="1">
      <c r="A780" s="118" t="s">
        <v>1902</v>
      </c>
      <c r="B780" s="119">
        <v>78.0</v>
      </c>
      <c r="C780" s="120" t="s">
        <v>68</v>
      </c>
      <c r="D780" s="142"/>
      <c r="E780" s="122"/>
      <c r="F780" s="136"/>
      <c r="G780" s="124"/>
      <c r="H780" s="133"/>
      <c r="I780" s="133"/>
      <c r="J780" s="133"/>
      <c r="K780" s="133"/>
      <c r="L780" s="133"/>
      <c r="M780" s="137"/>
      <c r="N780" s="138">
        <v>78.0</v>
      </c>
      <c r="O780" s="127"/>
      <c r="P780" s="127"/>
      <c r="Q780" s="126" t="b">
        <v>0</v>
      </c>
      <c r="R780" s="128"/>
      <c r="S780" s="128"/>
      <c r="T780" s="128"/>
      <c r="U780" s="128"/>
      <c r="V780" s="130" t="s">
        <v>118</v>
      </c>
      <c r="W780" s="130" t="s">
        <v>219</v>
      </c>
      <c r="X780" s="129"/>
      <c r="Y780" s="129"/>
      <c r="Z780" s="145" t="b">
        <v>0</v>
      </c>
      <c r="AA780" s="145"/>
      <c r="AB780" s="130"/>
      <c r="AC780" s="130"/>
      <c r="AD780" s="130"/>
      <c r="AE780" s="129"/>
      <c r="AF780" s="132"/>
      <c r="AG780" s="133" t="b">
        <v>0</v>
      </c>
      <c r="AH780" s="133"/>
      <c r="AI780" s="133"/>
      <c r="AJ780" s="133"/>
      <c r="AK780" s="133"/>
      <c r="AL780" s="129"/>
      <c r="AM780" s="129"/>
      <c r="AN780" s="128"/>
    </row>
    <row r="781" hidden="1">
      <c r="A781" s="118" t="s">
        <v>1902</v>
      </c>
      <c r="B781" s="119">
        <v>78.0</v>
      </c>
      <c r="C781" s="134" t="s">
        <v>75</v>
      </c>
      <c r="D781" s="142"/>
      <c r="E781" s="135"/>
      <c r="F781" s="136"/>
      <c r="G781" s="124"/>
      <c r="H781" s="133"/>
      <c r="I781" s="133"/>
      <c r="J781" s="133"/>
      <c r="K781" s="133"/>
      <c r="L781" s="133"/>
      <c r="M781" s="137"/>
      <c r="N781" s="138">
        <v>78.0</v>
      </c>
      <c r="O781" s="127"/>
      <c r="P781" s="127"/>
      <c r="Q781" s="135" t="b">
        <v>0</v>
      </c>
      <c r="R781" s="133"/>
      <c r="S781" s="133"/>
      <c r="T781" s="133"/>
      <c r="U781" s="133"/>
      <c r="V781" s="130" t="s">
        <v>118</v>
      </c>
      <c r="W781" s="130" t="s">
        <v>219</v>
      </c>
      <c r="X781" s="129"/>
      <c r="Y781" s="129"/>
      <c r="Z781" s="145" t="b">
        <v>0</v>
      </c>
      <c r="AA781" s="145"/>
      <c r="AB781" s="130"/>
      <c r="AC781" s="130"/>
      <c r="AD781" s="129"/>
      <c r="AE781" s="129"/>
      <c r="AF781" s="132"/>
      <c r="AG781" s="133" t="b">
        <v>0</v>
      </c>
      <c r="AH781" s="133"/>
      <c r="AI781" s="133"/>
      <c r="AJ781" s="133"/>
      <c r="AK781" s="133"/>
      <c r="AL781" s="129"/>
      <c r="AM781" s="129"/>
      <c r="AN781" s="139"/>
    </row>
    <row r="782" hidden="1">
      <c r="A782" s="118" t="s">
        <v>1901</v>
      </c>
      <c r="B782" s="119">
        <v>78.0</v>
      </c>
      <c r="C782" s="134" t="s">
        <v>75</v>
      </c>
      <c r="D782" s="142"/>
      <c r="E782" s="135"/>
      <c r="F782" s="136"/>
      <c r="G782" s="124"/>
      <c r="H782" s="133"/>
      <c r="I782" s="133"/>
      <c r="J782" s="133"/>
      <c r="K782" s="133"/>
      <c r="L782" s="133"/>
      <c r="M782" s="137"/>
      <c r="N782" s="138">
        <v>78.0</v>
      </c>
      <c r="O782" s="127"/>
      <c r="P782" s="127"/>
      <c r="Q782" s="135" t="b">
        <v>0</v>
      </c>
      <c r="R782" s="133"/>
      <c r="S782" s="133"/>
      <c r="T782" s="133"/>
      <c r="U782" s="133"/>
      <c r="V782" s="130" t="s">
        <v>990</v>
      </c>
      <c r="W782" s="130" t="s">
        <v>193</v>
      </c>
      <c r="X782" s="130" t="s">
        <v>1546</v>
      </c>
      <c r="Y782" s="130" t="s">
        <v>1070</v>
      </c>
      <c r="Z782" s="131" t="b">
        <v>1</v>
      </c>
      <c r="AA782" s="131">
        <v>0.027777777777777776</v>
      </c>
      <c r="AB782" s="130"/>
      <c r="AC782" s="130"/>
      <c r="AD782" s="129"/>
      <c r="AE782" s="129"/>
      <c r="AF782" s="132"/>
      <c r="AG782" s="133" t="b">
        <v>0</v>
      </c>
      <c r="AH782" s="133"/>
      <c r="AI782" s="133"/>
      <c r="AJ782" s="133"/>
      <c r="AK782" s="133"/>
      <c r="AL782" s="129"/>
      <c r="AM782" s="129"/>
      <c r="AN782" s="139"/>
    </row>
    <row r="783">
      <c r="A783" s="118" t="s">
        <v>1903</v>
      </c>
      <c r="B783" s="119">
        <v>72.0</v>
      </c>
      <c r="C783" s="134" t="s">
        <v>75</v>
      </c>
      <c r="D783" s="142"/>
      <c r="E783" s="135"/>
      <c r="F783" s="136"/>
      <c r="G783" s="124">
        <v>3977.0</v>
      </c>
      <c r="H783" s="125">
        <v>1389.0</v>
      </c>
      <c r="I783" s="125">
        <v>1503.0</v>
      </c>
      <c r="J783" s="125">
        <v>550.0</v>
      </c>
      <c r="K783" s="125">
        <v>276.0</v>
      </c>
      <c r="L783" s="125">
        <v>260.0</v>
      </c>
      <c r="M783" s="126">
        <v>78.0</v>
      </c>
      <c r="N783" s="138">
        <v>72.0</v>
      </c>
      <c r="O783" s="146"/>
      <c r="P783" s="138">
        <v>66.0</v>
      </c>
      <c r="Q783" s="122" t="b">
        <v>0</v>
      </c>
      <c r="R783" s="133"/>
      <c r="S783" s="143"/>
      <c r="T783" s="133"/>
      <c r="U783" s="133"/>
      <c r="V783" s="130"/>
      <c r="W783" s="130" t="s">
        <v>219</v>
      </c>
      <c r="X783" s="130" t="s">
        <v>713</v>
      </c>
      <c r="Y783" s="130" t="s">
        <v>221</v>
      </c>
      <c r="Z783" s="131" t="b">
        <v>1</v>
      </c>
      <c r="AA783" s="131">
        <v>0.002777777777777778</v>
      </c>
      <c r="AB783" s="130" t="s">
        <v>412</v>
      </c>
      <c r="AC783" s="130"/>
      <c r="AD783" s="129" t="s">
        <v>241</v>
      </c>
      <c r="AE783" s="129"/>
      <c r="AF783" s="132"/>
      <c r="AG783" s="143" t="b">
        <v>0</v>
      </c>
      <c r="AH783" s="143"/>
      <c r="AI783" s="143"/>
      <c r="AJ783" s="143"/>
      <c r="AK783" s="143"/>
      <c r="AL783" s="129"/>
      <c r="AM783" s="129" t="str">
        <f>IFERROR(__xludf.DUMMYFUNCTION("""COMPUTED_VALUE"""),"Beach")</f>
        <v>Beach</v>
      </c>
      <c r="AN783" s="139"/>
    </row>
    <row r="784">
      <c r="A784" s="118" t="s">
        <v>1904</v>
      </c>
      <c r="B784" s="119">
        <v>72.0</v>
      </c>
      <c r="C784" s="120" t="s">
        <v>68</v>
      </c>
      <c r="D784" s="142"/>
      <c r="E784" s="122"/>
      <c r="F784" s="136"/>
      <c r="G784" s="124">
        <v>688.0</v>
      </c>
      <c r="H784" s="125">
        <v>225.0</v>
      </c>
      <c r="I784" s="125">
        <v>150.0</v>
      </c>
      <c r="J784" s="125">
        <v>135.0</v>
      </c>
      <c r="K784" s="125">
        <v>87.0</v>
      </c>
      <c r="L784" s="125">
        <v>91.0</v>
      </c>
      <c r="M784" s="126">
        <v>70.0</v>
      </c>
      <c r="N784" s="127">
        <v>74.0</v>
      </c>
      <c r="O784" s="127"/>
      <c r="P784" s="127">
        <v>72.0</v>
      </c>
      <c r="Q784" s="126" t="b">
        <v>0</v>
      </c>
      <c r="R784" s="128"/>
      <c r="S784" s="128"/>
      <c r="T784" s="133" t="s">
        <v>492</v>
      </c>
      <c r="U784" s="128"/>
      <c r="V784" s="129"/>
      <c r="W784" s="130" t="s">
        <v>1905</v>
      </c>
      <c r="X784" s="130" t="s">
        <v>1906</v>
      </c>
      <c r="Y784" s="130" t="s">
        <v>1487</v>
      </c>
      <c r="Z784" s="133" t="b">
        <v>1</v>
      </c>
      <c r="AA784" s="145"/>
      <c r="AB784" s="130" t="s">
        <v>50</v>
      </c>
      <c r="AC784" s="129"/>
      <c r="AD784" s="129" t="s">
        <v>1729</v>
      </c>
      <c r="AE784" s="129"/>
      <c r="AF784" s="132"/>
      <c r="AG784" s="128" t="b">
        <v>0</v>
      </c>
      <c r="AH784" s="128"/>
      <c r="AI784" s="128"/>
      <c r="AJ784" s="128"/>
      <c r="AK784" s="128"/>
      <c r="AL784" s="129"/>
      <c r="AM784" s="129" t="str">
        <f>IFERROR(__xludf.DUMMYFUNCTION("""COMPUTED_VALUE"""),"Great Food")</f>
        <v>Great Food</v>
      </c>
      <c r="AN784" s="128"/>
    </row>
    <row r="785">
      <c r="A785" s="118" t="s">
        <v>1907</v>
      </c>
      <c r="B785" s="119">
        <v>71.7</v>
      </c>
      <c r="C785" s="134" t="s">
        <v>75</v>
      </c>
      <c r="D785" s="121"/>
      <c r="E785" s="135"/>
      <c r="F785" s="136"/>
      <c r="G785" s="124">
        <v>5461.0</v>
      </c>
      <c r="H785" s="125">
        <v>2184.0</v>
      </c>
      <c r="I785" s="125">
        <v>1404.0</v>
      </c>
      <c r="J785" s="125">
        <v>738.0</v>
      </c>
      <c r="K785" s="125">
        <v>483.0</v>
      </c>
      <c r="L785" s="125">
        <v>657.0</v>
      </c>
      <c r="M785" s="126">
        <v>75.0</v>
      </c>
      <c r="N785" s="138">
        <v>76.0</v>
      </c>
      <c r="O785" s="146"/>
      <c r="P785" s="138">
        <v>64.0</v>
      </c>
      <c r="Q785" s="122" t="b">
        <v>0</v>
      </c>
      <c r="R785" s="133"/>
      <c r="S785" s="143"/>
      <c r="T785" s="133"/>
      <c r="U785" s="133"/>
      <c r="V785" s="129"/>
      <c r="W785" s="130" t="s">
        <v>193</v>
      </c>
      <c r="X785" s="130" t="s">
        <v>1546</v>
      </c>
      <c r="Y785" s="130" t="s">
        <v>1070</v>
      </c>
      <c r="Z785" s="131" t="b">
        <v>1</v>
      </c>
      <c r="AA785" s="131">
        <v>0.025</v>
      </c>
      <c r="AB785" s="129"/>
      <c r="AC785" s="129"/>
      <c r="AD785" s="129" t="s">
        <v>241</v>
      </c>
      <c r="AE785" s="129"/>
      <c r="AF785" s="132"/>
      <c r="AG785" s="143" t="b">
        <v>0</v>
      </c>
      <c r="AH785" s="143"/>
      <c r="AI785" s="143"/>
      <c r="AJ785" s="143"/>
      <c r="AK785" s="143"/>
      <c r="AL785" s="129"/>
      <c r="AM785" s="129" t="str">
        <f>IFERROR(__xludf.DUMMYFUNCTION("""COMPUTED_VALUE"""),"Beach")</f>
        <v>Beach</v>
      </c>
      <c r="AN785" s="139"/>
    </row>
    <row r="786" hidden="1">
      <c r="A786" s="118" t="s">
        <v>1908</v>
      </c>
      <c r="B786" s="119">
        <v>78.0</v>
      </c>
      <c r="C786" s="120" t="s">
        <v>68</v>
      </c>
      <c r="D786" s="142"/>
      <c r="E786" s="122"/>
      <c r="F786" s="136"/>
      <c r="G786" s="152"/>
      <c r="H786" s="133"/>
      <c r="I786" s="133"/>
      <c r="J786" s="133"/>
      <c r="K786" s="133"/>
      <c r="L786" s="133"/>
      <c r="M786" s="137"/>
      <c r="N786" s="138">
        <v>78.0</v>
      </c>
      <c r="O786" s="127"/>
      <c r="P786" s="127"/>
      <c r="Q786" s="126" t="b">
        <v>0</v>
      </c>
      <c r="R786" s="128"/>
      <c r="S786" s="128"/>
      <c r="T786" s="128"/>
      <c r="U786" s="128"/>
      <c r="V786" s="130" t="s">
        <v>118</v>
      </c>
      <c r="W786" s="130" t="s">
        <v>193</v>
      </c>
      <c r="X786" s="130" t="s">
        <v>1546</v>
      </c>
      <c r="Y786" s="130" t="s">
        <v>1070</v>
      </c>
      <c r="Z786" s="131" t="b">
        <v>1</v>
      </c>
      <c r="AA786" s="131">
        <v>0.014583333333333334</v>
      </c>
      <c r="AB786" s="130"/>
      <c r="AC786" s="130"/>
      <c r="AD786" s="130" t="s">
        <v>241</v>
      </c>
      <c r="AE786" s="129"/>
      <c r="AF786" s="132"/>
      <c r="AG786" s="133" t="b">
        <v>0</v>
      </c>
      <c r="AH786" s="133"/>
      <c r="AI786" s="133"/>
      <c r="AJ786" s="133"/>
      <c r="AK786" s="133"/>
      <c r="AL786" s="129"/>
      <c r="AM786" s="129" t="str">
        <f>IFERROR(__xludf.DUMMYFUNCTION("""COMPUTED_VALUE"""),"Beach")</f>
        <v>Beach</v>
      </c>
      <c r="AN786" s="128"/>
    </row>
    <row r="787" hidden="1">
      <c r="A787" s="118" t="s">
        <v>1908</v>
      </c>
      <c r="B787" s="119">
        <v>78.0</v>
      </c>
      <c r="C787" s="134" t="s">
        <v>75</v>
      </c>
      <c r="D787" s="142"/>
      <c r="E787" s="135"/>
      <c r="F787" s="136"/>
      <c r="G787" s="124"/>
      <c r="H787" s="133"/>
      <c r="I787" s="133"/>
      <c r="J787" s="133"/>
      <c r="K787" s="133"/>
      <c r="L787" s="133"/>
      <c r="M787" s="137"/>
      <c r="N787" s="138">
        <v>78.0</v>
      </c>
      <c r="O787" s="127"/>
      <c r="P787" s="127"/>
      <c r="Q787" s="135" t="b">
        <v>0</v>
      </c>
      <c r="R787" s="133"/>
      <c r="S787" s="133"/>
      <c r="T787" s="133"/>
      <c r="U787" s="133"/>
      <c r="V787" s="130" t="s">
        <v>118</v>
      </c>
      <c r="W787" s="130" t="s">
        <v>193</v>
      </c>
      <c r="X787" s="130" t="s">
        <v>1546</v>
      </c>
      <c r="Y787" s="130" t="s">
        <v>1070</v>
      </c>
      <c r="Z787" s="131" t="b">
        <v>1</v>
      </c>
      <c r="AA787" s="131">
        <v>0.014583333333333334</v>
      </c>
      <c r="AB787" s="130"/>
      <c r="AC787" s="130"/>
      <c r="AD787" s="129" t="s">
        <v>241</v>
      </c>
      <c r="AE787" s="129"/>
      <c r="AF787" s="132"/>
      <c r="AG787" s="133" t="b">
        <v>0</v>
      </c>
      <c r="AH787" s="133"/>
      <c r="AI787" s="133"/>
      <c r="AJ787" s="133"/>
      <c r="AK787" s="133"/>
      <c r="AL787" s="129"/>
      <c r="AM787" s="129" t="str">
        <f>IFERROR(__xludf.DUMMYFUNCTION("""COMPUTED_VALUE"""),"Beach")</f>
        <v>Beach</v>
      </c>
      <c r="AN787" s="139"/>
    </row>
    <row r="788">
      <c r="A788" s="140" t="s">
        <v>1909</v>
      </c>
      <c r="B788" s="119">
        <v>71.0</v>
      </c>
      <c r="C788" s="133" t="s">
        <v>75</v>
      </c>
      <c r="D788" s="121"/>
      <c r="E788" s="135"/>
      <c r="F788" s="136"/>
      <c r="G788" s="124">
        <v>184.0</v>
      </c>
      <c r="H788" s="125">
        <v>75.0</v>
      </c>
      <c r="I788" s="125">
        <v>29.0</v>
      </c>
      <c r="J788" s="125">
        <v>13.0</v>
      </c>
      <c r="K788" s="125">
        <v>16.0</v>
      </c>
      <c r="L788" s="125">
        <v>51.0</v>
      </c>
      <c r="M788" s="126">
        <v>67.0</v>
      </c>
      <c r="N788" s="138">
        <v>78.0</v>
      </c>
      <c r="O788" s="146"/>
      <c r="P788" s="127">
        <v>68.0</v>
      </c>
      <c r="Q788" s="135" t="b">
        <v>0</v>
      </c>
      <c r="R788" s="133"/>
      <c r="S788" s="133"/>
      <c r="T788" s="133"/>
      <c r="U788" s="133"/>
      <c r="V788" s="129"/>
      <c r="W788" s="144" t="s">
        <v>348</v>
      </c>
      <c r="X788" s="144" t="s">
        <v>1910</v>
      </c>
      <c r="Y788" s="144" t="s">
        <v>1911</v>
      </c>
      <c r="Z788" s="133" t="b">
        <v>1</v>
      </c>
      <c r="AA788" s="131"/>
      <c r="AB788" s="129"/>
      <c r="AC788" s="129"/>
      <c r="AD788" s="129"/>
      <c r="AE788" s="129"/>
      <c r="AF788" s="132"/>
      <c r="AG788" s="133" t="b">
        <v>0</v>
      </c>
      <c r="AH788" s="133"/>
      <c r="AI788" s="133"/>
      <c r="AJ788" s="133"/>
      <c r="AK788" s="133"/>
      <c r="AL788" s="129"/>
      <c r="AM788" s="129"/>
      <c r="AN788" s="139"/>
    </row>
    <row r="789">
      <c r="A789" s="118" t="s">
        <v>1912</v>
      </c>
      <c r="B789" s="119">
        <v>70.7</v>
      </c>
      <c r="C789" s="134" t="s">
        <v>75</v>
      </c>
      <c r="D789" s="142"/>
      <c r="E789" s="135"/>
      <c r="F789" s="136"/>
      <c r="G789" s="124">
        <v>7145.0</v>
      </c>
      <c r="H789" s="125">
        <v>1872.0</v>
      </c>
      <c r="I789" s="125">
        <v>2186.0</v>
      </c>
      <c r="J789" s="125">
        <v>1420.0</v>
      </c>
      <c r="K789" s="125">
        <v>827.0</v>
      </c>
      <c r="L789" s="125">
        <v>842.0</v>
      </c>
      <c r="M789" s="126">
        <v>70.0</v>
      </c>
      <c r="N789" s="127">
        <v>74.0</v>
      </c>
      <c r="O789" s="146"/>
      <c r="P789" s="127">
        <v>68.0</v>
      </c>
      <c r="Q789" s="126" t="b">
        <v>0</v>
      </c>
      <c r="R789" s="128"/>
      <c r="S789" s="128"/>
      <c r="T789" s="128"/>
      <c r="U789" s="128"/>
      <c r="V789" s="129"/>
      <c r="W789" s="129" t="s">
        <v>155</v>
      </c>
      <c r="X789" s="129" t="s">
        <v>1828</v>
      </c>
      <c r="Y789" s="129" t="s">
        <v>1829</v>
      </c>
      <c r="Z789" s="145" t="b">
        <v>0</v>
      </c>
      <c r="AA789" s="145"/>
      <c r="AB789" s="130" t="s">
        <v>412</v>
      </c>
      <c r="AC789" s="129"/>
      <c r="AD789" s="129"/>
      <c r="AE789" s="129"/>
      <c r="AF789" s="132"/>
      <c r="AG789" s="143" t="b">
        <v>0</v>
      </c>
      <c r="AH789" s="143"/>
      <c r="AI789" s="143"/>
      <c r="AJ789" s="143"/>
      <c r="AK789" s="143"/>
      <c r="AL789" s="129"/>
      <c r="AM789" s="129"/>
      <c r="AN789" s="139"/>
    </row>
    <row r="790" hidden="1">
      <c r="A790" s="118" t="s">
        <v>1913</v>
      </c>
      <c r="B790" s="119"/>
      <c r="C790" s="120" t="s">
        <v>68</v>
      </c>
      <c r="D790" s="142"/>
      <c r="E790" s="122"/>
      <c r="F790" s="136"/>
      <c r="G790" s="152"/>
      <c r="H790" s="133"/>
      <c r="I790" s="133"/>
      <c r="J790" s="133"/>
      <c r="K790" s="133"/>
      <c r="L790" s="133"/>
      <c r="M790" s="137"/>
      <c r="N790" s="127"/>
      <c r="O790" s="127"/>
      <c r="P790" s="127"/>
      <c r="Q790" s="126"/>
      <c r="R790" s="128"/>
      <c r="S790" s="128"/>
      <c r="T790" s="128"/>
      <c r="U790" s="128"/>
      <c r="V790" s="130" t="s">
        <v>118</v>
      </c>
      <c r="W790" s="130" t="s">
        <v>193</v>
      </c>
      <c r="X790" s="130" t="s">
        <v>1546</v>
      </c>
      <c r="Y790" s="130" t="s">
        <v>1070</v>
      </c>
      <c r="Z790" s="131" t="b">
        <v>1</v>
      </c>
      <c r="AA790" s="131">
        <v>0.025</v>
      </c>
      <c r="AB790" s="130"/>
      <c r="AC790" s="130"/>
      <c r="AD790" s="130" t="s">
        <v>241</v>
      </c>
      <c r="AE790" s="129"/>
      <c r="AF790" s="132"/>
      <c r="AG790" s="133" t="b">
        <v>0</v>
      </c>
      <c r="AH790" s="133"/>
      <c r="AI790" s="133"/>
      <c r="AJ790" s="133"/>
      <c r="AK790" s="133"/>
      <c r="AL790" s="129"/>
      <c r="AM790" s="129" t="str">
        <f>IFERROR(__xludf.DUMMYFUNCTION("""COMPUTED_VALUE"""),"Beach")</f>
        <v>Beach</v>
      </c>
      <c r="AN790" s="128"/>
    </row>
    <row r="791" hidden="1">
      <c r="A791" s="118" t="s">
        <v>1913</v>
      </c>
      <c r="B791" s="119"/>
      <c r="C791" s="134" t="s">
        <v>75</v>
      </c>
      <c r="D791" s="142"/>
      <c r="E791" s="135"/>
      <c r="F791" s="136"/>
      <c r="G791" s="124"/>
      <c r="H791" s="133"/>
      <c r="I791" s="133"/>
      <c r="J791" s="133"/>
      <c r="K791" s="133"/>
      <c r="L791" s="133"/>
      <c r="M791" s="137"/>
      <c r="N791" s="127"/>
      <c r="O791" s="127"/>
      <c r="P791" s="127"/>
      <c r="Q791" s="135"/>
      <c r="R791" s="133"/>
      <c r="S791" s="133"/>
      <c r="T791" s="133"/>
      <c r="U791" s="133"/>
      <c r="V791" s="130" t="s">
        <v>990</v>
      </c>
      <c r="W791" s="130" t="s">
        <v>193</v>
      </c>
      <c r="X791" s="130" t="s">
        <v>1546</v>
      </c>
      <c r="Y791" s="130" t="s">
        <v>1070</v>
      </c>
      <c r="Z791" s="131" t="b">
        <v>1</v>
      </c>
      <c r="AA791" s="131">
        <v>0.025</v>
      </c>
      <c r="AB791" s="130"/>
      <c r="AC791" s="130"/>
      <c r="AD791" s="129" t="s">
        <v>241</v>
      </c>
      <c r="AE791" s="129"/>
      <c r="AF791" s="132"/>
      <c r="AG791" s="133" t="b">
        <v>0</v>
      </c>
      <c r="AH791" s="133"/>
      <c r="AI791" s="133"/>
      <c r="AJ791" s="133"/>
      <c r="AK791" s="133"/>
      <c r="AL791" s="129"/>
      <c r="AM791" s="129" t="str">
        <f>IFERROR(__xludf.DUMMYFUNCTION("""COMPUTED_VALUE"""),"Beach")</f>
        <v>Beach</v>
      </c>
      <c r="AN791" s="139"/>
    </row>
    <row r="792">
      <c r="A792" s="118" t="s">
        <v>1914</v>
      </c>
      <c r="B792" s="119">
        <v>70.3</v>
      </c>
      <c r="C792" s="134" t="s">
        <v>75</v>
      </c>
      <c r="D792" s="142"/>
      <c r="E792" s="135"/>
      <c r="F792" s="136"/>
      <c r="G792" s="124">
        <v>190.0</v>
      </c>
      <c r="H792" s="125">
        <v>53.0</v>
      </c>
      <c r="I792" s="125">
        <v>38.0</v>
      </c>
      <c r="J792" s="125">
        <v>23.0</v>
      </c>
      <c r="K792" s="125">
        <v>15.0</v>
      </c>
      <c r="L792" s="125">
        <v>61.0</v>
      </c>
      <c r="M792" s="126">
        <v>61.0</v>
      </c>
      <c r="N792" s="127">
        <v>82.0</v>
      </c>
      <c r="O792" s="146"/>
      <c r="P792" s="138">
        <v>68.0</v>
      </c>
      <c r="Q792" s="122" t="b">
        <v>0</v>
      </c>
      <c r="R792" s="133"/>
      <c r="S792" s="143"/>
      <c r="T792" s="133"/>
      <c r="U792" s="133"/>
      <c r="V792" s="130"/>
      <c r="W792" s="130" t="s">
        <v>193</v>
      </c>
      <c r="X792" s="130" t="s">
        <v>1546</v>
      </c>
      <c r="Y792" s="130" t="s">
        <v>1070</v>
      </c>
      <c r="Z792" s="131" t="b">
        <v>1</v>
      </c>
      <c r="AA792" s="131">
        <v>0.027083333333333334</v>
      </c>
      <c r="AB792" s="130"/>
      <c r="AC792" s="130"/>
      <c r="AD792" s="129" t="s">
        <v>241</v>
      </c>
      <c r="AE792" s="129"/>
      <c r="AF792" s="132"/>
      <c r="AG792" s="143" t="b">
        <v>0</v>
      </c>
      <c r="AH792" s="143"/>
      <c r="AI792" s="143"/>
      <c r="AJ792" s="143"/>
      <c r="AK792" s="143"/>
      <c r="AL792" s="129"/>
      <c r="AM792" s="129" t="str">
        <f>IFERROR(__xludf.DUMMYFUNCTION("""COMPUTED_VALUE"""),"Beach")</f>
        <v>Beach</v>
      </c>
      <c r="AN792" s="139"/>
    </row>
    <row r="793">
      <c r="A793" s="118" t="s">
        <v>1915</v>
      </c>
      <c r="B793" s="119">
        <v>70.3</v>
      </c>
      <c r="C793" s="134" t="s">
        <v>75</v>
      </c>
      <c r="D793" s="142"/>
      <c r="E793" s="135"/>
      <c r="F793" s="136"/>
      <c r="G793" s="124">
        <v>224.0</v>
      </c>
      <c r="H793" s="125">
        <v>117.0</v>
      </c>
      <c r="I793" s="125">
        <v>56.0</v>
      </c>
      <c r="J793" s="125">
        <v>20.0</v>
      </c>
      <c r="K793" s="125">
        <v>12.0</v>
      </c>
      <c r="L793" s="125">
        <v>19.0</v>
      </c>
      <c r="M793" s="126">
        <v>81.0</v>
      </c>
      <c r="N793" s="138">
        <v>78.0</v>
      </c>
      <c r="O793" s="146"/>
      <c r="P793" s="127">
        <v>52.0</v>
      </c>
      <c r="Q793" s="122" t="b">
        <v>0</v>
      </c>
      <c r="R793" s="133"/>
      <c r="S793" s="143"/>
      <c r="T793" s="133"/>
      <c r="U793" s="133"/>
      <c r="V793" s="129"/>
      <c r="W793" s="130" t="s">
        <v>219</v>
      </c>
      <c r="X793" s="130" t="s">
        <v>220</v>
      </c>
      <c r="Y793" s="130" t="s">
        <v>221</v>
      </c>
      <c r="Z793" s="131" t="b">
        <v>1</v>
      </c>
      <c r="AA793" s="131">
        <v>0.07847222222222222</v>
      </c>
      <c r="AB793" s="129"/>
      <c r="AC793" s="129"/>
      <c r="AD793" s="129"/>
      <c r="AE793" s="129"/>
      <c r="AF793" s="132"/>
      <c r="AG793" s="143" t="b">
        <v>0</v>
      </c>
      <c r="AH793" s="143"/>
      <c r="AI793" s="143"/>
      <c r="AJ793" s="143"/>
      <c r="AK793" s="143"/>
      <c r="AL793" s="129"/>
      <c r="AM793" s="129"/>
      <c r="AN793" s="139"/>
    </row>
    <row r="794">
      <c r="A794" s="118" t="s">
        <v>1916</v>
      </c>
      <c r="B794" s="119">
        <v>70.0</v>
      </c>
      <c r="C794" s="134" t="s">
        <v>75</v>
      </c>
      <c r="D794" s="142"/>
      <c r="E794" s="135"/>
      <c r="F794" s="136"/>
      <c r="G794" s="152">
        <v>235.0</v>
      </c>
      <c r="H794" s="125">
        <v>50.0</v>
      </c>
      <c r="I794" s="125">
        <v>89.0</v>
      </c>
      <c r="J794" s="125">
        <v>39.0</v>
      </c>
      <c r="K794" s="125">
        <v>23.0</v>
      </c>
      <c r="L794" s="125">
        <v>34.0</v>
      </c>
      <c r="M794" s="126">
        <v>68.0</v>
      </c>
      <c r="N794" s="127"/>
      <c r="O794" s="146"/>
      <c r="P794" s="138">
        <v>72.0</v>
      </c>
      <c r="Q794" s="122" t="b">
        <v>0</v>
      </c>
      <c r="R794" s="133"/>
      <c r="S794" s="143"/>
      <c r="T794" s="133"/>
      <c r="U794" s="133"/>
      <c r="V794" s="129"/>
      <c r="W794" s="130" t="s">
        <v>193</v>
      </c>
      <c r="X794" s="130" t="s">
        <v>1917</v>
      </c>
      <c r="Y794" s="130" t="s">
        <v>195</v>
      </c>
      <c r="Z794" s="133" t="b">
        <v>1</v>
      </c>
      <c r="AA794" s="131">
        <v>0.06805555555555555</v>
      </c>
      <c r="AB794" s="129"/>
      <c r="AC794" s="129"/>
      <c r="AD794" s="129"/>
      <c r="AE794" s="129"/>
      <c r="AF794" s="132"/>
      <c r="AG794" s="143" t="b">
        <v>0</v>
      </c>
      <c r="AH794" s="143"/>
      <c r="AI794" s="143"/>
      <c r="AJ794" s="143"/>
      <c r="AK794" s="143"/>
      <c r="AL794" s="129"/>
      <c r="AM794" s="129"/>
      <c r="AN794" s="139"/>
    </row>
    <row r="795">
      <c r="A795" s="118" t="s">
        <v>1918</v>
      </c>
      <c r="B795" s="119">
        <v>69.7</v>
      </c>
      <c r="C795" s="134" t="s">
        <v>75</v>
      </c>
      <c r="D795" s="142"/>
      <c r="E795" s="135"/>
      <c r="F795" s="136"/>
      <c r="G795" s="124">
        <v>1635.0</v>
      </c>
      <c r="H795" s="125">
        <v>423.0</v>
      </c>
      <c r="I795" s="125">
        <v>329.0</v>
      </c>
      <c r="J795" s="125">
        <v>290.0</v>
      </c>
      <c r="K795" s="125">
        <v>281.0</v>
      </c>
      <c r="L795" s="125">
        <v>314.0</v>
      </c>
      <c r="M795" s="126">
        <v>63.0</v>
      </c>
      <c r="N795" s="127">
        <v>76.0</v>
      </c>
      <c r="O795" s="146"/>
      <c r="P795" s="127">
        <v>70.0</v>
      </c>
      <c r="Q795" s="126" t="b">
        <v>0</v>
      </c>
      <c r="R795" s="128"/>
      <c r="S795" s="128"/>
      <c r="T795" s="128"/>
      <c r="U795" s="128"/>
      <c r="V795" s="129"/>
      <c r="W795" s="130" t="s">
        <v>341</v>
      </c>
      <c r="X795" s="130" t="s">
        <v>342</v>
      </c>
      <c r="Y795" s="130" t="s">
        <v>343</v>
      </c>
      <c r="Z795" s="133" t="b">
        <v>1</v>
      </c>
      <c r="AA795" s="145"/>
      <c r="AB795" s="129"/>
      <c r="AC795" s="129"/>
      <c r="AD795" s="147" t="s">
        <v>1568</v>
      </c>
      <c r="AE795" s="129"/>
      <c r="AF795" s="132"/>
      <c r="AG795" s="128" t="b">
        <v>0</v>
      </c>
      <c r="AH795" s="128"/>
      <c r="AI795" s="128"/>
      <c r="AJ795" s="128"/>
      <c r="AK795" s="128"/>
      <c r="AL795" s="129"/>
      <c r="AM795" s="129" t="str">
        <f>IFERROR(__xludf.DUMMYFUNCTION("""COMPUTED_VALUE"""),"Kids Club for Under 4")</f>
        <v>Kids Club for Under 4</v>
      </c>
      <c r="AN795" s="139"/>
    </row>
    <row r="796">
      <c r="A796" s="118" t="s">
        <v>1919</v>
      </c>
      <c r="B796" s="119">
        <v>69.7</v>
      </c>
      <c r="C796" s="134" t="s">
        <v>75</v>
      </c>
      <c r="D796" s="142"/>
      <c r="E796" s="135"/>
      <c r="F796" s="136"/>
      <c r="G796" s="124">
        <v>1172.0</v>
      </c>
      <c r="H796" s="125">
        <v>443.0</v>
      </c>
      <c r="I796" s="125">
        <v>261.0</v>
      </c>
      <c r="J796" s="125">
        <v>152.0</v>
      </c>
      <c r="K796" s="125">
        <v>123.0</v>
      </c>
      <c r="L796" s="125">
        <v>194.0</v>
      </c>
      <c r="M796" s="126">
        <v>71.0</v>
      </c>
      <c r="N796" s="127">
        <v>72.0</v>
      </c>
      <c r="O796" s="146"/>
      <c r="P796" s="127">
        <v>66.0</v>
      </c>
      <c r="Q796" s="122" t="b">
        <v>0</v>
      </c>
      <c r="R796" s="133"/>
      <c r="S796" s="143"/>
      <c r="T796" s="133"/>
      <c r="U796" s="133"/>
      <c r="V796" s="130"/>
      <c r="W796" s="130" t="s">
        <v>193</v>
      </c>
      <c r="X796" s="130" t="s">
        <v>225</v>
      </c>
      <c r="Y796" s="130" t="s">
        <v>195</v>
      </c>
      <c r="Z796" s="131" t="b">
        <v>1</v>
      </c>
      <c r="AA796" s="131">
        <v>0.017361111111111112</v>
      </c>
      <c r="AB796" s="130"/>
      <c r="AC796" s="130"/>
      <c r="AD796" s="129" t="s">
        <v>241</v>
      </c>
      <c r="AE796" s="129"/>
      <c r="AF796" s="132"/>
      <c r="AG796" s="143" t="b">
        <v>0</v>
      </c>
      <c r="AH796" s="143"/>
      <c r="AI796" s="143"/>
      <c r="AJ796" s="143"/>
      <c r="AK796" s="143"/>
      <c r="AL796" s="129"/>
      <c r="AM796" s="129" t="str">
        <f>IFERROR(__xludf.DUMMYFUNCTION("""COMPUTED_VALUE"""),"Beach")</f>
        <v>Beach</v>
      </c>
      <c r="AN796" s="139"/>
    </row>
    <row r="797">
      <c r="A797" s="118" t="s">
        <v>1920</v>
      </c>
      <c r="B797" s="119">
        <v>69.5</v>
      </c>
      <c r="C797" s="134" t="s">
        <v>75</v>
      </c>
      <c r="D797" s="142"/>
      <c r="E797" s="135"/>
      <c r="F797" s="136"/>
      <c r="G797" s="124">
        <v>4162.0</v>
      </c>
      <c r="H797" s="125">
        <v>1446.0</v>
      </c>
      <c r="I797" s="125">
        <v>1149.0</v>
      </c>
      <c r="J797" s="125">
        <v>658.0</v>
      </c>
      <c r="K797" s="125">
        <v>443.0</v>
      </c>
      <c r="L797" s="125">
        <v>466.0</v>
      </c>
      <c r="M797" s="126">
        <v>73.0</v>
      </c>
      <c r="N797" s="138">
        <v>66.0</v>
      </c>
      <c r="O797" s="146"/>
      <c r="P797" s="146"/>
      <c r="Q797" s="126" t="b">
        <v>0</v>
      </c>
      <c r="R797" s="128"/>
      <c r="S797" s="128"/>
      <c r="T797" s="128"/>
      <c r="U797" s="128"/>
      <c r="V797" s="129"/>
      <c r="W797" s="130" t="s">
        <v>276</v>
      </c>
      <c r="X797" s="130" t="s">
        <v>393</v>
      </c>
      <c r="Y797" s="130" t="s">
        <v>393</v>
      </c>
      <c r="Z797" s="133" t="b">
        <v>1</v>
      </c>
      <c r="AA797" s="145"/>
      <c r="AB797" s="129"/>
      <c r="AC797" s="129"/>
      <c r="AD797" s="129" t="s">
        <v>1532</v>
      </c>
      <c r="AE797" s="129"/>
      <c r="AF797" s="132"/>
      <c r="AG797" s="128" t="b">
        <v>0</v>
      </c>
      <c r="AH797" s="128"/>
      <c r="AI797" s="128"/>
      <c r="AJ797" s="128"/>
      <c r="AK797" s="128"/>
      <c r="AL797" s="129"/>
      <c r="AM797" s="129" t="str">
        <f>IFERROR(__xludf.DUMMYFUNCTION("""COMPUTED_VALUE"""),"Great Beach")</f>
        <v>Great Beach</v>
      </c>
      <c r="AN797" s="139"/>
    </row>
    <row r="798" hidden="1">
      <c r="A798" s="118" t="s">
        <v>1921</v>
      </c>
      <c r="B798" s="119">
        <v>64.0</v>
      </c>
      <c r="C798" s="120" t="s">
        <v>68</v>
      </c>
      <c r="D798" s="142"/>
      <c r="E798" s="122"/>
      <c r="F798" s="136"/>
      <c r="G798" s="124"/>
      <c r="H798" s="133"/>
      <c r="I798" s="133"/>
      <c r="J798" s="133"/>
      <c r="K798" s="133"/>
      <c r="L798" s="133"/>
      <c r="M798" s="137"/>
      <c r="N798" s="138">
        <v>64.0</v>
      </c>
      <c r="O798" s="127"/>
      <c r="P798" s="127"/>
      <c r="Q798" s="126" t="b">
        <v>0</v>
      </c>
      <c r="R798" s="128"/>
      <c r="S798" s="128"/>
      <c r="T798" s="128"/>
      <c r="U798" s="128"/>
      <c r="V798" s="130" t="s">
        <v>118</v>
      </c>
      <c r="W798" s="130" t="s">
        <v>193</v>
      </c>
      <c r="X798" s="130" t="s">
        <v>1546</v>
      </c>
      <c r="Y798" s="130" t="s">
        <v>1070</v>
      </c>
      <c r="Z798" s="131" t="b">
        <v>1</v>
      </c>
      <c r="AA798" s="131">
        <v>0.01597222222222222</v>
      </c>
      <c r="AB798" s="130"/>
      <c r="AC798" s="130"/>
      <c r="AD798" s="130"/>
      <c r="AE798" s="129"/>
      <c r="AF798" s="132"/>
      <c r="AG798" s="133" t="b">
        <v>0</v>
      </c>
      <c r="AH798" s="133"/>
      <c r="AI798" s="133"/>
      <c r="AJ798" s="133"/>
      <c r="AK798" s="133"/>
      <c r="AL798" s="129"/>
      <c r="AM798" s="129"/>
      <c r="AN798" s="128"/>
    </row>
    <row r="799" hidden="1">
      <c r="A799" s="118" t="s">
        <v>1921</v>
      </c>
      <c r="B799" s="119">
        <v>64.0</v>
      </c>
      <c r="C799" s="134" t="s">
        <v>75</v>
      </c>
      <c r="D799" s="142"/>
      <c r="E799" s="135"/>
      <c r="F799" s="136"/>
      <c r="G799" s="124"/>
      <c r="H799" s="133"/>
      <c r="I799" s="133"/>
      <c r="J799" s="133"/>
      <c r="K799" s="133"/>
      <c r="L799" s="133"/>
      <c r="M799" s="137"/>
      <c r="N799" s="138">
        <v>64.0</v>
      </c>
      <c r="O799" s="127"/>
      <c r="P799" s="127"/>
      <c r="Q799" s="135" t="b">
        <v>0</v>
      </c>
      <c r="R799" s="133"/>
      <c r="S799" s="133"/>
      <c r="T799" s="133"/>
      <c r="U799" s="133"/>
      <c r="V799" s="130" t="s">
        <v>118</v>
      </c>
      <c r="W799" s="130" t="s">
        <v>193</v>
      </c>
      <c r="X799" s="130" t="s">
        <v>1546</v>
      </c>
      <c r="Y799" s="130" t="s">
        <v>1070</v>
      </c>
      <c r="Z799" s="131" t="b">
        <v>1</v>
      </c>
      <c r="AA799" s="131">
        <v>0.01597222222222222</v>
      </c>
      <c r="AB799" s="130"/>
      <c r="AC799" s="130"/>
      <c r="AD799" s="129"/>
      <c r="AE799" s="129"/>
      <c r="AF799" s="132"/>
      <c r="AG799" s="133" t="b">
        <v>0</v>
      </c>
      <c r="AH799" s="133"/>
      <c r="AI799" s="133"/>
      <c r="AJ799" s="133"/>
      <c r="AK799" s="133"/>
      <c r="AL799" s="129"/>
      <c r="AM799" s="129"/>
      <c r="AN799" s="139"/>
    </row>
    <row r="800">
      <c r="A800" s="118" t="s">
        <v>1922</v>
      </c>
      <c r="B800" s="119">
        <v>68.7</v>
      </c>
      <c r="C800" s="134" t="s">
        <v>75</v>
      </c>
      <c r="D800" s="142"/>
      <c r="E800" s="135"/>
      <c r="F800" s="136"/>
      <c r="G800" s="124">
        <v>1373.0</v>
      </c>
      <c r="H800" s="125">
        <v>374.0</v>
      </c>
      <c r="I800" s="125">
        <v>333.0</v>
      </c>
      <c r="J800" s="125">
        <v>261.0</v>
      </c>
      <c r="K800" s="125">
        <v>161.0</v>
      </c>
      <c r="L800" s="125">
        <v>244.0</v>
      </c>
      <c r="M800" s="126">
        <v>66.0</v>
      </c>
      <c r="N800" s="127">
        <v>74.0</v>
      </c>
      <c r="O800" s="146"/>
      <c r="P800" s="138">
        <v>66.0</v>
      </c>
      <c r="Q800" s="122" t="b">
        <v>0</v>
      </c>
      <c r="R800" s="133"/>
      <c r="S800" s="143"/>
      <c r="T800" s="133"/>
      <c r="U800" s="133"/>
      <c r="V800" s="129"/>
      <c r="W800" s="130" t="s">
        <v>84</v>
      </c>
      <c r="X800" s="130" t="s">
        <v>86</v>
      </c>
      <c r="Y800" s="130" t="s">
        <v>86</v>
      </c>
      <c r="Z800" s="131" t="b">
        <v>1</v>
      </c>
      <c r="AA800" s="131">
        <v>0.025694444444444443</v>
      </c>
      <c r="AB800" s="129"/>
      <c r="AC800" s="129"/>
      <c r="AD800" s="129"/>
      <c r="AE800" s="129"/>
      <c r="AF800" s="132"/>
      <c r="AG800" s="143" t="b">
        <v>0</v>
      </c>
      <c r="AH800" s="143"/>
      <c r="AI800" s="143"/>
      <c r="AJ800" s="143"/>
      <c r="AK800" s="143"/>
      <c r="AL800" s="129"/>
      <c r="AM800" s="129"/>
      <c r="AN800" s="139"/>
    </row>
    <row r="801" hidden="1">
      <c r="A801" s="118" t="s">
        <v>1923</v>
      </c>
      <c r="B801" s="119"/>
      <c r="C801" s="120" t="s">
        <v>68</v>
      </c>
      <c r="D801" s="142"/>
      <c r="E801" s="122"/>
      <c r="F801" s="136"/>
      <c r="G801" s="124"/>
      <c r="H801" s="133"/>
      <c r="I801" s="133"/>
      <c r="J801" s="133"/>
      <c r="K801" s="133"/>
      <c r="L801" s="133"/>
      <c r="M801" s="137"/>
      <c r="N801" s="138"/>
      <c r="O801" s="127"/>
      <c r="P801" s="127"/>
      <c r="Q801" s="126"/>
      <c r="R801" s="128"/>
      <c r="S801" s="128"/>
      <c r="T801" s="128"/>
      <c r="U801" s="128"/>
      <c r="V801" s="130" t="s">
        <v>118</v>
      </c>
      <c r="W801" s="130" t="s">
        <v>193</v>
      </c>
      <c r="X801" s="129"/>
      <c r="Y801" s="129"/>
      <c r="Z801" s="145" t="b">
        <v>0</v>
      </c>
      <c r="AA801" s="145"/>
      <c r="AB801" s="130"/>
      <c r="AC801" s="130"/>
      <c r="AD801" s="130"/>
      <c r="AE801" s="129"/>
      <c r="AF801" s="132"/>
      <c r="AG801" s="133" t="b">
        <v>0</v>
      </c>
      <c r="AH801" s="133"/>
      <c r="AI801" s="133"/>
      <c r="AJ801" s="133"/>
      <c r="AK801" s="133"/>
      <c r="AL801" s="129"/>
      <c r="AM801" s="129"/>
      <c r="AN801" s="128"/>
    </row>
    <row r="802" hidden="1">
      <c r="A802" s="118" t="s">
        <v>1924</v>
      </c>
      <c r="B802" s="119"/>
      <c r="C802" s="120" t="s">
        <v>68</v>
      </c>
      <c r="D802" s="121">
        <v>0.0</v>
      </c>
      <c r="E802" s="122">
        <f>IFERROR(__xludf.DUMMYFUNCTION("""COMPUTED_VALUE"""),0.0)</f>
        <v>0</v>
      </c>
      <c r="F802" s="136"/>
      <c r="G802" s="152"/>
      <c r="H802" s="143"/>
      <c r="I802" s="143"/>
      <c r="J802" s="143"/>
      <c r="K802" s="143"/>
      <c r="L802" s="143"/>
      <c r="M802" s="126"/>
      <c r="N802" s="127"/>
      <c r="O802" s="127"/>
      <c r="P802" s="127"/>
      <c r="Q802" s="126"/>
      <c r="R802" s="128"/>
      <c r="S802" s="128"/>
      <c r="T802" s="128"/>
      <c r="U802" s="128"/>
      <c r="V802" s="130" t="s">
        <v>531</v>
      </c>
      <c r="W802" s="130" t="s">
        <v>84</v>
      </c>
      <c r="X802" s="130" t="s">
        <v>686</v>
      </c>
      <c r="Y802" s="130" t="s">
        <v>86</v>
      </c>
      <c r="Z802" s="131" t="b">
        <v>1</v>
      </c>
      <c r="AA802" s="131">
        <v>0.009027777777777777</v>
      </c>
      <c r="AB802" s="130"/>
      <c r="AC802" s="130"/>
      <c r="AD802" s="130" t="s">
        <v>241</v>
      </c>
      <c r="AE802" s="129"/>
      <c r="AF802" s="132"/>
      <c r="AG802" s="133" t="b">
        <v>1</v>
      </c>
      <c r="AH802" s="133"/>
      <c r="AI802" s="133"/>
      <c r="AJ802" s="133"/>
      <c r="AK802" s="133"/>
      <c r="AL802" s="129"/>
      <c r="AM802" s="129" t="str">
        <f>IFERROR(__xludf.DUMMYFUNCTION("""COMPUTED_VALUE"""),"Beach")</f>
        <v>Beach</v>
      </c>
      <c r="AN802" s="128"/>
    </row>
    <row r="803" hidden="1">
      <c r="A803" s="130" t="s">
        <v>1925</v>
      </c>
      <c r="B803" s="119"/>
      <c r="C803" s="141" t="s">
        <v>68</v>
      </c>
      <c r="D803" s="121">
        <v>0.0</v>
      </c>
      <c r="E803" s="122">
        <f>IFERROR(__xludf.DUMMYFUNCTION("""COMPUTED_VALUE"""),0.0)</f>
        <v>0</v>
      </c>
      <c r="F803" s="136"/>
      <c r="G803" s="152"/>
      <c r="H803" s="143"/>
      <c r="I803" s="143"/>
      <c r="J803" s="143"/>
      <c r="K803" s="143"/>
      <c r="L803" s="143"/>
      <c r="M803" s="126"/>
      <c r="N803" s="127"/>
      <c r="O803" s="127"/>
      <c r="P803" s="127"/>
      <c r="Q803" s="126"/>
      <c r="R803" s="128"/>
      <c r="S803" s="128"/>
      <c r="T803" s="128"/>
      <c r="U803" s="128"/>
      <c r="V803" s="130" t="s">
        <v>531</v>
      </c>
      <c r="W803" s="130" t="s">
        <v>193</v>
      </c>
      <c r="X803" s="129"/>
      <c r="Y803" s="129"/>
      <c r="Z803" s="145" t="b">
        <v>0</v>
      </c>
      <c r="AA803" s="145"/>
      <c r="AB803" s="130"/>
      <c r="AC803" s="129"/>
      <c r="AD803" s="129"/>
      <c r="AE803" s="129"/>
      <c r="AF803" s="132"/>
      <c r="AG803" s="128" t="b">
        <v>0</v>
      </c>
      <c r="AH803" s="128"/>
      <c r="AI803" s="128"/>
      <c r="AJ803" s="128"/>
      <c r="AK803" s="128"/>
      <c r="AL803" s="129"/>
      <c r="AM803" s="129"/>
      <c r="AN803" s="128"/>
    </row>
    <row r="804" hidden="1">
      <c r="A804" s="130" t="s">
        <v>1926</v>
      </c>
      <c r="B804" s="119"/>
      <c r="C804" s="141" t="s">
        <v>68</v>
      </c>
      <c r="D804" s="121">
        <v>0.0</v>
      </c>
      <c r="E804" s="122">
        <f>IFERROR(__xludf.DUMMYFUNCTION("""COMPUTED_VALUE"""),0.0)</f>
        <v>0</v>
      </c>
      <c r="F804" s="136"/>
      <c r="G804" s="152"/>
      <c r="H804" s="143"/>
      <c r="I804" s="143"/>
      <c r="J804" s="143"/>
      <c r="K804" s="143"/>
      <c r="L804" s="143"/>
      <c r="M804" s="126"/>
      <c r="N804" s="127"/>
      <c r="O804" s="127"/>
      <c r="P804" s="127"/>
      <c r="Q804" s="126"/>
      <c r="R804" s="128"/>
      <c r="S804" s="128"/>
      <c r="T804" s="128"/>
      <c r="U804" s="128"/>
      <c r="V804" s="130" t="s">
        <v>531</v>
      </c>
      <c r="W804" s="130" t="s">
        <v>84</v>
      </c>
      <c r="X804" s="130" t="s">
        <v>123</v>
      </c>
      <c r="Y804" s="130" t="s">
        <v>123</v>
      </c>
      <c r="Z804" s="145" t="b">
        <v>0</v>
      </c>
      <c r="AA804" s="145"/>
      <c r="AB804" s="130"/>
      <c r="AC804" s="130"/>
      <c r="AD804" s="130"/>
      <c r="AE804" s="129"/>
      <c r="AF804" s="132"/>
      <c r="AG804" s="133" t="b">
        <v>0</v>
      </c>
      <c r="AH804" s="133"/>
      <c r="AI804" s="133"/>
      <c r="AJ804" s="133"/>
      <c r="AK804" s="133"/>
      <c r="AL804" s="129"/>
      <c r="AM804" s="129"/>
      <c r="AN804" s="128"/>
    </row>
    <row r="805" hidden="1">
      <c r="A805" s="130" t="s">
        <v>1927</v>
      </c>
      <c r="B805" s="119"/>
      <c r="C805" s="141" t="s">
        <v>68</v>
      </c>
      <c r="D805" s="121">
        <v>0.0</v>
      </c>
      <c r="E805" s="122">
        <f>IFERROR(__xludf.DUMMYFUNCTION("""COMPUTED_VALUE"""),0.0)</f>
        <v>0</v>
      </c>
      <c r="F805" s="136"/>
      <c r="G805" s="152"/>
      <c r="H805" s="143"/>
      <c r="I805" s="143"/>
      <c r="J805" s="143"/>
      <c r="K805" s="143"/>
      <c r="L805" s="143"/>
      <c r="M805" s="126"/>
      <c r="N805" s="127"/>
      <c r="O805" s="127"/>
      <c r="P805" s="127"/>
      <c r="Q805" s="126"/>
      <c r="R805" s="128"/>
      <c r="S805" s="128"/>
      <c r="T805" s="128"/>
      <c r="U805" s="128"/>
      <c r="V805" s="130" t="s">
        <v>531</v>
      </c>
      <c r="W805" s="130" t="s">
        <v>219</v>
      </c>
      <c r="X805" s="129"/>
      <c r="Y805" s="129"/>
      <c r="Z805" s="145" t="b">
        <v>0</v>
      </c>
      <c r="AA805" s="145"/>
      <c r="AB805" s="130"/>
      <c r="AC805" s="130"/>
      <c r="AD805" s="130"/>
      <c r="AE805" s="129"/>
      <c r="AF805" s="132"/>
      <c r="AG805" s="133" t="b">
        <v>0</v>
      </c>
      <c r="AH805" s="133"/>
      <c r="AI805" s="133"/>
      <c r="AJ805" s="133"/>
      <c r="AK805" s="133"/>
      <c r="AL805" s="129"/>
      <c r="AM805" s="129"/>
      <c r="AN805" s="128"/>
    </row>
    <row r="806" hidden="1">
      <c r="A806" s="130" t="s">
        <v>1928</v>
      </c>
      <c r="B806" s="119"/>
      <c r="C806" s="141" t="s">
        <v>68</v>
      </c>
      <c r="D806" s="121">
        <v>0.0</v>
      </c>
      <c r="E806" s="122">
        <f>IFERROR(__xludf.DUMMYFUNCTION("""COMPUTED_VALUE"""),0.0)</f>
        <v>0</v>
      </c>
      <c r="F806" s="136"/>
      <c r="G806" s="152"/>
      <c r="H806" s="143"/>
      <c r="I806" s="143"/>
      <c r="J806" s="143"/>
      <c r="K806" s="143"/>
      <c r="L806" s="143"/>
      <c r="M806" s="126"/>
      <c r="N806" s="127"/>
      <c r="O806" s="127"/>
      <c r="P806" s="127"/>
      <c r="Q806" s="126"/>
      <c r="R806" s="128"/>
      <c r="S806" s="128"/>
      <c r="T806" s="128"/>
      <c r="U806" s="128"/>
      <c r="V806" s="130" t="s">
        <v>531</v>
      </c>
      <c r="W806" s="130" t="s">
        <v>219</v>
      </c>
      <c r="X806" s="129"/>
      <c r="Y806" s="144" t="s">
        <v>221</v>
      </c>
      <c r="Z806" s="145" t="b">
        <v>0</v>
      </c>
      <c r="AA806" s="145"/>
      <c r="AB806" s="130"/>
      <c r="AC806" s="129"/>
      <c r="AD806" s="129"/>
      <c r="AE806" s="129"/>
      <c r="AF806" s="132"/>
      <c r="AG806" s="128" t="b">
        <v>0</v>
      </c>
      <c r="AH806" s="128"/>
      <c r="AI806" s="128"/>
      <c r="AJ806" s="128"/>
      <c r="AK806" s="128"/>
      <c r="AL806" s="129"/>
      <c r="AM806" s="129"/>
      <c r="AN806" s="128"/>
    </row>
    <row r="807" hidden="1">
      <c r="A807" s="130" t="s">
        <v>1929</v>
      </c>
      <c r="B807" s="119"/>
      <c r="C807" s="141" t="s">
        <v>68</v>
      </c>
      <c r="D807" s="121">
        <v>0.0</v>
      </c>
      <c r="E807" s="122">
        <f>IFERROR(__xludf.DUMMYFUNCTION("""COMPUTED_VALUE"""),0.0)</f>
        <v>0</v>
      </c>
      <c r="F807" s="136"/>
      <c r="G807" s="152"/>
      <c r="H807" s="143"/>
      <c r="I807" s="143"/>
      <c r="J807" s="143"/>
      <c r="K807" s="143"/>
      <c r="L807" s="143"/>
      <c r="M807" s="126"/>
      <c r="N807" s="127"/>
      <c r="O807" s="127"/>
      <c r="P807" s="127"/>
      <c r="Q807" s="126"/>
      <c r="R807" s="128"/>
      <c r="S807" s="128"/>
      <c r="T807" s="128"/>
      <c r="U807" s="128"/>
      <c r="V807" s="130" t="s">
        <v>990</v>
      </c>
      <c r="W807" s="130" t="s">
        <v>84</v>
      </c>
      <c r="X807" s="129"/>
      <c r="Y807" s="129"/>
      <c r="Z807" s="145" t="b">
        <v>0</v>
      </c>
      <c r="AA807" s="145"/>
      <c r="AB807" s="130"/>
      <c r="AC807" s="130"/>
      <c r="AD807" s="130"/>
      <c r="AE807" s="129"/>
      <c r="AF807" s="132"/>
      <c r="AG807" s="133" t="b">
        <v>0</v>
      </c>
      <c r="AH807" s="133"/>
      <c r="AI807" s="133"/>
      <c r="AJ807" s="133"/>
      <c r="AK807" s="133"/>
      <c r="AL807" s="129"/>
      <c r="AM807" s="129"/>
      <c r="AN807" s="128"/>
    </row>
    <row r="808" hidden="1">
      <c r="A808" s="130" t="s">
        <v>1930</v>
      </c>
      <c r="B808" s="119"/>
      <c r="C808" s="141" t="s">
        <v>68</v>
      </c>
      <c r="D808" s="121">
        <v>0.0</v>
      </c>
      <c r="E808" s="122">
        <f>IFERROR(__xludf.DUMMYFUNCTION("""COMPUTED_VALUE"""),0.0)</f>
        <v>0</v>
      </c>
      <c r="F808" s="136"/>
      <c r="G808" s="152"/>
      <c r="H808" s="143"/>
      <c r="I808" s="143"/>
      <c r="J808" s="143"/>
      <c r="K808" s="143"/>
      <c r="L808" s="143"/>
      <c r="M808" s="126"/>
      <c r="N808" s="127"/>
      <c r="O808" s="127"/>
      <c r="P808" s="127"/>
      <c r="Q808" s="126"/>
      <c r="R808" s="128"/>
      <c r="S808" s="128"/>
      <c r="T808" s="128"/>
      <c r="U808" s="128"/>
      <c r="V808" s="130" t="s">
        <v>990</v>
      </c>
      <c r="W808" s="130" t="s">
        <v>84</v>
      </c>
      <c r="X808" s="129"/>
      <c r="Y808" s="129"/>
      <c r="Z808" s="145" t="b">
        <v>0</v>
      </c>
      <c r="AA808" s="145"/>
      <c r="AB808" s="130"/>
      <c r="AC808" s="130"/>
      <c r="AD808" s="130"/>
      <c r="AE808" s="129"/>
      <c r="AF808" s="132"/>
      <c r="AG808" s="133" t="b">
        <v>0</v>
      </c>
      <c r="AH808" s="133"/>
      <c r="AI808" s="133"/>
      <c r="AJ808" s="133"/>
      <c r="AK808" s="133"/>
      <c r="AL808" s="129"/>
      <c r="AM808" s="129"/>
      <c r="AN808" s="128"/>
    </row>
    <row r="809">
      <c r="A809" s="140" t="s">
        <v>1931</v>
      </c>
      <c r="B809" s="119">
        <v>68.5</v>
      </c>
      <c r="C809" s="133" t="s">
        <v>75</v>
      </c>
      <c r="D809" s="142"/>
      <c r="E809" s="122"/>
      <c r="F809" s="136"/>
      <c r="G809" s="124">
        <v>9237.0</v>
      </c>
      <c r="H809" s="125">
        <v>2446.0</v>
      </c>
      <c r="I809" s="125">
        <v>2848.0</v>
      </c>
      <c r="J809" s="125">
        <v>1637.0</v>
      </c>
      <c r="K809" s="125">
        <v>1112.0</v>
      </c>
      <c r="L809" s="125">
        <v>1196.0</v>
      </c>
      <c r="M809" s="126">
        <v>69.0</v>
      </c>
      <c r="N809" s="127">
        <v>68.0</v>
      </c>
      <c r="O809" s="146"/>
      <c r="P809" s="146"/>
      <c r="Q809" s="122" t="b">
        <v>0</v>
      </c>
      <c r="R809" s="143"/>
      <c r="S809" s="143"/>
      <c r="T809" s="143"/>
      <c r="U809" s="143"/>
      <c r="V809" s="129"/>
      <c r="W809" s="144" t="s">
        <v>276</v>
      </c>
      <c r="X809" s="130" t="s">
        <v>393</v>
      </c>
      <c r="Y809" s="130" t="s">
        <v>393</v>
      </c>
      <c r="Z809" s="133" t="b">
        <v>1</v>
      </c>
      <c r="AA809" s="145"/>
      <c r="AB809" s="129"/>
      <c r="AC809" s="129"/>
      <c r="AD809" s="144" t="s">
        <v>1532</v>
      </c>
      <c r="AE809" s="144"/>
      <c r="AF809" s="132"/>
      <c r="AG809" s="143" t="b">
        <v>0</v>
      </c>
      <c r="AH809" s="143"/>
      <c r="AI809" s="143"/>
      <c r="AJ809" s="143"/>
      <c r="AK809" s="143"/>
      <c r="AL809" s="129"/>
      <c r="AM809" s="129" t="str">
        <f>IFERROR(__xludf.DUMMYFUNCTION("""COMPUTED_VALUE"""),"Great Beach")</f>
        <v>Great Beach</v>
      </c>
      <c r="AN809" s="139"/>
    </row>
    <row r="810">
      <c r="A810" s="118" t="s">
        <v>1932</v>
      </c>
      <c r="B810" s="119">
        <v>68.0</v>
      </c>
      <c r="C810" s="133" t="s">
        <v>75</v>
      </c>
      <c r="D810" s="121">
        <v>2531.0</v>
      </c>
      <c r="E810" s="122">
        <f>IFERROR(__xludf.DUMMYFUNCTION("""COMPUTED_VALUE"""),3495.4372968999996)</f>
        <v>3495.437297</v>
      </c>
      <c r="F810" s="136">
        <v>-4.74</v>
      </c>
      <c r="G810" s="124">
        <v>0.0</v>
      </c>
      <c r="H810" s="161"/>
      <c r="I810" s="161"/>
      <c r="J810" s="161"/>
      <c r="K810" s="161"/>
      <c r="L810" s="161"/>
      <c r="M810" s="162"/>
      <c r="N810" s="138">
        <v>68.0</v>
      </c>
      <c r="O810" s="146"/>
      <c r="P810" s="146"/>
      <c r="Q810" s="126" t="b">
        <v>0</v>
      </c>
      <c r="R810" s="128"/>
      <c r="S810" s="128"/>
      <c r="T810" s="128"/>
      <c r="U810" s="128"/>
      <c r="V810" s="130"/>
      <c r="W810" s="144" t="s">
        <v>193</v>
      </c>
      <c r="X810" s="144"/>
      <c r="Y810" s="144" t="s">
        <v>195</v>
      </c>
      <c r="Z810" s="133" t="b">
        <v>1</v>
      </c>
      <c r="AA810" s="145"/>
      <c r="AB810" s="129"/>
      <c r="AC810" s="129"/>
      <c r="AD810" s="129"/>
      <c r="AE810" s="129"/>
      <c r="AF810" s="132"/>
      <c r="AG810" s="143" t="b">
        <v>0</v>
      </c>
      <c r="AH810" s="143"/>
      <c r="AI810" s="143"/>
      <c r="AJ810" s="143"/>
      <c r="AK810" s="143"/>
      <c r="AL810" s="129"/>
      <c r="AM810" s="129"/>
      <c r="AN810" s="139"/>
    </row>
    <row r="811">
      <c r="A811" s="144" t="s">
        <v>1933</v>
      </c>
      <c r="B811" s="119">
        <v>68.0</v>
      </c>
      <c r="C811" s="141" t="s">
        <v>68</v>
      </c>
      <c r="D811" s="142">
        <v>6531.0</v>
      </c>
      <c r="E811" s="122">
        <f>IFERROR(__xludf.DUMMYFUNCTION("""COMPUTED_VALUE"""),9019.6368969)</f>
        <v>9019.636897</v>
      </c>
      <c r="F811" s="136">
        <v>-1.84</v>
      </c>
      <c r="G811" s="124">
        <v>0.0</v>
      </c>
      <c r="H811" s="155"/>
      <c r="I811" s="155"/>
      <c r="J811" s="155"/>
      <c r="K811" s="155"/>
      <c r="L811" s="155"/>
      <c r="M811" s="126"/>
      <c r="N811" s="127"/>
      <c r="O811" s="127"/>
      <c r="P811" s="138">
        <v>68.0</v>
      </c>
      <c r="Q811" s="126" t="b">
        <v>0</v>
      </c>
      <c r="R811" s="128"/>
      <c r="S811" s="128"/>
      <c r="T811" s="128"/>
      <c r="U811" s="128"/>
      <c r="V811" s="130"/>
      <c r="W811" s="144" t="s">
        <v>460</v>
      </c>
      <c r="X811" s="129"/>
      <c r="Y811" s="144" t="s">
        <v>1663</v>
      </c>
      <c r="Z811" s="145" t="b">
        <v>0</v>
      </c>
      <c r="AA811" s="145"/>
      <c r="AB811" s="144"/>
      <c r="AC811" s="144"/>
      <c r="AD811" s="144"/>
      <c r="AE811" s="129"/>
      <c r="AF811" s="132"/>
      <c r="AG811" s="143" t="b">
        <v>0</v>
      </c>
      <c r="AH811" s="143"/>
      <c r="AI811" s="143"/>
      <c r="AJ811" s="143"/>
      <c r="AK811" s="143"/>
      <c r="AL811" s="129"/>
      <c r="AM811" s="129"/>
      <c r="AN811" s="128"/>
    </row>
    <row r="812">
      <c r="A812" s="140" t="s">
        <v>1934</v>
      </c>
      <c r="B812" s="119">
        <v>67.0</v>
      </c>
      <c r="C812" s="133" t="s">
        <v>75</v>
      </c>
      <c r="D812" s="142"/>
      <c r="E812" s="122"/>
      <c r="F812" s="136"/>
      <c r="G812" s="124">
        <v>1597.0</v>
      </c>
      <c r="H812" s="125">
        <v>628.0</v>
      </c>
      <c r="I812" s="125">
        <v>264.0</v>
      </c>
      <c r="J812" s="125">
        <v>181.0</v>
      </c>
      <c r="K812" s="125">
        <v>181.0</v>
      </c>
      <c r="L812" s="125">
        <v>346.0</v>
      </c>
      <c r="M812" s="126">
        <v>68.0</v>
      </c>
      <c r="N812" s="138">
        <v>66.0</v>
      </c>
      <c r="O812" s="146"/>
      <c r="P812" s="127"/>
      <c r="Q812" s="126" t="b">
        <v>0</v>
      </c>
      <c r="R812" s="128"/>
      <c r="S812" s="128"/>
      <c r="T812" s="128"/>
      <c r="U812" s="128"/>
      <c r="V812" s="129"/>
      <c r="W812" s="144" t="s">
        <v>276</v>
      </c>
      <c r="X812" s="130" t="s">
        <v>393</v>
      </c>
      <c r="Y812" s="130" t="s">
        <v>393</v>
      </c>
      <c r="Z812" s="133" t="b">
        <v>1</v>
      </c>
      <c r="AA812" s="145"/>
      <c r="AB812" s="129"/>
      <c r="AC812" s="129"/>
      <c r="AD812" s="129" t="s">
        <v>1532</v>
      </c>
      <c r="AE812" s="129"/>
      <c r="AF812" s="132"/>
      <c r="AG812" s="143" t="b">
        <v>0</v>
      </c>
      <c r="AH812" s="143"/>
      <c r="AI812" s="143"/>
      <c r="AJ812" s="143"/>
      <c r="AK812" s="143"/>
      <c r="AL812" s="129"/>
      <c r="AM812" s="129" t="str">
        <f>IFERROR(__xludf.DUMMYFUNCTION("""COMPUTED_VALUE"""),"Great Beach")</f>
        <v>Great Beach</v>
      </c>
      <c r="AN812" s="139"/>
    </row>
    <row r="813">
      <c r="A813" s="118" t="s">
        <v>1935</v>
      </c>
      <c r="B813" s="119">
        <v>66.7</v>
      </c>
      <c r="C813" s="134" t="s">
        <v>75</v>
      </c>
      <c r="D813" s="142"/>
      <c r="E813" s="135"/>
      <c r="F813" s="136"/>
      <c r="G813" s="124">
        <v>2388.0</v>
      </c>
      <c r="H813" s="125">
        <v>1159.0</v>
      </c>
      <c r="I813" s="125">
        <v>334.0</v>
      </c>
      <c r="J813" s="125">
        <v>275.0</v>
      </c>
      <c r="K813" s="125">
        <v>208.0</v>
      </c>
      <c r="L813" s="125">
        <v>412.0</v>
      </c>
      <c r="M813" s="126">
        <v>74.0</v>
      </c>
      <c r="N813" s="127">
        <v>72.0</v>
      </c>
      <c r="O813" s="146"/>
      <c r="P813" s="138">
        <v>54.0</v>
      </c>
      <c r="Q813" s="122" t="b">
        <v>0</v>
      </c>
      <c r="R813" s="133"/>
      <c r="S813" s="143"/>
      <c r="T813" s="133"/>
      <c r="U813" s="133"/>
      <c r="V813" s="129"/>
      <c r="W813" s="130" t="s">
        <v>193</v>
      </c>
      <c r="X813" s="130" t="s">
        <v>1891</v>
      </c>
      <c r="Y813" s="130" t="s">
        <v>195</v>
      </c>
      <c r="Z813" s="131" t="b">
        <v>1</v>
      </c>
      <c r="AA813" s="131">
        <v>0.0763888888888889</v>
      </c>
      <c r="AB813" s="129"/>
      <c r="AC813" s="129"/>
      <c r="AD813" s="129"/>
      <c r="AE813" s="129"/>
      <c r="AF813" s="132"/>
      <c r="AG813" s="143" t="b">
        <v>0</v>
      </c>
      <c r="AH813" s="143">
        <v>282.0</v>
      </c>
      <c r="AI813" s="143"/>
      <c r="AJ813" s="143"/>
      <c r="AK813" s="143">
        <v>3.0</v>
      </c>
      <c r="AL813" s="129"/>
      <c r="AM813" s="129"/>
      <c r="AN813" s="139"/>
    </row>
    <row r="814">
      <c r="A814" s="118" t="s">
        <v>1936</v>
      </c>
      <c r="B814" s="119">
        <v>66.7</v>
      </c>
      <c r="C814" s="134" t="s">
        <v>75</v>
      </c>
      <c r="D814" s="142"/>
      <c r="E814" s="135"/>
      <c r="F814" s="136"/>
      <c r="G814" s="124">
        <v>17275.0</v>
      </c>
      <c r="H814" s="125">
        <v>5805.0</v>
      </c>
      <c r="I814" s="125">
        <v>3623.0</v>
      </c>
      <c r="J814" s="125">
        <v>2705.0</v>
      </c>
      <c r="K814" s="125">
        <v>1764.0</v>
      </c>
      <c r="L814" s="125">
        <v>3382.0</v>
      </c>
      <c r="M814" s="126">
        <v>68.0</v>
      </c>
      <c r="N814" s="127">
        <v>72.0</v>
      </c>
      <c r="O814" s="146"/>
      <c r="P814" s="127">
        <v>60.0</v>
      </c>
      <c r="Q814" s="122" t="b">
        <v>0</v>
      </c>
      <c r="R814" s="133"/>
      <c r="S814" s="143"/>
      <c r="T814" s="133"/>
      <c r="U814" s="133"/>
      <c r="V814" s="129"/>
      <c r="W814" s="130" t="s">
        <v>84</v>
      </c>
      <c r="X814" s="130" t="s">
        <v>86</v>
      </c>
      <c r="Y814" s="130" t="s">
        <v>86</v>
      </c>
      <c r="Z814" s="133" t="b">
        <v>1</v>
      </c>
      <c r="AA814" s="145"/>
      <c r="AB814" s="129"/>
      <c r="AC814" s="129"/>
      <c r="AD814" s="130" t="s">
        <v>1524</v>
      </c>
      <c r="AE814" s="129"/>
      <c r="AF814" s="132"/>
      <c r="AG814" s="143" t="b">
        <v>1</v>
      </c>
      <c r="AH814" s="143"/>
      <c r="AI814" s="143"/>
      <c r="AJ814" s="143"/>
      <c r="AK814" s="143"/>
      <c r="AL814" s="129"/>
      <c r="AM814" s="129" t="str">
        <f>IFERROR(__xludf.DUMMYFUNCTION("""COMPUTED_VALUE"""),"Great for Parties")</f>
        <v>Great for Parties</v>
      </c>
      <c r="AN814" s="139"/>
    </row>
    <row r="815">
      <c r="A815" s="118" t="s">
        <v>1937</v>
      </c>
      <c r="B815" s="119">
        <v>65.3</v>
      </c>
      <c r="C815" s="134" t="s">
        <v>75</v>
      </c>
      <c r="D815" s="142">
        <v>2784.16</v>
      </c>
      <c r="E815" s="122">
        <f>IFERROR(__xludf.DUMMYFUNCTION("""COMPUTED_VALUE"""),3845.0638895839993)</f>
        <v>3845.06389</v>
      </c>
      <c r="F815" s="136">
        <v>-5.28</v>
      </c>
      <c r="G815" s="124">
        <v>46.0</v>
      </c>
      <c r="H815" s="125">
        <v>20.0</v>
      </c>
      <c r="I815" s="125">
        <v>5.0</v>
      </c>
      <c r="J815" s="125">
        <v>3.0</v>
      </c>
      <c r="K815" s="125">
        <v>8.0</v>
      </c>
      <c r="L815" s="125">
        <v>11.0</v>
      </c>
      <c r="M815" s="126">
        <v>66.0</v>
      </c>
      <c r="N815" s="138">
        <v>54.0</v>
      </c>
      <c r="O815" s="146"/>
      <c r="P815" s="138">
        <v>76.0</v>
      </c>
      <c r="Q815" s="126" t="b">
        <v>0</v>
      </c>
      <c r="R815" s="128"/>
      <c r="S815" s="128"/>
      <c r="T815" s="128"/>
      <c r="U815" s="128"/>
      <c r="V815" s="130"/>
      <c r="W815" s="144" t="s">
        <v>193</v>
      </c>
      <c r="X815" s="129"/>
      <c r="Y815" s="144" t="s">
        <v>195</v>
      </c>
      <c r="Z815" s="145" t="b">
        <v>1</v>
      </c>
      <c r="AA815" s="145"/>
      <c r="AB815" s="130" t="s">
        <v>412</v>
      </c>
      <c r="AC815" s="129"/>
      <c r="AD815" s="129"/>
      <c r="AE815" s="129"/>
      <c r="AF815" s="132" t="s">
        <v>318</v>
      </c>
      <c r="AG815" s="143" t="b">
        <v>0</v>
      </c>
      <c r="AH815" s="143"/>
      <c r="AI815" s="143"/>
      <c r="AJ815" s="143"/>
      <c r="AK815" s="143"/>
      <c r="AL815" s="129"/>
      <c r="AM815" s="129"/>
      <c r="AN815" s="139"/>
    </row>
    <row r="816">
      <c r="A816" s="118" t="s">
        <v>1938</v>
      </c>
      <c r="B816" s="119">
        <v>64.3</v>
      </c>
      <c r="C816" s="134" t="s">
        <v>75</v>
      </c>
      <c r="D816" s="142"/>
      <c r="E816" s="135"/>
      <c r="F816" s="136"/>
      <c r="G816" s="124">
        <v>815.0</v>
      </c>
      <c r="H816" s="125">
        <v>154.0</v>
      </c>
      <c r="I816" s="125">
        <v>231.0</v>
      </c>
      <c r="J816" s="125">
        <v>175.0</v>
      </c>
      <c r="K816" s="125">
        <v>109.0</v>
      </c>
      <c r="L816" s="125">
        <v>146.0</v>
      </c>
      <c r="M816" s="126">
        <v>63.0</v>
      </c>
      <c r="N816" s="127">
        <v>68.0</v>
      </c>
      <c r="O816" s="146"/>
      <c r="P816" s="127">
        <v>62.0</v>
      </c>
      <c r="Q816" s="122" t="b">
        <v>0</v>
      </c>
      <c r="R816" s="133"/>
      <c r="S816" s="143"/>
      <c r="T816" s="133"/>
      <c r="U816" s="133"/>
      <c r="V816" s="129"/>
      <c r="W816" s="130" t="s">
        <v>219</v>
      </c>
      <c r="X816" s="130" t="s">
        <v>220</v>
      </c>
      <c r="Y816" s="130" t="s">
        <v>221</v>
      </c>
      <c r="Z816" s="131" t="b">
        <v>1</v>
      </c>
      <c r="AA816" s="131">
        <v>0.07152777777777777</v>
      </c>
      <c r="AB816" s="129"/>
      <c r="AC816" s="129"/>
      <c r="AD816" s="129" t="s">
        <v>241</v>
      </c>
      <c r="AE816" s="129"/>
      <c r="AF816" s="132"/>
      <c r="AG816" s="143" t="b">
        <v>0</v>
      </c>
      <c r="AH816" s="143"/>
      <c r="AI816" s="143"/>
      <c r="AJ816" s="143"/>
      <c r="AK816" s="143"/>
      <c r="AL816" s="129"/>
      <c r="AM816" s="129" t="str">
        <f>IFERROR(__xludf.DUMMYFUNCTION("""COMPUTED_VALUE"""),"Beach")</f>
        <v>Beach</v>
      </c>
      <c r="AN816" s="139"/>
    </row>
    <row r="817">
      <c r="A817" s="140" t="s">
        <v>1939</v>
      </c>
      <c r="B817" s="119">
        <v>63.7</v>
      </c>
      <c r="C817" s="133" t="s">
        <v>75</v>
      </c>
      <c r="D817" s="142"/>
      <c r="E817" s="122"/>
      <c r="F817" s="136"/>
      <c r="G817" s="124">
        <v>49.0</v>
      </c>
      <c r="H817" s="125">
        <v>20.0</v>
      </c>
      <c r="I817" s="125">
        <v>10.0</v>
      </c>
      <c r="J817" s="125">
        <v>9.0</v>
      </c>
      <c r="K817" s="125">
        <v>5.0</v>
      </c>
      <c r="L817" s="125">
        <v>6.0</v>
      </c>
      <c r="M817" s="126">
        <v>73.0</v>
      </c>
      <c r="N817" s="138">
        <v>72.0</v>
      </c>
      <c r="O817" s="146"/>
      <c r="P817" s="138">
        <v>46.0</v>
      </c>
      <c r="Q817" s="126" t="b">
        <v>0</v>
      </c>
      <c r="R817" s="128"/>
      <c r="S817" s="128"/>
      <c r="T817" s="128"/>
      <c r="U817" s="128"/>
      <c r="V817" s="129"/>
      <c r="W817" s="144" t="s">
        <v>84</v>
      </c>
      <c r="X817" s="144"/>
      <c r="Y817" s="144"/>
      <c r="Z817" s="145" t="b">
        <v>0</v>
      </c>
      <c r="AA817" s="145"/>
      <c r="AB817" s="129"/>
      <c r="AC817" s="129"/>
      <c r="AD817" s="129"/>
      <c r="AE817" s="129"/>
      <c r="AF817" s="132"/>
      <c r="AG817" s="143" t="b">
        <v>0</v>
      </c>
      <c r="AH817" s="143"/>
      <c r="AI817" s="143"/>
      <c r="AJ817" s="143"/>
      <c r="AK817" s="143"/>
      <c r="AL817" s="129"/>
      <c r="AM817" s="129"/>
      <c r="AN817" s="139"/>
    </row>
    <row r="818">
      <c r="A818" s="118" t="s">
        <v>1940</v>
      </c>
      <c r="B818" s="119">
        <v>59.0</v>
      </c>
      <c r="C818" s="134" t="s">
        <v>75</v>
      </c>
      <c r="D818" s="142"/>
      <c r="E818" s="135"/>
      <c r="F818" s="136"/>
      <c r="G818" s="124">
        <v>1691.0</v>
      </c>
      <c r="H818" s="125">
        <v>387.0</v>
      </c>
      <c r="I818" s="125">
        <v>288.0</v>
      </c>
      <c r="J818" s="125">
        <v>254.0</v>
      </c>
      <c r="K818" s="125">
        <v>211.0</v>
      </c>
      <c r="L818" s="125">
        <v>551.0</v>
      </c>
      <c r="M818" s="126">
        <v>57.0</v>
      </c>
      <c r="N818" s="138">
        <v>72.0</v>
      </c>
      <c r="O818" s="146"/>
      <c r="P818" s="127">
        <v>48.0</v>
      </c>
      <c r="Q818" s="122" t="b">
        <v>0</v>
      </c>
      <c r="R818" s="133"/>
      <c r="S818" s="143"/>
      <c r="T818" s="133"/>
      <c r="U818" s="133"/>
      <c r="V818" s="129"/>
      <c r="W818" s="130" t="s">
        <v>193</v>
      </c>
      <c r="X818" s="130" t="s">
        <v>1891</v>
      </c>
      <c r="Y818" s="130" t="s">
        <v>195</v>
      </c>
      <c r="Z818" s="133" t="b">
        <v>1</v>
      </c>
      <c r="AA818" s="131">
        <v>0.07777777777777778</v>
      </c>
      <c r="AB818" s="129"/>
      <c r="AC818" s="129"/>
      <c r="AD818" s="129"/>
      <c r="AE818" s="129"/>
      <c r="AF818" s="132"/>
      <c r="AG818" s="143" t="b">
        <v>0</v>
      </c>
      <c r="AH818" s="143"/>
      <c r="AI818" s="143"/>
      <c r="AJ818" s="143"/>
      <c r="AK818" s="143"/>
      <c r="AL818" s="129"/>
      <c r="AM818" s="129"/>
      <c r="AN818" s="139"/>
    </row>
    <row r="819">
      <c r="A819" s="118" t="s">
        <v>1941</v>
      </c>
      <c r="B819" s="119">
        <v>57.0</v>
      </c>
      <c r="C819" s="133" t="s">
        <v>75</v>
      </c>
      <c r="D819" s="142"/>
      <c r="E819" s="122"/>
      <c r="F819" s="136"/>
      <c r="G819" s="124">
        <v>1150.0</v>
      </c>
      <c r="H819" s="125">
        <v>117.0</v>
      </c>
      <c r="I819" s="125">
        <v>276.0</v>
      </c>
      <c r="J819" s="125">
        <v>300.0</v>
      </c>
      <c r="K819" s="125">
        <v>206.0</v>
      </c>
      <c r="L819" s="125">
        <v>251.0</v>
      </c>
      <c r="M819" s="126">
        <v>57.0</v>
      </c>
      <c r="N819" s="138">
        <v>60.0</v>
      </c>
      <c r="O819" s="127"/>
      <c r="P819" s="138">
        <v>54.0</v>
      </c>
      <c r="Q819" s="126" t="b">
        <v>0</v>
      </c>
      <c r="R819" s="128"/>
      <c r="S819" s="128"/>
      <c r="T819" s="128"/>
      <c r="U819" s="128"/>
      <c r="V819" s="129"/>
      <c r="W819" s="129"/>
      <c r="X819" s="129"/>
      <c r="Y819" s="129"/>
      <c r="Z819" s="145" t="b">
        <v>0</v>
      </c>
      <c r="AA819" s="145"/>
      <c r="AB819" s="129"/>
      <c r="AC819" s="129"/>
      <c r="AD819" s="129"/>
      <c r="AE819" s="129"/>
      <c r="AF819" s="132"/>
      <c r="AG819" s="128" t="b">
        <v>0</v>
      </c>
      <c r="AH819" s="128"/>
      <c r="AI819" s="128"/>
      <c r="AJ819" s="128"/>
      <c r="AK819" s="128"/>
      <c r="AL819" s="129"/>
      <c r="AM819" s="129"/>
      <c r="AN819" s="139"/>
    </row>
    <row r="820">
      <c r="A820" s="118" t="s">
        <v>1942</v>
      </c>
      <c r="B820" s="119"/>
      <c r="C820" s="134" t="s">
        <v>75</v>
      </c>
      <c r="D820" s="121">
        <v>1609.3</v>
      </c>
      <c r="E820" s="135">
        <f>IFERROR(__xludf.DUMMYFUNCTION("""COMPUTED_VALUE"""),2222.5236040699997)</f>
        <v>2222.523604</v>
      </c>
      <c r="F820" s="136"/>
      <c r="G820" s="124">
        <v>0.0</v>
      </c>
      <c r="H820" s="125"/>
      <c r="I820" s="125"/>
      <c r="J820" s="125"/>
      <c r="K820" s="125"/>
      <c r="L820" s="125"/>
      <c r="M820" s="137"/>
      <c r="N820" s="138"/>
      <c r="O820" s="138"/>
      <c r="P820" s="138"/>
      <c r="Q820" s="135"/>
      <c r="R820" s="133"/>
      <c r="S820" s="133"/>
      <c r="T820" s="133"/>
      <c r="U820" s="133"/>
      <c r="V820" s="130" t="s">
        <v>1943</v>
      </c>
      <c r="W820" s="130" t="s">
        <v>276</v>
      </c>
      <c r="X820" s="130" t="s">
        <v>1191</v>
      </c>
      <c r="Y820" s="130"/>
      <c r="Z820" s="131" t="b">
        <v>1</v>
      </c>
      <c r="AA820" s="131">
        <v>0.005555555555555556</v>
      </c>
      <c r="AB820" s="130"/>
      <c r="AC820" s="130"/>
      <c r="AD820" s="129"/>
      <c r="AE820" s="129"/>
      <c r="AF820" s="148" t="s">
        <v>81</v>
      </c>
      <c r="AG820" s="133" t="b">
        <v>0</v>
      </c>
      <c r="AH820" s="133"/>
      <c r="AI820" s="133"/>
      <c r="AJ820" s="133"/>
      <c r="AK820" s="133"/>
      <c r="AL820" s="129"/>
      <c r="AM820" s="129"/>
      <c r="AN820" s="139"/>
    </row>
    <row r="821">
      <c r="A821" s="118" t="s">
        <v>1944</v>
      </c>
      <c r="B821" s="119"/>
      <c r="C821" s="134" t="s">
        <v>75</v>
      </c>
      <c r="D821" s="142">
        <v>2618.0</v>
      </c>
      <c r="E821" s="122">
        <f>IFERROR(__xludf.DUMMYFUNCTION("""COMPUTED_VALUE"""),3615.5886381999994)</f>
        <v>3615.588638</v>
      </c>
      <c r="F821" s="136"/>
      <c r="G821" s="124">
        <v>0.0</v>
      </c>
      <c r="H821" s="161"/>
      <c r="I821" s="161"/>
      <c r="J821" s="161"/>
      <c r="K821" s="161"/>
      <c r="L821" s="161"/>
      <c r="M821" s="162"/>
      <c r="N821" s="146"/>
      <c r="O821" s="146"/>
      <c r="P821" s="146"/>
      <c r="Q821" s="126"/>
      <c r="R821" s="128"/>
      <c r="S821" s="128"/>
      <c r="T821" s="133" t="s">
        <v>955</v>
      </c>
      <c r="U821" s="128"/>
      <c r="V821" s="130" t="s">
        <v>1945</v>
      </c>
      <c r="W821" s="144" t="s">
        <v>193</v>
      </c>
      <c r="X821" s="129"/>
      <c r="Y821" s="144"/>
      <c r="Z821" s="145" t="b">
        <v>0</v>
      </c>
      <c r="AA821" s="145"/>
      <c r="AB821" s="130" t="s">
        <v>50</v>
      </c>
      <c r="AC821" s="129"/>
      <c r="AD821" s="147" t="s">
        <v>1568</v>
      </c>
      <c r="AE821" s="129"/>
      <c r="AF821" s="132"/>
      <c r="AG821" s="143" t="b">
        <v>0</v>
      </c>
      <c r="AH821" s="143"/>
      <c r="AI821" s="143"/>
      <c r="AJ821" s="143"/>
      <c r="AK821" s="143"/>
      <c r="AL821" s="129"/>
      <c r="AM821" s="129" t="str">
        <f>IFERROR(__xludf.DUMMYFUNCTION("""COMPUTED_VALUE"""),"Kids Club for Under 4")</f>
        <v>Kids Club for Under 4</v>
      </c>
      <c r="AN821" s="139"/>
    </row>
    <row r="822">
      <c r="A822" s="118" t="s">
        <v>1946</v>
      </c>
      <c r="B822" s="119"/>
      <c r="C822" s="120" t="s">
        <v>68</v>
      </c>
      <c r="D822" s="142">
        <v>3122.0</v>
      </c>
      <c r="E822" s="122">
        <f>IFERROR(__xludf.DUMMYFUNCTION("""COMPUTED_VALUE"""),4311.637787799999)</f>
        <v>4311.637788</v>
      </c>
      <c r="F822" s="136"/>
      <c r="G822" s="124">
        <v>0.0</v>
      </c>
      <c r="H822" s="155"/>
      <c r="I822" s="155"/>
      <c r="J822" s="155"/>
      <c r="K822" s="155"/>
      <c r="L822" s="155"/>
      <c r="M822" s="126"/>
      <c r="N822" s="127"/>
      <c r="O822" s="127"/>
      <c r="P822" s="127"/>
      <c r="Q822" s="126"/>
      <c r="R822" s="128"/>
      <c r="S822" s="128"/>
      <c r="T822" s="128"/>
      <c r="U822" s="128"/>
      <c r="V822" s="130" t="s">
        <v>1945</v>
      </c>
      <c r="W822" s="144" t="s">
        <v>193</v>
      </c>
      <c r="X822" s="144"/>
      <c r="Y822" s="144"/>
      <c r="Z822" s="145" t="b">
        <v>0</v>
      </c>
      <c r="AA822" s="145"/>
      <c r="AB822" s="129"/>
      <c r="AC822" s="144"/>
      <c r="AD822" s="144"/>
      <c r="AE822" s="129"/>
      <c r="AF822" s="132"/>
      <c r="AG822" s="143" t="b">
        <v>0</v>
      </c>
      <c r="AH822" s="143"/>
      <c r="AI822" s="143"/>
      <c r="AJ822" s="143"/>
      <c r="AK822" s="143"/>
      <c r="AL822" s="129"/>
      <c r="AM822" s="129"/>
      <c r="AN822" s="128"/>
    </row>
    <row r="823">
      <c r="A823" s="163" t="s">
        <v>1947</v>
      </c>
      <c r="B823" s="119"/>
      <c r="C823" s="120" t="s">
        <v>68</v>
      </c>
      <c r="D823" s="121">
        <v>5130.0</v>
      </c>
      <c r="E823" s="135">
        <f>IFERROR(__xludf.DUMMYFUNCTION("""COMPUTED_VALUE"""),7084.785986999999)</f>
        <v>7084.785987</v>
      </c>
      <c r="F823" s="158"/>
      <c r="G823" s="124">
        <v>0.0</v>
      </c>
      <c r="H823" s="125"/>
      <c r="I823" s="125"/>
      <c r="J823" s="125"/>
      <c r="K823" s="125"/>
      <c r="L823" s="125"/>
      <c r="M823" s="137"/>
      <c r="N823" s="138"/>
      <c r="O823" s="127"/>
      <c r="P823" s="138"/>
      <c r="Q823" s="137"/>
      <c r="R823" s="164"/>
      <c r="S823" s="164"/>
      <c r="T823" s="134" t="s">
        <v>247</v>
      </c>
      <c r="U823" s="164"/>
      <c r="V823" s="130" t="s">
        <v>1945</v>
      </c>
      <c r="W823" s="130" t="s">
        <v>270</v>
      </c>
      <c r="X823" s="130"/>
      <c r="Y823" s="130"/>
      <c r="Z823" s="131" t="b">
        <v>0</v>
      </c>
      <c r="AA823" s="131"/>
      <c r="AB823" s="130" t="s">
        <v>50</v>
      </c>
      <c r="AC823" s="130"/>
      <c r="AD823" s="130"/>
      <c r="AE823" s="130"/>
      <c r="AF823" s="132"/>
      <c r="AG823" s="133" t="b">
        <v>0</v>
      </c>
      <c r="AH823" s="133"/>
      <c r="AI823" s="133"/>
      <c r="AJ823" s="133"/>
      <c r="AK823" s="133"/>
      <c r="AL823" s="129"/>
      <c r="AM823" s="129"/>
      <c r="AN823" s="128"/>
    </row>
    <row r="824">
      <c r="A824" s="140" t="s">
        <v>1948</v>
      </c>
      <c r="B824" s="119"/>
      <c r="C824" s="141" t="s">
        <v>68</v>
      </c>
      <c r="D824" s="142">
        <v>5449.0</v>
      </c>
      <c r="E824" s="122">
        <f>IFERROR(__xludf.DUMMYFUNCTION("""COMPUTED_VALUE"""),7525.340905099999)</f>
        <v>7525.340905</v>
      </c>
      <c r="F824" s="136"/>
      <c r="G824" s="124">
        <v>0.0</v>
      </c>
      <c r="H824" s="155"/>
      <c r="I824" s="155"/>
      <c r="J824" s="155"/>
      <c r="K824" s="155"/>
      <c r="L824" s="155"/>
      <c r="M824" s="126"/>
      <c r="N824" s="127"/>
      <c r="O824" s="127"/>
      <c r="P824" s="127"/>
      <c r="Q824" s="126"/>
      <c r="R824" s="143"/>
      <c r="S824" s="143"/>
      <c r="T824" s="143"/>
      <c r="U824" s="143"/>
      <c r="V824" s="130" t="s">
        <v>1945</v>
      </c>
      <c r="W824" s="144" t="s">
        <v>84</v>
      </c>
      <c r="X824" s="144"/>
      <c r="Y824" s="144"/>
      <c r="Z824" s="145" t="b">
        <v>0</v>
      </c>
      <c r="AA824" s="145"/>
      <c r="AB824" s="144"/>
      <c r="AC824" s="144"/>
      <c r="AD824" s="144"/>
      <c r="AE824" s="129"/>
      <c r="AF824" s="132"/>
      <c r="AG824" s="143" t="b">
        <v>0</v>
      </c>
      <c r="AH824" s="143"/>
      <c r="AI824" s="143"/>
      <c r="AJ824" s="143"/>
      <c r="AK824" s="143"/>
      <c r="AL824" s="129"/>
      <c r="AM824" s="129"/>
      <c r="AN824" s="128"/>
    </row>
    <row r="825">
      <c r="A825" s="118" t="s">
        <v>1949</v>
      </c>
      <c r="B825" s="119"/>
      <c r="C825" s="120" t="s">
        <v>68</v>
      </c>
      <c r="D825" s="142">
        <v>6643.0</v>
      </c>
      <c r="E825" s="122">
        <f>IFERROR(__xludf.DUMMYFUNCTION("""COMPUTED_VALUE"""),9174.314485699999)</f>
        <v>9174.314486</v>
      </c>
      <c r="F825" s="136"/>
      <c r="G825" s="124">
        <v>0.0</v>
      </c>
      <c r="H825" s="155"/>
      <c r="I825" s="155"/>
      <c r="J825" s="155"/>
      <c r="K825" s="155"/>
      <c r="L825" s="155"/>
      <c r="M825" s="126"/>
      <c r="N825" s="127"/>
      <c r="O825" s="127"/>
      <c r="P825" s="127"/>
      <c r="Q825" s="126"/>
      <c r="R825" s="143"/>
      <c r="S825" s="143"/>
      <c r="T825" s="143"/>
      <c r="U825" s="143"/>
      <c r="V825" s="130" t="s">
        <v>1945</v>
      </c>
      <c r="W825" s="144" t="s">
        <v>193</v>
      </c>
      <c r="X825" s="144"/>
      <c r="Y825" s="144" t="s">
        <v>195</v>
      </c>
      <c r="Z825" s="133" t="b">
        <v>1</v>
      </c>
      <c r="AA825" s="145"/>
      <c r="AB825" s="144" t="s">
        <v>451</v>
      </c>
      <c r="AC825" s="144"/>
      <c r="AD825" s="144"/>
      <c r="AE825" s="129"/>
      <c r="AF825" s="132"/>
      <c r="AG825" s="143" t="b">
        <v>0</v>
      </c>
      <c r="AH825" s="143"/>
      <c r="AI825" s="143"/>
      <c r="AJ825" s="143"/>
      <c r="AK825" s="143"/>
      <c r="AL825" s="129"/>
      <c r="AM825" s="129"/>
      <c r="AN825" s="128"/>
    </row>
    <row r="826">
      <c r="A826" s="140" t="s">
        <v>1950</v>
      </c>
      <c r="B826" s="119"/>
      <c r="C826" s="133" t="s">
        <v>75</v>
      </c>
      <c r="D826" s="142">
        <v>7301.7</v>
      </c>
      <c r="E826" s="122">
        <f>IFERROR(__xludf.DUMMYFUNCTION("""COMPUTED_VALUE"""),10084.012054829998)</f>
        <v>10084.01205</v>
      </c>
      <c r="F826" s="136"/>
      <c r="G826" s="152">
        <v>0.0</v>
      </c>
      <c r="H826" s="161"/>
      <c r="I826" s="161"/>
      <c r="J826" s="161"/>
      <c r="K826" s="161"/>
      <c r="L826" s="161"/>
      <c r="M826" s="162"/>
      <c r="N826" s="146"/>
      <c r="O826" s="146"/>
      <c r="P826" s="146"/>
      <c r="Q826" s="122"/>
      <c r="R826" s="128"/>
      <c r="S826" s="128"/>
      <c r="T826" s="128"/>
      <c r="U826" s="128"/>
      <c r="V826" s="130" t="s">
        <v>1945</v>
      </c>
      <c r="W826" s="144" t="s">
        <v>84</v>
      </c>
      <c r="X826" s="144"/>
      <c r="Y826" s="144"/>
      <c r="Z826" s="145" t="b">
        <v>0</v>
      </c>
      <c r="AA826" s="145"/>
      <c r="AB826" s="129"/>
      <c r="AC826" s="129"/>
      <c r="AD826" s="129"/>
      <c r="AE826" s="129"/>
      <c r="AF826" s="132"/>
      <c r="AG826" s="143" t="b">
        <v>0</v>
      </c>
      <c r="AH826" s="143"/>
      <c r="AI826" s="143"/>
      <c r="AJ826" s="143"/>
      <c r="AK826" s="143"/>
      <c r="AL826" s="129"/>
      <c r="AM826" s="129"/>
      <c r="AN826" s="139"/>
    </row>
    <row r="827">
      <c r="A827" s="118" t="s">
        <v>1951</v>
      </c>
      <c r="B827" s="119"/>
      <c r="C827" s="134" t="s">
        <v>75</v>
      </c>
      <c r="D827" s="142">
        <v>8537.2</v>
      </c>
      <c r="E827" s="122">
        <f>IFERROR(__xludf.DUMMYFUNCTION("""COMPUTED_VALUE"""),11790.29920628)</f>
        <v>11790.29921</v>
      </c>
      <c r="F827" s="136"/>
      <c r="G827" s="124">
        <v>0.0</v>
      </c>
      <c r="H827" s="161"/>
      <c r="I827" s="161"/>
      <c r="J827" s="161"/>
      <c r="K827" s="161"/>
      <c r="L827" s="161"/>
      <c r="M827" s="162"/>
      <c r="N827" s="146"/>
      <c r="O827" s="146"/>
      <c r="P827" s="146"/>
      <c r="Q827" s="122"/>
      <c r="R827" s="143"/>
      <c r="S827" s="143"/>
      <c r="T827" s="143"/>
      <c r="U827" s="143"/>
      <c r="V827" s="130" t="s">
        <v>1945</v>
      </c>
      <c r="W827" s="144" t="s">
        <v>193</v>
      </c>
      <c r="X827" s="144" t="s">
        <v>195</v>
      </c>
      <c r="Y827" s="144" t="s">
        <v>195</v>
      </c>
      <c r="Z827" s="145" t="b">
        <v>1</v>
      </c>
      <c r="AA827" s="145"/>
      <c r="AB827" s="144"/>
      <c r="AC827" s="129"/>
      <c r="AD827" s="129"/>
      <c r="AE827" s="129"/>
      <c r="AF827" s="132" t="s">
        <v>318</v>
      </c>
      <c r="AG827" s="143" t="b">
        <v>0</v>
      </c>
      <c r="AH827" s="143"/>
      <c r="AI827" s="143"/>
      <c r="AJ827" s="143"/>
      <c r="AK827" s="143"/>
      <c r="AL827" s="129"/>
      <c r="AM827" s="129"/>
      <c r="AN827" s="139"/>
    </row>
    <row r="828">
      <c r="A828" s="144" t="s">
        <v>1952</v>
      </c>
      <c r="B828" s="119"/>
      <c r="C828" s="133" t="s">
        <v>75</v>
      </c>
      <c r="D828" s="142">
        <v>27598.0</v>
      </c>
      <c r="E828" s="122">
        <f>IFERROR(__xludf.DUMMYFUNCTION("""COMPUTED_VALUE"""),38114.215140199994)</f>
        <v>38114.21514</v>
      </c>
      <c r="F828" s="136"/>
      <c r="G828" s="124">
        <v>0.0</v>
      </c>
      <c r="H828" s="161"/>
      <c r="I828" s="161"/>
      <c r="J828" s="161"/>
      <c r="K828" s="161"/>
      <c r="L828" s="161"/>
      <c r="M828" s="162"/>
      <c r="N828" s="146"/>
      <c r="O828" s="146"/>
      <c r="P828" s="146"/>
      <c r="Q828" s="126"/>
      <c r="R828" s="128"/>
      <c r="S828" s="128"/>
      <c r="T828" s="128"/>
      <c r="U828" s="128"/>
      <c r="V828" s="130" t="s">
        <v>1945</v>
      </c>
      <c r="W828" s="144" t="s">
        <v>84</v>
      </c>
      <c r="X828" s="144"/>
      <c r="Y828" s="144"/>
      <c r="Z828" s="145" t="b">
        <v>0</v>
      </c>
      <c r="AA828" s="145"/>
      <c r="AB828" s="129"/>
      <c r="AC828" s="129"/>
      <c r="AD828" s="129"/>
      <c r="AE828" s="129"/>
      <c r="AF828" s="132"/>
      <c r="AG828" s="143" t="b">
        <v>0</v>
      </c>
      <c r="AH828" s="143"/>
      <c r="AI828" s="143"/>
      <c r="AJ828" s="143"/>
      <c r="AK828" s="143"/>
      <c r="AL828" s="129"/>
      <c r="AM828" s="129"/>
      <c r="AN828" s="139"/>
    </row>
    <row r="829">
      <c r="A829" s="144" t="s">
        <v>1953</v>
      </c>
      <c r="B829" s="119"/>
      <c r="C829" s="133" t="s">
        <v>75</v>
      </c>
      <c r="D829" s="142"/>
      <c r="E829" s="135"/>
      <c r="F829" s="136"/>
      <c r="G829" s="165"/>
      <c r="H829" s="161"/>
      <c r="I829" s="161"/>
      <c r="J829" s="161"/>
      <c r="K829" s="161"/>
      <c r="L829" s="161"/>
      <c r="M829" s="162"/>
      <c r="N829" s="146"/>
      <c r="O829" s="146"/>
      <c r="P829" s="146"/>
      <c r="Q829" s="126"/>
      <c r="R829" s="128"/>
      <c r="S829" s="128"/>
      <c r="T829" s="128"/>
      <c r="U829" s="128"/>
      <c r="V829" s="130" t="s">
        <v>1954</v>
      </c>
      <c r="W829" s="144" t="s">
        <v>155</v>
      </c>
      <c r="X829" s="129" t="s">
        <v>1520</v>
      </c>
      <c r="Y829" s="130" t="s">
        <v>1521</v>
      </c>
      <c r="Z829" s="145" t="b">
        <v>0</v>
      </c>
      <c r="AA829" s="145"/>
      <c r="AB829" s="144"/>
      <c r="AC829" s="144"/>
      <c r="AD829" s="147" t="s">
        <v>1955</v>
      </c>
      <c r="AE829" s="129"/>
      <c r="AF829" s="132"/>
      <c r="AG829" s="143" t="b">
        <v>0</v>
      </c>
      <c r="AH829" s="143"/>
      <c r="AI829" s="143"/>
      <c r="AJ829" s="143"/>
      <c r="AK829" s="143"/>
      <c r="AL829" s="129"/>
      <c r="AM829" s="129" t="str">
        <f>IFERROR(__xludf.DUMMYFUNCTION("""COMPUTED_VALUE"""),"Kids Club, Kids Club for Under 4")</f>
        <v>Kids Club, Kids Club for Under 4</v>
      </c>
      <c r="AN829" s="139"/>
    </row>
    <row r="830" hidden="1">
      <c r="A830" s="130" t="s">
        <v>1956</v>
      </c>
      <c r="B830" s="119"/>
      <c r="C830" s="141" t="s">
        <v>68</v>
      </c>
      <c r="D830" s="142"/>
      <c r="E830" s="122"/>
      <c r="F830" s="136"/>
      <c r="G830" s="152"/>
      <c r="H830" s="143"/>
      <c r="I830" s="143"/>
      <c r="J830" s="143"/>
      <c r="K830" s="143"/>
      <c r="L830" s="143"/>
      <c r="M830" s="126"/>
      <c r="N830" s="127"/>
      <c r="O830" s="127"/>
      <c r="P830" s="127"/>
      <c r="Q830" s="126"/>
      <c r="R830" s="128"/>
      <c r="S830" s="128"/>
      <c r="T830" s="128"/>
      <c r="U830" s="128"/>
      <c r="V830" s="130" t="s">
        <v>531</v>
      </c>
      <c r="W830" s="130" t="s">
        <v>193</v>
      </c>
      <c r="X830" s="129"/>
      <c r="Y830" s="129"/>
      <c r="Z830" s="145" t="b">
        <v>0</v>
      </c>
      <c r="AA830" s="145"/>
      <c r="AB830" s="130"/>
      <c r="AC830" s="130"/>
      <c r="AD830" s="130"/>
      <c r="AE830" s="129"/>
      <c r="AF830" s="132"/>
      <c r="AG830" s="133" t="b">
        <v>0</v>
      </c>
      <c r="AH830" s="133"/>
      <c r="AI830" s="133"/>
      <c r="AJ830" s="133"/>
      <c r="AK830" s="133"/>
      <c r="AL830" s="129"/>
      <c r="AM830" s="129"/>
      <c r="AN830" s="128"/>
    </row>
    <row r="831" hidden="1">
      <c r="A831" s="118" t="s">
        <v>1924</v>
      </c>
      <c r="B831" s="119"/>
      <c r="C831" s="134" t="s">
        <v>75</v>
      </c>
      <c r="D831" s="142"/>
      <c r="E831" s="135"/>
      <c r="F831" s="136"/>
      <c r="G831" s="152"/>
      <c r="H831" s="143"/>
      <c r="I831" s="143"/>
      <c r="J831" s="143"/>
      <c r="K831" s="143"/>
      <c r="L831" s="143"/>
      <c r="M831" s="126"/>
      <c r="N831" s="127"/>
      <c r="O831" s="127"/>
      <c r="P831" s="127"/>
      <c r="Q831" s="122"/>
      <c r="R831" s="133"/>
      <c r="S831" s="133"/>
      <c r="T831" s="133"/>
      <c r="U831" s="133"/>
      <c r="V831" s="130" t="s">
        <v>531</v>
      </c>
      <c r="W831" s="130" t="s">
        <v>84</v>
      </c>
      <c r="X831" s="130" t="s">
        <v>686</v>
      </c>
      <c r="Y831" s="130" t="s">
        <v>86</v>
      </c>
      <c r="Z831" s="131" t="b">
        <v>1</v>
      </c>
      <c r="AA831" s="131">
        <v>0.009027777777777777</v>
      </c>
      <c r="AB831" s="130"/>
      <c r="AC831" s="130"/>
      <c r="AD831" s="130" t="s">
        <v>241</v>
      </c>
      <c r="AE831" s="129"/>
      <c r="AF831" s="132"/>
      <c r="AG831" s="133" t="b">
        <v>1</v>
      </c>
      <c r="AH831" s="133"/>
      <c r="AI831" s="133"/>
      <c r="AJ831" s="133"/>
      <c r="AK831" s="133"/>
      <c r="AL831" s="129"/>
      <c r="AM831" s="129" t="str">
        <f>IFERROR(__xludf.DUMMYFUNCTION("""COMPUTED_VALUE"""),"Beach")</f>
        <v>Beach</v>
      </c>
      <c r="AN831" s="139"/>
    </row>
    <row r="832" hidden="1">
      <c r="A832" s="130" t="s">
        <v>1925</v>
      </c>
      <c r="B832" s="119"/>
      <c r="C832" s="133" t="s">
        <v>75</v>
      </c>
      <c r="D832" s="142"/>
      <c r="E832" s="135"/>
      <c r="F832" s="136"/>
      <c r="G832" s="152"/>
      <c r="H832" s="143"/>
      <c r="I832" s="143"/>
      <c r="J832" s="143"/>
      <c r="K832" s="143"/>
      <c r="L832" s="143"/>
      <c r="M832" s="126"/>
      <c r="N832" s="127"/>
      <c r="O832" s="127"/>
      <c r="P832" s="127"/>
      <c r="Q832" s="122"/>
      <c r="R832" s="133"/>
      <c r="S832" s="133"/>
      <c r="T832" s="133"/>
      <c r="U832" s="133"/>
      <c r="V832" s="130" t="s">
        <v>531</v>
      </c>
      <c r="W832" s="130" t="s">
        <v>193</v>
      </c>
      <c r="X832" s="129"/>
      <c r="Y832" s="129"/>
      <c r="Z832" s="145" t="b">
        <v>0</v>
      </c>
      <c r="AA832" s="145"/>
      <c r="AB832" s="130"/>
      <c r="AC832" s="130"/>
      <c r="AD832" s="129"/>
      <c r="AE832" s="129"/>
      <c r="AF832" s="132"/>
      <c r="AG832" s="128" t="b">
        <v>0</v>
      </c>
      <c r="AH832" s="128"/>
      <c r="AI832" s="128"/>
      <c r="AJ832" s="128"/>
      <c r="AK832" s="128"/>
      <c r="AL832" s="129"/>
      <c r="AM832" s="129"/>
      <c r="AN832" s="139"/>
    </row>
    <row r="833" hidden="1">
      <c r="A833" s="130" t="s">
        <v>1926</v>
      </c>
      <c r="B833" s="119"/>
      <c r="C833" s="133" t="s">
        <v>75</v>
      </c>
      <c r="D833" s="142"/>
      <c r="E833" s="122"/>
      <c r="F833" s="136"/>
      <c r="G833" s="152"/>
      <c r="H833" s="143"/>
      <c r="I833" s="143"/>
      <c r="J833" s="143"/>
      <c r="K833" s="143"/>
      <c r="L833" s="143"/>
      <c r="M833" s="126"/>
      <c r="N833" s="127"/>
      <c r="O833" s="127"/>
      <c r="P833" s="127"/>
      <c r="Q833" s="122"/>
      <c r="R833" s="128"/>
      <c r="S833" s="128"/>
      <c r="T833" s="128"/>
      <c r="U833" s="128"/>
      <c r="V833" s="130" t="s">
        <v>531</v>
      </c>
      <c r="W833" s="130" t="s">
        <v>84</v>
      </c>
      <c r="X833" s="130" t="s">
        <v>123</v>
      </c>
      <c r="Y833" s="130" t="s">
        <v>123</v>
      </c>
      <c r="Z833" s="145" t="b">
        <v>0</v>
      </c>
      <c r="AA833" s="145"/>
      <c r="AB833" s="130"/>
      <c r="AC833" s="130"/>
      <c r="AD833" s="129"/>
      <c r="AE833" s="129"/>
      <c r="AF833" s="132"/>
      <c r="AG833" s="133" t="b">
        <v>0</v>
      </c>
      <c r="AH833" s="133"/>
      <c r="AI833" s="133"/>
      <c r="AJ833" s="133"/>
      <c r="AK833" s="133"/>
      <c r="AL833" s="129"/>
      <c r="AM833" s="129"/>
      <c r="AN833" s="139"/>
    </row>
    <row r="834" hidden="1">
      <c r="A834" s="130" t="s">
        <v>1927</v>
      </c>
      <c r="B834" s="119"/>
      <c r="C834" s="133" t="s">
        <v>75</v>
      </c>
      <c r="D834" s="142"/>
      <c r="E834" s="122"/>
      <c r="F834" s="136"/>
      <c r="G834" s="152"/>
      <c r="H834" s="143"/>
      <c r="I834" s="143"/>
      <c r="J834" s="143"/>
      <c r="K834" s="143"/>
      <c r="L834" s="143"/>
      <c r="M834" s="126"/>
      <c r="N834" s="127"/>
      <c r="O834" s="127"/>
      <c r="P834" s="127"/>
      <c r="Q834" s="126"/>
      <c r="R834" s="128"/>
      <c r="S834" s="128"/>
      <c r="T834" s="128"/>
      <c r="U834" s="128"/>
      <c r="V834" s="130" t="s">
        <v>531</v>
      </c>
      <c r="W834" s="130" t="s">
        <v>219</v>
      </c>
      <c r="X834" s="129"/>
      <c r="Y834" s="129"/>
      <c r="Z834" s="145" t="b">
        <v>0</v>
      </c>
      <c r="AA834" s="145"/>
      <c r="AB834" s="130"/>
      <c r="AC834" s="130"/>
      <c r="AD834" s="129"/>
      <c r="AE834" s="129"/>
      <c r="AF834" s="132"/>
      <c r="AG834" s="133" t="b">
        <v>0</v>
      </c>
      <c r="AH834" s="133"/>
      <c r="AI834" s="133"/>
      <c r="AJ834" s="133"/>
      <c r="AK834" s="133"/>
      <c r="AL834" s="129"/>
      <c r="AM834" s="129"/>
      <c r="AN834" s="139"/>
    </row>
    <row r="835" hidden="1">
      <c r="A835" s="130" t="s">
        <v>1956</v>
      </c>
      <c r="B835" s="119"/>
      <c r="C835" s="133" t="s">
        <v>75</v>
      </c>
      <c r="D835" s="142"/>
      <c r="E835" s="135"/>
      <c r="F835" s="136"/>
      <c r="G835" s="152"/>
      <c r="H835" s="143"/>
      <c r="I835" s="143"/>
      <c r="J835" s="143"/>
      <c r="K835" s="143"/>
      <c r="L835" s="143"/>
      <c r="M835" s="126"/>
      <c r="N835" s="127"/>
      <c r="O835" s="127"/>
      <c r="P835" s="127"/>
      <c r="Q835" s="122"/>
      <c r="R835" s="133"/>
      <c r="S835" s="133"/>
      <c r="T835" s="133"/>
      <c r="U835" s="133"/>
      <c r="V835" s="130" t="s">
        <v>531</v>
      </c>
      <c r="W835" s="130" t="s">
        <v>193</v>
      </c>
      <c r="X835" s="129"/>
      <c r="Y835" s="129"/>
      <c r="Z835" s="145" t="b">
        <v>0</v>
      </c>
      <c r="AA835" s="145"/>
      <c r="AB835" s="130"/>
      <c r="AC835" s="130"/>
      <c r="AD835" s="129"/>
      <c r="AE835" s="129"/>
      <c r="AF835" s="132"/>
      <c r="AG835" s="133" t="b">
        <v>0</v>
      </c>
      <c r="AH835" s="133"/>
      <c r="AI835" s="133"/>
      <c r="AJ835" s="133"/>
      <c r="AK835" s="133"/>
      <c r="AL835" s="129"/>
      <c r="AM835" s="129"/>
      <c r="AN835" s="139"/>
    </row>
    <row r="836" hidden="1">
      <c r="A836" s="130" t="s">
        <v>1928</v>
      </c>
      <c r="B836" s="119"/>
      <c r="C836" s="133" t="s">
        <v>75</v>
      </c>
      <c r="D836" s="142"/>
      <c r="E836" s="135"/>
      <c r="F836" s="136"/>
      <c r="G836" s="152"/>
      <c r="H836" s="143"/>
      <c r="I836" s="143"/>
      <c r="J836" s="143"/>
      <c r="K836" s="143"/>
      <c r="L836" s="143"/>
      <c r="M836" s="126"/>
      <c r="N836" s="127"/>
      <c r="O836" s="127"/>
      <c r="P836" s="127"/>
      <c r="Q836" s="122"/>
      <c r="R836" s="133"/>
      <c r="S836" s="133"/>
      <c r="T836" s="133"/>
      <c r="U836" s="133"/>
      <c r="V836" s="130" t="s">
        <v>531</v>
      </c>
      <c r="W836" s="130" t="s">
        <v>219</v>
      </c>
      <c r="X836" s="129"/>
      <c r="Y836" s="130" t="s">
        <v>221</v>
      </c>
      <c r="Z836" s="145" t="b">
        <v>0</v>
      </c>
      <c r="AA836" s="145"/>
      <c r="AB836" s="130"/>
      <c r="AC836" s="130"/>
      <c r="AD836" s="129"/>
      <c r="AE836" s="129"/>
      <c r="AF836" s="132"/>
      <c r="AG836" s="128" t="b">
        <v>0</v>
      </c>
      <c r="AH836" s="128"/>
      <c r="AI836" s="128"/>
      <c r="AJ836" s="128"/>
      <c r="AK836" s="128"/>
      <c r="AL836" s="129"/>
      <c r="AM836" s="129"/>
      <c r="AN836" s="139"/>
    </row>
    <row r="837" hidden="1">
      <c r="A837" s="118" t="s">
        <v>1923</v>
      </c>
      <c r="B837" s="119"/>
      <c r="C837" s="134" t="s">
        <v>75</v>
      </c>
      <c r="D837" s="142"/>
      <c r="E837" s="135"/>
      <c r="F837" s="136"/>
      <c r="G837" s="152"/>
      <c r="H837" s="143"/>
      <c r="I837" s="143"/>
      <c r="J837" s="143"/>
      <c r="K837" s="143"/>
      <c r="L837" s="143"/>
      <c r="M837" s="126"/>
      <c r="N837" s="138"/>
      <c r="O837" s="127"/>
      <c r="P837" s="127"/>
      <c r="Q837" s="122"/>
      <c r="R837" s="133"/>
      <c r="S837" s="133"/>
      <c r="T837" s="133"/>
      <c r="U837" s="133"/>
      <c r="V837" s="130" t="s">
        <v>118</v>
      </c>
      <c r="W837" s="130" t="s">
        <v>193</v>
      </c>
      <c r="X837" s="129"/>
      <c r="Y837" s="129"/>
      <c r="Z837" s="145" t="b">
        <v>0</v>
      </c>
      <c r="AA837" s="145"/>
      <c r="AB837" s="130"/>
      <c r="AC837" s="130"/>
      <c r="AD837" s="129"/>
      <c r="AE837" s="129"/>
      <c r="AF837" s="132"/>
      <c r="AG837" s="133" t="b">
        <v>0</v>
      </c>
      <c r="AH837" s="133"/>
      <c r="AI837" s="133"/>
      <c r="AJ837" s="133"/>
      <c r="AK837" s="133"/>
      <c r="AL837" s="129"/>
      <c r="AM837" s="129"/>
      <c r="AN837" s="139"/>
    </row>
    <row r="838">
      <c r="A838" s="163" t="s">
        <v>1957</v>
      </c>
      <c r="B838" s="119"/>
      <c r="C838" s="134" t="s">
        <v>75</v>
      </c>
      <c r="D838" s="142"/>
      <c r="E838" s="135"/>
      <c r="F838" s="136"/>
      <c r="G838" s="124"/>
      <c r="H838" s="125"/>
      <c r="I838" s="125"/>
      <c r="J838" s="125"/>
      <c r="K838" s="125"/>
      <c r="L838" s="125"/>
      <c r="M838" s="137"/>
      <c r="N838" s="138"/>
      <c r="O838" s="138"/>
      <c r="P838" s="138"/>
      <c r="Q838" s="135"/>
      <c r="R838" s="133"/>
      <c r="S838" s="133"/>
      <c r="T838" s="133"/>
      <c r="U838" s="133"/>
      <c r="V838" s="130" t="s">
        <v>1954</v>
      </c>
      <c r="W838" s="130" t="s">
        <v>219</v>
      </c>
      <c r="X838" s="130"/>
      <c r="Y838" s="130" t="s">
        <v>221</v>
      </c>
      <c r="Z838" s="133" t="b">
        <v>1</v>
      </c>
      <c r="AA838" s="131"/>
      <c r="AB838" s="130"/>
      <c r="AC838" s="130"/>
      <c r="AD838" s="130" t="s">
        <v>1955</v>
      </c>
      <c r="AE838" s="130"/>
      <c r="AF838" s="132"/>
      <c r="AG838" s="133" t="b">
        <v>0</v>
      </c>
      <c r="AH838" s="133"/>
      <c r="AI838" s="133"/>
      <c r="AJ838" s="133"/>
      <c r="AK838" s="133"/>
      <c r="AL838" s="129"/>
      <c r="AM838" s="129" t="str">
        <f>IFERROR(__xludf.DUMMYFUNCTION("""COMPUTED_VALUE"""),"Kids Club, Kids Club for Under 4")</f>
        <v>Kids Club, Kids Club for Under 4</v>
      </c>
      <c r="AN838" s="139"/>
    </row>
    <row r="839" hidden="1">
      <c r="A839" s="130" t="s">
        <v>1929</v>
      </c>
      <c r="B839" s="119"/>
      <c r="C839" s="133" t="s">
        <v>75</v>
      </c>
      <c r="D839" s="142"/>
      <c r="E839" s="135"/>
      <c r="F839" s="136"/>
      <c r="G839" s="152"/>
      <c r="H839" s="143"/>
      <c r="I839" s="143"/>
      <c r="J839" s="143"/>
      <c r="K839" s="143"/>
      <c r="L839" s="143"/>
      <c r="M839" s="126"/>
      <c r="N839" s="127"/>
      <c r="O839" s="127"/>
      <c r="P839" s="127"/>
      <c r="Q839" s="122"/>
      <c r="R839" s="133"/>
      <c r="S839" s="133"/>
      <c r="T839" s="133"/>
      <c r="U839" s="133"/>
      <c r="V839" s="130" t="s">
        <v>990</v>
      </c>
      <c r="W839" s="130" t="s">
        <v>84</v>
      </c>
      <c r="X839" s="129"/>
      <c r="Y839" s="129"/>
      <c r="Z839" s="145" t="b">
        <v>0</v>
      </c>
      <c r="AA839" s="145"/>
      <c r="AB839" s="130"/>
      <c r="AC839" s="130"/>
      <c r="AD839" s="129"/>
      <c r="AE839" s="129"/>
      <c r="AF839" s="132"/>
      <c r="AG839" s="133" t="b">
        <v>0</v>
      </c>
      <c r="AH839" s="133"/>
      <c r="AI839" s="133"/>
      <c r="AJ839" s="133"/>
      <c r="AK839" s="133"/>
      <c r="AL839" s="129"/>
      <c r="AM839" s="129"/>
      <c r="AN839" s="139"/>
    </row>
    <row r="840" hidden="1">
      <c r="A840" s="130" t="s">
        <v>1930</v>
      </c>
      <c r="B840" s="119"/>
      <c r="C840" s="133" t="s">
        <v>75</v>
      </c>
      <c r="D840" s="142"/>
      <c r="E840" s="135"/>
      <c r="F840" s="136"/>
      <c r="G840" s="152"/>
      <c r="H840" s="143"/>
      <c r="I840" s="143"/>
      <c r="J840" s="143"/>
      <c r="K840" s="143"/>
      <c r="L840" s="143"/>
      <c r="M840" s="126"/>
      <c r="N840" s="127"/>
      <c r="O840" s="127"/>
      <c r="P840" s="127"/>
      <c r="Q840" s="122"/>
      <c r="R840" s="133"/>
      <c r="S840" s="133"/>
      <c r="T840" s="133"/>
      <c r="U840" s="133"/>
      <c r="V840" s="130" t="s">
        <v>990</v>
      </c>
      <c r="W840" s="130" t="s">
        <v>84</v>
      </c>
      <c r="X840" s="129"/>
      <c r="Y840" s="129"/>
      <c r="Z840" s="145" t="b">
        <v>0</v>
      </c>
      <c r="AA840" s="145"/>
      <c r="AB840" s="130"/>
      <c r="AC840" s="130"/>
      <c r="AD840" s="129"/>
      <c r="AE840" s="129"/>
      <c r="AF840" s="132"/>
      <c r="AG840" s="133" t="b">
        <v>0</v>
      </c>
      <c r="AH840" s="133"/>
      <c r="AI840" s="133"/>
      <c r="AJ840" s="133"/>
      <c r="AK840" s="133"/>
      <c r="AL840" s="129"/>
      <c r="AM840" s="129"/>
      <c r="AN840" s="139"/>
    </row>
    <row r="841">
      <c r="A841" s="163" t="s">
        <v>1958</v>
      </c>
      <c r="B841" s="119"/>
      <c r="C841" s="120" t="s">
        <v>68</v>
      </c>
      <c r="D841" s="121"/>
      <c r="E841" s="122"/>
      <c r="F841" s="136"/>
      <c r="G841" s="124"/>
      <c r="H841" s="155"/>
      <c r="I841" s="155"/>
      <c r="J841" s="155"/>
      <c r="K841" s="155"/>
      <c r="L841" s="155"/>
      <c r="M841" s="126"/>
      <c r="N841" s="127"/>
      <c r="O841" s="127"/>
      <c r="P841" s="127"/>
      <c r="Q841" s="126"/>
      <c r="R841" s="133"/>
      <c r="S841" s="133"/>
      <c r="T841" s="133"/>
      <c r="U841" s="133"/>
      <c r="V841" s="130" t="s">
        <v>1954</v>
      </c>
      <c r="W841" s="130" t="s">
        <v>84</v>
      </c>
      <c r="X841" s="130" t="s">
        <v>119</v>
      </c>
      <c r="Y841" s="130" t="s">
        <v>120</v>
      </c>
      <c r="Z841" s="133" t="b">
        <v>1</v>
      </c>
      <c r="AA841" s="131"/>
      <c r="AB841" s="130"/>
      <c r="AC841" s="130"/>
      <c r="AD841" s="130"/>
      <c r="AE841" s="129"/>
      <c r="AF841" s="132"/>
      <c r="AG841" s="133" t="b">
        <v>0</v>
      </c>
      <c r="AH841" s="133"/>
      <c r="AI841" s="133"/>
      <c r="AJ841" s="133"/>
      <c r="AK841" s="133"/>
      <c r="AL841" s="129"/>
      <c r="AM841" s="129"/>
      <c r="AN841" s="128"/>
    </row>
    <row r="842">
      <c r="A842" s="118" t="s">
        <v>1959</v>
      </c>
      <c r="B842" s="119"/>
      <c r="C842" s="120" t="s">
        <v>68</v>
      </c>
      <c r="D842" s="121"/>
      <c r="E842" s="122"/>
      <c r="F842" s="136"/>
      <c r="G842" s="124">
        <v>0.0</v>
      </c>
      <c r="H842" s="125"/>
      <c r="I842" s="125"/>
      <c r="J842" s="125"/>
      <c r="K842" s="125"/>
      <c r="L842" s="125"/>
      <c r="M842" s="137"/>
      <c r="N842" s="138"/>
      <c r="O842" s="127"/>
      <c r="P842" s="138"/>
      <c r="Q842" s="122"/>
      <c r="R842" s="128"/>
      <c r="S842" s="128"/>
      <c r="T842" s="128"/>
      <c r="U842" s="128"/>
      <c r="V842" s="130" t="s">
        <v>1954</v>
      </c>
      <c r="W842" s="130" t="s">
        <v>193</v>
      </c>
      <c r="X842" s="130" t="s">
        <v>440</v>
      </c>
      <c r="Y842" s="130" t="s">
        <v>195</v>
      </c>
      <c r="Z842" s="131" t="b">
        <v>1</v>
      </c>
      <c r="AA842" s="131">
        <v>0.059722222222222225</v>
      </c>
      <c r="AB842" s="130"/>
      <c r="AC842" s="129"/>
      <c r="AD842" s="129"/>
      <c r="AE842" s="129"/>
      <c r="AF842" s="132"/>
      <c r="AG842" s="128" t="b">
        <v>0</v>
      </c>
      <c r="AH842" s="128"/>
      <c r="AI842" s="128"/>
      <c r="AJ842" s="128"/>
      <c r="AK842" s="128"/>
      <c r="AL842" s="129"/>
      <c r="AM842" s="129"/>
      <c r="AN842" s="128"/>
    </row>
    <row r="843">
      <c r="A843" s="130" t="s">
        <v>1960</v>
      </c>
      <c r="B843" s="119"/>
      <c r="C843" s="133" t="s">
        <v>75</v>
      </c>
      <c r="D843" s="142"/>
      <c r="E843" s="135"/>
      <c r="F843" s="136"/>
      <c r="G843" s="124"/>
      <c r="H843" s="155"/>
      <c r="I843" s="155"/>
      <c r="J843" s="155"/>
      <c r="K843" s="155"/>
      <c r="L843" s="155"/>
      <c r="M843" s="126"/>
      <c r="N843" s="127"/>
      <c r="O843" s="127"/>
      <c r="P843" s="127"/>
      <c r="Q843" s="122"/>
      <c r="R843" s="133"/>
      <c r="S843" s="133"/>
      <c r="T843" s="133"/>
      <c r="U843" s="133"/>
      <c r="V843" s="130" t="s">
        <v>1954</v>
      </c>
      <c r="W843" s="130" t="s">
        <v>84</v>
      </c>
      <c r="X843" s="130" t="s">
        <v>425</v>
      </c>
      <c r="Y843" s="130" t="s">
        <v>86</v>
      </c>
      <c r="Z843" s="145" t="b">
        <v>1</v>
      </c>
      <c r="AA843" s="145"/>
      <c r="AB843" s="130"/>
      <c r="AC843" s="130"/>
      <c r="AD843" s="147" t="s">
        <v>1568</v>
      </c>
      <c r="AE843" s="129"/>
      <c r="AF843" s="132"/>
      <c r="AG843" s="133" t="b">
        <v>0</v>
      </c>
      <c r="AH843" s="133"/>
      <c r="AI843" s="133"/>
      <c r="AJ843" s="133"/>
      <c r="AK843" s="133"/>
      <c r="AL843" s="129"/>
      <c r="AM843" s="129" t="str">
        <f>IFERROR(__xludf.DUMMYFUNCTION("""COMPUTED_VALUE"""),"Kids Club for Under 4")</f>
        <v>Kids Club for Under 4</v>
      </c>
      <c r="AN843" s="139"/>
    </row>
    <row r="844">
      <c r="A844" s="144" t="s">
        <v>1961</v>
      </c>
      <c r="B844" s="119"/>
      <c r="C844" s="133" t="s">
        <v>75</v>
      </c>
      <c r="D844" s="142"/>
      <c r="E844" s="122"/>
      <c r="F844" s="136"/>
      <c r="G844" s="166"/>
      <c r="H844" s="161"/>
      <c r="I844" s="161"/>
      <c r="J844" s="161"/>
      <c r="K844" s="161"/>
      <c r="L844" s="161"/>
      <c r="M844" s="162"/>
      <c r="N844" s="146"/>
      <c r="O844" s="146"/>
      <c r="P844" s="146"/>
      <c r="Q844" s="126"/>
      <c r="R844" s="128"/>
      <c r="S844" s="128"/>
      <c r="T844" s="128"/>
      <c r="U844" s="128"/>
      <c r="V844" s="130" t="s">
        <v>1954</v>
      </c>
      <c r="W844" s="144"/>
      <c r="X844" s="129"/>
      <c r="Y844" s="144"/>
      <c r="Z844" s="145" t="b">
        <v>0</v>
      </c>
      <c r="AA844" s="145"/>
      <c r="AB844" s="129"/>
      <c r="AC844" s="129"/>
      <c r="AD844" s="129"/>
      <c r="AE844" s="129"/>
      <c r="AF844" s="132"/>
      <c r="AG844" s="143" t="b">
        <v>0</v>
      </c>
      <c r="AH844" s="143"/>
      <c r="AI844" s="143"/>
      <c r="AJ844" s="143"/>
      <c r="AK844" s="143"/>
      <c r="AL844" s="129"/>
      <c r="AM844" s="129"/>
      <c r="AN844" s="139"/>
    </row>
    <row r="845">
      <c r="A845" s="163" t="s">
        <v>1962</v>
      </c>
      <c r="B845" s="149"/>
      <c r="C845" s="134" t="s">
        <v>75</v>
      </c>
      <c r="D845" s="142"/>
      <c r="E845" s="135"/>
      <c r="F845" s="136"/>
      <c r="G845" s="124"/>
      <c r="H845" s="125"/>
      <c r="I845" s="125"/>
      <c r="J845" s="125"/>
      <c r="K845" s="125"/>
      <c r="L845" s="125"/>
      <c r="M845" s="137"/>
      <c r="N845" s="138"/>
      <c r="O845" s="138"/>
      <c r="P845" s="138"/>
      <c r="Q845" s="135"/>
      <c r="R845" s="133"/>
      <c r="S845" s="133"/>
      <c r="T845" s="133"/>
      <c r="U845" s="133"/>
      <c r="V845" s="130" t="s">
        <v>1954</v>
      </c>
      <c r="W845" s="130" t="s">
        <v>193</v>
      </c>
      <c r="X845" s="130" t="s">
        <v>195</v>
      </c>
      <c r="Y845" s="130" t="s">
        <v>195</v>
      </c>
      <c r="Z845" s="131" t="b">
        <v>1</v>
      </c>
      <c r="AA845" s="131">
        <v>0.020833333333333332</v>
      </c>
      <c r="AB845" s="130"/>
      <c r="AC845" s="130"/>
      <c r="AD845" s="129" t="s">
        <v>241</v>
      </c>
      <c r="AE845" s="129"/>
      <c r="AF845" s="132"/>
      <c r="AG845" s="133" t="b">
        <v>0</v>
      </c>
      <c r="AH845" s="133"/>
      <c r="AI845" s="133"/>
      <c r="AJ845" s="133"/>
      <c r="AK845" s="133"/>
      <c r="AL845" s="129"/>
      <c r="AM845" s="129" t="str">
        <f>IFERROR(__xludf.DUMMYFUNCTION("""COMPUTED_VALUE"""),"Beach")</f>
        <v>Beach</v>
      </c>
      <c r="AN845" s="139"/>
    </row>
    <row r="846">
      <c r="A846" s="163" t="s">
        <v>1963</v>
      </c>
      <c r="B846" s="119"/>
      <c r="C846" s="120" t="s">
        <v>68</v>
      </c>
      <c r="D846" s="121"/>
      <c r="E846" s="122"/>
      <c r="F846" s="136"/>
      <c r="G846" s="124"/>
      <c r="H846" s="125"/>
      <c r="I846" s="125"/>
      <c r="J846" s="125"/>
      <c r="K846" s="125"/>
      <c r="L846" s="125"/>
      <c r="M846" s="137"/>
      <c r="N846" s="138"/>
      <c r="O846" s="138"/>
      <c r="P846" s="138"/>
      <c r="Q846" s="126"/>
      <c r="R846" s="133"/>
      <c r="S846" s="133"/>
      <c r="T846" s="133"/>
      <c r="U846" s="133"/>
      <c r="V846" s="130" t="s">
        <v>1954</v>
      </c>
      <c r="W846" s="130" t="s">
        <v>219</v>
      </c>
      <c r="X846" s="130"/>
      <c r="Y846" s="144" t="s">
        <v>221</v>
      </c>
      <c r="Z846" s="133" t="b">
        <v>1</v>
      </c>
      <c r="AA846" s="131"/>
      <c r="AB846" s="130"/>
      <c r="AC846" s="130"/>
      <c r="AD846" s="130"/>
      <c r="AE846" s="129"/>
      <c r="AF846" s="132"/>
      <c r="AG846" s="133" t="b">
        <v>0</v>
      </c>
      <c r="AH846" s="133"/>
      <c r="AI846" s="133"/>
      <c r="AJ846" s="133"/>
      <c r="AK846" s="133"/>
      <c r="AL846" s="129"/>
      <c r="AM846" s="129"/>
      <c r="AN846" s="128"/>
    </row>
    <row r="847">
      <c r="A847" s="163" t="s">
        <v>1964</v>
      </c>
      <c r="B847" s="119"/>
      <c r="C847" s="120" t="s">
        <v>68</v>
      </c>
      <c r="D847" s="121"/>
      <c r="E847" s="122"/>
      <c r="F847" s="123"/>
      <c r="G847" s="152"/>
      <c r="H847" s="125"/>
      <c r="I847" s="125"/>
      <c r="J847" s="125"/>
      <c r="K847" s="125"/>
      <c r="L847" s="125"/>
      <c r="M847" s="137"/>
      <c r="N847" s="138"/>
      <c r="O847" s="127"/>
      <c r="P847" s="127"/>
      <c r="Q847" s="126"/>
      <c r="R847" s="128"/>
      <c r="S847" s="128"/>
      <c r="T847" s="128"/>
      <c r="U847" s="128"/>
      <c r="V847" s="130" t="s">
        <v>1954</v>
      </c>
      <c r="W847" s="130" t="s">
        <v>219</v>
      </c>
      <c r="X847" s="130"/>
      <c r="Y847" s="144" t="s">
        <v>221</v>
      </c>
      <c r="Z847" s="131" t="b">
        <v>1</v>
      </c>
      <c r="AA847" s="131"/>
      <c r="AB847" s="130"/>
      <c r="AC847" s="130"/>
      <c r="AD847" s="130"/>
      <c r="AE847" s="130"/>
      <c r="AF847" s="132"/>
      <c r="AG847" s="133" t="b">
        <v>0</v>
      </c>
      <c r="AH847" s="133"/>
      <c r="AI847" s="133"/>
      <c r="AJ847" s="133"/>
      <c r="AK847" s="133"/>
      <c r="AL847" s="129"/>
      <c r="AM847" s="129"/>
      <c r="AN847" s="128"/>
    </row>
    <row r="848">
      <c r="A848" s="130" t="s">
        <v>1965</v>
      </c>
      <c r="B848" s="119"/>
      <c r="C848" s="133" t="s">
        <v>68</v>
      </c>
      <c r="D848" s="142"/>
      <c r="E848" s="122"/>
      <c r="F848" s="136"/>
      <c r="G848" s="152"/>
      <c r="H848" s="155"/>
      <c r="I848" s="155"/>
      <c r="J848" s="155"/>
      <c r="K848" s="155"/>
      <c r="L848" s="155"/>
      <c r="M848" s="126"/>
      <c r="N848" s="127"/>
      <c r="O848" s="127"/>
      <c r="P848" s="127"/>
      <c r="Q848" s="126"/>
      <c r="R848" s="128"/>
      <c r="S848" s="128"/>
      <c r="T848" s="128"/>
      <c r="U848" s="128"/>
      <c r="V848" s="147" t="s">
        <v>1954</v>
      </c>
      <c r="W848" s="130" t="s">
        <v>84</v>
      </c>
      <c r="X848" s="129"/>
      <c r="Y848" s="129"/>
      <c r="Z848" s="145" t="b">
        <v>0</v>
      </c>
      <c r="AA848" s="145"/>
      <c r="AB848" s="129"/>
      <c r="AC848" s="129"/>
      <c r="AD848" s="129"/>
      <c r="AE848" s="129"/>
      <c r="AF848" s="132"/>
      <c r="AG848" s="128" t="b">
        <v>0</v>
      </c>
      <c r="AH848" s="128"/>
      <c r="AI848" s="128"/>
      <c r="AJ848" s="128"/>
      <c r="AK848" s="128"/>
      <c r="AL848" s="129"/>
      <c r="AM848" s="129"/>
      <c r="AN848" s="139"/>
    </row>
    <row r="849">
      <c r="A849" s="129"/>
      <c r="B849" s="119"/>
      <c r="C849" s="128"/>
      <c r="D849" s="142"/>
      <c r="E849" s="122"/>
      <c r="F849" s="136"/>
      <c r="G849" s="152"/>
      <c r="H849" s="155"/>
      <c r="I849" s="155"/>
      <c r="J849" s="155"/>
      <c r="K849" s="155"/>
      <c r="L849" s="155"/>
      <c r="M849" s="126"/>
      <c r="N849" s="127"/>
      <c r="O849" s="127"/>
      <c r="P849" s="127"/>
      <c r="Q849" s="126"/>
      <c r="R849" s="128"/>
      <c r="S849" s="128"/>
      <c r="T849" s="128"/>
      <c r="U849" s="128"/>
      <c r="V849" s="129"/>
      <c r="W849" s="129"/>
      <c r="X849" s="129"/>
      <c r="Y849" s="129"/>
      <c r="Z849" s="145" t="b">
        <v>0</v>
      </c>
      <c r="AA849" s="145"/>
      <c r="AB849" s="129"/>
      <c r="AC849" s="129"/>
      <c r="AD849" s="129"/>
      <c r="AE849" s="129"/>
      <c r="AF849" s="132"/>
      <c r="AG849" s="128" t="b">
        <v>0</v>
      </c>
      <c r="AH849" s="128"/>
      <c r="AI849" s="128"/>
      <c r="AJ849" s="128"/>
      <c r="AK849" s="128"/>
      <c r="AL849" s="129"/>
      <c r="AM849" s="129"/>
      <c r="AN849" s="139"/>
    </row>
    <row r="850">
      <c r="A850" s="129"/>
      <c r="B850" s="119"/>
      <c r="C850" s="128"/>
      <c r="D850" s="142"/>
      <c r="E850" s="122"/>
      <c r="F850" s="136"/>
      <c r="G850" s="152"/>
      <c r="H850" s="155"/>
      <c r="I850" s="155"/>
      <c r="J850" s="155"/>
      <c r="K850" s="155"/>
      <c r="L850" s="155"/>
      <c r="M850" s="126"/>
      <c r="N850" s="127"/>
      <c r="O850" s="127"/>
      <c r="P850" s="127"/>
      <c r="Q850" s="126"/>
      <c r="R850" s="128"/>
      <c r="S850" s="128"/>
      <c r="T850" s="128"/>
      <c r="U850" s="128"/>
      <c r="V850" s="129"/>
      <c r="W850" s="129"/>
      <c r="X850" s="129"/>
      <c r="Y850" s="129"/>
      <c r="Z850" s="145" t="b">
        <v>0</v>
      </c>
      <c r="AA850" s="145"/>
      <c r="AB850" s="129"/>
      <c r="AC850" s="129"/>
      <c r="AD850" s="129"/>
      <c r="AE850" s="129"/>
      <c r="AF850" s="132"/>
      <c r="AG850" s="128" t="b">
        <v>0</v>
      </c>
      <c r="AH850" s="128"/>
      <c r="AI850" s="128"/>
      <c r="AJ850" s="128"/>
      <c r="AK850" s="128"/>
      <c r="AL850" s="129"/>
      <c r="AM850" s="129"/>
      <c r="AN850" s="139"/>
    </row>
    <row r="851">
      <c r="A851" s="129"/>
      <c r="B851" s="119"/>
      <c r="C851" s="128"/>
      <c r="D851" s="142"/>
      <c r="E851" s="122"/>
      <c r="F851" s="136"/>
      <c r="G851" s="152"/>
      <c r="H851" s="155"/>
      <c r="I851" s="155"/>
      <c r="J851" s="155"/>
      <c r="K851" s="155"/>
      <c r="L851" s="155"/>
      <c r="M851" s="126"/>
      <c r="N851" s="127"/>
      <c r="O851" s="127"/>
      <c r="P851" s="127"/>
      <c r="Q851" s="126"/>
      <c r="R851" s="128"/>
      <c r="S851" s="128"/>
      <c r="T851" s="128"/>
      <c r="U851" s="128"/>
      <c r="V851" s="129"/>
      <c r="W851" s="129"/>
      <c r="X851" s="129"/>
      <c r="Y851" s="129"/>
      <c r="Z851" s="145" t="b">
        <v>0</v>
      </c>
      <c r="AA851" s="145"/>
      <c r="AB851" s="129"/>
      <c r="AC851" s="129"/>
      <c r="AD851" s="129"/>
      <c r="AE851" s="129"/>
      <c r="AF851" s="132"/>
      <c r="AG851" s="128" t="b">
        <v>0</v>
      </c>
      <c r="AH851" s="128"/>
      <c r="AI851" s="128"/>
      <c r="AJ851" s="128"/>
      <c r="AK851" s="128"/>
      <c r="AL851" s="129"/>
      <c r="AM851" s="129"/>
      <c r="AN851" s="139"/>
    </row>
    <row r="852">
      <c r="A852" s="129"/>
      <c r="B852" s="119"/>
      <c r="C852" s="128"/>
      <c r="D852" s="142"/>
      <c r="E852" s="122"/>
      <c r="F852" s="136"/>
      <c r="G852" s="152"/>
      <c r="H852" s="155"/>
      <c r="I852" s="155"/>
      <c r="J852" s="155"/>
      <c r="K852" s="155"/>
      <c r="L852" s="155"/>
      <c r="M852" s="126"/>
      <c r="N852" s="127"/>
      <c r="O852" s="127"/>
      <c r="P852" s="127"/>
      <c r="Q852" s="126"/>
      <c r="R852" s="128"/>
      <c r="S852" s="128"/>
      <c r="T852" s="128"/>
      <c r="U852" s="128"/>
      <c r="V852" s="129"/>
      <c r="W852" s="129"/>
      <c r="X852" s="129"/>
      <c r="Y852" s="129"/>
      <c r="Z852" s="145" t="b">
        <v>0</v>
      </c>
      <c r="AA852" s="145"/>
      <c r="AB852" s="129"/>
      <c r="AC852" s="129"/>
      <c r="AD852" s="129"/>
      <c r="AE852" s="129"/>
      <c r="AF852" s="132"/>
      <c r="AG852" s="128" t="b">
        <v>0</v>
      </c>
      <c r="AH852" s="128"/>
      <c r="AI852" s="128"/>
      <c r="AJ852" s="128"/>
      <c r="AK852" s="128"/>
      <c r="AL852" s="129"/>
      <c r="AM852" s="129"/>
      <c r="AN852" s="139"/>
    </row>
    <row r="853">
      <c r="A853" s="129"/>
      <c r="B853" s="119"/>
      <c r="C853" s="128"/>
      <c r="D853" s="142"/>
      <c r="E853" s="122"/>
      <c r="F853" s="136"/>
      <c r="G853" s="152"/>
      <c r="H853" s="155"/>
      <c r="I853" s="155"/>
      <c r="J853" s="155"/>
      <c r="K853" s="155"/>
      <c r="L853" s="155"/>
      <c r="M853" s="126"/>
      <c r="N853" s="127"/>
      <c r="O853" s="127"/>
      <c r="P853" s="127"/>
      <c r="Q853" s="126"/>
      <c r="R853" s="128"/>
      <c r="S853" s="128"/>
      <c r="T853" s="128"/>
      <c r="U853" s="128"/>
      <c r="V853" s="129"/>
      <c r="W853" s="129"/>
      <c r="X853" s="129"/>
      <c r="Y853" s="129"/>
      <c r="Z853" s="145" t="b">
        <v>0</v>
      </c>
      <c r="AA853" s="145"/>
      <c r="AB853" s="129"/>
      <c r="AC853" s="129"/>
      <c r="AD853" s="129"/>
      <c r="AE853" s="129"/>
      <c r="AF853" s="132"/>
      <c r="AG853" s="128" t="b">
        <v>0</v>
      </c>
      <c r="AH853" s="128"/>
      <c r="AI853" s="128"/>
      <c r="AJ853" s="128"/>
      <c r="AK853" s="128"/>
      <c r="AL853" s="129"/>
      <c r="AM853" s="129"/>
      <c r="AN853" s="139"/>
    </row>
    <row r="854">
      <c r="A854" s="129"/>
      <c r="B854" s="119"/>
      <c r="C854" s="128"/>
      <c r="D854" s="142"/>
      <c r="E854" s="122"/>
      <c r="F854" s="136"/>
      <c r="G854" s="152"/>
      <c r="H854" s="155"/>
      <c r="I854" s="155"/>
      <c r="J854" s="155"/>
      <c r="K854" s="155"/>
      <c r="L854" s="155"/>
      <c r="M854" s="126"/>
      <c r="N854" s="127"/>
      <c r="O854" s="127"/>
      <c r="P854" s="127"/>
      <c r="Q854" s="126"/>
      <c r="R854" s="128"/>
      <c r="S854" s="128"/>
      <c r="T854" s="128"/>
      <c r="U854" s="128"/>
      <c r="V854" s="129"/>
      <c r="W854" s="129"/>
      <c r="X854" s="129"/>
      <c r="Y854" s="129"/>
      <c r="Z854" s="145" t="b">
        <v>0</v>
      </c>
      <c r="AA854" s="145"/>
      <c r="AB854" s="129"/>
      <c r="AC854" s="129"/>
      <c r="AD854" s="129"/>
      <c r="AE854" s="129"/>
      <c r="AF854" s="132"/>
      <c r="AG854" s="128" t="b">
        <v>0</v>
      </c>
      <c r="AH854" s="128"/>
      <c r="AI854" s="128"/>
      <c r="AJ854" s="128"/>
      <c r="AK854" s="128"/>
      <c r="AL854" s="129"/>
      <c r="AM854" s="129"/>
      <c r="AN854" s="139"/>
    </row>
    <row r="855">
      <c r="A855" s="129"/>
      <c r="B855" s="119"/>
      <c r="C855" s="128"/>
      <c r="D855" s="142"/>
      <c r="E855" s="122"/>
      <c r="F855" s="136"/>
      <c r="G855" s="152"/>
      <c r="H855" s="155"/>
      <c r="I855" s="155"/>
      <c r="J855" s="155"/>
      <c r="K855" s="155"/>
      <c r="L855" s="155"/>
      <c r="M855" s="126"/>
      <c r="N855" s="127"/>
      <c r="O855" s="127"/>
      <c r="P855" s="127"/>
      <c r="Q855" s="126"/>
      <c r="R855" s="128"/>
      <c r="S855" s="128"/>
      <c r="T855" s="128"/>
      <c r="U855" s="128"/>
      <c r="V855" s="129"/>
      <c r="W855" s="129"/>
      <c r="X855" s="129"/>
      <c r="Y855" s="129"/>
      <c r="Z855" s="145" t="b">
        <v>0</v>
      </c>
      <c r="AA855" s="145"/>
      <c r="AB855" s="129"/>
      <c r="AC855" s="129"/>
      <c r="AD855" s="129"/>
      <c r="AE855" s="129"/>
      <c r="AF855" s="132"/>
      <c r="AG855" s="128" t="b">
        <v>0</v>
      </c>
      <c r="AH855" s="128"/>
      <c r="AI855" s="128"/>
      <c r="AJ855" s="128"/>
      <c r="AK855" s="128"/>
      <c r="AL855" s="129"/>
      <c r="AM855" s="129"/>
      <c r="AN855" s="139"/>
    </row>
    <row r="856">
      <c r="A856" s="129"/>
      <c r="B856" s="119"/>
      <c r="C856" s="128"/>
      <c r="D856" s="142"/>
      <c r="E856" s="122"/>
      <c r="F856" s="136"/>
      <c r="G856" s="152"/>
      <c r="H856" s="155"/>
      <c r="I856" s="155"/>
      <c r="J856" s="155"/>
      <c r="K856" s="155"/>
      <c r="L856" s="155"/>
      <c r="M856" s="126"/>
      <c r="N856" s="127"/>
      <c r="O856" s="127"/>
      <c r="P856" s="127"/>
      <c r="Q856" s="126"/>
      <c r="R856" s="128"/>
      <c r="S856" s="128"/>
      <c r="T856" s="128"/>
      <c r="U856" s="128"/>
      <c r="V856" s="129"/>
      <c r="W856" s="129"/>
      <c r="X856" s="129"/>
      <c r="Y856" s="129"/>
      <c r="Z856" s="145" t="b">
        <v>0</v>
      </c>
      <c r="AA856" s="145"/>
      <c r="AB856" s="129"/>
      <c r="AC856" s="129"/>
      <c r="AD856" s="129"/>
      <c r="AE856" s="129"/>
      <c r="AF856" s="132"/>
      <c r="AG856" s="128" t="b">
        <v>0</v>
      </c>
      <c r="AH856" s="128"/>
      <c r="AI856" s="128"/>
      <c r="AJ856" s="128"/>
      <c r="AK856" s="128"/>
      <c r="AL856" s="129"/>
      <c r="AM856" s="129"/>
      <c r="AN856" s="139"/>
    </row>
    <row r="857">
      <c r="A857" s="129"/>
      <c r="B857" s="119"/>
      <c r="C857" s="128"/>
      <c r="D857" s="142"/>
      <c r="E857" s="122"/>
      <c r="F857" s="136"/>
      <c r="G857" s="152"/>
      <c r="H857" s="155"/>
      <c r="I857" s="155"/>
      <c r="J857" s="155"/>
      <c r="K857" s="155"/>
      <c r="L857" s="155"/>
      <c r="M857" s="126"/>
      <c r="N857" s="127"/>
      <c r="O857" s="127"/>
      <c r="P857" s="127"/>
      <c r="Q857" s="126"/>
      <c r="R857" s="128"/>
      <c r="S857" s="128"/>
      <c r="T857" s="128"/>
      <c r="U857" s="128"/>
      <c r="V857" s="129"/>
      <c r="W857" s="129"/>
      <c r="X857" s="129"/>
      <c r="Y857" s="129"/>
      <c r="Z857" s="145" t="b">
        <v>0</v>
      </c>
      <c r="AA857" s="145"/>
      <c r="AB857" s="129"/>
      <c r="AC857" s="129"/>
      <c r="AD857" s="129"/>
      <c r="AE857" s="129"/>
      <c r="AF857" s="132"/>
      <c r="AG857" s="128" t="b">
        <v>0</v>
      </c>
      <c r="AH857" s="128"/>
      <c r="AI857" s="128"/>
      <c r="AJ857" s="128"/>
      <c r="AK857" s="128"/>
      <c r="AL857" s="129"/>
      <c r="AM857" s="129"/>
      <c r="AN857" s="139"/>
    </row>
    <row r="858">
      <c r="A858" s="129"/>
      <c r="B858" s="119"/>
      <c r="C858" s="128"/>
      <c r="D858" s="142"/>
      <c r="E858" s="122"/>
      <c r="F858" s="136"/>
      <c r="G858" s="152"/>
      <c r="H858" s="155"/>
      <c r="I858" s="155"/>
      <c r="J858" s="155"/>
      <c r="K858" s="155"/>
      <c r="L858" s="155"/>
      <c r="M858" s="126"/>
      <c r="N858" s="127"/>
      <c r="O858" s="127"/>
      <c r="P858" s="127"/>
      <c r="Q858" s="126"/>
      <c r="R858" s="128"/>
      <c r="S858" s="128"/>
      <c r="T858" s="128"/>
      <c r="U858" s="128"/>
      <c r="V858" s="129"/>
      <c r="W858" s="129"/>
      <c r="X858" s="129"/>
      <c r="Y858" s="129"/>
      <c r="Z858" s="145" t="b">
        <v>0</v>
      </c>
      <c r="AA858" s="145"/>
      <c r="AB858" s="129"/>
      <c r="AC858" s="129"/>
      <c r="AD858" s="129"/>
      <c r="AE858" s="129"/>
      <c r="AF858" s="132"/>
      <c r="AG858" s="128" t="b">
        <v>0</v>
      </c>
      <c r="AH858" s="128"/>
      <c r="AI858" s="128"/>
      <c r="AJ858" s="128"/>
      <c r="AK858" s="128"/>
      <c r="AL858" s="129"/>
      <c r="AM858" s="129"/>
      <c r="AN858" s="139"/>
    </row>
    <row r="859">
      <c r="A859" s="129"/>
      <c r="B859" s="119"/>
      <c r="C859" s="128"/>
      <c r="D859" s="142"/>
      <c r="E859" s="122"/>
      <c r="F859" s="136"/>
      <c r="G859" s="152"/>
      <c r="H859" s="155"/>
      <c r="I859" s="155"/>
      <c r="J859" s="155"/>
      <c r="K859" s="155"/>
      <c r="L859" s="155"/>
      <c r="M859" s="126"/>
      <c r="N859" s="127"/>
      <c r="O859" s="127"/>
      <c r="P859" s="127"/>
      <c r="Q859" s="126"/>
      <c r="R859" s="128"/>
      <c r="S859" s="128"/>
      <c r="T859" s="128"/>
      <c r="U859" s="128"/>
      <c r="V859" s="129"/>
      <c r="W859" s="129"/>
      <c r="X859" s="129"/>
      <c r="Y859" s="129"/>
      <c r="Z859" s="145" t="b">
        <v>0</v>
      </c>
      <c r="AA859" s="145"/>
      <c r="AB859" s="129"/>
      <c r="AC859" s="129"/>
      <c r="AD859" s="129"/>
      <c r="AE859" s="129"/>
      <c r="AF859" s="132"/>
      <c r="AG859" s="128" t="b">
        <v>0</v>
      </c>
      <c r="AH859" s="128"/>
      <c r="AI859" s="128"/>
      <c r="AJ859" s="128"/>
      <c r="AK859" s="128"/>
      <c r="AL859" s="129"/>
      <c r="AM859" s="129"/>
      <c r="AN859" s="139"/>
    </row>
    <row r="860">
      <c r="A860" s="129"/>
      <c r="B860" s="119"/>
      <c r="C860" s="128"/>
      <c r="D860" s="142"/>
      <c r="E860" s="122"/>
      <c r="F860" s="136"/>
      <c r="G860" s="152"/>
      <c r="H860" s="155"/>
      <c r="I860" s="155"/>
      <c r="J860" s="155"/>
      <c r="K860" s="155"/>
      <c r="L860" s="155"/>
      <c r="M860" s="126"/>
      <c r="N860" s="127"/>
      <c r="O860" s="127"/>
      <c r="P860" s="127"/>
      <c r="Q860" s="126"/>
      <c r="R860" s="128"/>
      <c r="S860" s="128"/>
      <c r="T860" s="128"/>
      <c r="U860" s="128"/>
      <c r="V860" s="129"/>
      <c r="W860" s="129"/>
      <c r="X860" s="129"/>
      <c r="Y860" s="129"/>
      <c r="Z860" s="145" t="b">
        <v>0</v>
      </c>
      <c r="AA860" s="145"/>
      <c r="AB860" s="129"/>
      <c r="AC860" s="129"/>
      <c r="AD860" s="129"/>
      <c r="AE860" s="129"/>
      <c r="AF860" s="132"/>
      <c r="AG860" s="128" t="b">
        <v>0</v>
      </c>
      <c r="AH860" s="128"/>
      <c r="AI860" s="128"/>
      <c r="AJ860" s="128"/>
      <c r="AK860" s="128"/>
      <c r="AL860" s="129"/>
      <c r="AM860" s="129"/>
      <c r="AN860" s="139"/>
    </row>
    <row r="861">
      <c r="A861" s="129"/>
      <c r="B861" s="119"/>
      <c r="C861" s="128"/>
      <c r="D861" s="142"/>
      <c r="E861" s="122"/>
      <c r="F861" s="136"/>
      <c r="G861" s="152"/>
      <c r="H861" s="155"/>
      <c r="I861" s="155"/>
      <c r="J861" s="155"/>
      <c r="K861" s="155"/>
      <c r="L861" s="155"/>
      <c r="M861" s="126"/>
      <c r="N861" s="127"/>
      <c r="O861" s="127"/>
      <c r="P861" s="127"/>
      <c r="Q861" s="126"/>
      <c r="R861" s="128"/>
      <c r="S861" s="128"/>
      <c r="T861" s="128"/>
      <c r="U861" s="128"/>
      <c r="V861" s="129"/>
      <c r="W861" s="129"/>
      <c r="X861" s="129"/>
      <c r="Y861" s="129"/>
      <c r="Z861" s="145" t="b">
        <v>0</v>
      </c>
      <c r="AA861" s="145"/>
      <c r="AB861" s="129"/>
      <c r="AC861" s="129"/>
      <c r="AD861" s="129"/>
      <c r="AE861" s="129"/>
      <c r="AF861" s="132"/>
      <c r="AG861" s="128" t="b">
        <v>0</v>
      </c>
      <c r="AH861" s="128"/>
      <c r="AI861" s="128"/>
      <c r="AJ861" s="128"/>
      <c r="AK861" s="128"/>
      <c r="AL861" s="129"/>
      <c r="AM861" s="129"/>
      <c r="AN861" s="139"/>
    </row>
    <row r="862">
      <c r="A862" s="129"/>
      <c r="B862" s="119"/>
      <c r="C862" s="128"/>
      <c r="D862" s="142"/>
      <c r="E862" s="122"/>
      <c r="F862" s="136"/>
      <c r="G862" s="152"/>
      <c r="H862" s="155"/>
      <c r="I862" s="155"/>
      <c r="J862" s="155"/>
      <c r="K862" s="155"/>
      <c r="L862" s="155"/>
      <c r="M862" s="126"/>
      <c r="N862" s="127"/>
      <c r="O862" s="127"/>
      <c r="P862" s="127"/>
      <c r="Q862" s="126"/>
      <c r="R862" s="128"/>
      <c r="S862" s="128"/>
      <c r="T862" s="128"/>
      <c r="U862" s="128"/>
      <c r="V862" s="129"/>
      <c r="W862" s="129"/>
      <c r="X862" s="129"/>
      <c r="Y862" s="129"/>
      <c r="Z862" s="145" t="b">
        <v>0</v>
      </c>
      <c r="AA862" s="145"/>
      <c r="AB862" s="129"/>
      <c r="AC862" s="129"/>
      <c r="AD862" s="129"/>
      <c r="AE862" s="129"/>
      <c r="AF862" s="132"/>
      <c r="AG862" s="128" t="b">
        <v>0</v>
      </c>
      <c r="AH862" s="128"/>
      <c r="AI862" s="128"/>
      <c r="AJ862" s="128"/>
      <c r="AK862" s="128"/>
      <c r="AL862" s="129"/>
      <c r="AM862" s="129"/>
      <c r="AN862" s="139"/>
    </row>
    <row r="863">
      <c r="A863" s="129"/>
      <c r="B863" s="119"/>
      <c r="C863" s="128"/>
      <c r="D863" s="142"/>
      <c r="E863" s="122"/>
      <c r="F863" s="136"/>
      <c r="G863" s="152"/>
      <c r="H863" s="155"/>
      <c r="I863" s="155"/>
      <c r="J863" s="155"/>
      <c r="K863" s="155"/>
      <c r="L863" s="155"/>
      <c r="M863" s="126"/>
      <c r="N863" s="127"/>
      <c r="O863" s="127"/>
      <c r="P863" s="127"/>
      <c r="Q863" s="126"/>
      <c r="R863" s="128"/>
      <c r="S863" s="128"/>
      <c r="T863" s="128"/>
      <c r="U863" s="128"/>
      <c r="V863" s="129"/>
      <c r="W863" s="129"/>
      <c r="X863" s="129"/>
      <c r="Y863" s="129"/>
      <c r="Z863" s="145" t="b">
        <v>0</v>
      </c>
      <c r="AA863" s="145"/>
      <c r="AB863" s="129"/>
      <c r="AC863" s="129"/>
      <c r="AD863" s="129"/>
      <c r="AE863" s="129"/>
      <c r="AF863" s="132"/>
      <c r="AG863" s="128" t="b">
        <v>0</v>
      </c>
      <c r="AH863" s="128"/>
      <c r="AI863" s="128"/>
      <c r="AJ863" s="128"/>
      <c r="AK863" s="128"/>
      <c r="AL863" s="129"/>
      <c r="AM863" s="129"/>
      <c r="AN863" s="139"/>
    </row>
    <row r="864">
      <c r="A864" s="129"/>
      <c r="B864" s="119"/>
      <c r="C864" s="128"/>
      <c r="D864" s="142"/>
      <c r="E864" s="122"/>
      <c r="F864" s="136"/>
      <c r="G864" s="152"/>
      <c r="H864" s="155"/>
      <c r="I864" s="155"/>
      <c r="J864" s="155"/>
      <c r="K864" s="155"/>
      <c r="L864" s="155"/>
      <c r="M864" s="126"/>
      <c r="N864" s="127"/>
      <c r="O864" s="127"/>
      <c r="P864" s="127"/>
      <c r="Q864" s="126"/>
      <c r="R864" s="128"/>
      <c r="S864" s="128"/>
      <c r="T864" s="128"/>
      <c r="U864" s="128"/>
      <c r="V864" s="129"/>
      <c r="W864" s="129"/>
      <c r="X864" s="129"/>
      <c r="Y864" s="129"/>
      <c r="Z864" s="145" t="b">
        <v>0</v>
      </c>
      <c r="AA864" s="145"/>
      <c r="AB864" s="129"/>
      <c r="AC864" s="129"/>
      <c r="AD864" s="129"/>
      <c r="AE864" s="129"/>
      <c r="AF864" s="132"/>
      <c r="AG864" s="128" t="b">
        <v>0</v>
      </c>
      <c r="AH864" s="128"/>
      <c r="AI864" s="128"/>
      <c r="AJ864" s="128"/>
      <c r="AK864" s="128"/>
      <c r="AL864" s="129"/>
      <c r="AM864" s="129"/>
      <c r="AN864" s="139"/>
    </row>
    <row r="865">
      <c r="A865" s="129"/>
      <c r="B865" s="119"/>
      <c r="C865" s="128"/>
      <c r="D865" s="142"/>
      <c r="E865" s="122"/>
      <c r="F865" s="136"/>
      <c r="G865" s="152"/>
      <c r="H865" s="155"/>
      <c r="I865" s="155"/>
      <c r="J865" s="155"/>
      <c r="K865" s="155"/>
      <c r="L865" s="155"/>
      <c r="M865" s="126"/>
      <c r="N865" s="127"/>
      <c r="O865" s="127"/>
      <c r="P865" s="127"/>
      <c r="Q865" s="126"/>
      <c r="R865" s="128"/>
      <c r="S865" s="128"/>
      <c r="T865" s="128"/>
      <c r="U865" s="128"/>
      <c r="V865" s="129"/>
      <c r="W865" s="129"/>
      <c r="X865" s="129"/>
      <c r="Y865" s="129"/>
      <c r="Z865" s="145" t="b">
        <v>0</v>
      </c>
      <c r="AA865" s="145"/>
      <c r="AB865" s="129"/>
      <c r="AC865" s="129"/>
      <c r="AD865" s="129"/>
      <c r="AE865" s="129"/>
      <c r="AF865" s="132"/>
      <c r="AG865" s="128" t="b">
        <v>0</v>
      </c>
      <c r="AH865" s="128"/>
      <c r="AI865" s="128"/>
      <c r="AJ865" s="128"/>
      <c r="AK865" s="128"/>
      <c r="AL865" s="129"/>
      <c r="AM865" s="129"/>
      <c r="AN865" s="139"/>
    </row>
    <row r="866">
      <c r="A866" s="129"/>
      <c r="B866" s="119"/>
      <c r="C866" s="128"/>
      <c r="D866" s="142"/>
      <c r="E866" s="122"/>
      <c r="F866" s="136"/>
      <c r="G866" s="152"/>
      <c r="H866" s="155"/>
      <c r="I866" s="155"/>
      <c r="J866" s="155"/>
      <c r="K866" s="155"/>
      <c r="L866" s="155"/>
      <c r="M866" s="126"/>
      <c r="N866" s="127"/>
      <c r="O866" s="127"/>
      <c r="P866" s="127"/>
      <c r="Q866" s="126"/>
      <c r="R866" s="128"/>
      <c r="S866" s="128"/>
      <c r="T866" s="128"/>
      <c r="U866" s="128"/>
      <c r="V866" s="129"/>
      <c r="W866" s="129"/>
      <c r="X866" s="129"/>
      <c r="Y866" s="129"/>
      <c r="Z866" s="145" t="b">
        <v>0</v>
      </c>
      <c r="AA866" s="145"/>
      <c r="AB866" s="129"/>
      <c r="AC866" s="129"/>
      <c r="AD866" s="129"/>
      <c r="AE866" s="129"/>
      <c r="AF866" s="132"/>
      <c r="AG866" s="128" t="b">
        <v>0</v>
      </c>
      <c r="AH866" s="128"/>
      <c r="AI866" s="128"/>
      <c r="AJ866" s="128"/>
      <c r="AK866" s="128"/>
      <c r="AL866" s="129"/>
      <c r="AM866" s="129"/>
      <c r="AN866" s="139"/>
    </row>
    <row r="867">
      <c r="A867" s="129"/>
      <c r="B867" s="119"/>
      <c r="C867" s="128"/>
      <c r="D867" s="142"/>
      <c r="E867" s="122"/>
      <c r="F867" s="136"/>
      <c r="G867" s="152"/>
      <c r="H867" s="155"/>
      <c r="I867" s="155"/>
      <c r="J867" s="155"/>
      <c r="K867" s="155"/>
      <c r="L867" s="155"/>
      <c r="M867" s="126"/>
      <c r="N867" s="127"/>
      <c r="O867" s="127"/>
      <c r="P867" s="127"/>
      <c r="Q867" s="126"/>
      <c r="R867" s="128"/>
      <c r="S867" s="128"/>
      <c r="T867" s="128"/>
      <c r="U867" s="128"/>
      <c r="V867" s="129"/>
      <c r="W867" s="129"/>
      <c r="X867" s="129"/>
      <c r="Y867" s="129"/>
      <c r="Z867" s="145" t="b">
        <v>0</v>
      </c>
      <c r="AA867" s="145"/>
      <c r="AB867" s="129"/>
      <c r="AC867" s="129"/>
      <c r="AD867" s="129"/>
      <c r="AE867" s="129"/>
      <c r="AF867" s="132"/>
      <c r="AG867" s="128" t="b">
        <v>0</v>
      </c>
      <c r="AH867" s="128"/>
      <c r="AI867" s="128"/>
      <c r="AJ867" s="128"/>
      <c r="AK867" s="128"/>
      <c r="AL867" s="129"/>
      <c r="AM867" s="129"/>
      <c r="AN867" s="139"/>
    </row>
    <row r="868">
      <c r="A868" s="129"/>
      <c r="B868" s="119"/>
      <c r="C868" s="128"/>
      <c r="D868" s="142"/>
      <c r="E868" s="122"/>
      <c r="F868" s="136"/>
      <c r="G868" s="152"/>
      <c r="H868" s="155"/>
      <c r="I868" s="155"/>
      <c r="J868" s="155"/>
      <c r="K868" s="155"/>
      <c r="L868" s="155"/>
      <c r="M868" s="126"/>
      <c r="N868" s="127"/>
      <c r="O868" s="127"/>
      <c r="P868" s="127"/>
      <c r="Q868" s="126"/>
      <c r="R868" s="128"/>
      <c r="S868" s="128"/>
      <c r="T868" s="128"/>
      <c r="U868" s="128"/>
      <c r="V868" s="129"/>
      <c r="W868" s="129"/>
      <c r="X868" s="129"/>
      <c r="Y868" s="129"/>
      <c r="Z868" s="145" t="b">
        <v>0</v>
      </c>
      <c r="AA868" s="145"/>
      <c r="AB868" s="129"/>
      <c r="AC868" s="129"/>
      <c r="AD868" s="129"/>
      <c r="AE868" s="129"/>
      <c r="AF868" s="132"/>
      <c r="AG868" s="128" t="b">
        <v>0</v>
      </c>
      <c r="AH868" s="128"/>
      <c r="AI868" s="128"/>
      <c r="AJ868" s="128"/>
      <c r="AK868" s="128"/>
      <c r="AL868" s="129"/>
      <c r="AM868" s="129"/>
      <c r="AN868" s="139"/>
    </row>
    <row r="869">
      <c r="A869" s="129"/>
      <c r="B869" s="119"/>
      <c r="C869" s="128"/>
      <c r="D869" s="142"/>
      <c r="E869" s="122"/>
      <c r="F869" s="136"/>
      <c r="G869" s="152"/>
      <c r="H869" s="155"/>
      <c r="I869" s="155"/>
      <c r="J869" s="155"/>
      <c r="K869" s="155"/>
      <c r="L869" s="155"/>
      <c r="M869" s="126"/>
      <c r="N869" s="127"/>
      <c r="O869" s="127"/>
      <c r="P869" s="127"/>
      <c r="Q869" s="126"/>
      <c r="R869" s="128"/>
      <c r="S869" s="128"/>
      <c r="T869" s="128"/>
      <c r="U869" s="128"/>
      <c r="V869" s="129"/>
      <c r="W869" s="129"/>
      <c r="X869" s="129"/>
      <c r="Y869" s="129"/>
      <c r="Z869" s="145" t="b">
        <v>0</v>
      </c>
      <c r="AA869" s="145"/>
      <c r="AB869" s="129"/>
      <c r="AC869" s="129"/>
      <c r="AD869" s="129"/>
      <c r="AE869" s="129"/>
      <c r="AF869" s="132"/>
      <c r="AG869" s="128" t="b">
        <v>0</v>
      </c>
      <c r="AH869" s="128"/>
      <c r="AI869" s="128"/>
      <c r="AJ869" s="128"/>
      <c r="AK869" s="128"/>
      <c r="AL869" s="129"/>
      <c r="AM869" s="129"/>
      <c r="AN869" s="139"/>
    </row>
    <row r="870">
      <c r="A870" s="129"/>
      <c r="B870" s="119"/>
      <c r="C870" s="128"/>
      <c r="D870" s="142"/>
      <c r="E870" s="122"/>
      <c r="F870" s="136"/>
      <c r="G870" s="152"/>
      <c r="H870" s="155"/>
      <c r="I870" s="155"/>
      <c r="J870" s="155"/>
      <c r="K870" s="155"/>
      <c r="L870" s="155"/>
      <c r="M870" s="126"/>
      <c r="N870" s="127"/>
      <c r="O870" s="127"/>
      <c r="P870" s="127"/>
      <c r="Q870" s="126"/>
      <c r="R870" s="128"/>
      <c r="S870" s="128"/>
      <c r="T870" s="128"/>
      <c r="U870" s="128"/>
      <c r="V870" s="129"/>
      <c r="W870" s="129"/>
      <c r="X870" s="129"/>
      <c r="Y870" s="129"/>
      <c r="Z870" s="145" t="b">
        <v>0</v>
      </c>
      <c r="AA870" s="145"/>
      <c r="AB870" s="129"/>
      <c r="AC870" s="129"/>
      <c r="AD870" s="129"/>
      <c r="AE870" s="129"/>
      <c r="AF870" s="132"/>
      <c r="AG870" s="128" t="b">
        <v>0</v>
      </c>
      <c r="AH870" s="128"/>
      <c r="AI870" s="128"/>
      <c r="AJ870" s="128"/>
      <c r="AK870" s="128"/>
      <c r="AL870" s="129"/>
      <c r="AM870" s="129"/>
      <c r="AN870" s="139"/>
    </row>
    <row r="871">
      <c r="A871" s="129"/>
      <c r="B871" s="119"/>
      <c r="C871" s="128"/>
      <c r="D871" s="142"/>
      <c r="E871" s="122"/>
      <c r="F871" s="136"/>
      <c r="G871" s="152"/>
      <c r="H871" s="155"/>
      <c r="I871" s="155"/>
      <c r="J871" s="155"/>
      <c r="K871" s="155"/>
      <c r="L871" s="155"/>
      <c r="M871" s="126"/>
      <c r="N871" s="127"/>
      <c r="O871" s="127"/>
      <c r="P871" s="127"/>
      <c r="Q871" s="126"/>
      <c r="R871" s="128"/>
      <c r="S871" s="128"/>
      <c r="T871" s="128"/>
      <c r="U871" s="128"/>
      <c r="V871" s="129"/>
      <c r="W871" s="129"/>
      <c r="X871" s="129"/>
      <c r="Y871" s="129"/>
      <c r="Z871" s="145" t="b">
        <v>0</v>
      </c>
      <c r="AA871" s="145"/>
      <c r="AB871" s="129"/>
      <c r="AC871" s="129"/>
      <c r="AD871" s="129"/>
      <c r="AE871" s="129"/>
      <c r="AF871" s="132"/>
      <c r="AG871" s="128" t="b">
        <v>0</v>
      </c>
      <c r="AH871" s="128"/>
      <c r="AI871" s="128"/>
      <c r="AJ871" s="128"/>
      <c r="AK871" s="128"/>
      <c r="AL871" s="129"/>
      <c r="AM871" s="129"/>
      <c r="AN871" s="139"/>
    </row>
    <row r="872">
      <c r="A872" s="129"/>
      <c r="B872" s="119"/>
      <c r="C872" s="128"/>
      <c r="D872" s="142"/>
      <c r="E872" s="122"/>
      <c r="F872" s="136"/>
      <c r="G872" s="152"/>
      <c r="H872" s="155"/>
      <c r="I872" s="155"/>
      <c r="J872" s="155"/>
      <c r="K872" s="155"/>
      <c r="L872" s="155"/>
      <c r="M872" s="126"/>
      <c r="N872" s="127"/>
      <c r="O872" s="127"/>
      <c r="P872" s="127"/>
      <c r="Q872" s="126"/>
      <c r="R872" s="128"/>
      <c r="S872" s="128"/>
      <c r="T872" s="128"/>
      <c r="U872" s="128"/>
      <c r="V872" s="129"/>
      <c r="W872" s="129"/>
      <c r="X872" s="129"/>
      <c r="Y872" s="129"/>
      <c r="Z872" s="145" t="b">
        <v>0</v>
      </c>
      <c r="AA872" s="145"/>
      <c r="AB872" s="129"/>
      <c r="AC872" s="129"/>
      <c r="AD872" s="129"/>
      <c r="AE872" s="129"/>
      <c r="AF872" s="132"/>
      <c r="AG872" s="128" t="b">
        <v>0</v>
      </c>
      <c r="AH872" s="128"/>
      <c r="AI872" s="128"/>
      <c r="AJ872" s="128"/>
      <c r="AK872" s="128"/>
      <c r="AL872" s="129"/>
      <c r="AM872" s="129"/>
      <c r="AN872" s="139"/>
    </row>
    <row r="873">
      <c r="A873" s="129"/>
      <c r="B873" s="119"/>
      <c r="C873" s="128"/>
      <c r="D873" s="142"/>
      <c r="E873" s="122"/>
      <c r="F873" s="136"/>
      <c r="G873" s="152"/>
      <c r="H873" s="155"/>
      <c r="I873" s="155"/>
      <c r="J873" s="155"/>
      <c r="K873" s="155"/>
      <c r="L873" s="155"/>
      <c r="M873" s="126"/>
      <c r="N873" s="127"/>
      <c r="O873" s="127"/>
      <c r="P873" s="127"/>
      <c r="Q873" s="126"/>
      <c r="R873" s="128"/>
      <c r="S873" s="128"/>
      <c r="T873" s="128"/>
      <c r="U873" s="128"/>
      <c r="V873" s="129"/>
      <c r="W873" s="129"/>
      <c r="X873" s="129"/>
      <c r="Y873" s="129"/>
      <c r="Z873" s="145" t="b">
        <v>0</v>
      </c>
      <c r="AA873" s="145"/>
      <c r="AB873" s="129"/>
      <c r="AC873" s="129"/>
      <c r="AD873" s="129"/>
      <c r="AE873" s="129"/>
      <c r="AF873" s="132"/>
      <c r="AG873" s="128" t="b">
        <v>0</v>
      </c>
      <c r="AH873" s="128"/>
      <c r="AI873" s="128"/>
      <c r="AJ873" s="128"/>
      <c r="AK873" s="128"/>
      <c r="AL873" s="129"/>
      <c r="AM873" s="129"/>
      <c r="AN873" s="139"/>
    </row>
    <row r="874">
      <c r="A874" s="129"/>
      <c r="B874" s="119"/>
      <c r="C874" s="128"/>
      <c r="D874" s="142"/>
      <c r="E874" s="122"/>
      <c r="F874" s="136"/>
      <c r="G874" s="152"/>
      <c r="H874" s="155"/>
      <c r="I874" s="155"/>
      <c r="J874" s="155"/>
      <c r="K874" s="155"/>
      <c r="L874" s="155"/>
      <c r="M874" s="126"/>
      <c r="N874" s="127"/>
      <c r="O874" s="127"/>
      <c r="P874" s="127"/>
      <c r="Q874" s="126"/>
      <c r="R874" s="128"/>
      <c r="S874" s="128"/>
      <c r="T874" s="128"/>
      <c r="U874" s="128"/>
      <c r="V874" s="129"/>
      <c r="W874" s="129"/>
      <c r="X874" s="129"/>
      <c r="Y874" s="129"/>
      <c r="Z874" s="145" t="b">
        <v>0</v>
      </c>
      <c r="AA874" s="145"/>
      <c r="AB874" s="129"/>
      <c r="AC874" s="129"/>
      <c r="AD874" s="129"/>
      <c r="AE874" s="129"/>
      <c r="AF874" s="132"/>
      <c r="AG874" s="128" t="b">
        <v>0</v>
      </c>
      <c r="AH874" s="128"/>
      <c r="AI874" s="128"/>
      <c r="AJ874" s="128"/>
      <c r="AK874" s="128"/>
      <c r="AL874" s="129"/>
      <c r="AM874" s="129"/>
      <c r="AN874" s="139"/>
    </row>
    <row r="875">
      <c r="A875" s="129"/>
      <c r="B875" s="119"/>
      <c r="C875" s="128"/>
      <c r="D875" s="142"/>
      <c r="E875" s="122"/>
      <c r="F875" s="136"/>
      <c r="G875" s="152"/>
      <c r="H875" s="155"/>
      <c r="I875" s="155"/>
      <c r="J875" s="155"/>
      <c r="K875" s="155"/>
      <c r="L875" s="155"/>
      <c r="M875" s="126"/>
      <c r="N875" s="127"/>
      <c r="O875" s="127"/>
      <c r="P875" s="127"/>
      <c r="Q875" s="126"/>
      <c r="R875" s="128"/>
      <c r="S875" s="128"/>
      <c r="T875" s="128"/>
      <c r="U875" s="128"/>
      <c r="V875" s="129"/>
      <c r="W875" s="129"/>
      <c r="X875" s="129"/>
      <c r="Y875" s="129"/>
      <c r="Z875" s="145" t="b">
        <v>0</v>
      </c>
      <c r="AA875" s="145"/>
      <c r="AB875" s="129"/>
      <c r="AC875" s="129"/>
      <c r="AD875" s="129"/>
      <c r="AE875" s="129"/>
      <c r="AF875" s="132"/>
      <c r="AG875" s="128" t="b">
        <v>0</v>
      </c>
      <c r="AH875" s="128"/>
      <c r="AI875" s="128"/>
      <c r="AJ875" s="128"/>
      <c r="AK875" s="128"/>
      <c r="AL875" s="129"/>
      <c r="AM875" s="129"/>
      <c r="AN875" s="139"/>
    </row>
    <row r="876">
      <c r="A876" s="129"/>
      <c r="B876" s="119"/>
      <c r="C876" s="128"/>
      <c r="D876" s="142"/>
      <c r="E876" s="122"/>
      <c r="F876" s="136"/>
      <c r="G876" s="152"/>
      <c r="H876" s="155"/>
      <c r="I876" s="155"/>
      <c r="J876" s="155"/>
      <c r="K876" s="155"/>
      <c r="L876" s="155"/>
      <c r="M876" s="126"/>
      <c r="N876" s="127"/>
      <c r="O876" s="127"/>
      <c r="P876" s="127"/>
      <c r="Q876" s="126"/>
      <c r="R876" s="128"/>
      <c r="S876" s="128"/>
      <c r="T876" s="128"/>
      <c r="U876" s="128"/>
      <c r="V876" s="129"/>
      <c r="W876" s="129"/>
      <c r="X876" s="129"/>
      <c r="Y876" s="129"/>
      <c r="Z876" s="145" t="b">
        <v>0</v>
      </c>
      <c r="AA876" s="145"/>
      <c r="AB876" s="129"/>
      <c r="AC876" s="129"/>
      <c r="AD876" s="129"/>
      <c r="AE876" s="129"/>
      <c r="AF876" s="132"/>
      <c r="AG876" s="128" t="b">
        <v>0</v>
      </c>
      <c r="AH876" s="128"/>
      <c r="AI876" s="128"/>
      <c r="AJ876" s="128"/>
      <c r="AK876" s="128"/>
      <c r="AL876" s="129"/>
      <c r="AM876" s="129"/>
      <c r="AN876" s="139"/>
    </row>
    <row r="877">
      <c r="A877" s="129"/>
      <c r="B877" s="119"/>
      <c r="C877" s="128"/>
      <c r="D877" s="142"/>
      <c r="E877" s="122"/>
      <c r="F877" s="136"/>
      <c r="G877" s="152"/>
      <c r="H877" s="155"/>
      <c r="I877" s="155"/>
      <c r="J877" s="155"/>
      <c r="K877" s="155"/>
      <c r="L877" s="155"/>
      <c r="M877" s="126"/>
      <c r="N877" s="127"/>
      <c r="O877" s="127"/>
      <c r="P877" s="127"/>
      <c r="Q877" s="126"/>
      <c r="R877" s="128"/>
      <c r="S877" s="128"/>
      <c r="T877" s="128"/>
      <c r="U877" s="128"/>
      <c r="V877" s="129"/>
      <c r="W877" s="129"/>
      <c r="X877" s="129"/>
      <c r="Y877" s="129"/>
      <c r="Z877" s="145" t="b">
        <v>0</v>
      </c>
      <c r="AA877" s="145"/>
      <c r="AB877" s="129"/>
      <c r="AC877" s="129"/>
      <c r="AD877" s="129"/>
      <c r="AE877" s="129"/>
      <c r="AF877" s="132"/>
      <c r="AG877" s="128" t="b">
        <v>0</v>
      </c>
      <c r="AH877" s="128"/>
      <c r="AI877" s="128"/>
      <c r="AJ877" s="128"/>
      <c r="AK877" s="128"/>
      <c r="AL877" s="129"/>
      <c r="AM877" s="129"/>
      <c r="AN877" s="139"/>
    </row>
    <row r="878">
      <c r="A878" s="129"/>
      <c r="B878" s="119"/>
      <c r="C878" s="128"/>
      <c r="D878" s="142"/>
      <c r="E878" s="122"/>
      <c r="F878" s="136"/>
      <c r="G878" s="152"/>
      <c r="H878" s="155"/>
      <c r="I878" s="155"/>
      <c r="J878" s="155"/>
      <c r="K878" s="155"/>
      <c r="L878" s="155"/>
      <c r="M878" s="126"/>
      <c r="N878" s="127"/>
      <c r="O878" s="127"/>
      <c r="P878" s="127"/>
      <c r="Q878" s="126"/>
      <c r="R878" s="128"/>
      <c r="S878" s="128"/>
      <c r="T878" s="128"/>
      <c r="U878" s="128"/>
      <c r="V878" s="129"/>
      <c r="W878" s="129"/>
      <c r="X878" s="129"/>
      <c r="Y878" s="129"/>
      <c r="Z878" s="145" t="b">
        <v>0</v>
      </c>
      <c r="AA878" s="145"/>
      <c r="AB878" s="129"/>
      <c r="AC878" s="129"/>
      <c r="AD878" s="129"/>
      <c r="AE878" s="129"/>
      <c r="AF878" s="132"/>
      <c r="AG878" s="128" t="b">
        <v>0</v>
      </c>
      <c r="AH878" s="128"/>
      <c r="AI878" s="128"/>
      <c r="AJ878" s="128"/>
      <c r="AK878" s="128"/>
      <c r="AL878" s="129"/>
      <c r="AM878" s="129"/>
      <c r="AN878" s="139"/>
    </row>
    <row r="879">
      <c r="A879" s="129"/>
      <c r="B879" s="119"/>
      <c r="C879" s="128"/>
      <c r="D879" s="142"/>
      <c r="E879" s="122"/>
      <c r="F879" s="136"/>
      <c r="G879" s="152"/>
      <c r="H879" s="155"/>
      <c r="I879" s="155"/>
      <c r="J879" s="155"/>
      <c r="K879" s="155"/>
      <c r="L879" s="155"/>
      <c r="M879" s="126"/>
      <c r="N879" s="127"/>
      <c r="O879" s="127"/>
      <c r="P879" s="127"/>
      <c r="Q879" s="126"/>
      <c r="R879" s="128"/>
      <c r="S879" s="128"/>
      <c r="T879" s="128"/>
      <c r="U879" s="128"/>
      <c r="V879" s="129"/>
      <c r="W879" s="129"/>
      <c r="X879" s="129"/>
      <c r="Y879" s="129"/>
      <c r="Z879" s="145" t="b">
        <v>0</v>
      </c>
      <c r="AA879" s="145"/>
      <c r="AB879" s="129"/>
      <c r="AC879" s="129"/>
      <c r="AD879" s="129"/>
      <c r="AE879" s="129"/>
      <c r="AF879" s="132"/>
      <c r="AG879" s="128" t="b">
        <v>0</v>
      </c>
      <c r="AH879" s="128"/>
      <c r="AI879" s="128"/>
      <c r="AJ879" s="128"/>
      <c r="AK879" s="128"/>
      <c r="AL879" s="129"/>
      <c r="AM879" s="129"/>
      <c r="AN879" s="139"/>
    </row>
    <row r="880">
      <c r="A880" s="129"/>
      <c r="B880" s="119"/>
      <c r="C880" s="128"/>
      <c r="D880" s="142"/>
      <c r="E880" s="122"/>
      <c r="F880" s="136"/>
      <c r="G880" s="152"/>
      <c r="H880" s="155"/>
      <c r="I880" s="155"/>
      <c r="J880" s="155"/>
      <c r="K880" s="155"/>
      <c r="L880" s="155"/>
      <c r="M880" s="126"/>
      <c r="N880" s="127"/>
      <c r="O880" s="127"/>
      <c r="P880" s="127"/>
      <c r="Q880" s="126"/>
      <c r="R880" s="128"/>
      <c r="S880" s="128"/>
      <c r="T880" s="128"/>
      <c r="U880" s="128"/>
      <c r="V880" s="129"/>
      <c r="W880" s="129"/>
      <c r="X880" s="129"/>
      <c r="Y880" s="129"/>
      <c r="Z880" s="145" t="b">
        <v>0</v>
      </c>
      <c r="AA880" s="145"/>
      <c r="AB880" s="129"/>
      <c r="AC880" s="129"/>
      <c r="AD880" s="129"/>
      <c r="AE880" s="129"/>
      <c r="AF880" s="132"/>
      <c r="AG880" s="128" t="b">
        <v>0</v>
      </c>
      <c r="AH880" s="128"/>
      <c r="AI880" s="128"/>
      <c r="AJ880" s="128"/>
      <c r="AK880" s="128"/>
      <c r="AL880" s="129"/>
      <c r="AM880" s="129"/>
      <c r="AN880" s="139"/>
    </row>
    <row r="881">
      <c r="A881" s="129"/>
      <c r="B881" s="119"/>
      <c r="C881" s="128"/>
      <c r="D881" s="142"/>
      <c r="E881" s="122"/>
      <c r="F881" s="136"/>
      <c r="G881" s="152"/>
      <c r="H881" s="155"/>
      <c r="I881" s="155"/>
      <c r="J881" s="155"/>
      <c r="K881" s="155"/>
      <c r="L881" s="155"/>
      <c r="M881" s="126"/>
      <c r="N881" s="127"/>
      <c r="O881" s="127"/>
      <c r="P881" s="127"/>
      <c r="Q881" s="126"/>
      <c r="R881" s="128"/>
      <c r="S881" s="128"/>
      <c r="T881" s="128"/>
      <c r="U881" s="128"/>
      <c r="V881" s="129"/>
      <c r="W881" s="129"/>
      <c r="X881" s="129"/>
      <c r="Y881" s="129"/>
      <c r="Z881" s="145" t="b">
        <v>0</v>
      </c>
      <c r="AA881" s="145"/>
      <c r="AB881" s="129"/>
      <c r="AC881" s="129"/>
      <c r="AD881" s="129"/>
      <c r="AE881" s="129"/>
      <c r="AF881" s="132"/>
      <c r="AG881" s="128" t="b">
        <v>0</v>
      </c>
      <c r="AH881" s="128"/>
      <c r="AI881" s="128"/>
      <c r="AJ881" s="128"/>
      <c r="AK881" s="128"/>
      <c r="AL881" s="129"/>
      <c r="AM881" s="129"/>
      <c r="AN881" s="139"/>
    </row>
    <row r="882">
      <c r="A882" s="129"/>
      <c r="B882" s="119"/>
      <c r="C882" s="128"/>
      <c r="D882" s="142"/>
      <c r="E882" s="122"/>
      <c r="F882" s="136"/>
      <c r="G882" s="152"/>
      <c r="H882" s="155"/>
      <c r="I882" s="155"/>
      <c r="J882" s="155"/>
      <c r="K882" s="155"/>
      <c r="L882" s="155"/>
      <c r="M882" s="126"/>
      <c r="N882" s="127"/>
      <c r="O882" s="127"/>
      <c r="P882" s="127"/>
      <c r="Q882" s="126"/>
      <c r="R882" s="128"/>
      <c r="S882" s="128"/>
      <c r="T882" s="128"/>
      <c r="U882" s="128"/>
      <c r="V882" s="129"/>
      <c r="W882" s="129"/>
      <c r="X882" s="129"/>
      <c r="Y882" s="129"/>
      <c r="Z882" s="145" t="b">
        <v>0</v>
      </c>
      <c r="AA882" s="145"/>
      <c r="AB882" s="129"/>
      <c r="AC882" s="129"/>
      <c r="AD882" s="129"/>
      <c r="AE882" s="129"/>
      <c r="AF882" s="132"/>
      <c r="AG882" s="128" t="b">
        <v>0</v>
      </c>
      <c r="AH882" s="128"/>
      <c r="AI882" s="128"/>
      <c r="AJ882" s="128"/>
      <c r="AK882" s="128"/>
      <c r="AL882" s="129"/>
      <c r="AM882" s="129"/>
      <c r="AN882" s="139"/>
    </row>
    <row r="883">
      <c r="A883" s="129"/>
      <c r="B883" s="119"/>
      <c r="C883" s="128"/>
      <c r="D883" s="142"/>
      <c r="E883" s="122"/>
      <c r="F883" s="136"/>
      <c r="G883" s="152"/>
      <c r="H883" s="155"/>
      <c r="I883" s="155"/>
      <c r="J883" s="155"/>
      <c r="K883" s="155"/>
      <c r="L883" s="155"/>
      <c r="M883" s="126"/>
      <c r="N883" s="127"/>
      <c r="O883" s="127"/>
      <c r="P883" s="127"/>
      <c r="Q883" s="126"/>
      <c r="R883" s="128"/>
      <c r="S883" s="128"/>
      <c r="T883" s="128"/>
      <c r="U883" s="128"/>
      <c r="V883" s="129"/>
      <c r="W883" s="129"/>
      <c r="X883" s="129"/>
      <c r="Y883" s="129"/>
      <c r="Z883" s="145" t="b">
        <v>0</v>
      </c>
      <c r="AA883" s="145"/>
      <c r="AB883" s="129"/>
      <c r="AC883" s="129"/>
      <c r="AD883" s="129"/>
      <c r="AE883" s="129"/>
      <c r="AF883" s="132"/>
      <c r="AG883" s="128" t="b">
        <v>0</v>
      </c>
      <c r="AH883" s="128"/>
      <c r="AI883" s="128"/>
      <c r="AJ883" s="128"/>
      <c r="AK883" s="128"/>
      <c r="AL883" s="129"/>
      <c r="AM883" s="129"/>
      <c r="AN883" s="139"/>
    </row>
    <row r="884">
      <c r="A884" s="129"/>
      <c r="B884" s="119"/>
      <c r="C884" s="128"/>
      <c r="D884" s="142"/>
      <c r="E884" s="122"/>
      <c r="F884" s="136"/>
      <c r="G884" s="152"/>
      <c r="H884" s="155"/>
      <c r="I884" s="155"/>
      <c r="J884" s="155"/>
      <c r="K884" s="155"/>
      <c r="L884" s="155"/>
      <c r="M884" s="126"/>
      <c r="N884" s="127"/>
      <c r="O884" s="127"/>
      <c r="P884" s="127"/>
      <c r="Q884" s="126"/>
      <c r="R884" s="128"/>
      <c r="S884" s="128"/>
      <c r="T884" s="128"/>
      <c r="U884" s="128"/>
      <c r="V884" s="129"/>
      <c r="W884" s="129"/>
      <c r="X884" s="129"/>
      <c r="Y884" s="129"/>
      <c r="Z884" s="145" t="b">
        <v>0</v>
      </c>
      <c r="AA884" s="145"/>
      <c r="AB884" s="129"/>
      <c r="AC884" s="129"/>
      <c r="AD884" s="129"/>
      <c r="AE884" s="129"/>
      <c r="AF884" s="132"/>
      <c r="AG884" s="128" t="b">
        <v>0</v>
      </c>
      <c r="AH884" s="128"/>
      <c r="AI884" s="128"/>
      <c r="AJ884" s="128"/>
      <c r="AK884" s="128"/>
      <c r="AL884" s="129"/>
      <c r="AM884" s="129"/>
      <c r="AN884" s="139"/>
    </row>
    <row r="885">
      <c r="A885" s="129"/>
      <c r="B885" s="119"/>
      <c r="C885" s="128"/>
      <c r="D885" s="142"/>
      <c r="E885" s="122"/>
      <c r="F885" s="136"/>
      <c r="G885" s="152"/>
      <c r="H885" s="155"/>
      <c r="I885" s="155"/>
      <c r="J885" s="155"/>
      <c r="K885" s="155"/>
      <c r="L885" s="155"/>
      <c r="M885" s="126"/>
      <c r="N885" s="127"/>
      <c r="O885" s="127"/>
      <c r="P885" s="127"/>
      <c r="Q885" s="126"/>
      <c r="R885" s="128"/>
      <c r="S885" s="128"/>
      <c r="T885" s="128"/>
      <c r="U885" s="128"/>
      <c r="V885" s="129"/>
      <c r="W885" s="129"/>
      <c r="X885" s="129"/>
      <c r="Y885" s="129"/>
      <c r="Z885" s="145" t="b">
        <v>0</v>
      </c>
      <c r="AA885" s="145"/>
      <c r="AB885" s="129"/>
      <c r="AC885" s="129"/>
      <c r="AD885" s="129"/>
      <c r="AE885" s="129"/>
      <c r="AF885" s="132"/>
      <c r="AG885" s="128" t="b">
        <v>0</v>
      </c>
      <c r="AH885" s="128"/>
      <c r="AI885" s="128"/>
      <c r="AJ885" s="128"/>
      <c r="AK885" s="128"/>
      <c r="AL885" s="129"/>
      <c r="AM885" s="129"/>
      <c r="AN885" s="139"/>
    </row>
    <row r="886">
      <c r="A886" s="129"/>
      <c r="B886" s="119"/>
      <c r="C886" s="128"/>
      <c r="D886" s="142"/>
      <c r="E886" s="122"/>
      <c r="F886" s="136"/>
      <c r="G886" s="152"/>
      <c r="H886" s="155"/>
      <c r="I886" s="155"/>
      <c r="J886" s="155"/>
      <c r="K886" s="155"/>
      <c r="L886" s="155"/>
      <c r="M886" s="126"/>
      <c r="N886" s="127"/>
      <c r="O886" s="127"/>
      <c r="P886" s="127"/>
      <c r="Q886" s="126"/>
      <c r="R886" s="128"/>
      <c r="S886" s="128"/>
      <c r="T886" s="128"/>
      <c r="U886" s="128"/>
      <c r="V886" s="129"/>
      <c r="W886" s="129"/>
      <c r="X886" s="129"/>
      <c r="Y886" s="129"/>
      <c r="Z886" s="145" t="b">
        <v>0</v>
      </c>
      <c r="AA886" s="145"/>
      <c r="AB886" s="129"/>
      <c r="AC886" s="129"/>
      <c r="AD886" s="129"/>
      <c r="AE886" s="129"/>
      <c r="AF886" s="132"/>
      <c r="AG886" s="128" t="b">
        <v>0</v>
      </c>
      <c r="AH886" s="128"/>
      <c r="AI886" s="128"/>
      <c r="AJ886" s="128"/>
      <c r="AK886" s="128"/>
      <c r="AL886" s="129"/>
      <c r="AM886" s="129"/>
      <c r="AN886" s="139"/>
    </row>
    <row r="887">
      <c r="A887" s="129"/>
      <c r="B887" s="119"/>
      <c r="C887" s="128"/>
      <c r="D887" s="142"/>
      <c r="E887" s="122"/>
      <c r="F887" s="136"/>
      <c r="G887" s="152"/>
      <c r="H887" s="155"/>
      <c r="I887" s="155"/>
      <c r="J887" s="155"/>
      <c r="K887" s="155"/>
      <c r="L887" s="155"/>
      <c r="M887" s="126"/>
      <c r="N887" s="127"/>
      <c r="O887" s="127"/>
      <c r="P887" s="127"/>
      <c r="Q887" s="126"/>
      <c r="R887" s="128"/>
      <c r="S887" s="128"/>
      <c r="T887" s="128"/>
      <c r="U887" s="128"/>
      <c r="V887" s="129"/>
      <c r="W887" s="129"/>
      <c r="X887" s="129"/>
      <c r="Y887" s="129"/>
      <c r="Z887" s="145" t="b">
        <v>0</v>
      </c>
      <c r="AA887" s="145"/>
      <c r="AB887" s="129"/>
      <c r="AC887" s="129"/>
      <c r="AD887" s="129"/>
      <c r="AE887" s="129"/>
      <c r="AF887" s="132"/>
      <c r="AG887" s="128" t="b">
        <v>0</v>
      </c>
      <c r="AH887" s="128"/>
      <c r="AI887" s="128"/>
      <c r="AJ887" s="128"/>
      <c r="AK887" s="128"/>
      <c r="AL887" s="129"/>
      <c r="AM887" s="129"/>
      <c r="AN887" s="139"/>
    </row>
    <row r="888">
      <c r="A888" s="129"/>
      <c r="B888" s="119"/>
      <c r="C888" s="128"/>
      <c r="D888" s="142"/>
      <c r="E888" s="122"/>
      <c r="F888" s="136"/>
      <c r="G888" s="152"/>
      <c r="H888" s="155"/>
      <c r="I888" s="155"/>
      <c r="J888" s="155"/>
      <c r="K888" s="155"/>
      <c r="L888" s="155"/>
      <c r="M888" s="126"/>
      <c r="N888" s="127"/>
      <c r="O888" s="127"/>
      <c r="P888" s="127"/>
      <c r="Q888" s="126"/>
      <c r="R888" s="128"/>
      <c r="S888" s="128"/>
      <c r="T888" s="128"/>
      <c r="U888" s="128"/>
      <c r="V888" s="129"/>
      <c r="W888" s="129"/>
      <c r="X888" s="129"/>
      <c r="Y888" s="129"/>
      <c r="Z888" s="145" t="b">
        <v>0</v>
      </c>
      <c r="AA888" s="145"/>
      <c r="AB888" s="129"/>
      <c r="AC888" s="129"/>
      <c r="AD888" s="129"/>
      <c r="AE888" s="129"/>
      <c r="AF888" s="132"/>
      <c r="AG888" s="128" t="b">
        <v>0</v>
      </c>
      <c r="AH888" s="128"/>
      <c r="AI888" s="128"/>
      <c r="AJ888" s="128"/>
      <c r="AK888" s="128"/>
      <c r="AL888" s="129"/>
      <c r="AM888" s="129"/>
      <c r="AN888" s="139"/>
    </row>
    <row r="889">
      <c r="A889" s="129"/>
      <c r="B889" s="119"/>
      <c r="C889" s="128"/>
      <c r="D889" s="142"/>
      <c r="E889" s="122"/>
      <c r="F889" s="136"/>
      <c r="G889" s="152"/>
      <c r="H889" s="155"/>
      <c r="I889" s="155"/>
      <c r="J889" s="155"/>
      <c r="K889" s="155"/>
      <c r="L889" s="155"/>
      <c r="M889" s="126"/>
      <c r="N889" s="127"/>
      <c r="O889" s="127"/>
      <c r="P889" s="127"/>
      <c r="Q889" s="126"/>
      <c r="R889" s="128"/>
      <c r="S889" s="128"/>
      <c r="T889" s="128"/>
      <c r="U889" s="128"/>
      <c r="V889" s="129"/>
      <c r="W889" s="129"/>
      <c r="X889" s="129"/>
      <c r="Y889" s="129"/>
      <c r="Z889" s="145" t="b">
        <v>0</v>
      </c>
      <c r="AA889" s="145"/>
      <c r="AB889" s="129"/>
      <c r="AC889" s="129"/>
      <c r="AD889" s="129"/>
      <c r="AE889" s="129"/>
      <c r="AF889" s="132"/>
      <c r="AG889" s="128" t="b">
        <v>0</v>
      </c>
      <c r="AH889" s="128"/>
      <c r="AI889" s="128"/>
      <c r="AJ889" s="128"/>
      <c r="AK889" s="128"/>
      <c r="AL889" s="129"/>
      <c r="AM889" s="129"/>
      <c r="AN889" s="139"/>
    </row>
    <row r="890">
      <c r="A890" s="129"/>
      <c r="B890" s="119"/>
      <c r="C890" s="128"/>
      <c r="D890" s="142"/>
      <c r="E890" s="122"/>
      <c r="F890" s="136"/>
      <c r="G890" s="152"/>
      <c r="H890" s="155"/>
      <c r="I890" s="155"/>
      <c r="J890" s="155"/>
      <c r="K890" s="155"/>
      <c r="L890" s="155"/>
      <c r="M890" s="126"/>
      <c r="N890" s="127"/>
      <c r="O890" s="127"/>
      <c r="P890" s="127"/>
      <c r="Q890" s="126"/>
      <c r="R890" s="128"/>
      <c r="S890" s="128"/>
      <c r="T890" s="128"/>
      <c r="U890" s="128"/>
      <c r="V890" s="129"/>
      <c r="W890" s="129"/>
      <c r="X890" s="129"/>
      <c r="Y890" s="129"/>
      <c r="Z890" s="145" t="b">
        <v>0</v>
      </c>
      <c r="AA890" s="145"/>
      <c r="AB890" s="129"/>
      <c r="AC890" s="129"/>
      <c r="AD890" s="129"/>
      <c r="AE890" s="129"/>
      <c r="AF890" s="132"/>
      <c r="AG890" s="128" t="b">
        <v>0</v>
      </c>
      <c r="AH890" s="128"/>
      <c r="AI890" s="128"/>
      <c r="AJ890" s="128"/>
      <c r="AK890" s="128"/>
      <c r="AL890" s="129"/>
      <c r="AM890" s="129"/>
      <c r="AN890" s="139"/>
    </row>
    <row r="891">
      <c r="A891" s="129"/>
      <c r="B891" s="119"/>
      <c r="C891" s="128"/>
      <c r="D891" s="142"/>
      <c r="E891" s="122"/>
      <c r="F891" s="136"/>
      <c r="G891" s="152"/>
      <c r="H891" s="155"/>
      <c r="I891" s="155"/>
      <c r="J891" s="155"/>
      <c r="K891" s="155"/>
      <c r="L891" s="155"/>
      <c r="M891" s="126"/>
      <c r="N891" s="127"/>
      <c r="O891" s="127"/>
      <c r="P891" s="127"/>
      <c r="Q891" s="126"/>
      <c r="R891" s="128"/>
      <c r="S891" s="128"/>
      <c r="T891" s="128"/>
      <c r="U891" s="128"/>
      <c r="V891" s="129"/>
      <c r="W891" s="129"/>
      <c r="X891" s="129"/>
      <c r="Y891" s="129"/>
      <c r="Z891" s="145" t="b">
        <v>0</v>
      </c>
      <c r="AA891" s="145"/>
      <c r="AB891" s="129"/>
      <c r="AC891" s="129"/>
      <c r="AD891" s="129"/>
      <c r="AE891" s="129"/>
      <c r="AF891" s="132"/>
      <c r="AG891" s="128" t="b">
        <v>0</v>
      </c>
      <c r="AH891" s="128"/>
      <c r="AI891" s="128"/>
      <c r="AJ891" s="128"/>
      <c r="AK891" s="128"/>
      <c r="AL891" s="129"/>
      <c r="AM891" s="129"/>
      <c r="AN891" s="139"/>
    </row>
    <row r="892">
      <c r="A892" s="129"/>
      <c r="B892" s="119"/>
      <c r="C892" s="128"/>
      <c r="D892" s="142"/>
      <c r="E892" s="122"/>
      <c r="F892" s="136"/>
      <c r="G892" s="152"/>
      <c r="H892" s="155"/>
      <c r="I892" s="155"/>
      <c r="J892" s="155"/>
      <c r="K892" s="155"/>
      <c r="L892" s="155"/>
      <c r="M892" s="126"/>
      <c r="N892" s="127"/>
      <c r="O892" s="127"/>
      <c r="P892" s="127"/>
      <c r="Q892" s="126"/>
      <c r="R892" s="128"/>
      <c r="S892" s="128"/>
      <c r="T892" s="128"/>
      <c r="U892" s="128"/>
      <c r="V892" s="129"/>
      <c r="W892" s="129"/>
      <c r="X892" s="129"/>
      <c r="Y892" s="129"/>
      <c r="Z892" s="145" t="b">
        <v>0</v>
      </c>
      <c r="AA892" s="145"/>
      <c r="AB892" s="129"/>
      <c r="AC892" s="129"/>
      <c r="AD892" s="129"/>
      <c r="AE892" s="129"/>
      <c r="AF892" s="132"/>
      <c r="AG892" s="128" t="b">
        <v>0</v>
      </c>
      <c r="AH892" s="128"/>
      <c r="AI892" s="128"/>
      <c r="AJ892" s="128"/>
      <c r="AK892" s="128"/>
      <c r="AL892" s="129"/>
      <c r="AM892" s="129"/>
      <c r="AN892" s="139"/>
    </row>
    <row r="893">
      <c r="A893" s="129"/>
      <c r="B893" s="119"/>
      <c r="C893" s="128"/>
      <c r="D893" s="142"/>
      <c r="E893" s="122"/>
      <c r="F893" s="136"/>
      <c r="G893" s="152"/>
      <c r="H893" s="155"/>
      <c r="I893" s="155"/>
      <c r="J893" s="155"/>
      <c r="K893" s="155"/>
      <c r="L893" s="155"/>
      <c r="M893" s="126"/>
      <c r="N893" s="127"/>
      <c r="O893" s="127"/>
      <c r="P893" s="127"/>
      <c r="Q893" s="126"/>
      <c r="R893" s="128"/>
      <c r="S893" s="128"/>
      <c r="T893" s="128"/>
      <c r="U893" s="128"/>
      <c r="V893" s="129"/>
      <c r="W893" s="129"/>
      <c r="X893" s="129"/>
      <c r="Y893" s="129"/>
      <c r="Z893" s="145" t="b">
        <v>0</v>
      </c>
      <c r="AA893" s="145"/>
      <c r="AB893" s="129"/>
      <c r="AC893" s="129"/>
      <c r="AD893" s="129"/>
      <c r="AE893" s="129"/>
      <c r="AF893" s="132"/>
      <c r="AG893" s="128" t="b">
        <v>0</v>
      </c>
      <c r="AH893" s="128"/>
      <c r="AI893" s="128"/>
      <c r="AJ893" s="128"/>
      <c r="AK893" s="128"/>
      <c r="AL893" s="129"/>
      <c r="AM893" s="129"/>
      <c r="AN893" s="139"/>
    </row>
    <row r="894">
      <c r="A894" s="129"/>
      <c r="B894" s="119"/>
      <c r="C894" s="128"/>
      <c r="D894" s="142"/>
      <c r="E894" s="122"/>
      <c r="F894" s="136"/>
      <c r="G894" s="152"/>
      <c r="H894" s="155"/>
      <c r="I894" s="155"/>
      <c r="J894" s="155"/>
      <c r="K894" s="155"/>
      <c r="L894" s="155"/>
      <c r="M894" s="126"/>
      <c r="N894" s="127"/>
      <c r="O894" s="127"/>
      <c r="P894" s="127"/>
      <c r="Q894" s="126"/>
      <c r="R894" s="128"/>
      <c r="S894" s="128"/>
      <c r="T894" s="128"/>
      <c r="U894" s="128"/>
      <c r="V894" s="129"/>
      <c r="W894" s="129"/>
      <c r="X894" s="129"/>
      <c r="Y894" s="129"/>
      <c r="Z894" s="145" t="b">
        <v>0</v>
      </c>
      <c r="AA894" s="145"/>
      <c r="AB894" s="129"/>
      <c r="AC894" s="129"/>
      <c r="AD894" s="129"/>
      <c r="AE894" s="129"/>
      <c r="AF894" s="132"/>
      <c r="AG894" s="128" t="b">
        <v>0</v>
      </c>
      <c r="AH894" s="128"/>
      <c r="AI894" s="128"/>
      <c r="AJ894" s="128"/>
      <c r="AK894" s="128"/>
      <c r="AL894" s="129"/>
      <c r="AM894" s="129"/>
      <c r="AN894" s="139"/>
    </row>
    <row r="895">
      <c r="A895" s="129"/>
      <c r="B895" s="119"/>
      <c r="C895" s="128"/>
      <c r="D895" s="142"/>
      <c r="E895" s="122"/>
      <c r="F895" s="136"/>
      <c r="G895" s="152"/>
      <c r="H895" s="155"/>
      <c r="I895" s="155"/>
      <c r="J895" s="155"/>
      <c r="K895" s="155"/>
      <c r="L895" s="155"/>
      <c r="M895" s="126"/>
      <c r="N895" s="127"/>
      <c r="O895" s="127"/>
      <c r="P895" s="127"/>
      <c r="Q895" s="126"/>
      <c r="R895" s="128"/>
      <c r="S895" s="128"/>
      <c r="T895" s="128"/>
      <c r="U895" s="128"/>
      <c r="V895" s="129"/>
      <c r="W895" s="129"/>
      <c r="X895" s="129"/>
      <c r="Y895" s="129"/>
      <c r="Z895" s="145" t="b">
        <v>0</v>
      </c>
      <c r="AA895" s="145"/>
      <c r="AB895" s="129"/>
      <c r="AC895" s="129"/>
      <c r="AD895" s="129"/>
      <c r="AE895" s="129"/>
      <c r="AF895" s="132"/>
      <c r="AG895" s="128" t="b">
        <v>0</v>
      </c>
      <c r="AH895" s="128"/>
      <c r="AI895" s="128"/>
      <c r="AJ895" s="128"/>
      <c r="AK895" s="128"/>
      <c r="AL895" s="129"/>
      <c r="AM895" s="129"/>
      <c r="AN895" s="139"/>
    </row>
    <row r="896">
      <c r="A896" s="129"/>
      <c r="B896" s="119"/>
      <c r="C896" s="128"/>
      <c r="D896" s="142"/>
      <c r="E896" s="122"/>
      <c r="F896" s="136"/>
      <c r="G896" s="152"/>
      <c r="H896" s="155"/>
      <c r="I896" s="155"/>
      <c r="J896" s="155"/>
      <c r="K896" s="155"/>
      <c r="L896" s="155"/>
      <c r="M896" s="126"/>
      <c r="N896" s="127"/>
      <c r="O896" s="127"/>
      <c r="P896" s="127"/>
      <c r="Q896" s="126"/>
      <c r="R896" s="128"/>
      <c r="S896" s="128"/>
      <c r="T896" s="128"/>
      <c r="U896" s="128"/>
      <c r="V896" s="129"/>
      <c r="W896" s="129"/>
      <c r="X896" s="129"/>
      <c r="Y896" s="129"/>
      <c r="Z896" s="145" t="b">
        <v>0</v>
      </c>
      <c r="AA896" s="145"/>
      <c r="AB896" s="129"/>
      <c r="AC896" s="129"/>
      <c r="AD896" s="129"/>
      <c r="AE896" s="129"/>
      <c r="AF896" s="132"/>
      <c r="AG896" s="128" t="b">
        <v>0</v>
      </c>
      <c r="AH896" s="128"/>
      <c r="AI896" s="128"/>
      <c r="AJ896" s="128"/>
      <c r="AK896" s="128"/>
      <c r="AL896" s="129"/>
      <c r="AM896" s="129"/>
      <c r="AN896" s="139"/>
    </row>
    <row r="897">
      <c r="A897" s="129"/>
      <c r="B897" s="119"/>
      <c r="C897" s="128"/>
      <c r="D897" s="142"/>
      <c r="E897" s="122"/>
      <c r="F897" s="136"/>
      <c r="G897" s="152"/>
      <c r="H897" s="155"/>
      <c r="I897" s="155"/>
      <c r="J897" s="155"/>
      <c r="K897" s="155"/>
      <c r="L897" s="155"/>
      <c r="M897" s="126"/>
      <c r="N897" s="127"/>
      <c r="O897" s="127"/>
      <c r="P897" s="127"/>
      <c r="Q897" s="126"/>
      <c r="R897" s="128"/>
      <c r="S897" s="128"/>
      <c r="T897" s="128"/>
      <c r="U897" s="128"/>
      <c r="V897" s="129"/>
      <c r="W897" s="129"/>
      <c r="X897" s="129"/>
      <c r="Y897" s="129"/>
      <c r="Z897" s="145" t="b">
        <v>0</v>
      </c>
      <c r="AA897" s="145"/>
      <c r="AB897" s="129"/>
      <c r="AC897" s="129"/>
      <c r="AD897" s="129"/>
      <c r="AE897" s="129"/>
      <c r="AF897" s="132"/>
      <c r="AG897" s="128" t="b">
        <v>0</v>
      </c>
      <c r="AH897" s="128"/>
      <c r="AI897" s="128"/>
      <c r="AJ897" s="128"/>
      <c r="AK897" s="128"/>
      <c r="AL897" s="129"/>
      <c r="AM897" s="129"/>
      <c r="AN897" s="139"/>
    </row>
    <row r="898">
      <c r="A898" s="129"/>
      <c r="B898" s="119"/>
      <c r="C898" s="128"/>
      <c r="D898" s="142"/>
      <c r="E898" s="122"/>
      <c r="F898" s="136"/>
      <c r="G898" s="152"/>
      <c r="H898" s="155"/>
      <c r="I898" s="155"/>
      <c r="J898" s="155"/>
      <c r="K898" s="155"/>
      <c r="L898" s="155"/>
      <c r="M898" s="126"/>
      <c r="N898" s="127"/>
      <c r="O898" s="127"/>
      <c r="P898" s="127"/>
      <c r="Q898" s="126"/>
      <c r="R898" s="128"/>
      <c r="S898" s="128"/>
      <c r="T898" s="128"/>
      <c r="U898" s="128"/>
      <c r="V898" s="129"/>
      <c r="W898" s="129"/>
      <c r="X898" s="129"/>
      <c r="Y898" s="129"/>
      <c r="Z898" s="145" t="b">
        <v>0</v>
      </c>
      <c r="AA898" s="145"/>
      <c r="AB898" s="129"/>
      <c r="AC898" s="129"/>
      <c r="AD898" s="129"/>
      <c r="AE898" s="129"/>
      <c r="AF898" s="132"/>
      <c r="AG898" s="128" t="b">
        <v>0</v>
      </c>
      <c r="AH898" s="128"/>
      <c r="AI898" s="128"/>
      <c r="AJ898" s="128"/>
      <c r="AK898" s="128"/>
      <c r="AL898" s="129"/>
      <c r="AM898" s="129"/>
      <c r="AN898" s="139"/>
    </row>
    <row r="899">
      <c r="A899" s="129"/>
      <c r="B899" s="119"/>
      <c r="C899" s="128"/>
      <c r="D899" s="142"/>
      <c r="E899" s="122"/>
      <c r="F899" s="136"/>
      <c r="G899" s="152"/>
      <c r="H899" s="155"/>
      <c r="I899" s="155"/>
      <c r="J899" s="155"/>
      <c r="K899" s="155"/>
      <c r="L899" s="155"/>
      <c r="M899" s="126"/>
      <c r="N899" s="127"/>
      <c r="O899" s="127"/>
      <c r="P899" s="127"/>
      <c r="Q899" s="126"/>
      <c r="R899" s="128"/>
      <c r="S899" s="128"/>
      <c r="T899" s="128"/>
      <c r="U899" s="128"/>
      <c r="V899" s="129"/>
      <c r="W899" s="129"/>
      <c r="X899" s="129"/>
      <c r="Y899" s="129"/>
      <c r="Z899" s="145" t="b">
        <v>0</v>
      </c>
      <c r="AA899" s="145"/>
      <c r="AB899" s="129"/>
      <c r="AC899" s="129"/>
      <c r="AD899" s="129"/>
      <c r="AE899" s="129"/>
      <c r="AF899" s="132"/>
      <c r="AG899" s="128" t="b">
        <v>0</v>
      </c>
      <c r="AH899" s="128"/>
      <c r="AI899" s="128"/>
      <c r="AJ899" s="128"/>
      <c r="AK899" s="128"/>
      <c r="AL899" s="129"/>
      <c r="AM899" s="129"/>
      <c r="AN899" s="139"/>
    </row>
    <row r="900">
      <c r="A900" s="129"/>
      <c r="B900" s="119"/>
      <c r="C900" s="128"/>
      <c r="D900" s="142"/>
      <c r="E900" s="122"/>
      <c r="F900" s="136"/>
      <c r="G900" s="152"/>
      <c r="H900" s="155"/>
      <c r="I900" s="155"/>
      <c r="J900" s="155"/>
      <c r="K900" s="155"/>
      <c r="L900" s="155"/>
      <c r="M900" s="126"/>
      <c r="N900" s="127"/>
      <c r="O900" s="127"/>
      <c r="P900" s="127"/>
      <c r="Q900" s="126"/>
      <c r="R900" s="128"/>
      <c r="S900" s="128"/>
      <c r="T900" s="128"/>
      <c r="U900" s="128"/>
      <c r="V900" s="129"/>
      <c r="W900" s="129"/>
      <c r="X900" s="129"/>
      <c r="Y900" s="129"/>
      <c r="Z900" s="145" t="b">
        <v>0</v>
      </c>
      <c r="AA900" s="145"/>
      <c r="AB900" s="129"/>
      <c r="AC900" s="129"/>
      <c r="AD900" s="129"/>
      <c r="AE900" s="129"/>
      <c r="AF900" s="132"/>
      <c r="AG900" s="128" t="b">
        <v>0</v>
      </c>
      <c r="AH900" s="128"/>
      <c r="AI900" s="128"/>
      <c r="AJ900" s="128"/>
      <c r="AK900" s="128"/>
      <c r="AL900" s="129"/>
      <c r="AM900" s="129"/>
      <c r="AN900" s="139"/>
    </row>
    <row r="901">
      <c r="A901" s="129"/>
      <c r="B901" s="119"/>
      <c r="C901" s="128"/>
      <c r="D901" s="142"/>
      <c r="E901" s="122"/>
      <c r="F901" s="136"/>
      <c r="G901" s="152"/>
      <c r="H901" s="155"/>
      <c r="I901" s="155"/>
      <c r="J901" s="155"/>
      <c r="K901" s="155"/>
      <c r="L901" s="155"/>
      <c r="M901" s="126"/>
      <c r="N901" s="127"/>
      <c r="O901" s="127"/>
      <c r="P901" s="127"/>
      <c r="Q901" s="126"/>
      <c r="R901" s="128"/>
      <c r="S901" s="128"/>
      <c r="T901" s="128"/>
      <c r="U901" s="128"/>
      <c r="V901" s="129"/>
      <c r="W901" s="129"/>
      <c r="X901" s="129"/>
      <c r="Y901" s="129"/>
      <c r="Z901" s="145" t="b">
        <v>0</v>
      </c>
      <c r="AA901" s="145"/>
      <c r="AB901" s="129"/>
      <c r="AC901" s="129"/>
      <c r="AD901" s="129"/>
      <c r="AE901" s="129"/>
      <c r="AF901" s="132"/>
      <c r="AG901" s="128" t="b">
        <v>0</v>
      </c>
      <c r="AH901" s="128"/>
      <c r="AI901" s="128"/>
      <c r="AJ901" s="128"/>
      <c r="AK901" s="128"/>
      <c r="AL901" s="129"/>
      <c r="AM901" s="129"/>
      <c r="AN901" s="139"/>
    </row>
    <row r="902">
      <c r="A902" s="129"/>
      <c r="B902" s="119"/>
      <c r="C902" s="128"/>
      <c r="D902" s="142"/>
      <c r="E902" s="122"/>
      <c r="F902" s="136"/>
      <c r="G902" s="152"/>
      <c r="H902" s="155"/>
      <c r="I902" s="155"/>
      <c r="J902" s="155"/>
      <c r="K902" s="155"/>
      <c r="L902" s="155"/>
      <c r="M902" s="126"/>
      <c r="N902" s="127"/>
      <c r="O902" s="127"/>
      <c r="P902" s="127"/>
      <c r="Q902" s="126"/>
      <c r="R902" s="128"/>
      <c r="S902" s="128"/>
      <c r="T902" s="128"/>
      <c r="U902" s="128"/>
      <c r="V902" s="129"/>
      <c r="W902" s="129"/>
      <c r="X902" s="129"/>
      <c r="Y902" s="129"/>
      <c r="Z902" s="145" t="b">
        <v>0</v>
      </c>
      <c r="AA902" s="145"/>
      <c r="AB902" s="129"/>
      <c r="AC902" s="129"/>
      <c r="AD902" s="129"/>
      <c r="AE902" s="129"/>
      <c r="AF902" s="132"/>
      <c r="AG902" s="128" t="b">
        <v>0</v>
      </c>
      <c r="AH902" s="128"/>
      <c r="AI902" s="128"/>
      <c r="AJ902" s="128"/>
      <c r="AK902" s="128"/>
      <c r="AL902" s="129"/>
      <c r="AM902" s="129"/>
      <c r="AN902" s="139"/>
    </row>
    <row r="903">
      <c r="A903" s="129"/>
      <c r="B903" s="119"/>
      <c r="C903" s="128"/>
      <c r="D903" s="142"/>
      <c r="E903" s="122"/>
      <c r="F903" s="136"/>
      <c r="G903" s="152"/>
      <c r="H903" s="155"/>
      <c r="I903" s="155"/>
      <c r="J903" s="155"/>
      <c r="K903" s="155"/>
      <c r="L903" s="155"/>
      <c r="M903" s="126"/>
      <c r="N903" s="127"/>
      <c r="O903" s="127"/>
      <c r="P903" s="127"/>
      <c r="Q903" s="126"/>
      <c r="R903" s="128"/>
      <c r="S903" s="128"/>
      <c r="T903" s="128"/>
      <c r="U903" s="128"/>
      <c r="V903" s="129"/>
      <c r="W903" s="129"/>
      <c r="X903" s="129"/>
      <c r="Y903" s="129"/>
      <c r="Z903" s="145" t="b">
        <v>0</v>
      </c>
      <c r="AA903" s="145"/>
      <c r="AB903" s="129"/>
      <c r="AC903" s="129"/>
      <c r="AD903" s="129"/>
      <c r="AE903" s="129"/>
      <c r="AF903" s="132"/>
      <c r="AG903" s="128" t="b">
        <v>0</v>
      </c>
      <c r="AH903" s="128"/>
      <c r="AI903" s="128"/>
      <c r="AJ903" s="128"/>
      <c r="AK903" s="128"/>
      <c r="AL903" s="129"/>
      <c r="AM903" s="129"/>
      <c r="AN903" s="139"/>
    </row>
    <row r="904">
      <c r="A904" s="129"/>
      <c r="B904" s="119"/>
      <c r="C904" s="128"/>
      <c r="D904" s="142"/>
      <c r="E904" s="122"/>
      <c r="F904" s="136"/>
      <c r="G904" s="152"/>
      <c r="H904" s="155"/>
      <c r="I904" s="155"/>
      <c r="J904" s="155"/>
      <c r="K904" s="155"/>
      <c r="L904" s="155"/>
      <c r="M904" s="126"/>
      <c r="N904" s="127"/>
      <c r="O904" s="127"/>
      <c r="P904" s="127"/>
      <c r="Q904" s="126"/>
      <c r="R904" s="128"/>
      <c r="S904" s="128"/>
      <c r="T904" s="128"/>
      <c r="U904" s="128"/>
      <c r="V904" s="129"/>
      <c r="W904" s="129"/>
      <c r="X904" s="129"/>
      <c r="Y904" s="129"/>
      <c r="Z904" s="145" t="b">
        <v>0</v>
      </c>
      <c r="AA904" s="145"/>
      <c r="AB904" s="129"/>
      <c r="AC904" s="129"/>
      <c r="AD904" s="129"/>
      <c r="AE904" s="129"/>
      <c r="AF904" s="132"/>
      <c r="AG904" s="128" t="b">
        <v>0</v>
      </c>
      <c r="AH904" s="128"/>
      <c r="AI904" s="128"/>
      <c r="AJ904" s="128"/>
      <c r="AK904" s="128"/>
      <c r="AL904" s="129"/>
      <c r="AM904" s="129"/>
      <c r="AN904" s="139"/>
    </row>
    <row r="905">
      <c r="A905" s="129"/>
      <c r="B905" s="119"/>
      <c r="C905" s="128"/>
      <c r="D905" s="142"/>
      <c r="E905" s="122"/>
      <c r="F905" s="136"/>
      <c r="G905" s="152"/>
      <c r="H905" s="155"/>
      <c r="I905" s="155"/>
      <c r="J905" s="155"/>
      <c r="K905" s="155"/>
      <c r="L905" s="155"/>
      <c r="M905" s="126"/>
      <c r="N905" s="127"/>
      <c r="O905" s="127"/>
      <c r="P905" s="127"/>
      <c r="Q905" s="126"/>
      <c r="R905" s="128"/>
      <c r="S905" s="128"/>
      <c r="T905" s="128"/>
      <c r="U905" s="128"/>
      <c r="V905" s="129"/>
      <c r="W905" s="129"/>
      <c r="X905" s="129"/>
      <c r="Y905" s="129"/>
      <c r="Z905" s="145" t="b">
        <v>0</v>
      </c>
      <c r="AA905" s="145"/>
      <c r="AB905" s="129"/>
      <c r="AC905" s="129"/>
      <c r="AD905" s="129"/>
      <c r="AE905" s="129"/>
      <c r="AF905" s="132"/>
      <c r="AG905" s="128" t="b">
        <v>0</v>
      </c>
      <c r="AH905" s="128"/>
      <c r="AI905" s="128"/>
      <c r="AJ905" s="128"/>
      <c r="AK905" s="128"/>
      <c r="AL905" s="129"/>
      <c r="AM905" s="129"/>
      <c r="AN905" s="139"/>
    </row>
    <row r="906">
      <c r="A906" s="129"/>
      <c r="B906" s="119"/>
      <c r="C906" s="128"/>
      <c r="D906" s="142"/>
      <c r="E906" s="122"/>
      <c r="F906" s="136"/>
      <c r="G906" s="152"/>
      <c r="H906" s="155"/>
      <c r="I906" s="155"/>
      <c r="J906" s="155"/>
      <c r="K906" s="155"/>
      <c r="L906" s="155"/>
      <c r="M906" s="126"/>
      <c r="N906" s="127"/>
      <c r="O906" s="127"/>
      <c r="P906" s="127"/>
      <c r="Q906" s="126"/>
      <c r="R906" s="128"/>
      <c r="S906" s="128"/>
      <c r="T906" s="128"/>
      <c r="U906" s="128"/>
      <c r="V906" s="129"/>
      <c r="W906" s="129"/>
      <c r="X906" s="129"/>
      <c r="Y906" s="129"/>
      <c r="Z906" s="145" t="b">
        <v>0</v>
      </c>
      <c r="AA906" s="145"/>
      <c r="AB906" s="129"/>
      <c r="AC906" s="129"/>
      <c r="AD906" s="129"/>
      <c r="AE906" s="129"/>
      <c r="AF906" s="132"/>
      <c r="AG906" s="128" t="b">
        <v>0</v>
      </c>
      <c r="AH906" s="128"/>
      <c r="AI906" s="128"/>
      <c r="AJ906" s="128"/>
      <c r="AK906" s="128"/>
      <c r="AL906" s="129"/>
      <c r="AM906" s="129"/>
      <c r="AN906" s="139"/>
    </row>
    <row r="907">
      <c r="A907" s="129"/>
      <c r="B907" s="119"/>
      <c r="C907" s="128"/>
      <c r="D907" s="142"/>
      <c r="E907" s="122"/>
      <c r="F907" s="136"/>
      <c r="G907" s="152"/>
      <c r="H907" s="155"/>
      <c r="I907" s="155"/>
      <c r="J907" s="155"/>
      <c r="K907" s="155"/>
      <c r="L907" s="155"/>
      <c r="M907" s="126"/>
      <c r="N907" s="127"/>
      <c r="O907" s="127"/>
      <c r="P907" s="127"/>
      <c r="Q907" s="126"/>
      <c r="R907" s="128"/>
      <c r="S907" s="128"/>
      <c r="T907" s="128"/>
      <c r="U907" s="128"/>
      <c r="V907" s="129"/>
      <c r="W907" s="129"/>
      <c r="X907" s="129"/>
      <c r="Y907" s="129"/>
      <c r="Z907" s="145" t="b">
        <v>0</v>
      </c>
      <c r="AA907" s="145"/>
      <c r="AB907" s="129"/>
      <c r="AC907" s="129"/>
      <c r="AD907" s="129"/>
      <c r="AE907" s="129"/>
      <c r="AF907" s="132"/>
      <c r="AG907" s="128" t="b">
        <v>0</v>
      </c>
      <c r="AH907" s="128"/>
      <c r="AI907" s="128"/>
      <c r="AJ907" s="128"/>
      <c r="AK907" s="128"/>
      <c r="AL907" s="129"/>
      <c r="AM907" s="129"/>
      <c r="AN907" s="139"/>
    </row>
    <row r="908">
      <c r="A908" s="129"/>
      <c r="B908" s="119"/>
      <c r="C908" s="128"/>
      <c r="D908" s="142"/>
      <c r="E908" s="122"/>
      <c r="F908" s="136"/>
      <c r="G908" s="152"/>
      <c r="H908" s="155"/>
      <c r="I908" s="155"/>
      <c r="J908" s="155"/>
      <c r="K908" s="155"/>
      <c r="L908" s="155"/>
      <c r="M908" s="126"/>
      <c r="N908" s="127"/>
      <c r="O908" s="127"/>
      <c r="P908" s="127"/>
      <c r="Q908" s="126"/>
      <c r="R908" s="128"/>
      <c r="S908" s="128"/>
      <c r="T908" s="128"/>
      <c r="U908" s="128"/>
      <c r="V908" s="129"/>
      <c r="W908" s="129"/>
      <c r="X908" s="129"/>
      <c r="Y908" s="129"/>
      <c r="Z908" s="145" t="b">
        <v>0</v>
      </c>
      <c r="AA908" s="145"/>
      <c r="AB908" s="129"/>
      <c r="AC908" s="129"/>
      <c r="AD908" s="129"/>
      <c r="AE908" s="129"/>
      <c r="AF908" s="132"/>
      <c r="AG908" s="128" t="b">
        <v>0</v>
      </c>
      <c r="AH908" s="128"/>
      <c r="AI908" s="128"/>
      <c r="AJ908" s="128"/>
      <c r="AK908" s="128"/>
      <c r="AL908" s="129"/>
      <c r="AM908" s="129"/>
      <c r="AN908" s="139"/>
    </row>
    <row r="909">
      <c r="A909" s="129"/>
      <c r="B909" s="119"/>
      <c r="C909" s="128"/>
      <c r="D909" s="142"/>
      <c r="E909" s="122"/>
      <c r="F909" s="136"/>
      <c r="G909" s="152"/>
      <c r="H909" s="155"/>
      <c r="I909" s="155"/>
      <c r="J909" s="155"/>
      <c r="K909" s="155"/>
      <c r="L909" s="155"/>
      <c r="M909" s="126"/>
      <c r="N909" s="127"/>
      <c r="O909" s="127"/>
      <c r="P909" s="127"/>
      <c r="Q909" s="126"/>
      <c r="R909" s="128"/>
      <c r="S909" s="128"/>
      <c r="T909" s="128"/>
      <c r="U909" s="128"/>
      <c r="V909" s="129"/>
      <c r="W909" s="129"/>
      <c r="X909" s="129"/>
      <c r="Y909" s="129"/>
      <c r="Z909" s="145" t="b">
        <v>0</v>
      </c>
      <c r="AA909" s="145"/>
      <c r="AB909" s="129"/>
      <c r="AC909" s="129"/>
      <c r="AD909" s="129"/>
      <c r="AE909" s="129"/>
      <c r="AF909" s="132"/>
      <c r="AG909" s="128" t="b">
        <v>0</v>
      </c>
      <c r="AH909" s="128"/>
      <c r="AI909" s="128"/>
      <c r="AJ909" s="128"/>
      <c r="AK909" s="128"/>
      <c r="AL909" s="129"/>
      <c r="AM909" s="129"/>
      <c r="AN909" s="139"/>
    </row>
    <row r="910">
      <c r="A910" s="129"/>
      <c r="B910" s="119"/>
      <c r="C910" s="128"/>
      <c r="D910" s="142"/>
      <c r="E910" s="122"/>
      <c r="F910" s="136"/>
      <c r="G910" s="152"/>
      <c r="H910" s="155"/>
      <c r="I910" s="155"/>
      <c r="J910" s="155"/>
      <c r="K910" s="155"/>
      <c r="L910" s="155"/>
      <c r="M910" s="126"/>
      <c r="N910" s="127"/>
      <c r="O910" s="127"/>
      <c r="P910" s="127"/>
      <c r="Q910" s="126"/>
      <c r="R910" s="128"/>
      <c r="S910" s="128"/>
      <c r="T910" s="128"/>
      <c r="U910" s="128"/>
      <c r="V910" s="129"/>
      <c r="W910" s="129"/>
      <c r="X910" s="129"/>
      <c r="Y910" s="129"/>
      <c r="Z910" s="145" t="b">
        <v>0</v>
      </c>
      <c r="AA910" s="145"/>
      <c r="AB910" s="129"/>
      <c r="AC910" s="129"/>
      <c r="AD910" s="129"/>
      <c r="AE910" s="129"/>
      <c r="AF910" s="132"/>
      <c r="AG910" s="128" t="b">
        <v>0</v>
      </c>
      <c r="AH910" s="128"/>
      <c r="AI910" s="128"/>
      <c r="AJ910" s="128"/>
      <c r="AK910" s="128"/>
      <c r="AL910" s="129"/>
      <c r="AM910" s="129"/>
      <c r="AN910" s="139"/>
    </row>
    <row r="911">
      <c r="A911" s="129"/>
      <c r="B911" s="119"/>
      <c r="C911" s="128"/>
      <c r="D911" s="142"/>
      <c r="E911" s="122"/>
      <c r="F911" s="136"/>
      <c r="G911" s="152"/>
      <c r="H911" s="155"/>
      <c r="I911" s="155"/>
      <c r="J911" s="155"/>
      <c r="K911" s="155"/>
      <c r="L911" s="155"/>
      <c r="M911" s="126"/>
      <c r="N911" s="127"/>
      <c r="O911" s="127"/>
      <c r="P911" s="127"/>
      <c r="Q911" s="126"/>
      <c r="R911" s="128"/>
      <c r="S911" s="128"/>
      <c r="T911" s="128"/>
      <c r="U911" s="128"/>
      <c r="V911" s="129"/>
      <c r="W911" s="129"/>
      <c r="X911" s="129"/>
      <c r="Y911" s="129"/>
      <c r="Z911" s="145" t="b">
        <v>0</v>
      </c>
      <c r="AA911" s="145"/>
      <c r="AB911" s="129"/>
      <c r="AC911" s="129"/>
      <c r="AD911" s="129"/>
      <c r="AE911" s="129"/>
      <c r="AF911" s="132"/>
      <c r="AG911" s="128" t="b">
        <v>0</v>
      </c>
      <c r="AH911" s="128"/>
      <c r="AI911" s="128"/>
      <c r="AJ911" s="128"/>
      <c r="AK911" s="128"/>
      <c r="AL911" s="129"/>
      <c r="AM911" s="129"/>
      <c r="AN911" s="139"/>
    </row>
    <row r="912">
      <c r="A912" s="129"/>
      <c r="B912" s="119"/>
      <c r="C912" s="128"/>
      <c r="D912" s="142"/>
      <c r="E912" s="122"/>
      <c r="F912" s="136"/>
      <c r="G912" s="152"/>
      <c r="H912" s="155"/>
      <c r="I912" s="155"/>
      <c r="J912" s="155"/>
      <c r="K912" s="155"/>
      <c r="L912" s="155"/>
      <c r="M912" s="126"/>
      <c r="N912" s="127"/>
      <c r="O912" s="127"/>
      <c r="P912" s="127"/>
      <c r="Q912" s="126"/>
      <c r="R912" s="128"/>
      <c r="S912" s="128"/>
      <c r="T912" s="128"/>
      <c r="U912" s="128"/>
      <c r="V912" s="129"/>
      <c r="W912" s="129"/>
      <c r="X912" s="129"/>
      <c r="Y912" s="129"/>
      <c r="Z912" s="145" t="b">
        <v>0</v>
      </c>
      <c r="AA912" s="145"/>
      <c r="AB912" s="129"/>
      <c r="AC912" s="129"/>
      <c r="AD912" s="129"/>
      <c r="AE912" s="129"/>
      <c r="AF912" s="132"/>
      <c r="AG912" s="128" t="b">
        <v>0</v>
      </c>
      <c r="AH912" s="128"/>
      <c r="AI912" s="128"/>
      <c r="AJ912" s="128"/>
      <c r="AK912" s="128"/>
      <c r="AL912" s="129"/>
      <c r="AM912" s="129"/>
      <c r="AN912" s="139"/>
    </row>
    <row r="913">
      <c r="A913" s="129"/>
      <c r="B913" s="119"/>
      <c r="C913" s="128"/>
      <c r="D913" s="142"/>
      <c r="E913" s="122"/>
      <c r="F913" s="136"/>
      <c r="G913" s="152"/>
      <c r="H913" s="155"/>
      <c r="I913" s="155"/>
      <c r="J913" s="155"/>
      <c r="K913" s="155"/>
      <c r="L913" s="155"/>
      <c r="M913" s="126"/>
      <c r="N913" s="127"/>
      <c r="O913" s="127"/>
      <c r="P913" s="127"/>
      <c r="Q913" s="126"/>
      <c r="R913" s="128"/>
      <c r="S913" s="128"/>
      <c r="T913" s="128"/>
      <c r="U913" s="128"/>
      <c r="V913" s="129"/>
      <c r="W913" s="129"/>
      <c r="X913" s="129"/>
      <c r="Y913" s="129"/>
      <c r="Z913" s="145" t="b">
        <v>0</v>
      </c>
      <c r="AA913" s="145"/>
      <c r="AB913" s="129"/>
      <c r="AC913" s="129"/>
      <c r="AD913" s="129"/>
      <c r="AE913" s="129"/>
      <c r="AF913" s="132"/>
      <c r="AG913" s="128" t="b">
        <v>0</v>
      </c>
      <c r="AH913" s="128"/>
      <c r="AI913" s="128"/>
      <c r="AJ913" s="128"/>
      <c r="AK913" s="128"/>
      <c r="AL913" s="129"/>
      <c r="AM913" s="129"/>
      <c r="AN913" s="139"/>
    </row>
    <row r="914">
      <c r="A914" s="129"/>
      <c r="B914" s="119"/>
      <c r="C914" s="128"/>
      <c r="D914" s="142"/>
      <c r="E914" s="122"/>
      <c r="F914" s="136"/>
      <c r="G914" s="152"/>
      <c r="H914" s="155"/>
      <c r="I914" s="155"/>
      <c r="J914" s="155"/>
      <c r="K914" s="155"/>
      <c r="L914" s="155"/>
      <c r="M914" s="126"/>
      <c r="N914" s="127"/>
      <c r="O914" s="127"/>
      <c r="P914" s="127"/>
      <c r="Q914" s="126"/>
      <c r="R914" s="128"/>
      <c r="S914" s="128"/>
      <c r="T914" s="128"/>
      <c r="U914" s="128"/>
      <c r="V914" s="129"/>
      <c r="W914" s="129"/>
      <c r="X914" s="129"/>
      <c r="Y914" s="129"/>
      <c r="Z914" s="145" t="b">
        <v>0</v>
      </c>
      <c r="AA914" s="145"/>
      <c r="AB914" s="129"/>
      <c r="AC914" s="129"/>
      <c r="AD914" s="129"/>
      <c r="AE914" s="129"/>
      <c r="AF914" s="132"/>
      <c r="AG914" s="128" t="b">
        <v>0</v>
      </c>
      <c r="AH914" s="128"/>
      <c r="AI914" s="128"/>
      <c r="AJ914" s="128"/>
      <c r="AK914" s="128"/>
      <c r="AL914" s="129"/>
      <c r="AM914" s="129"/>
      <c r="AN914" s="139"/>
    </row>
    <row r="915">
      <c r="A915" s="129"/>
      <c r="B915" s="119"/>
      <c r="C915" s="128"/>
      <c r="D915" s="142"/>
      <c r="E915" s="122"/>
      <c r="F915" s="136"/>
      <c r="G915" s="152"/>
      <c r="H915" s="155"/>
      <c r="I915" s="155"/>
      <c r="J915" s="155"/>
      <c r="K915" s="155"/>
      <c r="L915" s="155"/>
      <c r="M915" s="126"/>
      <c r="N915" s="127"/>
      <c r="O915" s="127"/>
      <c r="P915" s="127"/>
      <c r="Q915" s="126"/>
      <c r="R915" s="128"/>
      <c r="S915" s="128"/>
      <c r="T915" s="128"/>
      <c r="U915" s="128"/>
      <c r="V915" s="129"/>
      <c r="W915" s="129"/>
      <c r="X915" s="129"/>
      <c r="Y915" s="129"/>
      <c r="Z915" s="145" t="b">
        <v>0</v>
      </c>
      <c r="AA915" s="145"/>
      <c r="AB915" s="129"/>
      <c r="AC915" s="129"/>
      <c r="AD915" s="129"/>
      <c r="AE915" s="129"/>
      <c r="AF915" s="132"/>
      <c r="AG915" s="128" t="b">
        <v>0</v>
      </c>
      <c r="AH915" s="128"/>
      <c r="AI915" s="128"/>
      <c r="AJ915" s="128"/>
      <c r="AK915" s="128"/>
      <c r="AL915" s="129"/>
      <c r="AM915" s="129"/>
      <c r="AN915" s="139"/>
    </row>
    <row r="916">
      <c r="A916" s="129"/>
      <c r="B916" s="119"/>
      <c r="C916" s="128"/>
      <c r="D916" s="142"/>
      <c r="E916" s="122"/>
      <c r="F916" s="136"/>
      <c r="G916" s="152"/>
      <c r="H916" s="155"/>
      <c r="I916" s="155"/>
      <c r="J916" s="155"/>
      <c r="K916" s="155"/>
      <c r="L916" s="155"/>
      <c r="M916" s="126"/>
      <c r="N916" s="127"/>
      <c r="O916" s="127"/>
      <c r="P916" s="127"/>
      <c r="Q916" s="126"/>
      <c r="R916" s="128"/>
      <c r="S916" s="128"/>
      <c r="T916" s="128"/>
      <c r="U916" s="128"/>
      <c r="V916" s="129"/>
      <c r="W916" s="129"/>
      <c r="X916" s="129"/>
      <c r="Y916" s="129"/>
      <c r="Z916" s="145" t="b">
        <v>0</v>
      </c>
      <c r="AA916" s="145"/>
      <c r="AB916" s="129"/>
      <c r="AC916" s="129"/>
      <c r="AD916" s="129"/>
      <c r="AE916" s="129"/>
      <c r="AF916" s="132"/>
      <c r="AG916" s="128" t="b">
        <v>0</v>
      </c>
      <c r="AH916" s="128"/>
      <c r="AI916" s="128"/>
      <c r="AJ916" s="128"/>
      <c r="AK916" s="128"/>
      <c r="AL916" s="129"/>
      <c r="AM916" s="129"/>
      <c r="AN916" s="139"/>
    </row>
    <row r="917">
      <c r="A917" s="129"/>
      <c r="B917" s="119"/>
      <c r="C917" s="128"/>
      <c r="D917" s="142"/>
      <c r="E917" s="122"/>
      <c r="F917" s="136"/>
      <c r="G917" s="152"/>
      <c r="H917" s="155"/>
      <c r="I917" s="155"/>
      <c r="J917" s="155"/>
      <c r="K917" s="155"/>
      <c r="L917" s="155"/>
      <c r="M917" s="126"/>
      <c r="N917" s="127"/>
      <c r="O917" s="127"/>
      <c r="P917" s="127"/>
      <c r="Q917" s="126"/>
      <c r="R917" s="128"/>
      <c r="S917" s="128"/>
      <c r="T917" s="128"/>
      <c r="U917" s="128"/>
      <c r="V917" s="129"/>
      <c r="W917" s="129"/>
      <c r="X917" s="129"/>
      <c r="Y917" s="129"/>
      <c r="Z917" s="145" t="b">
        <v>0</v>
      </c>
      <c r="AA917" s="145"/>
      <c r="AB917" s="129"/>
      <c r="AC917" s="129"/>
      <c r="AD917" s="129"/>
      <c r="AE917" s="129"/>
      <c r="AF917" s="132"/>
      <c r="AG917" s="128" t="b">
        <v>0</v>
      </c>
      <c r="AH917" s="128"/>
      <c r="AI917" s="128"/>
      <c r="AJ917" s="128"/>
      <c r="AK917" s="128"/>
      <c r="AL917" s="129"/>
      <c r="AM917" s="129"/>
      <c r="AN917" s="139"/>
    </row>
    <row r="918">
      <c r="A918" s="129"/>
      <c r="B918" s="119"/>
      <c r="C918" s="128"/>
      <c r="D918" s="142"/>
      <c r="E918" s="122"/>
      <c r="F918" s="136"/>
      <c r="G918" s="152"/>
      <c r="H918" s="155"/>
      <c r="I918" s="155"/>
      <c r="J918" s="155"/>
      <c r="K918" s="155"/>
      <c r="L918" s="155"/>
      <c r="M918" s="126"/>
      <c r="N918" s="127"/>
      <c r="O918" s="127"/>
      <c r="P918" s="127"/>
      <c r="Q918" s="126"/>
      <c r="R918" s="128"/>
      <c r="S918" s="128"/>
      <c r="T918" s="128"/>
      <c r="U918" s="128"/>
      <c r="V918" s="129"/>
      <c r="W918" s="129"/>
      <c r="X918" s="129"/>
      <c r="Y918" s="129"/>
      <c r="Z918" s="145" t="b">
        <v>0</v>
      </c>
      <c r="AA918" s="145"/>
      <c r="AB918" s="129"/>
      <c r="AC918" s="129"/>
      <c r="AD918" s="129"/>
      <c r="AE918" s="129"/>
      <c r="AF918" s="132"/>
      <c r="AG918" s="128" t="b">
        <v>0</v>
      </c>
      <c r="AH918" s="128"/>
      <c r="AI918" s="128"/>
      <c r="AJ918" s="128"/>
      <c r="AK918" s="128"/>
      <c r="AL918" s="129"/>
      <c r="AM918" s="129"/>
      <c r="AN918" s="139"/>
    </row>
    <row r="919">
      <c r="A919" s="129"/>
      <c r="B919" s="119"/>
      <c r="C919" s="128"/>
      <c r="D919" s="142"/>
      <c r="E919" s="122"/>
      <c r="F919" s="136"/>
      <c r="G919" s="152"/>
      <c r="H919" s="155"/>
      <c r="I919" s="155"/>
      <c r="J919" s="155"/>
      <c r="K919" s="155"/>
      <c r="L919" s="155"/>
      <c r="M919" s="126"/>
      <c r="N919" s="127"/>
      <c r="O919" s="127"/>
      <c r="P919" s="127"/>
      <c r="Q919" s="126"/>
      <c r="R919" s="128"/>
      <c r="S919" s="128"/>
      <c r="T919" s="128"/>
      <c r="U919" s="128"/>
      <c r="V919" s="129"/>
      <c r="W919" s="129"/>
      <c r="X919" s="129"/>
      <c r="Y919" s="129"/>
      <c r="Z919" s="145" t="b">
        <v>0</v>
      </c>
      <c r="AA919" s="145"/>
      <c r="AB919" s="129"/>
      <c r="AC919" s="129"/>
      <c r="AD919" s="129"/>
      <c r="AE919" s="129"/>
      <c r="AF919" s="132"/>
      <c r="AG919" s="128" t="b">
        <v>0</v>
      </c>
      <c r="AH919" s="128"/>
      <c r="AI919" s="128"/>
      <c r="AJ919" s="128"/>
      <c r="AK919" s="128"/>
      <c r="AL919" s="129"/>
      <c r="AM919" s="129"/>
      <c r="AN919" s="139"/>
    </row>
    <row r="920">
      <c r="A920" s="129"/>
      <c r="B920" s="119"/>
      <c r="C920" s="128"/>
      <c r="D920" s="142"/>
      <c r="E920" s="122"/>
      <c r="F920" s="136"/>
      <c r="G920" s="152"/>
      <c r="H920" s="155"/>
      <c r="I920" s="155"/>
      <c r="J920" s="155"/>
      <c r="K920" s="155"/>
      <c r="L920" s="155"/>
      <c r="M920" s="126"/>
      <c r="N920" s="127"/>
      <c r="O920" s="127"/>
      <c r="P920" s="127"/>
      <c r="Q920" s="126"/>
      <c r="R920" s="128"/>
      <c r="S920" s="128"/>
      <c r="T920" s="128"/>
      <c r="U920" s="128"/>
      <c r="V920" s="129"/>
      <c r="W920" s="129"/>
      <c r="X920" s="129"/>
      <c r="Y920" s="129"/>
      <c r="Z920" s="145" t="b">
        <v>0</v>
      </c>
      <c r="AA920" s="145"/>
      <c r="AB920" s="129"/>
      <c r="AC920" s="129"/>
      <c r="AD920" s="129"/>
      <c r="AE920" s="129"/>
      <c r="AF920" s="132"/>
      <c r="AG920" s="128" t="b">
        <v>0</v>
      </c>
      <c r="AH920" s="128"/>
      <c r="AI920" s="128"/>
      <c r="AJ920" s="128"/>
      <c r="AK920" s="128"/>
      <c r="AL920" s="129"/>
      <c r="AM920" s="129"/>
      <c r="AN920" s="139"/>
    </row>
    <row r="921">
      <c r="A921" s="129"/>
      <c r="B921" s="119"/>
      <c r="C921" s="128"/>
      <c r="D921" s="142"/>
      <c r="E921" s="122"/>
      <c r="F921" s="136"/>
      <c r="G921" s="152"/>
      <c r="H921" s="155"/>
      <c r="I921" s="155"/>
      <c r="J921" s="155"/>
      <c r="K921" s="155"/>
      <c r="L921" s="155"/>
      <c r="M921" s="126"/>
      <c r="N921" s="127"/>
      <c r="O921" s="127"/>
      <c r="P921" s="127"/>
      <c r="Q921" s="126"/>
      <c r="R921" s="128"/>
      <c r="S921" s="128"/>
      <c r="T921" s="128"/>
      <c r="U921" s="128"/>
      <c r="V921" s="129"/>
      <c r="W921" s="129"/>
      <c r="X921" s="129"/>
      <c r="Y921" s="129"/>
      <c r="Z921" s="145" t="b">
        <v>0</v>
      </c>
      <c r="AA921" s="145"/>
      <c r="AB921" s="129"/>
      <c r="AC921" s="129"/>
      <c r="AD921" s="129"/>
      <c r="AE921" s="129"/>
      <c r="AF921" s="132"/>
      <c r="AG921" s="128" t="b">
        <v>0</v>
      </c>
      <c r="AH921" s="128"/>
      <c r="AI921" s="128"/>
      <c r="AJ921" s="128"/>
      <c r="AK921" s="128"/>
      <c r="AL921" s="129"/>
      <c r="AM921" s="129"/>
      <c r="AN921" s="139"/>
    </row>
    <row r="922">
      <c r="A922" s="129"/>
      <c r="B922" s="119"/>
      <c r="C922" s="128"/>
      <c r="D922" s="142"/>
      <c r="E922" s="122"/>
      <c r="F922" s="136"/>
      <c r="G922" s="152"/>
      <c r="H922" s="155"/>
      <c r="I922" s="155"/>
      <c r="J922" s="155"/>
      <c r="K922" s="155"/>
      <c r="L922" s="155"/>
      <c r="M922" s="126"/>
      <c r="N922" s="127"/>
      <c r="O922" s="127"/>
      <c r="P922" s="127"/>
      <c r="Q922" s="126"/>
      <c r="R922" s="128"/>
      <c r="S922" s="128"/>
      <c r="T922" s="128"/>
      <c r="U922" s="128"/>
      <c r="V922" s="129"/>
      <c r="W922" s="129"/>
      <c r="X922" s="129"/>
      <c r="Y922" s="129"/>
      <c r="Z922" s="145" t="b">
        <v>0</v>
      </c>
      <c r="AA922" s="145"/>
      <c r="AB922" s="129"/>
      <c r="AC922" s="129"/>
      <c r="AD922" s="129"/>
      <c r="AE922" s="129"/>
      <c r="AF922" s="132"/>
      <c r="AG922" s="128" t="b">
        <v>0</v>
      </c>
      <c r="AH922" s="128"/>
      <c r="AI922" s="128"/>
      <c r="AJ922" s="128"/>
      <c r="AK922" s="128"/>
      <c r="AL922" s="129"/>
      <c r="AM922" s="129"/>
      <c r="AN922" s="139"/>
    </row>
    <row r="923">
      <c r="A923" s="129"/>
      <c r="B923" s="119"/>
      <c r="C923" s="128"/>
      <c r="D923" s="142"/>
      <c r="E923" s="122"/>
      <c r="F923" s="136"/>
      <c r="G923" s="152"/>
      <c r="H923" s="155"/>
      <c r="I923" s="155"/>
      <c r="J923" s="155"/>
      <c r="K923" s="155"/>
      <c r="L923" s="155"/>
      <c r="M923" s="126"/>
      <c r="N923" s="127"/>
      <c r="O923" s="127"/>
      <c r="P923" s="127"/>
      <c r="Q923" s="126"/>
      <c r="R923" s="128"/>
      <c r="S923" s="128"/>
      <c r="T923" s="128"/>
      <c r="U923" s="128"/>
      <c r="V923" s="129"/>
      <c r="W923" s="129"/>
      <c r="X923" s="129"/>
      <c r="Y923" s="129"/>
      <c r="Z923" s="145" t="b">
        <v>0</v>
      </c>
      <c r="AA923" s="145"/>
      <c r="AB923" s="129"/>
      <c r="AC923" s="129"/>
      <c r="AD923" s="129"/>
      <c r="AE923" s="129"/>
      <c r="AF923" s="132"/>
      <c r="AG923" s="128" t="b">
        <v>0</v>
      </c>
      <c r="AH923" s="128"/>
      <c r="AI923" s="128"/>
      <c r="AJ923" s="128"/>
      <c r="AK923" s="128"/>
      <c r="AL923" s="129"/>
      <c r="AM923" s="129"/>
      <c r="AN923" s="139"/>
    </row>
    <row r="924">
      <c r="A924" s="129"/>
      <c r="B924" s="119"/>
      <c r="C924" s="128"/>
      <c r="D924" s="142"/>
      <c r="E924" s="122"/>
      <c r="F924" s="136"/>
      <c r="G924" s="152"/>
      <c r="H924" s="155"/>
      <c r="I924" s="155"/>
      <c r="J924" s="155"/>
      <c r="K924" s="155"/>
      <c r="L924" s="155"/>
      <c r="M924" s="126"/>
      <c r="N924" s="127"/>
      <c r="O924" s="127"/>
      <c r="P924" s="127"/>
      <c r="Q924" s="126"/>
      <c r="R924" s="128"/>
      <c r="S924" s="128"/>
      <c r="T924" s="128"/>
      <c r="U924" s="128"/>
      <c r="V924" s="129"/>
      <c r="W924" s="129"/>
      <c r="X924" s="129"/>
      <c r="Y924" s="129"/>
      <c r="Z924" s="145" t="b">
        <v>0</v>
      </c>
      <c r="AA924" s="145"/>
      <c r="AB924" s="129"/>
      <c r="AC924" s="129"/>
      <c r="AD924" s="129"/>
      <c r="AE924" s="129"/>
      <c r="AF924" s="132"/>
      <c r="AG924" s="128" t="b">
        <v>0</v>
      </c>
      <c r="AH924" s="128"/>
      <c r="AI924" s="128"/>
      <c r="AJ924" s="128"/>
      <c r="AK924" s="128"/>
      <c r="AL924" s="129"/>
      <c r="AM924" s="129"/>
      <c r="AN924" s="139"/>
    </row>
    <row r="925">
      <c r="A925" s="129"/>
      <c r="B925" s="119"/>
      <c r="C925" s="128"/>
      <c r="D925" s="142"/>
      <c r="E925" s="122"/>
      <c r="F925" s="136"/>
      <c r="G925" s="152"/>
      <c r="H925" s="155"/>
      <c r="I925" s="155"/>
      <c r="J925" s="155"/>
      <c r="K925" s="155"/>
      <c r="L925" s="155"/>
      <c r="M925" s="126"/>
      <c r="N925" s="127"/>
      <c r="O925" s="127"/>
      <c r="P925" s="127"/>
      <c r="Q925" s="126"/>
      <c r="R925" s="128"/>
      <c r="S925" s="128"/>
      <c r="T925" s="128"/>
      <c r="U925" s="128"/>
      <c r="V925" s="129"/>
      <c r="W925" s="129"/>
      <c r="X925" s="129"/>
      <c r="Y925" s="129"/>
      <c r="Z925" s="145" t="b">
        <v>0</v>
      </c>
      <c r="AA925" s="145"/>
      <c r="AB925" s="129"/>
      <c r="AC925" s="129"/>
      <c r="AD925" s="129"/>
      <c r="AE925" s="129"/>
      <c r="AF925" s="132"/>
      <c r="AG925" s="128" t="b">
        <v>0</v>
      </c>
      <c r="AH925" s="128"/>
      <c r="AI925" s="128"/>
      <c r="AJ925" s="128"/>
      <c r="AK925" s="128"/>
      <c r="AL925" s="129"/>
      <c r="AM925" s="129"/>
      <c r="AN925" s="139"/>
    </row>
    <row r="926">
      <c r="A926" s="129"/>
      <c r="B926" s="119"/>
      <c r="C926" s="128"/>
      <c r="D926" s="142"/>
      <c r="E926" s="122"/>
      <c r="F926" s="136"/>
      <c r="G926" s="152"/>
      <c r="H926" s="155"/>
      <c r="I926" s="155"/>
      <c r="J926" s="155"/>
      <c r="K926" s="155"/>
      <c r="L926" s="155"/>
      <c r="M926" s="126"/>
      <c r="N926" s="127"/>
      <c r="O926" s="127"/>
      <c r="P926" s="127"/>
      <c r="Q926" s="126"/>
      <c r="R926" s="128"/>
      <c r="S926" s="128"/>
      <c r="T926" s="128"/>
      <c r="U926" s="128"/>
      <c r="V926" s="129"/>
      <c r="W926" s="129"/>
      <c r="X926" s="129"/>
      <c r="Y926" s="129"/>
      <c r="Z926" s="145" t="b">
        <v>0</v>
      </c>
      <c r="AA926" s="145"/>
      <c r="AB926" s="129"/>
      <c r="AC926" s="129"/>
      <c r="AD926" s="129"/>
      <c r="AE926" s="129"/>
      <c r="AF926" s="132"/>
      <c r="AG926" s="128" t="b">
        <v>0</v>
      </c>
      <c r="AH926" s="128"/>
      <c r="AI926" s="128"/>
      <c r="AJ926" s="128"/>
      <c r="AK926" s="128"/>
      <c r="AL926" s="129"/>
      <c r="AM926" s="129"/>
      <c r="AN926" s="139"/>
    </row>
    <row r="927">
      <c r="A927" s="129"/>
      <c r="B927" s="119"/>
      <c r="C927" s="128"/>
      <c r="D927" s="142"/>
      <c r="E927" s="122"/>
      <c r="F927" s="136"/>
      <c r="G927" s="152"/>
      <c r="H927" s="155"/>
      <c r="I927" s="155"/>
      <c r="J927" s="155"/>
      <c r="K927" s="155"/>
      <c r="L927" s="155"/>
      <c r="M927" s="126"/>
      <c r="N927" s="127"/>
      <c r="O927" s="127"/>
      <c r="P927" s="127"/>
      <c r="Q927" s="126"/>
      <c r="R927" s="128"/>
      <c r="S927" s="128"/>
      <c r="T927" s="128"/>
      <c r="U927" s="128"/>
      <c r="V927" s="129"/>
      <c r="W927" s="129"/>
      <c r="X927" s="129"/>
      <c r="Y927" s="129"/>
      <c r="Z927" s="145" t="b">
        <v>0</v>
      </c>
      <c r="AA927" s="145"/>
      <c r="AB927" s="129"/>
      <c r="AC927" s="129"/>
      <c r="AD927" s="129"/>
      <c r="AE927" s="129"/>
      <c r="AF927" s="132"/>
      <c r="AG927" s="128" t="b">
        <v>0</v>
      </c>
      <c r="AH927" s="128"/>
      <c r="AI927" s="128"/>
      <c r="AJ927" s="128"/>
      <c r="AK927" s="128"/>
      <c r="AL927" s="129"/>
      <c r="AM927" s="129"/>
      <c r="AN927" s="139"/>
    </row>
    <row r="928">
      <c r="A928" s="129"/>
      <c r="B928" s="119"/>
      <c r="C928" s="128"/>
      <c r="D928" s="142"/>
      <c r="E928" s="122"/>
      <c r="F928" s="136"/>
      <c r="G928" s="152"/>
      <c r="H928" s="155"/>
      <c r="I928" s="155"/>
      <c r="J928" s="155"/>
      <c r="K928" s="155"/>
      <c r="L928" s="155"/>
      <c r="M928" s="126"/>
      <c r="N928" s="127"/>
      <c r="O928" s="127"/>
      <c r="P928" s="127"/>
      <c r="Q928" s="126"/>
      <c r="R928" s="128"/>
      <c r="S928" s="128"/>
      <c r="T928" s="128"/>
      <c r="U928" s="128"/>
      <c r="V928" s="129"/>
      <c r="W928" s="129"/>
      <c r="X928" s="129"/>
      <c r="Y928" s="129"/>
      <c r="Z928" s="145" t="b">
        <v>0</v>
      </c>
      <c r="AA928" s="145"/>
      <c r="AB928" s="129"/>
      <c r="AC928" s="129"/>
      <c r="AD928" s="129"/>
      <c r="AE928" s="129"/>
      <c r="AF928" s="132"/>
      <c r="AG928" s="128" t="b">
        <v>0</v>
      </c>
      <c r="AH928" s="128"/>
      <c r="AI928" s="128"/>
      <c r="AJ928" s="128"/>
      <c r="AK928" s="128"/>
      <c r="AL928" s="129"/>
      <c r="AM928" s="129"/>
      <c r="AN928" s="139"/>
    </row>
    <row r="929">
      <c r="A929" s="129"/>
      <c r="B929" s="119"/>
      <c r="C929" s="128"/>
      <c r="D929" s="142"/>
      <c r="E929" s="122"/>
      <c r="F929" s="136"/>
      <c r="G929" s="152"/>
      <c r="H929" s="155"/>
      <c r="I929" s="155"/>
      <c r="J929" s="155"/>
      <c r="K929" s="155"/>
      <c r="L929" s="155"/>
      <c r="M929" s="126"/>
      <c r="N929" s="127"/>
      <c r="O929" s="127"/>
      <c r="P929" s="127"/>
      <c r="Q929" s="126"/>
      <c r="R929" s="128"/>
      <c r="S929" s="128"/>
      <c r="T929" s="128"/>
      <c r="U929" s="128"/>
      <c r="V929" s="129"/>
      <c r="W929" s="129"/>
      <c r="X929" s="129"/>
      <c r="Y929" s="129"/>
      <c r="Z929" s="145" t="b">
        <v>0</v>
      </c>
      <c r="AA929" s="145"/>
      <c r="AB929" s="129"/>
      <c r="AC929" s="129"/>
      <c r="AD929" s="129"/>
      <c r="AE929" s="129"/>
      <c r="AF929" s="132"/>
      <c r="AG929" s="128" t="b">
        <v>0</v>
      </c>
      <c r="AH929" s="128"/>
      <c r="AI929" s="128"/>
      <c r="AJ929" s="128"/>
      <c r="AK929" s="128"/>
      <c r="AL929" s="129"/>
      <c r="AM929" s="129"/>
      <c r="AN929" s="139"/>
    </row>
    <row r="930">
      <c r="A930" s="129"/>
      <c r="B930" s="119"/>
      <c r="C930" s="128"/>
      <c r="D930" s="142"/>
      <c r="E930" s="122"/>
      <c r="F930" s="136"/>
      <c r="G930" s="152"/>
      <c r="H930" s="155"/>
      <c r="I930" s="155"/>
      <c r="J930" s="155"/>
      <c r="K930" s="155"/>
      <c r="L930" s="155"/>
      <c r="M930" s="126"/>
      <c r="N930" s="127"/>
      <c r="O930" s="127"/>
      <c r="P930" s="127"/>
      <c r="Q930" s="126"/>
      <c r="R930" s="128"/>
      <c r="S930" s="128"/>
      <c r="T930" s="128"/>
      <c r="U930" s="128"/>
      <c r="V930" s="129"/>
      <c r="W930" s="129"/>
      <c r="X930" s="129"/>
      <c r="Y930" s="129"/>
      <c r="Z930" s="145" t="b">
        <v>0</v>
      </c>
      <c r="AA930" s="145"/>
      <c r="AB930" s="129"/>
      <c r="AC930" s="129"/>
      <c r="AD930" s="129"/>
      <c r="AE930" s="129"/>
      <c r="AF930" s="132"/>
      <c r="AG930" s="128" t="b">
        <v>0</v>
      </c>
      <c r="AH930" s="128"/>
      <c r="AI930" s="128"/>
      <c r="AJ930" s="128"/>
      <c r="AK930" s="128"/>
      <c r="AL930" s="129"/>
      <c r="AM930" s="129"/>
      <c r="AN930" s="139"/>
    </row>
    <row r="931">
      <c r="A931" s="129"/>
      <c r="B931" s="119"/>
      <c r="C931" s="128"/>
      <c r="D931" s="142"/>
      <c r="E931" s="122"/>
      <c r="F931" s="136"/>
      <c r="G931" s="152"/>
      <c r="H931" s="155"/>
      <c r="I931" s="155"/>
      <c r="J931" s="155"/>
      <c r="K931" s="155"/>
      <c r="L931" s="155"/>
      <c r="M931" s="126"/>
      <c r="N931" s="127"/>
      <c r="O931" s="127"/>
      <c r="P931" s="127"/>
      <c r="Q931" s="126"/>
      <c r="R931" s="128"/>
      <c r="S931" s="128"/>
      <c r="T931" s="128"/>
      <c r="U931" s="128"/>
      <c r="V931" s="129"/>
      <c r="W931" s="129"/>
      <c r="X931" s="129"/>
      <c r="Y931" s="129"/>
      <c r="Z931" s="145" t="b">
        <v>0</v>
      </c>
      <c r="AA931" s="145"/>
      <c r="AB931" s="129"/>
      <c r="AC931" s="129"/>
      <c r="AD931" s="129"/>
      <c r="AE931" s="129"/>
      <c r="AF931" s="132"/>
      <c r="AG931" s="128" t="b">
        <v>0</v>
      </c>
      <c r="AH931" s="128"/>
      <c r="AI931" s="128"/>
      <c r="AJ931" s="128"/>
      <c r="AK931" s="128"/>
      <c r="AL931" s="129"/>
      <c r="AM931" s="129"/>
      <c r="AN931" s="139"/>
    </row>
    <row r="932">
      <c r="A932" s="129"/>
      <c r="B932" s="119"/>
      <c r="C932" s="128"/>
      <c r="D932" s="142"/>
      <c r="E932" s="122"/>
      <c r="F932" s="136"/>
      <c r="G932" s="152"/>
      <c r="H932" s="155"/>
      <c r="I932" s="155"/>
      <c r="J932" s="155"/>
      <c r="K932" s="155"/>
      <c r="L932" s="155"/>
      <c r="M932" s="126"/>
      <c r="N932" s="127"/>
      <c r="O932" s="127"/>
      <c r="P932" s="127"/>
      <c r="Q932" s="126"/>
      <c r="R932" s="128"/>
      <c r="S932" s="128"/>
      <c r="T932" s="128"/>
      <c r="U932" s="128"/>
      <c r="V932" s="129"/>
      <c r="W932" s="129"/>
      <c r="X932" s="129"/>
      <c r="Y932" s="129"/>
      <c r="Z932" s="145" t="b">
        <v>0</v>
      </c>
      <c r="AA932" s="145"/>
      <c r="AB932" s="129"/>
      <c r="AC932" s="129"/>
      <c r="AD932" s="129"/>
      <c r="AE932" s="129"/>
      <c r="AF932" s="132"/>
      <c r="AG932" s="128" t="b">
        <v>0</v>
      </c>
      <c r="AH932" s="128"/>
      <c r="AI932" s="128"/>
      <c r="AJ932" s="128"/>
      <c r="AK932" s="128"/>
      <c r="AL932" s="129"/>
      <c r="AM932" s="129"/>
      <c r="AN932" s="139"/>
    </row>
    <row r="933">
      <c r="A933" s="129"/>
      <c r="B933" s="119"/>
      <c r="C933" s="128"/>
      <c r="D933" s="142"/>
      <c r="E933" s="122"/>
      <c r="F933" s="136"/>
      <c r="G933" s="152"/>
      <c r="H933" s="155"/>
      <c r="I933" s="155"/>
      <c r="J933" s="155"/>
      <c r="K933" s="155"/>
      <c r="L933" s="155"/>
      <c r="M933" s="126"/>
      <c r="N933" s="127"/>
      <c r="O933" s="127"/>
      <c r="P933" s="127"/>
      <c r="Q933" s="126"/>
      <c r="R933" s="128"/>
      <c r="S933" s="128"/>
      <c r="T933" s="128"/>
      <c r="U933" s="128"/>
      <c r="V933" s="129"/>
      <c r="W933" s="129"/>
      <c r="X933" s="129"/>
      <c r="Y933" s="129"/>
      <c r="Z933" s="145" t="b">
        <v>0</v>
      </c>
      <c r="AA933" s="145"/>
      <c r="AB933" s="129"/>
      <c r="AC933" s="129"/>
      <c r="AD933" s="129"/>
      <c r="AE933" s="129"/>
      <c r="AF933" s="132"/>
      <c r="AG933" s="128" t="b">
        <v>0</v>
      </c>
      <c r="AH933" s="128"/>
      <c r="AI933" s="128"/>
      <c r="AJ933" s="128"/>
      <c r="AK933" s="128"/>
      <c r="AL933" s="129"/>
      <c r="AM933" s="129"/>
      <c r="AN933" s="139"/>
    </row>
    <row r="934">
      <c r="A934" s="129"/>
      <c r="B934" s="119"/>
      <c r="C934" s="128"/>
      <c r="D934" s="142"/>
      <c r="E934" s="122"/>
      <c r="F934" s="136"/>
      <c r="G934" s="152"/>
      <c r="H934" s="155"/>
      <c r="I934" s="155"/>
      <c r="J934" s="155"/>
      <c r="K934" s="155"/>
      <c r="L934" s="155"/>
      <c r="M934" s="126"/>
      <c r="N934" s="127"/>
      <c r="O934" s="127"/>
      <c r="P934" s="127"/>
      <c r="Q934" s="126"/>
      <c r="R934" s="128"/>
      <c r="S934" s="128"/>
      <c r="T934" s="128"/>
      <c r="U934" s="128"/>
      <c r="V934" s="129"/>
      <c r="W934" s="129"/>
      <c r="X934" s="129"/>
      <c r="Y934" s="129"/>
      <c r="Z934" s="145" t="b">
        <v>0</v>
      </c>
      <c r="AA934" s="145"/>
      <c r="AB934" s="129"/>
      <c r="AC934" s="129"/>
      <c r="AD934" s="129"/>
      <c r="AE934" s="129"/>
      <c r="AF934" s="132"/>
      <c r="AG934" s="128" t="b">
        <v>0</v>
      </c>
      <c r="AH934" s="128"/>
      <c r="AI934" s="128"/>
      <c r="AJ934" s="128"/>
      <c r="AK934" s="128"/>
      <c r="AL934" s="129"/>
      <c r="AM934" s="129"/>
      <c r="AN934" s="139"/>
    </row>
    <row r="935">
      <c r="A935" s="129"/>
      <c r="B935" s="119"/>
      <c r="C935" s="128"/>
      <c r="D935" s="142"/>
      <c r="E935" s="122"/>
      <c r="F935" s="136"/>
      <c r="G935" s="152"/>
      <c r="H935" s="155"/>
      <c r="I935" s="155"/>
      <c r="J935" s="155"/>
      <c r="K935" s="155"/>
      <c r="L935" s="155"/>
      <c r="M935" s="126"/>
      <c r="N935" s="127"/>
      <c r="O935" s="127"/>
      <c r="P935" s="127"/>
      <c r="Q935" s="126"/>
      <c r="R935" s="128"/>
      <c r="S935" s="128"/>
      <c r="T935" s="128"/>
      <c r="U935" s="128"/>
      <c r="V935" s="129"/>
      <c r="W935" s="129"/>
      <c r="X935" s="129"/>
      <c r="Y935" s="129"/>
      <c r="Z935" s="145" t="b">
        <v>0</v>
      </c>
      <c r="AA935" s="145"/>
      <c r="AB935" s="129"/>
      <c r="AC935" s="129"/>
      <c r="AD935" s="129"/>
      <c r="AE935" s="129"/>
      <c r="AF935" s="132"/>
      <c r="AG935" s="128" t="b">
        <v>0</v>
      </c>
      <c r="AH935" s="128"/>
      <c r="AI935" s="128"/>
      <c r="AJ935" s="128"/>
      <c r="AK935" s="128"/>
      <c r="AL935" s="129"/>
      <c r="AM935" s="129"/>
      <c r="AN935" s="139"/>
    </row>
    <row r="936">
      <c r="A936" s="129"/>
      <c r="B936" s="119"/>
      <c r="C936" s="128"/>
      <c r="D936" s="142"/>
      <c r="E936" s="122"/>
      <c r="F936" s="136"/>
      <c r="G936" s="152"/>
      <c r="H936" s="155"/>
      <c r="I936" s="155"/>
      <c r="J936" s="155"/>
      <c r="K936" s="155"/>
      <c r="L936" s="155"/>
      <c r="M936" s="126"/>
      <c r="N936" s="127"/>
      <c r="O936" s="127"/>
      <c r="P936" s="127"/>
      <c r="Q936" s="126"/>
      <c r="R936" s="128"/>
      <c r="S936" s="128"/>
      <c r="T936" s="128"/>
      <c r="U936" s="128"/>
      <c r="V936" s="129"/>
      <c r="W936" s="129"/>
      <c r="X936" s="129"/>
      <c r="Y936" s="129"/>
      <c r="Z936" s="145" t="b">
        <v>0</v>
      </c>
      <c r="AA936" s="145"/>
      <c r="AB936" s="129"/>
      <c r="AC936" s="129"/>
      <c r="AD936" s="129"/>
      <c r="AE936" s="129"/>
      <c r="AF936" s="132"/>
      <c r="AG936" s="128" t="b">
        <v>0</v>
      </c>
      <c r="AH936" s="128"/>
      <c r="AI936" s="128"/>
      <c r="AJ936" s="128"/>
      <c r="AK936" s="128"/>
      <c r="AL936" s="129"/>
      <c r="AM936" s="129"/>
      <c r="AN936" s="139"/>
    </row>
    <row r="937">
      <c r="A937" s="129"/>
      <c r="B937" s="119"/>
      <c r="C937" s="128"/>
      <c r="D937" s="142"/>
      <c r="E937" s="122"/>
      <c r="F937" s="136"/>
      <c r="G937" s="152"/>
      <c r="H937" s="155"/>
      <c r="I937" s="155"/>
      <c r="J937" s="155"/>
      <c r="K937" s="155"/>
      <c r="L937" s="155"/>
      <c r="M937" s="126"/>
      <c r="N937" s="127"/>
      <c r="O937" s="127"/>
      <c r="P937" s="127"/>
      <c r="Q937" s="126"/>
      <c r="R937" s="128"/>
      <c r="S937" s="128"/>
      <c r="T937" s="128"/>
      <c r="U937" s="128"/>
      <c r="V937" s="129"/>
      <c r="W937" s="129"/>
      <c r="X937" s="129"/>
      <c r="Y937" s="129"/>
      <c r="Z937" s="145" t="b">
        <v>0</v>
      </c>
      <c r="AA937" s="145"/>
      <c r="AB937" s="129"/>
      <c r="AC937" s="129"/>
      <c r="AD937" s="129"/>
      <c r="AE937" s="129"/>
      <c r="AF937" s="132"/>
      <c r="AG937" s="128" t="b">
        <v>0</v>
      </c>
      <c r="AH937" s="128"/>
      <c r="AI937" s="128"/>
      <c r="AJ937" s="128"/>
      <c r="AK937" s="128"/>
      <c r="AL937" s="129"/>
      <c r="AM937" s="129"/>
      <c r="AN937" s="139"/>
    </row>
    <row r="938">
      <c r="A938" s="129"/>
      <c r="B938" s="119"/>
      <c r="C938" s="128"/>
      <c r="D938" s="142"/>
      <c r="E938" s="122"/>
      <c r="F938" s="136"/>
      <c r="G938" s="152"/>
      <c r="H938" s="155"/>
      <c r="I938" s="155"/>
      <c r="J938" s="155"/>
      <c r="K938" s="155"/>
      <c r="L938" s="155"/>
      <c r="M938" s="126"/>
      <c r="N938" s="127"/>
      <c r="O938" s="127"/>
      <c r="P938" s="127"/>
      <c r="Q938" s="126"/>
      <c r="R938" s="128"/>
      <c r="S938" s="128"/>
      <c r="T938" s="128"/>
      <c r="U938" s="128"/>
      <c r="V938" s="129"/>
      <c r="W938" s="129"/>
      <c r="X938" s="129"/>
      <c r="Y938" s="129"/>
      <c r="Z938" s="145" t="b">
        <v>0</v>
      </c>
      <c r="AA938" s="145"/>
      <c r="AB938" s="129"/>
      <c r="AC938" s="129"/>
      <c r="AD938" s="129"/>
      <c r="AE938" s="129"/>
      <c r="AF938" s="132"/>
      <c r="AG938" s="128" t="b">
        <v>0</v>
      </c>
      <c r="AH938" s="128"/>
      <c r="AI938" s="128"/>
      <c r="AJ938" s="128"/>
      <c r="AK938" s="128"/>
      <c r="AL938" s="129"/>
      <c r="AM938" s="129"/>
      <c r="AN938" s="139"/>
    </row>
    <row r="939">
      <c r="A939" s="129"/>
      <c r="B939" s="119"/>
      <c r="C939" s="128"/>
      <c r="D939" s="142"/>
      <c r="E939" s="122"/>
      <c r="F939" s="136"/>
      <c r="G939" s="152"/>
      <c r="H939" s="155"/>
      <c r="I939" s="155"/>
      <c r="J939" s="155"/>
      <c r="K939" s="155"/>
      <c r="L939" s="155"/>
      <c r="M939" s="126"/>
      <c r="N939" s="127"/>
      <c r="O939" s="127"/>
      <c r="P939" s="127"/>
      <c r="Q939" s="126"/>
      <c r="R939" s="128"/>
      <c r="S939" s="128"/>
      <c r="T939" s="128"/>
      <c r="U939" s="128"/>
      <c r="V939" s="129"/>
      <c r="W939" s="129"/>
      <c r="X939" s="129"/>
      <c r="Y939" s="129"/>
      <c r="Z939" s="145" t="b">
        <v>0</v>
      </c>
      <c r="AA939" s="145"/>
      <c r="AB939" s="129"/>
      <c r="AC939" s="129"/>
      <c r="AD939" s="129"/>
      <c r="AE939" s="129"/>
      <c r="AF939" s="132"/>
      <c r="AG939" s="128" t="b">
        <v>0</v>
      </c>
      <c r="AH939" s="128"/>
      <c r="AI939" s="128"/>
      <c r="AJ939" s="128"/>
      <c r="AK939" s="128"/>
      <c r="AL939" s="129"/>
      <c r="AM939" s="129"/>
      <c r="AN939" s="139"/>
    </row>
    <row r="940">
      <c r="A940" s="129"/>
      <c r="B940" s="119"/>
      <c r="C940" s="128"/>
      <c r="D940" s="142"/>
      <c r="E940" s="122"/>
      <c r="F940" s="136"/>
      <c r="G940" s="152"/>
      <c r="H940" s="155"/>
      <c r="I940" s="155"/>
      <c r="J940" s="155"/>
      <c r="K940" s="155"/>
      <c r="L940" s="155"/>
      <c r="M940" s="126"/>
      <c r="N940" s="127"/>
      <c r="O940" s="127"/>
      <c r="P940" s="127"/>
      <c r="Q940" s="126"/>
      <c r="R940" s="128"/>
      <c r="S940" s="128"/>
      <c r="T940" s="128"/>
      <c r="U940" s="128"/>
      <c r="V940" s="129"/>
      <c r="W940" s="129"/>
      <c r="X940" s="129"/>
      <c r="Y940" s="129"/>
      <c r="Z940" s="145" t="b">
        <v>0</v>
      </c>
      <c r="AA940" s="145"/>
      <c r="AB940" s="129"/>
      <c r="AC940" s="129"/>
      <c r="AD940" s="129"/>
      <c r="AE940" s="129"/>
      <c r="AF940" s="132"/>
      <c r="AG940" s="128" t="b">
        <v>0</v>
      </c>
      <c r="AH940" s="128"/>
      <c r="AI940" s="128"/>
      <c r="AJ940" s="128"/>
      <c r="AK940" s="128"/>
      <c r="AL940" s="129"/>
      <c r="AM940" s="129"/>
      <c r="AN940" s="139"/>
    </row>
    <row r="941">
      <c r="A941" s="129"/>
      <c r="B941" s="119"/>
      <c r="C941" s="128"/>
      <c r="D941" s="142"/>
      <c r="E941" s="122"/>
      <c r="F941" s="136"/>
      <c r="G941" s="152"/>
      <c r="H941" s="155"/>
      <c r="I941" s="155"/>
      <c r="J941" s="155"/>
      <c r="K941" s="155"/>
      <c r="L941" s="155"/>
      <c r="M941" s="126"/>
      <c r="N941" s="127"/>
      <c r="O941" s="127"/>
      <c r="P941" s="127"/>
      <c r="Q941" s="126"/>
      <c r="R941" s="128"/>
      <c r="S941" s="128"/>
      <c r="T941" s="128"/>
      <c r="U941" s="128"/>
      <c r="V941" s="129"/>
      <c r="W941" s="129"/>
      <c r="X941" s="129"/>
      <c r="Y941" s="129"/>
      <c r="Z941" s="145" t="b">
        <v>0</v>
      </c>
      <c r="AA941" s="145"/>
      <c r="AB941" s="129"/>
      <c r="AC941" s="129"/>
      <c r="AD941" s="129"/>
      <c r="AE941" s="129"/>
      <c r="AF941" s="132"/>
      <c r="AG941" s="128" t="b">
        <v>0</v>
      </c>
      <c r="AH941" s="128"/>
      <c r="AI941" s="128"/>
      <c r="AJ941" s="128"/>
      <c r="AK941" s="128"/>
      <c r="AL941" s="129"/>
      <c r="AM941" s="129"/>
      <c r="AN941" s="139"/>
    </row>
    <row r="942">
      <c r="A942" s="129"/>
      <c r="B942" s="119"/>
      <c r="C942" s="128"/>
      <c r="D942" s="142"/>
      <c r="E942" s="122"/>
      <c r="F942" s="136"/>
      <c r="G942" s="152"/>
      <c r="H942" s="155"/>
      <c r="I942" s="155"/>
      <c r="J942" s="155"/>
      <c r="K942" s="155"/>
      <c r="L942" s="155"/>
      <c r="M942" s="126"/>
      <c r="N942" s="127"/>
      <c r="O942" s="127"/>
      <c r="P942" s="127"/>
      <c r="Q942" s="126"/>
      <c r="R942" s="128"/>
      <c r="S942" s="128"/>
      <c r="T942" s="128"/>
      <c r="U942" s="128"/>
      <c r="V942" s="129"/>
      <c r="W942" s="129"/>
      <c r="X942" s="129"/>
      <c r="Y942" s="129"/>
      <c r="Z942" s="145" t="b">
        <v>0</v>
      </c>
      <c r="AA942" s="145"/>
      <c r="AB942" s="129"/>
      <c r="AC942" s="129"/>
      <c r="AD942" s="129"/>
      <c r="AE942" s="129"/>
      <c r="AF942" s="132"/>
      <c r="AG942" s="128" t="b">
        <v>0</v>
      </c>
      <c r="AH942" s="128"/>
      <c r="AI942" s="128"/>
      <c r="AJ942" s="128"/>
      <c r="AK942" s="128"/>
      <c r="AL942" s="129"/>
      <c r="AM942" s="129"/>
      <c r="AN942" s="139"/>
    </row>
    <row r="943">
      <c r="A943" s="129"/>
      <c r="B943" s="119"/>
      <c r="C943" s="128"/>
      <c r="D943" s="142"/>
      <c r="E943" s="122"/>
      <c r="F943" s="136"/>
      <c r="G943" s="152"/>
      <c r="H943" s="155"/>
      <c r="I943" s="155"/>
      <c r="J943" s="155"/>
      <c r="K943" s="155"/>
      <c r="L943" s="155"/>
      <c r="M943" s="126"/>
      <c r="N943" s="127"/>
      <c r="O943" s="127"/>
      <c r="P943" s="127"/>
      <c r="Q943" s="126"/>
      <c r="R943" s="128"/>
      <c r="S943" s="128"/>
      <c r="T943" s="128"/>
      <c r="U943" s="128"/>
      <c r="V943" s="129"/>
      <c r="W943" s="129"/>
      <c r="X943" s="129"/>
      <c r="Y943" s="129"/>
      <c r="Z943" s="145" t="b">
        <v>0</v>
      </c>
      <c r="AA943" s="145"/>
      <c r="AB943" s="129"/>
      <c r="AC943" s="129"/>
      <c r="AD943" s="129"/>
      <c r="AE943" s="129"/>
      <c r="AF943" s="132"/>
      <c r="AG943" s="128" t="b">
        <v>0</v>
      </c>
      <c r="AH943" s="128"/>
      <c r="AI943" s="128"/>
      <c r="AJ943" s="128"/>
      <c r="AK943" s="128"/>
      <c r="AL943" s="129"/>
      <c r="AM943" s="129"/>
      <c r="AN943" s="139"/>
    </row>
    <row r="944">
      <c r="A944" s="129"/>
      <c r="B944" s="119"/>
      <c r="C944" s="128"/>
      <c r="D944" s="142"/>
      <c r="E944" s="122"/>
      <c r="F944" s="136"/>
      <c r="G944" s="152"/>
      <c r="H944" s="155"/>
      <c r="I944" s="155"/>
      <c r="J944" s="155"/>
      <c r="K944" s="155"/>
      <c r="L944" s="155"/>
      <c r="M944" s="126"/>
      <c r="N944" s="127"/>
      <c r="O944" s="127"/>
      <c r="P944" s="127"/>
      <c r="Q944" s="126"/>
      <c r="R944" s="128"/>
      <c r="S944" s="128"/>
      <c r="T944" s="128"/>
      <c r="U944" s="128"/>
      <c r="V944" s="129"/>
      <c r="W944" s="129"/>
      <c r="X944" s="129"/>
      <c r="Y944" s="129"/>
      <c r="Z944" s="145" t="b">
        <v>0</v>
      </c>
      <c r="AA944" s="145"/>
      <c r="AB944" s="129"/>
      <c r="AC944" s="129"/>
      <c r="AD944" s="129"/>
      <c r="AE944" s="129"/>
      <c r="AF944" s="132"/>
      <c r="AG944" s="128" t="b">
        <v>0</v>
      </c>
      <c r="AH944" s="128"/>
      <c r="AI944" s="128"/>
      <c r="AJ944" s="128"/>
      <c r="AK944" s="128"/>
      <c r="AL944" s="129"/>
      <c r="AM944" s="129"/>
      <c r="AN944" s="139"/>
    </row>
    <row r="945">
      <c r="A945" s="129"/>
      <c r="B945" s="119"/>
      <c r="C945" s="128"/>
      <c r="D945" s="142"/>
      <c r="E945" s="122"/>
      <c r="F945" s="136"/>
      <c r="G945" s="152"/>
      <c r="H945" s="155"/>
      <c r="I945" s="155"/>
      <c r="J945" s="155"/>
      <c r="K945" s="155"/>
      <c r="L945" s="155"/>
      <c r="M945" s="126"/>
      <c r="N945" s="127"/>
      <c r="O945" s="127"/>
      <c r="P945" s="127"/>
      <c r="Q945" s="126"/>
      <c r="R945" s="128"/>
      <c r="S945" s="128"/>
      <c r="T945" s="128"/>
      <c r="U945" s="128"/>
      <c r="V945" s="129"/>
      <c r="W945" s="129"/>
      <c r="X945" s="129"/>
      <c r="Y945" s="129"/>
      <c r="Z945" s="145" t="b">
        <v>0</v>
      </c>
      <c r="AA945" s="145"/>
      <c r="AB945" s="129"/>
      <c r="AC945" s="129"/>
      <c r="AD945" s="129"/>
      <c r="AE945" s="129"/>
      <c r="AF945" s="132"/>
      <c r="AG945" s="128" t="b">
        <v>0</v>
      </c>
      <c r="AH945" s="128"/>
      <c r="AI945" s="128"/>
      <c r="AJ945" s="128"/>
      <c r="AK945" s="128"/>
      <c r="AL945" s="129"/>
      <c r="AM945" s="129"/>
      <c r="AN945" s="139"/>
    </row>
    <row r="946">
      <c r="A946" s="129"/>
      <c r="B946" s="119"/>
      <c r="C946" s="128"/>
      <c r="D946" s="142"/>
      <c r="E946" s="122"/>
      <c r="F946" s="136"/>
      <c r="G946" s="152"/>
      <c r="H946" s="155"/>
      <c r="I946" s="155"/>
      <c r="J946" s="155"/>
      <c r="K946" s="155"/>
      <c r="L946" s="155"/>
      <c r="M946" s="126"/>
      <c r="N946" s="127"/>
      <c r="O946" s="127"/>
      <c r="P946" s="127"/>
      <c r="Q946" s="126"/>
      <c r="R946" s="128"/>
      <c r="S946" s="128"/>
      <c r="T946" s="128"/>
      <c r="U946" s="128"/>
      <c r="V946" s="129"/>
      <c r="W946" s="129"/>
      <c r="X946" s="129"/>
      <c r="Y946" s="129"/>
      <c r="Z946" s="145" t="b">
        <v>0</v>
      </c>
      <c r="AA946" s="145"/>
      <c r="AB946" s="129"/>
      <c r="AC946" s="129"/>
      <c r="AD946" s="129"/>
      <c r="AE946" s="129"/>
      <c r="AF946" s="132"/>
      <c r="AG946" s="128" t="b">
        <v>0</v>
      </c>
      <c r="AH946" s="128"/>
      <c r="AI946" s="128"/>
      <c r="AJ946" s="128"/>
      <c r="AK946" s="128"/>
      <c r="AL946" s="129"/>
      <c r="AM946" s="129"/>
      <c r="AN946" s="139"/>
    </row>
    <row r="947">
      <c r="A947" s="129"/>
      <c r="B947" s="119"/>
      <c r="C947" s="128"/>
      <c r="D947" s="142"/>
      <c r="E947" s="122"/>
      <c r="F947" s="136"/>
      <c r="G947" s="152"/>
      <c r="H947" s="155"/>
      <c r="I947" s="155"/>
      <c r="J947" s="155"/>
      <c r="K947" s="155"/>
      <c r="L947" s="155"/>
      <c r="M947" s="126"/>
      <c r="N947" s="127"/>
      <c r="O947" s="127"/>
      <c r="P947" s="127"/>
      <c r="Q947" s="126"/>
      <c r="R947" s="128"/>
      <c r="S947" s="128"/>
      <c r="T947" s="128"/>
      <c r="U947" s="128"/>
      <c r="V947" s="129"/>
      <c r="W947" s="129"/>
      <c r="X947" s="129"/>
      <c r="Y947" s="129"/>
      <c r="Z947" s="145" t="b">
        <v>0</v>
      </c>
      <c r="AA947" s="145"/>
      <c r="AB947" s="129"/>
      <c r="AC947" s="129"/>
      <c r="AD947" s="129"/>
      <c r="AE947" s="129"/>
      <c r="AF947" s="132"/>
      <c r="AG947" s="128" t="b">
        <v>0</v>
      </c>
      <c r="AH947" s="128"/>
      <c r="AI947" s="128"/>
      <c r="AJ947" s="128"/>
      <c r="AK947" s="128"/>
      <c r="AL947" s="129"/>
      <c r="AM947" s="129"/>
      <c r="AN947" s="139"/>
    </row>
    <row r="948">
      <c r="A948" s="129"/>
      <c r="B948" s="119"/>
      <c r="C948" s="128"/>
      <c r="D948" s="142"/>
      <c r="E948" s="122"/>
      <c r="F948" s="136"/>
      <c r="G948" s="152"/>
      <c r="H948" s="155"/>
      <c r="I948" s="155"/>
      <c r="J948" s="155"/>
      <c r="K948" s="155"/>
      <c r="L948" s="155"/>
      <c r="M948" s="126"/>
      <c r="N948" s="127"/>
      <c r="O948" s="127"/>
      <c r="P948" s="127"/>
      <c r="Q948" s="126"/>
      <c r="R948" s="128"/>
      <c r="S948" s="128"/>
      <c r="T948" s="128"/>
      <c r="U948" s="128"/>
      <c r="V948" s="129"/>
      <c r="W948" s="129"/>
      <c r="X948" s="129"/>
      <c r="Y948" s="129"/>
      <c r="Z948" s="145" t="b">
        <v>0</v>
      </c>
      <c r="AA948" s="145"/>
      <c r="AB948" s="129"/>
      <c r="AC948" s="129"/>
      <c r="AD948" s="129"/>
      <c r="AE948" s="129"/>
      <c r="AF948" s="132"/>
      <c r="AG948" s="128" t="b">
        <v>0</v>
      </c>
      <c r="AH948" s="128"/>
      <c r="AI948" s="128"/>
      <c r="AJ948" s="128"/>
      <c r="AK948" s="128"/>
      <c r="AL948" s="129"/>
      <c r="AM948" s="129"/>
      <c r="AN948" s="139"/>
    </row>
    <row r="949">
      <c r="A949" s="129"/>
      <c r="B949" s="119"/>
      <c r="C949" s="128"/>
      <c r="D949" s="142"/>
      <c r="E949" s="122"/>
      <c r="F949" s="136"/>
      <c r="G949" s="152"/>
      <c r="H949" s="155"/>
      <c r="I949" s="155"/>
      <c r="J949" s="155"/>
      <c r="K949" s="155"/>
      <c r="L949" s="155"/>
      <c r="M949" s="126"/>
      <c r="N949" s="127"/>
      <c r="O949" s="127"/>
      <c r="P949" s="127"/>
      <c r="Q949" s="126"/>
      <c r="R949" s="128"/>
      <c r="S949" s="128"/>
      <c r="T949" s="128"/>
      <c r="U949" s="128"/>
      <c r="V949" s="129"/>
      <c r="W949" s="129"/>
      <c r="X949" s="129"/>
      <c r="Y949" s="129"/>
      <c r="Z949" s="145" t="b">
        <v>0</v>
      </c>
      <c r="AA949" s="145"/>
      <c r="AB949" s="129"/>
      <c r="AC949" s="129"/>
      <c r="AD949" s="129"/>
      <c r="AE949" s="129"/>
      <c r="AF949" s="132"/>
      <c r="AG949" s="128" t="b">
        <v>0</v>
      </c>
      <c r="AH949" s="128"/>
      <c r="AI949" s="128"/>
      <c r="AJ949" s="128"/>
      <c r="AK949" s="128"/>
      <c r="AL949" s="129"/>
      <c r="AM949" s="129"/>
      <c r="AN949" s="139"/>
    </row>
    <row r="950">
      <c r="A950" s="129"/>
      <c r="B950" s="119"/>
      <c r="C950" s="128"/>
      <c r="D950" s="142"/>
      <c r="E950" s="122"/>
      <c r="F950" s="136"/>
      <c r="G950" s="152"/>
      <c r="H950" s="155"/>
      <c r="I950" s="155"/>
      <c r="J950" s="155"/>
      <c r="K950" s="155"/>
      <c r="L950" s="155"/>
      <c r="M950" s="126"/>
      <c r="N950" s="127"/>
      <c r="O950" s="127"/>
      <c r="P950" s="127"/>
      <c r="Q950" s="126"/>
      <c r="R950" s="128"/>
      <c r="S950" s="128"/>
      <c r="T950" s="128"/>
      <c r="U950" s="128"/>
      <c r="V950" s="129"/>
      <c r="W950" s="129"/>
      <c r="X950" s="129"/>
      <c r="Y950" s="129"/>
      <c r="Z950" s="145" t="b">
        <v>0</v>
      </c>
      <c r="AA950" s="145"/>
      <c r="AB950" s="129"/>
      <c r="AC950" s="129"/>
      <c r="AD950" s="129"/>
      <c r="AE950" s="129"/>
      <c r="AF950" s="132"/>
      <c r="AG950" s="128" t="b">
        <v>0</v>
      </c>
      <c r="AH950" s="128"/>
      <c r="AI950" s="128"/>
      <c r="AJ950" s="128"/>
      <c r="AK950" s="128"/>
      <c r="AL950" s="129"/>
      <c r="AM950" s="129"/>
      <c r="AN950" s="139"/>
    </row>
    <row r="951">
      <c r="A951" s="129"/>
      <c r="B951" s="119"/>
      <c r="C951" s="128"/>
      <c r="D951" s="142"/>
      <c r="E951" s="122"/>
      <c r="F951" s="136"/>
      <c r="G951" s="152"/>
      <c r="H951" s="155"/>
      <c r="I951" s="155"/>
      <c r="J951" s="155"/>
      <c r="K951" s="155"/>
      <c r="L951" s="155"/>
      <c r="M951" s="126"/>
      <c r="N951" s="127"/>
      <c r="O951" s="127"/>
      <c r="P951" s="127"/>
      <c r="Q951" s="126"/>
      <c r="R951" s="128"/>
      <c r="S951" s="128"/>
      <c r="T951" s="128"/>
      <c r="U951" s="128"/>
      <c r="V951" s="129"/>
      <c r="W951" s="129"/>
      <c r="X951" s="129"/>
      <c r="Y951" s="129"/>
      <c r="Z951" s="145" t="b">
        <v>0</v>
      </c>
      <c r="AA951" s="145"/>
      <c r="AB951" s="129"/>
      <c r="AC951" s="129"/>
      <c r="AD951" s="129"/>
      <c r="AE951" s="129"/>
      <c r="AF951" s="132"/>
      <c r="AG951" s="128" t="b">
        <v>0</v>
      </c>
      <c r="AH951" s="128"/>
      <c r="AI951" s="128"/>
      <c r="AJ951" s="128"/>
      <c r="AK951" s="128"/>
      <c r="AL951" s="129"/>
      <c r="AM951" s="129"/>
      <c r="AN951" s="139"/>
    </row>
    <row r="952">
      <c r="A952" s="129"/>
      <c r="B952" s="119"/>
      <c r="C952" s="128"/>
      <c r="D952" s="142"/>
      <c r="E952" s="122"/>
      <c r="F952" s="136"/>
      <c r="G952" s="152"/>
      <c r="H952" s="155"/>
      <c r="I952" s="155"/>
      <c r="J952" s="155"/>
      <c r="K952" s="155"/>
      <c r="L952" s="155"/>
      <c r="M952" s="126"/>
      <c r="N952" s="127"/>
      <c r="O952" s="127"/>
      <c r="P952" s="127"/>
      <c r="Q952" s="126"/>
      <c r="R952" s="128"/>
      <c r="S952" s="128"/>
      <c r="T952" s="128"/>
      <c r="U952" s="128"/>
      <c r="V952" s="129"/>
      <c r="W952" s="129"/>
      <c r="X952" s="129"/>
      <c r="Y952" s="129"/>
      <c r="Z952" s="145" t="b">
        <v>0</v>
      </c>
      <c r="AA952" s="145"/>
      <c r="AB952" s="129"/>
      <c r="AC952" s="129"/>
      <c r="AD952" s="129"/>
      <c r="AE952" s="129"/>
      <c r="AF952" s="132"/>
      <c r="AG952" s="128" t="b">
        <v>0</v>
      </c>
      <c r="AH952" s="128"/>
      <c r="AI952" s="128"/>
      <c r="AJ952" s="128"/>
      <c r="AK952" s="128"/>
      <c r="AL952" s="129"/>
      <c r="AM952" s="129"/>
      <c r="AN952" s="139"/>
    </row>
    <row r="953">
      <c r="A953" s="129"/>
      <c r="B953" s="119"/>
      <c r="C953" s="128"/>
      <c r="D953" s="142"/>
      <c r="E953" s="122"/>
      <c r="F953" s="136"/>
      <c r="G953" s="152"/>
      <c r="H953" s="155"/>
      <c r="I953" s="155"/>
      <c r="J953" s="155"/>
      <c r="K953" s="155"/>
      <c r="L953" s="155"/>
      <c r="M953" s="126"/>
      <c r="N953" s="127"/>
      <c r="O953" s="127"/>
      <c r="P953" s="127"/>
      <c r="Q953" s="126"/>
      <c r="R953" s="128"/>
      <c r="S953" s="128"/>
      <c r="T953" s="128"/>
      <c r="U953" s="128"/>
      <c r="V953" s="129"/>
      <c r="W953" s="129"/>
      <c r="X953" s="129"/>
      <c r="Y953" s="129"/>
      <c r="Z953" s="145" t="b">
        <v>0</v>
      </c>
      <c r="AA953" s="145"/>
      <c r="AB953" s="129"/>
      <c r="AC953" s="129"/>
      <c r="AD953" s="129"/>
      <c r="AE953" s="129"/>
      <c r="AF953" s="132"/>
      <c r="AG953" s="128" t="b">
        <v>0</v>
      </c>
      <c r="AH953" s="128"/>
      <c r="AI953" s="128"/>
      <c r="AJ953" s="128"/>
      <c r="AK953" s="128"/>
      <c r="AL953" s="129"/>
      <c r="AM953" s="129"/>
      <c r="AN953" s="139"/>
    </row>
    <row r="954">
      <c r="A954" s="129"/>
      <c r="B954" s="119"/>
      <c r="C954" s="128"/>
      <c r="D954" s="142"/>
      <c r="E954" s="122"/>
      <c r="F954" s="136"/>
      <c r="G954" s="152"/>
      <c r="H954" s="155"/>
      <c r="I954" s="155"/>
      <c r="J954" s="155"/>
      <c r="K954" s="155"/>
      <c r="L954" s="155"/>
      <c r="M954" s="126"/>
      <c r="N954" s="127"/>
      <c r="O954" s="127"/>
      <c r="P954" s="127"/>
      <c r="Q954" s="126"/>
      <c r="R954" s="128"/>
      <c r="S954" s="128"/>
      <c r="T954" s="128"/>
      <c r="U954" s="128"/>
      <c r="V954" s="129"/>
      <c r="W954" s="129"/>
      <c r="X954" s="129"/>
      <c r="Y954" s="129"/>
      <c r="Z954" s="145" t="b">
        <v>0</v>
      </c>
      <c r="AA954" s="145"/>
      <c r="AB954" s="129"/>
      <c r="AC954" s="129"/>
      <c r="AD954" s="129"/>
      <c r="AE954" s="129"/>
      <c r="AF954" s="132"/>
      <c r="AG954" s="128" t="b">
        <v>0</v>
      </c>
      <c r="AH954" s="128"/>
      <c r="AI954" s="128"/>
      <c r="AJ954" s="128"/>
      <c r="AK954" s="128"/>
      <c r="AL954" s="129"/>
      <c r="AM954" s="129"/>
      <c r="AN954" s="139"/>
    </row>
    <row r="955">
      <c r="A955" s="129"/>
      <c r="B955" s="119"/>
      <c r="C955" s="128"/>
      <c r="D955" s="142"/>
      <c r="E955" s="122"/>
      <c r="F955" s="136"/>
      <c r="G955" s="152"/>
      <c r="H955" s="155"/>
      <c r="I955" s="155"/>
      <c r="J955" s="155"/>
      <c r="K955" s="155"/>
      <c r="L955" s="155"/>
      <c r="M955" s="126"/>
      <c r="N955" s="127"/>
      <c r="O955" s="127"/>
      <c r="P955" s="127"/>
      <c r="Q955" s="126"/>
      <c r="R955" s="128"/>
      <c r="S955" s="128"/>
      <c r="T955" s="128"/>
      <c r="U955" s="128"/>
      <c r="V955" s="129"/>
      <c r="W955" s="129"/>
      <c r="X955" s="129"/>
      <c r="Y955" s="129"/>
      <c r="Z955" s="145" t="b">
        <v>0</v>
      </c>
      <c r="AA955" s="145"/>
      <c r="AB955" s="129"/>
      <c r="AC955" s="129"/>
      <c r="AD955" s="129"/>
      <c r="AE955" s="129"/>
      <c r="AF955" s="132"/>
      <c r="AG955" s="128" t="b">
        <v>0</v>
      </c>
      <c r="AH955" s="128"/>
      <c r="AI955" s="128"/>
      <c r="AJ955" s="128"/>
      <c r="AK955" s="128"/>
      <c r="AL955" s="129"/>
      <c r="AM955" s="129"/>
      <c r="AN955" s="139"/>
    </row>
    <row r="956">
      <c r="A956" s="129"/>
      <c r="B956" s="119"/>
      <c r="C956" s="128"/>
      <c r="D956" s="142"/>
      <c r="E956" s="122"/>
      <c r="F956" s="136"/>
      <c r="G956" s="152"/>
      <c r="H956" s="155"/>
      <c r="I956" s="155"/>
      <c r="J956" s="155"/>
      <c r="K956" s="155"/>
      <c r="L956" s="155"/>
      <c r="M956" s="126"/>
      <c r="N956" s="127"/>
      <c r="O956" s="127"/>
      <c r="P956" s="127"/>
      <c r="Q956" s="126"/>
      <c r="R956" s="128"/>
      <c r="S956" s="128"/>
      <c r="T956" s="128"/>
      <c r="U956" s="128"/>
      <c r="V956" s="129"/>
      <c r="W956" s="129"/>
      <c r="X956" s="129"/>
      <c r="Y956" s="129"/>
      <c r="Z956" s="145" t="b">
        <v>0</v>
      </c>
      <c r="AA956" s="145"/>
      <c r="AB956" s="129"/>
      <c r="AC956" s="129"/>
      <c r="AD956" s="129"/>
      <c r="AE956" s="129"/>
      <c r="AF956" s="132"/>
      <c r="AG956" s="128" t="b">
        <v>0</v>
      </c>
      <c r="AH956" s="128"/>
      <c r="AI956" s="128"/>
      <c r="AJ956" s="128"/>
      <c r="AK956" s="128"/>
      <c r="AL956" s="129"/>
      <c r="AM956" s="129"/>
      <c r="AN956" s="139"/>
    </row>
    <row r="957">
      <c r="A957" s="129"/>
      <c r="B957" s="119"/>
      <c r="C957" s="128"/>
      <c r="D957" s="142"/>
      <c r="E957" s="122"/>
      <c r="F957" s="136"/>
      <c r="G957" s="152"/>
      <c r="H957" s="155"/>
      <c r="I957" s="155"/>
      <c r="J957" s="155"/>
      <c r="K957" s="155"/>
      <c r="L957" s="155"/>
      <c r="M957" s="126"/>
      <c r="N957" s="127"/>
      <c r="O957" s="127"/>
      <c r="P957" s="127"/>
      <c r="Q957" s="126"/>
      <c r="R957" s="128"/>
      <c r="S957" s="128"/>
      <c r="T957" s="128"/>
      <c r="U957" s="128"/>
      <c r="V957" s="129"/>
      <c r="W957" s="129"/>
      <c r="X957" s="129"/>
      <c r="Y957" s="129"/>
      <c r="Z957" s="145" t="b">
        <v>0</v>
      </c>
      <c r="AA957" s="145"/>
      <c r="AB957" s="129"/>
      <c r="AC957" s="129"/>
      <c r="AD957" s="129"/>
      <c r="AE957" s="129"/>
      <c r="AF957" s="132"/>
      <c r="AG957" s="128" t="b">
        <v>0</v>
      </c>
      <c r="AH957" s="128"/>
      <c r="AI957" s="128"/>
      <c r="AJ957" s="128"/>
      <c r="AK957" s="128"/>
      <c r="AL957" s="129"/>
      <c r="AM957" s="129"/>
      <c r="AN957" s="139"/>
    </row>
    <row r="958">
      <c r="A958" s="129"/>
      <c r="B958" s="119"/>
      <c r="C958" s="128"/>
      <c r="D958" s="142"/>
      <c r="E958" s="122"/>
      <c r="F958" s="136"/>
      <c r="G958" s="152"/>
      <c r="H958" s="155"/>
      <c r="I958" s="155"/>
      <c r="J958" s="155"/>
      <c r="K958" s="155"/>
      <c r="L958" s="155"/>
      <c r="M958" s="126"/>
      <c r="N958" s="127"/>
      <c r="O958" s="127"/>
      <c r="P958" s="127"/>
      <c r="Q958" s="126"/>
      <c r="R958" s="128"/>
      <c r="S958" s="128"/>
      <c r="T958" s="128"/>
      <c r="U958" s="128"/>
      <c r="V958" s="129"/>
      <c r="W958" s="129"/>
      <c r="X958" s="129"/>
      <c r="Y958" s="129"/>
      <c r="Z958" s="145" t="b">
        <v>0</v>
      </c>
      <c r="AA958" s="145"/>
      <c r="AB958" s="129"/>
      <c r="AC958" s="129"/>
      <c r="AD958" s="129"/>
      <c r="AE958" s="129"/>
      <c r="AF958" s="132"/>
      <c r="AG958" s="128" t="b">
        <v>0</v>
      </c>
      <c r="AH958" s="128"/>
      <c r="AI958" s="128"/>
      <c r="AJ958" s="128"/>
      <c r="AK958" s="128"/>
      <c r="AL958" s="129"/>
      <c r="AM958" s="129"/>
      <c r="AN958" s="139"/>
    </row>
    <row r="959">
      <c r="A959" s="129"/>
      <c r="B959" s="119"/>
      <c r="C959" s="128"/>
      <c r="D959" s="142"/>
      <c r="E959" s="122"/>
      <c r="F959" s="136"/>
      <c r="G959" s="152"/>
      <c r="H959" s="155"/>
      <c r="I959" s="155"/>
      <c r="J959" s="155"/>
      <c r="K959" s="155"/>
      <c r="L959" s="155"/>
      <c r="M959" s="126"/>
      <c r="N959" s="127"/>
      <c r="O959" s="127"/>
      <c r="P959" s="127"/>
      <c r="Q959" s="126"/>
      <c r="R959" s="128"/>
      <c r="S959" s="128"/>
      <c r="T959" s="128"/>
      <c r="U959" s="128"/>
      <c r="V959" s="129"/>
      <c r="W959" s="129"/>
      <c r="X959" s="129"/>
      <c r="Y959" s="129"/>
      <c r="Z959" s="145" t="b">
        <v>0</v>
      </c>
      <c r="AA959" s="145"/>
      <c r="AB959" s="129"/>
      <c r="AC959" s="129"/>
      <c r="AD959" s="129"/>
      <c r="AE959" s="129"/>
      <c r="AF959" s="132"/>
      <c r="AG959" s="128" t="b">
        <v>0</v>
      </c>
      <c r="AH959" s="128"/>
      <c r="AI959" s="128"/>
      <c r="AJ959" s="128"/>
      <c r="AK959" s="128"/>
      <c r="AL959" s="129"/>
      <c r="AM959" s="129"/>
      <c r="AN959" s="139"/>
    </row>
    <row r="960">
      <c r="A960" s="129"/>
      <c r="B960" s="119"/>
      <c r="C960" s="128"/>
      <c r="D960" s="142"/>
      <c r="E960" s="122"/>
      <c r="F960" s="136"/>
      <c r="G960" s="152"/>
      <c r="H960" s="155"/>
      <c r="I960" s="155"/>
      <c r="J960" s="155"/>
      <c r="K960" s="155"/>
      <c r="L960" s="155"/>
      <c r="M960" s="126"/>
      <c r="N960" s="127"/>
      <c r="O960" s="127"/>
      <c r="P960" s="127"/>
      <c r="Q960" s="126"/>
      <c r="R960" s="128"/>
      <c r="S960" s="128"/>
      <c r="T960" s="128"/>
      <c r="U960" s="128"/>
      <c r="V960" s="129"/>
      <c r="W960" s="129"/>
      <c r="X960" s="129"/>
      <c r="Y960" s="129"/>
      <c r="Z960" s="145" t="b">
        <v>0</v>
      </c>
      <c r="AA960" s="145"/>
      <c r="AB960" s="129"/>
      <c r="AC960" s="129"/>
      <c r="AD960" s="129"/>
      <c r="AE960" s="129"/>
      <c r="AF960" s="132"/>
      <c r="AG960" s="128" t="b">
        <v>0</v>
      </c>
      <c r="AH960" s="128"/>
      <c r="AI960" s="128"/>
      <c r="AJ960" s="128"/>
      <c r="AK960" s="128"/>
      <c r="AL960" s="129"/>
      <c r="AM960" s="129"/>
      <c r="AN960" s="139"/>
    </row>
    <row r="961">
      <c r="A961" s="129"/>
      <c r="B961" s="119"/>
      <c r="C961" s="128"/>
      <c r="D961" s="142"/>
      <c r="E961" s="122"/>
      <c r="F961" s="136"/>
      <c r="G961" s="152"/>
      <c r="H961" s="155"/>
      <c r="I961" s="155"/>
      <c r="J961" s="155"/>
      <c r="K961" s="155"/>
      <c r="L961" s="155"/>
      <c r="M961" s="126"/>
      <c r="N961" s="127"/>
      <c r="O961" s="127"/>
      <c r="P961" s="127"/>
      <c r="Q961" s="126"/>
      <c r="R961" s="128"/>
      <c r="S961" s="128"/>
      <c r="T961" s="128"/>
      <c r="U961" s="128"/>
      <c r="V961" s="129"/>
      <c r="W961" s="129"/>
      <c r="X961" s="129"/>
      <c r="Y961" s="129"/>
      <c r="Z961" s="145" t="b">
        <v>0</v>
      </c>
      <c r="AA961" s="145"/>
      <c r="AB961" s="129"/>
      <c r="AC961" s="129"/>
      <c r="AD961" s="129"/>
      <c r="AE961" s="129"/>
      <c r="AF961" s="132"/>
      <c r="AG961" s="128" t="b">
        <v>0</v>
      </c>
      <c r="AH961" s="128"/>
      <c r="AI961" s="128"/>
      <c r="AJ961" s="128"/>
      <c r="AK961" s="128"/>
      <c r="AL961" s="129"/>
      <c r="AM961" s="129"/>
      <c r="AN961" s="139"/>
    </row>
    <row r="962">
      <c r="A962" s="129"/>
      <c r="B962" s="119"/>
      <c r="C962" s="128"/>
      <c r="D962" s="142"/>
      <c r="E962" s="122"/>
      <c r="F962" s="136"/>
      <c r="G962" s="152"/>
      <c r="H962" s="155"/>
      <c r="I962" s="155"/>
      <c r="J962" s="155"/>
      <c r="K962" s="155"/>
      <c r="L962" s="155"/>
      <c r="M962" s="126"/>
      <c r="N962" s="127"/>
      <c r="O962" s="127"/>
      <c r="P962" s="127"/>
      <c r="Q962" s="126"/>
      <c r="R962" s="128"/>
      <c r="S962" s="128"/>
      <c r="T962" s="128"/>
      <c r="U962" s="128"/>
      <c r="V962" s="129"/>
      <c r="W962" s="129"/>
      <c r="X962" s="129"/>
      <c r="Y962" s="129"/>
      <c r="Z962" s="145" t="b">
        <v>0</v>
      </c>
      <c r="AA962" s="145"/>
      <c r="AB962" s="129"/>
      <c r="AC962" s="129"/>
      <c r="AD962" s="129"/>
      <c r="AE962" s="129"/>
      <c r="AF962" s="132"/>
      <c r="AG962" s="128" t="b">
        <v>0</v>
      </c>
      <c r="AH962" s="128"/>
      <c r="AI962" s="128"/>
      <c r="AJ962" s="128"/>
      <c r="AK962" s="128"/>
      <c r="AL962" s="129"/>
      <c r="AM962" s="129"/>
      <c r="AN962" s="139"/>
    </row>
    <row r="963">
      <c r="A963" s="129"/>
      <c r="B963" s="119"/>
      <c r="C963" s="128"/>
      <c r="D963" s="142"/>
      <c r="E963" s="122"/>
      <c r="F963" s="136"/>
      <c r="G963" s="152"/>
      <c r="H963" s="155"/>
      <c r="I963" s="155"/>
      <c r="J963" s="155"/>
      <c r="K963" s="155"/>
      <c r="L963" s="155"/>
      <c r="M963" s="126"/>
      <c r="N963" s="127"/>
      <c r="O963" s="127"/>
      <c r="P963" s="127"/>
      <c r="Q963" s="126"/>
      <c r="R963" s="128"/>
      <c r="S963" s="128"/>
      <c r="T963" s="128"/>
      <c r="U963" s="128"/>
      <c r="V963" s="129"/>
      <c r="W963" s="129"/>
      <c r="X963" s="129"/>
      <c r="Y963" s="129"/>
      <c r="Z963" s="145" t="b">
        <v>0</v>
      </c>
      <c r="AA963" s="145"/>
      <c r="AB963" s="129"/>
      <c r="AC963" s="129"/>
      <c r="AD963" s="129"/>
      <c r="AE963" s="129"/>
      <c r="AF963" s="132"/>
      <c r="AG963" s="128" t="b">
        <v>0</v>
      </c>
      <c r="AH963" s="128"/>
      <c r="AI963" s="128"/>
      <c r="AJ963" s="128"/>
      <c r="AK963" s="128"/>
      <c r="AL963" s="129"/>
      <c r="AM963" s="129"/>
      <c r="AN963" s="139"/>
    </row>
    <row r="964">
      <c r="A964" s="129"/>
      <c r="B964" s="119"/>
      <c r="C964" s="128"/>
      <c r="D964" s="142"/>
      <c r="E964" s="122"/>
      <c r="F964" s="136"/>
      <c r="G964" s="152"/>
      <c r="H964" s="155"/>
      <c r="I964" s="155"/>
      <c r="J964" s="155"/>
      <c r="K964" s="155"/>
      <c r="L964" s="155"/>
      <c r="M964" s="126"/>
      <c r="N964" s="127"/>
      <c r="O964" s="127"/>
      <c r="P964" s="127"/>
      <c r="Q964" s="126"/>
      <c r="R964" s="128"/>
      <c r="S964" s="128"/>
      <c r="T964" s="128"/>
      <c r="U964" s="128"/>
      <c r="V964" s="129"/>
      <c r="W964" s="129"/>
      <c r="X964" s="129"/>
      <c r="Y964" s="129"/>
      <c r="Z964" s="145" t="b">
        <v>0</v>
      </c>
      <c r="AA964" s="145"/>
      <c r="AB964" s="129"/>
      <c r="AC964" s="129"/>
      <c r="AD964" s="129"/>
      <c r="AE964" s="129"/>
      <c r="AF964" s="132"/>
      <c r="AG964" s="128" t="b">
        <v>0</v>
      </c>
      <c r="AH964" s="128"/>
      <c r="AI964" s="128"/>
      <c r="AJ964" s="128"/>
      <c r="AK964" s="128"/>
      <c r="AL964" s="129"/>
      <c r="AM964" s="129"/>
      <c r="AN964" s="139"/>
    </row>
    <row r="965">
      <c r="A965" s="129"/>
      <c r="B965" s="119"/>
      <c r="C965" s="128"/>
      <c r="D965" s="142"/>
      <c r="E965" s="122"/>
      <c r="F965" s="136"/>
      <c r="G965" s="152"/>
      <c r="H965" s="155"/>
      <c r="I965" s="155"/>
      <c r="J965" s="155"/>
      <c r="K965" s="155"/>
      <c r="L965" s="155"/>
      <c r="M965" s="126"/>
      <c r="N965" s="127"/>
      <c r="O965" s="127"/>
      <c r="P965" s="127"/>
      <c r="Q965" s="126"/>
      <c r="R965" s="128"/>
      <c r="S965" s="128"/>
      <c r="T965" s="128"/>
      <c r="U965" s="128"/>
      <c r="V965" s="129"/>
      <c r="W965" s="129"/>
      <c r="X965" s="129"/>
      <c r="Y965" s="129"/>
      <c r="Z965" s="145" t="b">
        <v>0</v>
      </c>
      <c r="AA965" s="145"/>
      <c r="AB965" s="129"/>
      <c r="AC965" s="129"/>
      <c r="AD965" s="129"/>
      <c r="AE965" s="129"/>
      <c r="AF965" s="132"/>
      <c r="AG965" s="128" t="b">
        <v>0</v>
      </c>
      <c r="AH965" s="128"/>
      <c r="AI965" s="128"/>
      <c r="AJ965" s="128"/>
      <c r="AK965" s="128"/>
      <c r="AL965" s="129"/>
      <c r="AM965" s="129"/>
      <c r="AN965" s="139"/>
    </row>
    <row r="966">
      <c r="A966" s="129"/>
      <c r="B966" s="119"/>
      <c r="C966" s="128"/>
      <c r="D966" s="142"/>
      <c r="E966" s="122"/>
      <c r="F966" s="136"/>
      <c r="G966" s="152"/>
      <c r="H966" s="155"/>
      <c r="I966" s="155"/>
      <c r="J966" s="155"/>
      <c r="K966" s="155"/>
      <c r="L966" s="155"/>
      <c r="M966" s="126"/>
      <c r="N966" s="127"/>
      <c r="O966" s="127"/>
      <c r="P966" s="127"/>
      <c r="Q966" s="126"/>
      <c r="R966" s="128"/>
      <c r="S966" s="128"/>
      <c r="T966" s="128"/>
      <c r="U966" s="128"/>
      <c r="V966" s="129"/>
      <c r="W966" s="129"/>
      <c r="X966" s="129"/>
      <c r="Y966" s="129"/>
      <c r="Z966" s="145" t="b">
        <v>0</v>
      </c>
      <c r="AA966" s="145"/>
      <c r="AB966" s="129"/>
      <c r="AC966" s="129"/>
      <c r="AD966" s="129"/>
      <c r="AE966" s="129"/>
      <c r="AF966" s="132"/>
      <c r="AG966" s="128" t="b">
        <v>0</v>
      </c>
      <c r="AH966" s="128"/>
      <c r="AI966" s="128"/>
      <c r="AJ966" s="128"/>
      <c r="AK966" s="128"/>
      <c r="AL966" s="129"/>
      <c r="AM966" s="129"/>
      <c r="AN966" s="139"/>
    </row>
    <row r="967">
      <c r="A967" s="129"/>
      <c r="B967" s="119"/>
      <c r="C967" s="128"/>
      <c r="D967" s="142"/>
      <c r="E967" s="122"/>
      <c r="F967" s="136"/>
      <c r="G967" s="152"/>
      <c r="H967" s="155"/>
      <c r="I967" s="155"/>
      <c r="J967" s="155"/>
      <c r="K967" s="155"/>
      <c r="L967" s="155"/>
      <c r="M967" s="126"/>
      <c r="N967" s="127"/>
      <c r="O967" s="127"/>
      <c r="P967" s="127"/>
      <c r="Q967" s="126"/>
      <c r="R967" s="128"/>
      <c r="S967" s="128"/>
      <c r="T967" s="128"/>
      <c r="U967" s="128"/>
      <c r="V967" s="129"/>
      <c r="W967" s="129"/>
      <c r="X967" s="129"/>
      <c r="Y967" s="129"/>
      <c r="Z967" s="145" t="b">
        <v>0</v>
      </c>
      <c r="AA967" s="145"/>
      <c r="AB967" s="129"/>
      <c r="AC967" s="129"/>
      <c r="AD967" s="129"/>
      <c r="AE967" s="129"/>
      <c r="AF967" s="132"/>
      <c r="AG967" s="128" t="b">
        <v>0</v>
      </c>
      <c r="AH967" s="128"/>
      <c r="AI967" s="128"/>
      <c r="AJ967" s="128"/>
      <c r="AK967" s="128"/>
      <c r="AL967" s="129"/>
      <c r="AM967" s="129"/>
      <c r="AN967" s="139"/>
    </row>
    <row r="968">
      <c r="A968" s="129"/>
      <c r="B968" s="119"/>
      <c r="C968" s="128"/>
      <c r="D968" s="142"/>
      <c r="E968" s="122"/>
      <c r="F968" s="136"/>
      <c r="G968" s="152"/>
      <c r="H968" s="155"/>
      <c r="I968" s="155"/>
      <c r="J968" s="155"/>
      <c r="K968" s="155"/>
      <c r="L968" s="155"/>
      <c r="M968" s="126"/>
      <c r="N968" s="127"/>
      <c r="O968" s="127"/>
      <c r="P968" s="127"/>
      <c r="Q968" s="126"/>
      <c r="R968" s="128"/>
      <c r="S968" s="128"/>
      <c r="T968" s="128"/>
      <c r="U968" s="128"/>
      <c r="V968" s="129"/>
      <c r="W968" s="129"/>
      <c r="X968" s="129"/>
      <c r="Y968" s="129"/>
      <c r="Z968" s="145" t="b">
        <v>0</v>
      </c>
      <c r="AA968" s="145"/>
      <c r="AB968" s="129"/>
      <c r="AC968" s="129"/>
      <c r="AD968" s="129"/>
      <c r="AE968" s="129"/>
      <c r="AF968" s="132"/>
      <c r="AG968" s="128" t="b">
        <v>0</v>
      </c>
      <c r="AH968" s="128"/>
      <c r="AI968" s="128"/>
      <c r="AJ968" s="128"/>
      <c r="AK968" s="128"/>
      <c r="AL968" s="129"/>
      <c r="AM968" s="129"/>
      <c r="AN968" s="139"/>
    </row>
    <row r="969">
      <c r="A969" s="129"/>
      <c r="B969" s="119"/>
      <c r="C969" s="128"/>
      <c r="D969" s="142"/>
      <c r="E969" s="122"/>
      <c r="F969" s="136"/>
      <c r="G969" s="152"/>
      <c r="H969" s="155"/>
      <c r="I969" s="155"/>
      <c r="J969" s="155"/>
      <c r="K969" s="155"/>
      <c r="L969" s="155"/>
      <c r="M969" s="126"/>
      <c r="N969" s="127"/>
      <c r="O969" s="127"/>
      <c r="P969" s="127"/>
      <c r="Q969" s="126"/>
      <c r="R969" s="128"/>
      <c r="S969" s="128"/>
      <c r="T969" s="128"/>
      <c r="U969" s="128"/>
      <c r="V969" s="129"/>
      <c r="W969" s="129"/>
      <c r="X969" s="129"/>
      <c r="Y969" s="129"/>
      <c r="Z969" s="145" t="b">
        <v>0</v>
      </c>
      <c r="AA969" s="145"/>
      <c r="AB969" s="129"/>
      <c r="AC969" s="129"/>
      <c r="AD969" s="129"/>
      <c r="AE969" s="129"/>
      <c r="AF969" s="132"/>
      <c r="AG969" s="128" t="b">
        <v>0</v>
      </c>
      <c r="AH969" s="128"/>
      <c r="AI969" s="128"/>
      <c r="AJ969" s="128"/>
      <c r="AK969" s="128"/>
      <c r="AL969" s="129"/>
      <c r="AM969" s="129"/>
      <c r="AN969" s="139"/>
    </row>
    <row r="970">
      <c r="A970" s="129"/>
      <c r="B970" s="119"/>
      <c r="C970" s="128"/>
      <c r="D970" s="142"/>
      <c r="E970" s="122"/>
      <c r="F970" s="136"/>
      <c r="G970" s="152"/>
      <c r="H970" s="155"/>
      <c r="I970" s="155"/>
      <c r="J970" s="155"/>
      <c r="K970" s="155"/>
      <c r="L970" s="155"/>
      <c r="M970" s="126"/>
      <c r="N970" s="127"/>
      <c r="O970" s="127"/>
      <c r="P970" s="127"/>
      <c r="Q970" s="126"/>
      <c r="R970" s="128"/>
      <c r="S970" s="128"/>
      <c r="T970" s="128"/>
      <c r="U970" s="128"/>
      <c r="V970" s="129"/>
      <c r="W970" s="129"/>
      <c r="X970" s="129"/>
      <c r="Y970" s="129"/>
      <c r="Z970" s="145" t="b">
        <v>0</v>
      </c>
      <c r="AA970" s="145"/>
      <c r="AB970" s="129"/>
      <c r="AC970" s="129"/>
      <c r="AD970" s="129"/>
      <c r="AE970" s="129"/>
      <c r="AF970" s="132"/>
      <c r="AG970" s="128" t="b">
        <v>0</v>
      </c>
      <c r="AH970" s="128"/>
      <c r="AI970" s="128"/>
      <c r="AJ970" s="128"/>
      <c r="AK970" s="128"/>
      <c r="AL970" s="129"/>
      <c r="AM970" s="129"/>
      <c r="AN970" s="139"/>
    </row>
    <row r="971">
      <c r="A971" s="129"/>
      <c r="B971" s="119"/>
      <c r="C971" s="128"/>
      <c r="D971" s="142"/>
      <c r="E971" s="122"/>
      <c r="F971" s="136"/>
      <c r="G971" s="152"/>
      <c r="H971" s="155"/>
      <c r="I971" s="155"/>
      <c r="J971" s="155"/>
      <c r="K971" s="155"/>
      <c r="L971" s="155"/>
      <c r="M971" s="126"/>
      <c r="N971" s="127"/>
      <c r="O971" s="127"/>
      <c r="P971" s="127"/>
      <c r="Q971" s="126"/>
      <c r="R971" s="128"/>
      <c r="S971" s="128"/>
      <c r="T971" s="128"/>
      <c r="U971" s="128"/>
      <c r="V971" s="129"/>
      <c r="W971" s="129"/>
      <c r="X971" s="129"/>
      <c r="Y971" s="129"/>
      <c r="Z971" s="145" t="b">
        <v>0</v>
      </c>
      <c r="AA971" s="145"/>
      <c r="AB971" s="129"/>
      <c r="AC971" s="129"/>
      <c r="AD971" s="129"/>
      <c r="AE971" s="129"/>
      <c r="AF971" s="132"/>
      <c r="AG971" s="128" t="b">
        <v>0</v>
      </c>
      <c r="AH971" s="128"/>
      <c r="AI971" s="128"/>
      <c r="AJ971" s="128"/>
      <c r="AK971" s="128"/>
      <c r="AL971" s="129"/>
      <c r="AM971" s="129"/>
      <c r="AN971" s="139"/>
    </row>
    <row r="972">
      <c r="A972" s="129"/>
      <c r="B972" s="119"/>
      <c r="C972" s="128"/>
      <c r="D972" s="142"/>
      <c r="E972" s="122"/>
      <c r="F972" s="136"/>
      <c r="G972" s="152"/>
      <c r="H972" s="155"/>
      <c r="I972" s="155"/>
      <c r="J972" s="155"/>
      <c r="K972" s="155"/>
      <c r="L972" s="155"/>
      <c r="M972" s="126"/>
      <c r="N972" s="127"/>
      <c r="O972" s="127"/>
      <c r="P972" s="127"/>
      <c r="Q972" s="126"/>
      <c r="R972" s="128"/>
      <c r="S972" s="128"/>
      <c r="T972" s="128"/>
      <c r="U972" s="128"/>
      <c r="V972" s="129"/>
      <c r="W972" s="129"/>
      <c r="X972" s="129"/>
      <c r="Y972" s="129"/>
      <c r="Z972" s="145" t="b">
        <v>0</v>
      </c>
      <c r="AA972" s="145"/>
      <c r="AB972" s="129"/>
      <c r="AC972" s="129"/>
      <c r="AD972" s="129"/>
      <c r="AE972" s="129"/>
      <c r="AF972" s="132"/>
      <c r="AG972" s="128" t="b">
        <v>0</v>
      </c>
      <c r="AH972" s="128"/>
      <c r="AI972" s="128"/>
      <c r="AJ972" s="128"/>
      <c r="AK972" s="128"/>
      <c r="AL972" s="129"/>
      <c r="AM972" s="129"/>
      <c r="AN972" s="139"/>
    </row>
    <row r="973">
      <c r="A973" s="129"/>
      <c r="B973" s="119"/>
      <c r="C973" s="128"/>
      <c r="D973" s="142"/>
      <c r="E973" s="122"/>
      <c r="F973" s="136"/>
      <c r="G973" s="152"/>
      <c r="H973" s="155"/>
      <c r="I973" s="155"/>
      <c r="J973" s="155"/>
      <c r="K973" s="155"/>
      <c r="L973" s="155"/>
      <c r="M973" s="126"/>
      <c r="N973" s="127"/>
      <c r="O973" s="127"/>
      <c r="P973" s="127"/>
      <c r="Q973" s="126"/>
      <c r="R973" s="128"/>
      <c r="S973" s="128"/>
      <c r="T973" s="128"/>
      <c r="U973" s="128"/>
      <c r="V973" s="129"/>
      <c r="W973" s="129"/>
      <c r="X973" s="129"/>
      <c r="Y973" s="129"/>
      <c r="Z973" s="145" t="b">
        <v>0</v>
      </c>
      <c r="AA973" s="145"/>
      <c r="AB973" s="129"/>
      <c r="AC973" s="129"/>
      <c r="AD973" s="129"/>
      <c r="AE973" s="129"/>
      <c r="AF973" s="132"/>
      <c r="AG973" s="128" t="b">
        <v>0</v>
      </c>
      <c r="AH973" s="128"/>
      <c r="AI973" s="128"/>
      <c r="AJ973" s="128"/>
      <c r="AK973" s="128"/>
      <c r="AL973" s="129"/>
      <c r="AM973" s="129"/>
      <c r="AN973" s="139"/>
    </row>
    <row r="974">
      <c r="A974" s="129"/>
      <c r="B974" s="119"/>
      <c r="C974" s="128"/>
      <c r="D974" s="142"/>
      <c r="E974" s="122"/>
      <c r="F974" s="136"/>
      <c r="G974" s="152"/>
      <c r="H974" s="155"/>
      <c r="I974" s="155"/>
      <c r="J974" s="155"/>
      <c r="K974" s="155"/>
      <c r="L974" s="155"/>
      <c r="M974" s="126"/>
      <c r="N974" s="127"/>
      <c r="O974" s="127"/>
      <c r="P974" s="127"/>
      <c r="Q974" s="126"/>
      <c r="R974" s="128"/>
      <c r="S974" s="128"/>
      <c r="T974" s="128"/>
      <c r="U974" s="128"/>
      <c r="V974" s="129"/>
      <c r="W974" s="129"/>
      <c r="X974" s="129"/>
      <c r="Y974" s="129"/>
      <c r="Z974" s="145" t="b">
        <v>0</v>
      </c>
      <c r="AA974" s="145"/>
      <c r="AB974" s="129"/>
      <c r="AC974" s="129"/>
      <c r="AD974" s="129"/>
      <c r="AE974" s="129"/>
      <c r="AF974" s="132"/>
      <c r="AG974" s="128" t="b">
        <v>0</v>
      </c>
      <c r="AH974" s="128"/>
      <c r="AI974" s="128"/>
      <c r="AJ974" s="128"/>
      <c r="AK974" s="128"/>
      <c r="AL974" s="129"/>
      <c r="AM974" s="129"/>
      <c r="AN974" s="139"/>
    </row>
    <row r="975">
      <c r="A975" s="129"/>
      <c r="B975" s="119"/>
      <c r="C975" s="128"/>
      <c r="D975" s="142"/>
      <c r="E975" s="122"/>
      <c r="F975" s="136"/>
      <c r="G975" s="152"/>
      <c r="H975" s="155"/>
      <c r="I975" s="155"/>
      <c r="J975" s="155"/>
      <c r="K975" s="155"/>
      <c r="L975" s="155"/>
      <c r="M975" s="126"/>
      <c r="N975" s="127"/>
      <c r="O975" s="127"/>
      <c r="P975" s="127"/>
      <c r="Q975" s="126"/>
      <c r="R975" s="128"/>
      <c r="S975" s="128"/>
      <c r="T975" s="128"/>
      <c r="U975" s="128"/>
      <c r="V975" s="129"/>
      <c r="W975" s="129"/>
      <c r="X975" s="129"/>
      <c r="Y975" s="129"/>
      <c r="Z975" s="145" t="b">
        <v>0</v>
      </c>
      <c r="AA975" s="145"/>
      <c r="AB975" s="129"/>
      <c r="AC975" s="129"/>
      <c r="AD975" s="129"/>
      <c r="AE975" s="129"/>
      <c r="AF975" s="132"/>
      <c r="AG975" s="128" t="b">
        <v>0</v>
      </c>
      <c r="AH975" s="128"/>
      <c r="AI975" s="128"/>
      <c r="AJ975" s="128"/>
      <c r="AK975" s="128"/>
      <c r="AL975" s="129"/>
      <c r="AM975" s="129"/>
      <c r="AN975" s="139"/>
    </row>
    <row r="976">
      <c r="A976" s="129"/>
      <c r="B976" s="119"/>
      <c r="C976" s="128"/>
      <c r="D976" s="142"/>
      <c r="E976" s="122"/>
      <c r="F976" s="136"/>
      <c r="G976" s="152"/>
      <c r="H976" s="155"/>
      <c r="I976" s="155"/>
      <c r="J976" s="155"/>
      <c r="K976" s="155"/>
      <c r="L976" s="155"/>
      <c r="M976" s="126"/>
      <c r="N976" s="127"/>
      <c r="O976" s="127"/>
      <c r="P976" s="127"/>
      <c r="Q976" s="126"/>
      <c r="R976" s="128"/>
      <c r="S976" s="128"/>
      <c r="T976" s="128"/>
      <c r="U976" s="128"/>
      <c r="V976" s="129"/>
      <c r="W976" s="129"/>
      <c r="X976" s="129"/>
      <c r="Y976" s="129"/>
      <c r="Z976" s="145" t="b">
        <v>0</v>
      </c>
      <c r="AA976" s="145"/>
      <c r="AB976" s="129"/>
      <c r="AC976" s="129"/>
      <c r="AD976" s="129"/>
      <c r="AE976" s="129"/>
      <c r="AF976" s="132"/>
      <c r="AG976" s="128" t="b">
        <v>0</v>
      </c>
      <c r="AH976" s="128"/>
      <c r="AI976" s="128"/>
      <c r="AJ976" s="128"/>
      <c r="AK976" s="128"/>
      <c r="AL976" s="129"/>
      <c r="AM976" s="129"/>
      <c r="AN976" s="139"/>
    </row>
    <row r="977">
      <c r="A977" s="129"/>
      <c r="B977" s="119"/>
      <c r="C977" s="128"/>
      <c r="D977" s="142"/>
      <c r="E977" s="122"/>
      <c r="F977" s="136"/>
      <c r="G977" s="152"/>
      <c r="H977" s="155"/>
      <c r="I977" s="155"/>
      <c r="J977" s="155"/>
      <c r="K977" s="155"/>
      <c r="L977" s="155"/>
      <c r="M977" s="126"/>
      <c r="N977" s="127"/>
      <c r="O977" s="127"/>
      <c r="P977" s="127"/>
      <c r="Q977" s="126"/>
      <c r="R977" s="128"/>
      <c r="S977" s="128"/>
      <c r="T977" s="128"/>
      <c r="U977" s="128"/>
      <c r="V977" s="129"/>
      <c r="W977" s="129"/>
      <c r="X977" s="129"/>
      <c r="Y977" s="129"/>
      <c r="Z977" s="145" t="b">
        <v>0</v>
      </c>
      <c r="AA977" s="145"/>
      <c r="AB977" s="129"/>
      <c r="AC977" s="129"/>
      <c r="AD977" s="129"/>
      <c r="AE977" s="129"/>
      <c r="AF977" s="132"/>
      <c r="AG977" s="128" t="b">
        <v>0</v>
      </c>
      <c r="AH977" s="128"/>
      <c r="AI977" s="128"/>
      <c r="AJ977" s="128"/>
      <c r="AK977" s="128"/>
      <c r="AL977" s="129"/>
      <c r="AM977" s="129"/>
      <c r="AN977" s="139"/>
    </row>
    <row r="978">
      <c r="A978" s="129"/>
      <c r="B978" s="119"/>
      <c r="C978" s="128"/>
      <c r="D978" s="142"/>
      <c r="E978" s="122"/>
      <c r="F978" s="136"/>
      <c r="G978" s="152"/>
      <c r="H978" s="155"/>
      <c r="I978" s="155"/>
      <c r="J978" s="155"/>
      <c r="K978" s="155"/>
      <c r="L978" s="155"/>
      <c r="M978" s="126"/>
      <c r="N978" s="127"/>
      <c r="O978" s="127"/>
      <c r="P978" s="127"/>
      <c r="Q978" s="126"/>
      <c r="R978" s="128"/>
      <c r="S978" s="128"/>
      <c r="T978" s="128"/>
      <c r="U978" s="128"/>
      <c r="V978" s="129"/>
      <c r="W978" s="129"/>
      <c r="X978" s="129"/>
      <c r="Y978" s="129"/>
      <c r="Z978" s="145" t="b">
        <v>0</v>
      </c>
      <c r="AA978" s="145"/>
      <c r="AB978" s="129"/>
      <c r="AC978" s="129"/>
      <c r="AD978" s="129"/>
      <c r="AE978" s="129"/>
      <c r="AF978" s="132"/>
      <c r="AG978" s="128" t="b">
        <v>0</v>
      </c>
      <c r="AH978" s="128"/>
      <c r="AI978" s="128"/>
      <c r="AJ978" s="128"/>
      <c r="AK978" s="128"/>
      <c r="AL978" s="129"/>
      <c r="AM978" s="129"/>
      <c r="AN978" s="139"/>
    </row>
    <row r="979">
      <c r="A979" s="129"/>
      <c r="B979" s="119"/>
      <c r="C979" s="128"/>
      <c r="D979" s="142"/>
      <c r="E979" s="122"/>
      <c r="F979" s="136"/>
      <c r="G979" s="152"/>
      <c r="H979" s="155"/>
      <c r="I979" s="155"/>
      <c r="J979" s="155"/>
      <c r="K979" s="155"/>
      <c r="L979" s="155"/>
      <c r="M979" s="126"/>
      <c r="N979" s="127"/>
      <c r="O979" s="127"/>
      <c r="P979" s="127"/>
      <c r="Q979" s="126"/>
      <c r="R979" s="128"/>
      <c r="S979" s="128"/>
      <c r="T979" s="128"/>
      <c r="U979" s="128"/>
      <c r="V979" s="129"/>
      <c r="W979" s="129"/>
      <c r="X979" s="129"/>
      <c r="Y979" s="129"/>
      <c r="Z979" s="145" t="b">
        <v>0</v>
      </c>
      <c r="AA979" s="145"/>
      <c r="AB979" s="129"/>
      <c r="AC979" s="129"/>
      <c r="AD979" s="129"/>
      <c r="AE979" s="129"/>
      <c r="AF979" s="132"/>
      <c r="AG979" s="128" t="b">
        <v>0</v>
      </c>
      <c r="AH979" s="128"/>
      <c r="AI979" s="128"/>
      <c r="AJ979" s="128"/>
      <c r="AK979" s="128"/>
      <c r="AL979" s="129"/>
      <c r="AM979" s="129"/>
      <c r="AN979" s="139"/>
    </row>
    <row r="980">
      <c r="A980" s="129"/>
      <c r="B980" s="119"/>
      <c r="C980" s="128"/>
      <c r="D980" s="142"/>
      <c r="E980" s="122"/>
      <c r="F980" s="136"/>
      <c r="G980" s="152"/>
      <c r="H980" s="155"/>
      <c r="I980" s="155"/>
      <c r="J980" s="155"/>
      <c r="K980" s="155"/>
      <c r="L980" s="155"/>
      <c r="M980" s="126"/>
      <c r="N980" s="127"/>
      <c r="O980" s="127"/>
      <c r="P980" s="127"/>
      <c r="Q980" s="126"/>
      <c r="R980" s="128"/>
      <c r="S980" s="128"/>
      <c r="T980" s="128"/>
      <c r="U980" s="128"/>
      <c r="V980" s="129"/>
      <c r="W980" s="129"/>
      <c r="X980" s="129"/>
      <c r="Y980" s="129"/>
      <c r="Z980" s="145" t="b">
        <v>0</v>
      </c>
      <c r="AA980" s="145"/>
      <c r="AB980" s="129"/>
      <c r="AC980" s="129"/>
      <c r="AD980" s="129"/>
      <c r="AE980" s="129"/>
      <c r="AF980" s="132"/>
      <c r="AG980" s="128" t="b">
        <v>0</v>
      </c>
      <c r="AH980" s="128"/>
      <c r="AI980" s="128"/>
      <c r="AJ980" s="128"/>
      <c r="AK980" s="128"/>
      <c r="AL980" s="129"/>
      <c r="AM980" s="129"/>
      <c r="AN980" s="139"/>
    </row>
    <row r="981">
      <c r="A981" s="129"/>
      <c r="B981" s="119"/>
      <c r="C981" s="128"/>
      <c r="D981" s="142"/>
      <c r="E981" s="122"/>
      <c r="F981" s="136"/>
      <c r="G981" s="152"/>
      <c r="H981" s="155"/>
      <c r="I981" s="155"/>
      <c r="J981" s="155"/>
      <c r="K981" s="155"/>
      <c r="L981" s="155"/>
      <c r="M981" s="126"/>
      <c r="N981" s="127"/>
      <c r="O981" s="127"/>
      <c r="P981" s="127"/>
      <c r="Q981" s="126"/>
      <c r="R981" s="128"/>
      <c r="S981" s="128"/>
      <c r="T981" s="128"/>
      <c r="U981" s="128"/>
      <c r="V981" s="129"/>
      <c r="W981" s="129"/>
      <c r="X981" s="129"/>
      <c r="Y981" s="129"/>
      <c r="Z981" s="145" t="b">
        <v>0</v>
      </c>
      <c r="AA981" s="145"/>
      <c r="AB981" s="129"/>
      <c r="AC981" s="129"/>
      <c r="AD981" s="129"/>
      <c r="AE981" s="129"/>
      <c r="AF981" s="132"/>
      <c r="AG981" s="128" t="b">
        <v>0</v>
      </c>
      <c r="AH981" s="128"/>
      <c r="AI981" s="128"/>
      <c r="AJ981" s="128"/>
      <c r="AK981" s="128"/>
      <c r="AL981" s="129"/>
      <c r="AM981" s="129"/>
      <c r="AN981" s="139"/>
    </row>
    <row r="982">
      <c r="A982" s="129"/>
      <c r="B982" s="119"/>
      <c r="C982" s="128"/>
      <c r="D982" s="142"/>
      <c r="E982" s="122"/>
      <c r="F982" s="136"/>
      <c r="G982" s="152"/>
      <c r="H982" s="155"/>
      <c r="I982" s="155"/>
      <c r="J982" s="155"/>
      <c r="K982" s="155"/>
      <c r="L982" s="155"/>
      <c r="M982" s="126"/>
      <c r="N982" s="127"/>
      <c r="O982" s="127"/>
      <c r="P982" s="127"/>
      <c r="Q982" s="126"/>
      <c r="R982" s="128"/>
      <c r="S982" s="128"/>
      <c r="T982" s="128"/>
      <c r="U982" s="128"/>
      <c r="V982" s="129"/>
      <c r="W982" s="129"/>
      <c r="X982" s="129"/>
      <c r="Y982" s="129"/>
      <c r="Z982" s="145" t="b">
        <v>0</v>
      </c>
      <c r="AA982" s="145"/>
      <c r="AB982" s="129"/>
      <c r="AC982" s="129"/>
      <c r="AD982" s="129"/>
      <c r="AE982" s="129"/>
      <c r="AF982" s="132"/>
      <c r="AG982" s="128" t="b">
        <v>0</v>
      </c>
      <c r="AH982" s="128"/>
      <c r="AI982" s="128"/>
      <c r="AJ982" s="128"/>
      <c r="AK982" s="128"/>
      <c r="AL982" s="129"/>
      <c r="AM982" s="129"/>
      <c r="AN982" s="139"/>
    </row>
    <row r="983">
      <c r="A983" s="129"/>
      <c r="B983" s="119"/>
      <c r="C983" s="128"/>
      <c r="D983" s="142"/>
      <c r="E983" s="122"/>
      <c r="F983" s="136"/>
      <c r="G983" s="152"/>
      <c r="H983" s="155"/>
      <c r="I983" s="155"/>
      <c r="J983" s="155"/>
      <c r="K983" s="155"/>
      <c r="L983" s="155"/>
      <c r="M983" s="126"/>
      <c r="N983" s="127"/>
      <c r="O983" s="127"/>
      <c r="P983" s="127"/>
      <c r="Q983" s="126"/>
      <c r="R983" s="128"/>
      <c r="S983" s="128"/>
      <c r="T983" s="128"/>
      <c r="U983" s="128"/>
      <c r="V983" s="129"/>
      <c r="W983" s="129"/>
      <c r="X983" s="129"/>
      <c r="Y983" s="129"/>
      <c r="Z983" s="145" t="b">
        <v>0</v>
      </c>
      <c r="AA983" s="145"/>
      <c r="AB983" s="129"/>
      <c r="AC983" s="129"/>
      <c r="AD983" s="129"/>
      <c r="AE983" s="129"/>
      <c r="AF983" s="132"/>
      <c r="AG983" s="128" t="b">
        <v>0</v>
      </c>
      <c r="AH983" s="128"/>
      <c r="AI983" s="128"/>
      <c r="AJ983" s="128"/>
      <c r="AK983" s="128"/>
      <c r="AL983" s="129"/>
      <c r="AM983" s="129"/>
      <c r="AN983" s="139"/>
    </row>
    <row r="984">
      <c r="A984" s="129"/>
      <c r="B984" s="119"/>
      <c r="C984" s="128"/>
      <c r="D984" s="142"/>
      <c r="E984" s="122"/>
      <c r="F984" s="136"/>
      <c r="G984" s="152"/>
      <c r="H984" s="155"/>
      <c r="I984" s="155"/>
      <c r="J984" s="155"/>
      <c r="K984" s="155"/>
      <c r="L984" s="155"/>
      <c r="M984" s="126"/>
      <c r="N984" s="127"/>
      <c r="O984" s="127"/>
      <c r="P984" s="127"/>
      <c r="Q984" s="126"/>
      <c r="R984" s="128"/>
      <c r="S984" s="128"/>
      <c r="T984" s="128"/>
      <c r="U984" s="128"/>
      <c r="V984" s="129"/>
      <c r="W984" s="129"/>
      <c r="X984" s="129"/>
      <c r="Y984" s="129"/>
      <c r="Z984" s="145" t="b">
        <v>0</v>
      </c>
      <c r="AA984" s="145"/>
      <c r="AB984" s="129"/>
      <c r="AC984" s="129"/>
      <c r="AD984" s="129"/>
      <c r="AE984" s="129"/>
      <c r="AF984" s="132"/>
      <c r="AG984" s="128" t="b">
        <v>0</v>
      </c>
      <c r="AH984" s="128"/>
      <c r="AI984" s="128"/>
      <c r="AJ984" s="128"/>
      <c r="AK984" s="128"/>
      <c r="AL984" s="129"/>
      <c r="AM984" s="129"/>
      <c r="AN984" s="139"/>
    </row>
    <row r="985">
      <c r="A985" s="129"/>
      <c r="B985" s="119"/>
      <c r="C985" s="128"/>
      <c r="D985" s="142"/>
      <c r="E985" s="122"/>
      <c r="F985" s="136"/>
      <c r="G985" s="152"/>
      <c r="H985" s="155"/>
      <c r="I985" s="155"/>
      <c r="J985" s="155"/>
      <c r="K985" s="155"/>
      <c r="L985" s="155"/>
      <c r="M985" s="126"/>
      <c r="N985" s="127"/>
      <c r="O985" s="127"/>
      <c r="P985" s="127"/>
      <c r="Q985" s="126"/>
      <c r="R985" s="128"/>
      <c r="S985" s="128"/>
      <c r="T985" s="128"/>
      <c r="U985" s="128"/>
      <c r="V985" s="129"/>
      <c r="W985" s="129"/>
      <c r="X985" s="129"/>
      <c r="Y985" s="129"/>
      <c r="Z985" s="145" t="b">
        <v>0</v>
      </c>
      <c r="AA985" s="145"/>
      <c r="AB985" s="129"/>
      <c r="AC985" s="129"/>
      <c r="AD985" s="129"/>
      <c r="AE985" s="129"/>
      <c r="AF985" s="132"/>
      <c r="AG985" s="128" t="b">
        <v>0</v>
      </c>
      <c r="AH985" s="128"/>
      <c r="AI985" s="128"/>
      <c r="AJ985" s="128"/>
      <c r="AK985" s="128"/>
      <c r="AL985" s="129"/>
      <c r="AM985" s="129"/>
      <c r="AN985" s="139"/>
    </row>
    <row r="986">
      <c r="A986" s="129"/>
      <c r="B986" s="119"/>
      <c r="C986" s="128"/>
      <c r="D986" s="142"/>
      <c r="E986" s="122"/>
      <c r="F986" s="136"/>
      <c r="G986" s="152"/>
      <c r="H986" s="155"/>
      <c r="I986" s="155"/>
      <c r="J986" s="155"/>
      <c r="K986" s="155"/>
      <c r="L986" s="155"/>
      <c r="M986" s="126"/>
      <c r="N986" s="127"/>
      <c r="O986" s="127"/>
      <c r="P986" s="127"/>
      <c r="Q986" s="126"/>
      <c r="R986" s="128"/>
      <c r="S986" s="128"/>
      <c r="T986" s="128"/>
      <c r="U986" s="128"/>
      <c r="V986" s="129"/>
      <c r="W986" s="129"/>
      <c r="X986" s="129"/>
      <c r="Y986" s="129"/>
      <c r="Z986" s="145" t="b">
        <v>0</v>
      </c>
      <c r="AA986" s="145"/>
      <c r="AB986" s="129"/>
      <c r="AC986" s="129"/>
      <c r="AD986" s="129"/>
      <c r="AE986" s="129"/>
      <c r="AF986" s="132"/>
      <c r="AG986" s="128" t="b">
        <v>0</v>
      </c>
      <c r="AH986" s="128"/>
      <c r="AI986" s="128"/>
      <c r="AJ986" s="128"/>
      <c r="AK986" s="128"/>
      <c r="AL986" s="129"/>
      <c r="AM986" s="129"/>
      <c r="AN986" s="139"/>
    </row>
    <row r="987">
      <c r="A987" s="129"/>
      <c r="B987" s="119"/>
      <c r="C987" s="128"/>
      <c r="D987" s="142"/>
      <c r="E987" s="122"/>
      <c r="F987" s="136"/>
      <c r="G987" s="152"/>
      <c r="H987" s="155"/>
      <c r="I987" s="155"/>
      <c r="J987" s="155"/>
      <c r="K987" s="155"/>
      <c r="L987" s="155"/>
      <c r="M987" s="126"/>
      <c r="N987" s="127"/>
      <c r="O987" s="127"/>
      <c r="P987" s="127"/>
      <c r="Q987" s="126"/>
      <c r="R987" s="128"/>
      <c r="S987" s="128"/>
      <c r="T987" s="128"/>
      <c r="U987" s="128"/>
      <c r="V987" s="129"/>
      <c r="W987" s="129"/>
      <c r="X987" s="129"/>
      <c r="Y987" s="129"/>
      <c r="Z987" s="145" t="b">
        <v>0</v>
      </c>
      <c r="AA987" s="145"/>
      <c r="AB987" s="129"/>
      <c r="AC987" s="129"/>
      <c r="AD987" s="129"/>
      <c r="AE987" s="129"/>
      <c r="AF987" s="132"/>
      <c r="AG987" s="128" t="b">
        <v>0</v>
      </c>
      <c r="AH987" s="128"/>
      <c r="AI987" s="128"/>
      <c r="AJ987" s="128"/>
      <c r="AK987" s="128"/>
      <c r="AL987" s="129"/>
      <c r="AM987" s="129"/>
      <c r="AN987" s="139"/>
    </row>
    <row r="988">
      <c r="A988" s="129"/>
      <c r="B988" s="119"/>
      <c r="C988" s="128"/>
      <c r="D988" s="142"/>
      <c r="E988" s="122"/>
      <c r="F988" s="136"/>
      <c r="G988" s="152"/>
      <c r="H988" s="155"/>
      <c r="I988" s="155"/>
      <c r="J988" s="155"/>
      <c r="K988" s="155"/>
      <c r="L988" s="155"/>
      <c r="M988" s="126"/>
      <c r="N988" s="127"/>
      <c r="O988" s="127"/>
      <c r="P988" s="127"/>
      <c r="Q988" s="126"/>
      <c r="R988" s="128"/>
      <c r="S988" s="128"/>
      <c r="T988" s="128"/>
      <c r="U988" s="128"/>
      <c r="V988" s="129"/>
      <c r="W988" s="129"/>
      <c r="X988" s="129"/>
      <c r="Y988" s="129"/>
      <c r="Z988" s="145" t="b">
        <v>0</v>
      </c>
      <c r="AA988" s="145"/>
      <c r="AB988" s="129"/>
      <c r="AC988" s="129"/>
      <c r="AD988" s="129"/>
      <c r="AE988" s="129"/>
      <c r="AF988" s="132"/>
      <c r="AG988" s="128" t="b">
        <v>0</v>
      </c>
      <c r="AH988" s="128"/>
      <c r="AI988" s="128"/>
      <c r="AJ988" s="128"/>
      <c r="AK988" s="128"/>
      <c r="AL988" s="129"/>
      <c r="AM988" s="129"/>
      <c r="AN988" s="139"/>
    </row>
    <row r="989">
      <c r="A989" s="129"/>
      <c r="B989" s="119"/>
      <c r="C989" s="128"/>
      <c r="D989" s="142"/>
      <c r="E989" s="122"/>
      <c r="F989" s="136"/>
      <c r="G989" s="152"/>
      <c r="H989" s="155"/>
      <c r="I989" s="155"/>
      <c r="J989" s="155"/>
      <c r="K989" s="155"/>
      <c r="L989" s="155"/>
      <c r="M989" s="126"/>
      <c r="N989" s="127"/>
      <c r="O989" s="127"/>
      <c r="P989" s="127"/>
      <c r="Q989" s="126"/>
      <c r="R989" s="128"/>
      <c r="S989" s="128"/>
      <c r="T989" s="128"/>
      <c r="U989" s="128"/>
      <c r="V989" s="129"/>
      <c r="W989" s="129"/>
      <c r="X989" s="129"/>
      <c r="Y989" s="129"/>
      <c r="Z989" s="145" t="b">
        <v>0</v>
      </c>
      <c r="AA989" s="145"/>
      <c r="AB989" s="129"/>
      <c r="AC989" s="129"/>
      <c r="AD989" s="129"/>
      <c r="AE989" s="129"/>
      <c r="AF989" s="132"/>
      <c r="AG989" s="128" t="b">
        <v>0</v>
      </c>
      <c r="AH989" s="128"/>
      <c r="AI989" s="128"/>
      <c r="AJ989" s="128"/>
      <c r="AK989" s="128"/>
      <c r="AL989" s="129"/>
      <c r="AM989" s="129"/>
      <c r="AN989" s="139"/>
    </row>
    <row r="990">
      <c r="A990" s="129"/>
      <c r="B990" s="119"/>
      <c r="C990" s="128"/>
      <c r="D990" s="142"/>
      <c r="E990" s="122"/>
      <c r="F990" s="136"/>
      <c r="G990" s="152"/>
      <c r="H990" s="155"/>
      <c r="I990" s="155"/>
      <c r="J990" s="155"/>
      <c r="K990" s="155"/>
      <c r="L990" s="155"/>
      <c r="M990" s="126"/>
      <c r="N990" s="127"/>
      <c r="O990" s="127"/>
      <c r="P990" s="127"/>
      <c r="Q990" s="126"/>
      <c r="R990" s="128"/>
      <c r="S990" s="128"/>
      <c r="T990" s="128"/>
      <c r="U990" s="128"/>
      <c r="V990" s="129"/>
      <c r="W990" s="129"/>
      <c r="X990" s="129"/>
      <c r="Y990" s="129"/>
      <c r="Z990" s="145" t="b">
        <v>0</v>
      </c>
      <c r="AA990" s="145"/>
      <c r="AB990" s="129"/>
      <c r="AC990" s="129"/>
      <c r="AD990" s="129"/>
      <c r="AE990" s="129"/>
      <c r="AF990" s="132"/>
      <c r="AG990" s="128" t="b">
        <v>0</v>
      </c>
      <c r="AH990" s="128"/>
      <c r="AI990" s="128"/>
      <c r="AJ990" s="128"/>
      <c r="AK990" s="128"/>
      <c r="AL990" s="129"/>
      <c r="AM990" s="129"/>
      <c r="AN990" s="139"/>
    </row>
    <row r="991">
      <c r="A991" s="129"/>
      <c r="B991" s="119"/>
      <c r="C991" s="128"/>
      <c r="D991" s="142"/>
      <c r="E991" s="122"/>
      <c r="F991" s="136"/>
      <c r="G991" s="152"/>
      <c r="H991" s="155"/>
      <c r="I991" s="155"/>
      <c r="J991" s="155"/>
      <c r="K991" s="155"/>
      <c r="L991" s="155"/>
      <c r="M991" s="126"/>
      <c r="N991" s="127"/>
      <c r="O991" s="127"/>
      <c r="P991" s="127"/>
      <c r="Q991" s="126"/>
      <c r="R991" s="128"/>
      <c r="S991" s="128"/>
      <c r="T991" s="128"/>
      <c r="U991" s="128"/>
      <c r="V991" s="129"/>
      <c r="W991" s="129"/>
      <c r="X991" s="129"/>
      <c r="Y991" s="129"/>
      <c r="Z991" s="145" t="b">
        <v>0</v>
      </c>
      <c r="AA991" s="145"/>
      <c r="AB991" s="129"/>
      <c r="AC991" s="129"/>
      <c r="AD991" s="129"/>
      <c r="AE991" s="129"/>
      <c r="AF991" s="132"/>
      <c r="AG991" s="128" t="b">
        <v>0</v>
      </c>
      <c r="AH991" s="128"/>
      <c r="AI991" s="128"/>
      <c r="AJ991" s="128"/>
      <c r="AK991" s="128"/>
      <c r="AL991" s="129"/>
      <c r="AM991" s="129"/>
      <c r="AN991" s="139"/>
    </row>
    <row r="992">
      <c r="A992" s="129"/>
      <c r="B992" s="119"/>
      <c r="C992" s="128"/>
      <c r="D992" s="142"/>
      <c r="E992" s="122"/>
      <c r="F992" s="136"/>
      <c r="G992" s="152"/>
      <c r="H992" s="155"/>
      <c r="I992" s="155"/>
      <c r="J992" s="155"/>
      <c r="K992" s="155"/>
      <c r="L992" s="155"/>
      <c r="M992" s="126"/>
      <c r="N992" s="127"/>
      <c r="O992" s="127"/>
      <c r="P992" s="127"/>
      <c r="Q992" s="126"/>
      <c r="R992" s="128"/>
      <c r="S992" s="128"/>
      <c r="T992" s="128"/>
      <c r="U992" s="128"/>
      <c r="V992" s="129"/>
      <c r="W992" s="129"/>
      <c r="X992" s="129"/>
      <c r="Y992" s="129"/>
      <c r="Z992" s="145" t="b">
        <v>0</v>
      </c>
      <c r="AA992" s="145"/>
      <c r="AB992" s="129"/>
      <c r="AC992" s="129"/>
      <c r="AD992" s="129"/>
      <c r="AE992" s="129"/>
      <c r="AF992" s="132"/>
      <c r="AG992" s="128" t="b">
        <v>0</v>
      </c>
      <c r="AH992" s="128"/>
      <c r="AI992" s="128"/>
      <c r="AJ992" s="128"/>
      <c r="AK992" s="128"/>
      <c r="AL992" s="129"/>
      <c r="AM992" s="129"/>
      <c r="AN992" s="139"/>
    </row>
    <row r="993">
      <c r="A993" s="129"/>
      <c r="B993" s="119"/>
      <c r="C993" s="128"/>
      <c r="D993" s="142"/>
      <c r="E993" s="122"/>
      <c r="F993" s="136"/>
      <c r="G993" s="152"/>
      <c r="H993" s="155"/>
      <c r="I993" s="155"/>
      <c r="J993" s="155"/>
      <c r="K993" s="155"/>
      <c r="L993" s="155"/>
      <c r="M993" s="126"/>
      <c r="N993" s="127"/>
      <c r="O993" s="127"/>
      <c r="P993" s="127"/>
      <c r="Q993" s="126"/>
      <c r="R993" s="128"/>
      <c r="S993" s="128"/>
      <c r="T993" s="128"/>
      <c r="U993" s="128"/>
      <c r="V993" s="129"/>
      <c r="W993" s="129"/>
      <c r="X993" s="129"/>
      <c r="Y993" s="129"/>
      <c r="Z993" s="145" t="b">
        <v>0</v>
      </c>
      <c r="AA993" s="145"/>
      <c r="AB993" s="129"/>
      <c r="AC993" s="129"/>
      <c r="AD993" s="129"/>
      <c r="AE993" s="129"/>
      <c r="AF993" s="132"/>
      <c r="AG993" s="128" t="b">
        <v>0</v>
      </c>
      <c r="AH993" s="128"/>
      <c r="AI993" s="128"/>
      <c r="AJ993" s="128"/>
      <c r="AK993" s="128"/>
      <c r="AL993" s="129"/>
      <c r="AM993" s="129"/>
      <c r="AN993" s="139"/>
    </row>
    <row r="994">
      <c r="A994" s="129"/>
      <c r="B994" s="119"/>
      <c r="C994" s="128"/>
      <c r="D994" s="142"/>
      <c r="E994" s="122"/>
      <c r="F994" s="136"/>
      <c r="G994" s="152"/>
      <c r="H994" s="155"/>
      <c r="I994" s="155"/>
      <c r="J994" s="155"/>
      <c r="K994" s="155"/>
      <c r="L994" s="155"/>
      <c r="M994" s="126"/>
      <c r="N994" s="127"/>
      <c r="O994" s="127"/>
      <c r="P994" s="127"/>
      <c r="Q994" s="126"/>
      <c r="R994" s="128"/>
      <c r="S994" s="128"/>
      <c r="T994" s="128"/>
      <c r="U994" s="128"/>
      <c r="V994" s="129"/>
      <c r="W994" s="129"/>
      <c r="X994" s="129"/>
      <c r="Y994" s="129"/>
      <c r="Z994" s="145" t="b">
        <v>0</v>
      </c>
      <c r="AA994" s="145"/>
      <c r="AB994" s="129"/>
      <c r="AC994" s="129"/>
      <c r="AD994" s="129"/>
      <c r="AE994" s="129"/>
      <c r="AF994" s="132"/>
      <c r="AG994" s="128" t="b">
        <v>0</v>
      </c>
      <c r="AH994" s="128"/>
      <c r="AI994" s="128"/>
      <c r="AJ994" s="128"/>
      <c r="AK994" s="128"/>
      <c r="AL994" s="129"/>
      <c r="AM994" s="129"/>
      <c r="AN994" s="139"/>
    </row>
    <row r="995">
      <c r="A995" s="129"/>
      <c r="B995" s="119"/>
      <c r="C995" s="128"/>
      <c r="D995" s="142"/>
      <c r="E995" s="122"/>
      <c r="F995" s="136"/>
      <c r="G995" s="152"/>
      <c r="H995" s="155"/>
      <c r="I995" s="155"/>
      <c r="J995" s="155"/>
      <c r="K995" s="155"/>
      <c r="L995" s="155"/>
      <c r="M995" s="126"/>
      <c r="N995" s="127"/>
      <c r="O995" s="127"/>
      <c r="P995" s="127"/>
      <c r="Q995" s="126"/>
      <c r="R995" s="128"/>
      <c r="S995" s="128"/>
      <c r="T995" s="128"/>
      <c r="U995" s="128"/>
      <c r="V995" s="129"/>
      <c r="W995" s="129"/>
      <c r="X995" s="129"/>
      <c r="Y995" s="129"/>
      <c r="Z995" s="145" t="b">
        <v>0</v>
      </c>
      <c r="AA995" s="145"/>
      <c r="AB995" s="129"/>
      <c r="AC995" s="129"/>
      <c r="AD995" s="129"/>
      <c r="AE995" s="129"/>
      <c r="AF995" s="132"/>
      <c r="AG995" s="128" t="b">
        <v>0</v>
      </c>
      <c r="AH995" s="128"/>
      <c r="AI995" s="128"/>
      <c r="AJ995" s="128"/>
      <c r="AK995" s="128"/>
      <c r="AL995" s="129"/>
      <c r="AM995" s="129"/>
      <c r="AN995" s="139"/>
    </row>
    <row r="996">
      <c r="A996" s="129"/>
      <c r="B996" s="119"/>
      <c r="C996" s="128"/>
      <c r="D996" s="142"/>
      <c r="E996" s="122"/>
      <c r="F996" s="136"/>
      <c r="G996" s="152"/>
      <c r="H996" s="155"/>
      <c r="I996" s="155"/>
      <c r="J996" s="155"/>
      <c r="K996" s="155"/>
      <c r="L996" s="155"/>
      <c r="M996" s="126"/>
      <c r="N996" s="127"/>
      <c r="O996" s="127"/>
      <c r="P996" s="127"/>
      <c r="Q996" s="126"/>
      <c r="R996" s="128"/>
      <c r="S996" s="128"/>
      <c r="T996" s="128"/>
      <c r="U996" s="128"/>
      <c r="V996" s="129"/>
      <c r="W996" s="129"/>
      <c r="X996" s="129"/>
      <c r="Y996" s="129"/>
      <c r="Z996" s="145" t="b">
        <v>0</v>
      </c>
      <c r="AA996" s="145"/>
      <c r="AB996" s="129"/>
      <c r="AC996" s="129"/>
      <c r="AD996" s="129"/>
      <c r="AE996" s="129"/>
      <c r="AF996" s="132"/>
      <c r="AG996" s="128" t="b">
        <v>0</v>
      </c>
      <c r="AH996" s="128"/>
      <c r="AI996" s="128"/>
      <c r="AJ996" s="128"/>
      <c r="AK996" s="128"/>
      <c r="AL996" s="129"/>
      <c r="AM996" s="129"/>
      <c r="AN996" s="139"/>
    </row>
    <row r="997">
      <c r="A997" s="129"/>
      <c r="B997" s="119"/>
      <c r="C997" s="128"/>
      <c r="D997" s="142"/>
      <c r="E997" s="122"/>
      <c r="F997" s="136"/>
      <c r="G997" s="152"/>
      <c r="H997" s="155"/>
      <c r="I997" s="155"/>
      <c r="J997" s="155"/>
      <c r="K997" s="155"/>
      <c r="L997" s="155"/>
      <c r="M997" s="126"/>
      <c r="N997" s="127"/>
      <c r="O997" s="127"/>
      <c r="P997" s="127"/>
      <c r="Q997" s="126"/>
      <c r="R997" s="128"/>
      <c r="S997" s="128"/>
      <c r="T997" s="128"/>
      <c r="U997" s="128"/>
      <c r="V997" s="129"/>
      <c r="W997" s="129"/>
      <c r="X997" s="129"/>
      <c r="Y997" s="129"/>
      <c r="Z997" s="145" t="b">
        <v>0</v>
      </c>
      <c r="AA997" s="145"/>
      <c r="AB997" s="129"/>
      <c r="AC997" s="129"/>
      <c r="AD997" s="129"/>
      <c r="AE997" s="129"/>
      <c r="AF997" s="132"/>
      <c r="AG997" s="128" t="b">
        <v>0</v>
      </c>
      <c r="AH997" s="128"/>
      <c r="AI997" s="128"/>
      <c r="AJ997" s="128"/>
      <c r="AK997" s="128"/>
      <c r="AL997" s="129"/>
      <c r="AM997" s="129"/>
      <c r="AN997" s="139"/>
    </row>
    <row r="998">
      <c r="A998" s="129"/>
      <c r="B998" s="119"/>
      <c r="C998" s="128"/>
      <c r="D998" s="142"/>
      <c r="E998" s="122"/>
      <c r="F998" s="136"/>
      <c r="G998" s="152"/>
      <c r="H998" s="155"/>
      <c r="I998" s="155"/>
      <c r="J998" s="155"/>
      <c r="K998" s="155"/>
      <c r="L998" s="155"/>
      <c r="M998" s="126"/>
      <c r="N998" s="127"/>
      <c r="O998" s="127"/>
      <c r="P998" s="127"/>
      <c r="Q998" s="126"/>
      <c r="R998" s="128"/>
      <c r="S998" s="128"/>
      <c r="T998" s="128"/>
      <c r="U998" s="128"/>
      <c r="V998" s="129"/>
      <c r="W998" s="129"/>
      <c r="X998" s="129"/>
      <c r="Y998" s="129"/>
      <c r="Z998" s="145" t="b">
        <v>0</v>
      </c>
      <c r="AA998" s="145"/>
      <c r="AB998" s="129"/>
      <c r="AC998" s="129"/>
      <c r="AD998" s="129"/>
      <c r="AE998" s="129"/>
      <c r="AF998" s="132"/>
      <c r="AG998" s="128" t="b">
        <v>0</v>
      </c>
      <c r="AH998" s="128"/>
      <c r="AI998" s="128"/>
      <c r="AJ998" s="128"/>
      <c r="AK998" s="128"/>
      <c r="AL998" s="129"/>
      <c r="AM998" s="129"/>
      <c r="AN998" s="139"/>
    </row>
    <row r="999">
      <c r="A999" s="129"/>
      <c r="B999" s="119"/>
      <c r="C999" s="128"/>
      <c r="D999" s="142"/>
      <c r="E999" s="122"/>
      <c r="F999" s="136"/>
      <c r="G999" s="152"/>
      <c r="H999" s="155"/>
      <c r="I999" s="155"/>
      <c r="J999" s="155"/>
      <c r="K999" s="155"/>
      <c r="L999" s="155"/>
      <c r="M999" s="126"/>
      <c r="N999" s="127"/>
      <c r="O999" s="127"/>
      <c r="P999" s="127"/>
      <c r="Q999" s="126"/>
      <c r="R999" s="128"/>
      <c r="S999" s="128"/>
      <c r="T999" s="128"/>
      <c r="U999" s="128"/>
      <c r="V999" s="129"/>
      <c r="W999" s="129"/>
      <c r="X999" s="129"/>
      <c r="Y999" s="129"/>
      <c r="Z999" s="145" t="b">
        <v>0</v>
      </c>
      <c r="AA999" s="145"/>
      <c r="AB999" s="129"/>
      <c r="AC999" s="129"/>
      <c r="AD999" s="129"/>
      <c r="AE999" s="129"/>
      <c r="AF999" s="132"/>
      <c r="AG999" s="128" t="b">
        <v>0</v>
      </c>
      <c r="AH999" s="128"/>
      <c r="AI999" s="128"/>
      <c r="AJ999" s="128"/>
      <c r="AK999" s="128"/>
      <c r="AL999" s="129"/>
      <c r="AM999" s="129"/>
      <c r="AN999" s="139"/>
    </row>
    <row r="1000">
      <c r="A1000" s="129"/>
      <c r="B1000" s="119"/>
      <c r="C1000" s="128"/>
      <c r="D1000" s="142"/>
      <c r="E1000" s="122"/>
      <c r="F1000" s="136"/>
      <c r="G1000" s="152"/>
      <c r="H1000" s="155"/>
      <c r="I1000" s="155"/>
      <c r="J1000" s="155"/>
      <c r="K1000" s="155"/>
      <c r="L1000" s="155"/>
      <c r="M1000" s="126"/>
      <c r="N1000" s="127"/>
      <c r="O1000" s="127"/>
      <c r="P1000" s="127"/>
      <c r="Q1000" s="126"/>
      <c r="R1000" s="128"/>
      <c r="S1000" s="128"/>
      <c r="T1000" s="128"/>
      <c r="U1000" s="128"/>
      <c r="V1000" s="129"/>
      <c r="W1000" s="129"/>
      <c r="X1000" s="129"/>
      <c r="Y1000" s="129"/>
      <c r="Z1000" s="145" t="b">
        <v>0</v>
      </c>
      <c r="AA1000" s="145"/>
      <c r="AB1000" s="129"/>
      <c r="AC1000" s="129"/>
      <c r="AD1000" s="129"/>
      <c r="AE1000" s="129"/>
      <c r="AF1000" s="132"/>
      <c r="AG1000" s="128" t="b">
        <v>0</v>
      </c>
      <c r="AH1000" s="128"/>
      <c r="AI1000" s="128"/>
      <c r="AJ1000" s="128"/>
      <c r="AK1000" s="128"/>
      <c r="AL1000" s="129"/>
      <c r="AM1000" s="129"/>
      <c r="AN1000" s="139"/>
    </row>
    <row r="1001">
      <c r="A1001" s="129"/>
      <c r="B1001" s="119"/>
      <c r="C1001" s="128"/>
      <c r="D1001" s="142"/>
      <c r="E1001" s="122"/>
      <c r="F1001" s="136"/>
      <c r="G1001" s="152"/>
      <c r="H1001" s="155"/>
      <c r="I1001" s="155"/>
      <c r="J1001" s="155"/>
      <c r="K1001" s="155"/>
      <c r="L1001" s="155"/>
      <c r="M1001" s="126"/>
      <c r="N1001" s="127"/>
      <c r="O1001" s="127"/>
      <c r="P1001" s="127"/>
      <c r="Q1001" s="126"/>
      <c r="R1001" s="128"/>
      <c r="S1001" s="128"/>
      <c r="T1001" s="128"/>
      <c r="U1001" s="128"/>
      <c r="V1001" s="129"/>
      <c r="W1001" s="129"/>
      <c r="X1001" s="129"/>
      <c r="Y1001" s="129"/>
      <c r="Z1001" s="145" t="b">
        <v>0</v>
      </c>
      <c r="AA1001" s="145"/>
      <c r="AB1001" s="129"/>
      <c r="AC1001" s="129"/>
      <c r="AD1001" s="129"/>
      <c r="AE1001" s="129"/>
      <c r="AF1001" s="132"/>
      <c r="AG1001" s="128" t="b">
        <v>0</v>
      </c>
      <c r="AH1001" s="128"/>
      <c r="AI1001" s="128"/>
      <c r="AJ1001" s="128"/>
      <c r="AK1001" s="128"/>
      <c r="AL1001" s="129"/>
      <c r="AM1001" s="129"/>
      <c r="AN1001" s="139"/>
    </row>
    <row r="1002">
      <c r="A1002" s="129"/>
      <c r="B1002" s="119"/>
      <c r="C1002" s="128"/>
      <c r="D1002" s="142"/>
      <c r="E1002" s="122"/>
      <c r="F1002" s="136"/>
      <c r="G1002" s="152"/>
      <c r="H1002" s="155"/>
      <c r="I1002" s="155"/>
      <c r="J1002" s="155"/>
      <c r="K1002" s="155"/>
      <c r="L1002" s="155"/>
      <c r="M1002" s="126"/>
      <c r="N1002" s="127"/>
      <c r="O1002" s="127"/>
      <c r="P1002" s="127"/>
      <c r="Q1002" s="126"/>
      <c r="R1002" s="128"/>
      <c r="S1002" s="128"/>
      <c r="T1002" s="128"/>
      <c r="U1002" s="128"/>
      <c r="V1002" s="129"/>
      <c r="W1002" s="129"/>
      <c r="X1002" s="129"/>
      <c r="Y1002" s="129"/>
      <c r="Z1002" s="145" t="b">
        <v>0</v>
      </c>
      <c r="AA1002" s="145"/>
      <c r="AB1002" s="129"/>
      <c r="AC1002" s="129"/>
      <c r="AD1002" s="129"/>
      <c r="AE1002" s="129"/>
      <c r="AF1002" s="132"/>
      <c r="AG1002" s="128" t="b">
        <v>0</v>
      </c>
      <c r="AH1002" s="128"/>
      <c r="AI1002" s="128"/>
      <c r="AJ1002" s="128"/>
      <c r="AK1002" s="128"/>
      <c r="AL1002" s="129"/>
      <c r="AM1002" s="129"/>
      <c r="AN1002" s="139"/>
    </row>
    <row r="1003">
      <c r="A1003" s="129"/>
      <c r="B1003" s="119"/>
      <c r="C1003" s="128"/>
      <c r="D1003" s="142"/>
      <c r="E1003" s="122"/>
      <c r="F1003" s="136"/>
      <c r="G1003" s="152"/>
      <c r="H1003" s="155"/>
      <c r="I1003" s="155"/>
      <c r="J1003" s="155"/>
      <c r="K1003" s="155"/>
      <c r="L1003" s="155"/>
      <c r="M1003" s="126"/>
      <c r="N1003" s="127"/>
      <c r="O1003" s="127"/>
      <c r="P1003" s="127"/>
      <c r="Q1003" s="126"/>
      <c r="R1003" s="128"/>
      <c r="S1003" s="128"/>
      <c r="T1003" s="128"/>
      <c r="U1003" s="128"/>
      <c r="V1003" s="129"/>
      <c r="W1003" s="129"/>
      <c r="X1003" s="129"/>
      <c r="Y1003" s="129"/>
      <c r="Z1003" s="145" t="b">
        <v>0</v>
      </c>
      <c r="AA1003" s="145"/>
      <c r="AB1003" s="129"/>
      <c r="AC1003" s="129"/>
      <c r="AD1003" s="129"/>
      <c r="AE1003" s="129"/>
      <c r="AF1003" s="132"/>
      <c r="AG1003" s="128" t="b">
        <v>0</v>
      </c>
      <c r="AH1003" s="128"/>
      <c r="AI1003" s="128"/>
      <c r="AJ1003" s="128"/>
      <c r="AK1003" s="128"/>
      <c r="AL1003" s="129"/>
      <c r="AM1003" s="129"/>
      <c r="AN1003" s="139"/>
    </row>
    <row r="1004">
      <c r="A1004" s="129"/>
      <c r="B1004" s="119"/>
      <c r="C1004" s="128"/>
      <c r="D1004" s="142"/>
      <c r="E1004" s="122"/>
      <c r="F1004" s="136"/>
      <c r="G1004" s="152"/>
      <c r="H1004" s="155"/>
      <c r="I1004" s="155"/>
      <c r="J1004" s="155"/>
      <c r="K1004" s="155"/>
      <c r="L1004" s="155"/>
      <c r="M1004" s="126"/>
      <c r="N1004" s="127"/>
      <c r="O1004" s="127"/>
      <c r="P1004" s="127"/>
      <c r="Q1004" s="126"/>
      <c r="R1004" s="128"/>
      <c r="S1004" s="128"/>
      <c r="T1004" s="128"/>
      <c r="U1004" s="128"/>
      <c r="V1004" s="129"/>
      <c r="W1004" s="129"/>
      <c r="X1004" s="129"/>
      <c r="Y1004" s="129"/>
      <c r="Z1004" s="145" t="b">
        <v>0</v>
      </c>
      <c r="AA1004" s="145"/>
      <c r="AB1004" s="129"/>
      <c r="AC1004" s="129"/>
      <c r="AD1004" s="129"/>
      <c r="AE1004" s="129"/>
      <c r="AF1004" s="132"/>
      <c r="AG1004" s="128" t="b">
        <v>0</v>
      </c>
      <c r="AH1004" s="128"/>
      <c r="AI1004" s="128"/>
      <c r="AJ1004" s="128"/>
      <c r="AK1004" s="128"/>
      <c r="AL1004" s="129"/>
      <c r="AM1004" s="129"/>
      <c r="AN1004" s="139"/>
    </row>
    <row r="1005">
      <c r="A1005" s="129"/>
      <c r="B1005" s="119"/>
      <c r="C1005" s="128"/>
      <c r="D1005" s="142"/>
      <c r="E1005" s="122"/>
      <c r="F1005" s="136"/>
      <c r="G1005" s="152"/>
      <c r="H1005" s="155"/>
      <c r="I1005" s="155"/>
      <c r="J1005" s="155"/>
      <c r="K1005" s="155"/>
      <c r="L1005" s="155"/>
      <c r="M1005" s="126"/>
      <c r="N1005" s="127"/>
      <c r="O1005" s="127"/>
      <c r="P1005" s="127"/>
      <c r="Q1005" s="126"/>
      <c r="R1005" s="128"/>
      <c r="S1005" s="128"/>
      <c r="T1005" s="128"/>
      <c r="U1005" s="128"/>
      <c r="V1005" s="129"/>
      <c r="W1005" s="129"/>
      <c r="X1005" s="129"/>
      <c r="Y1005" s="129"/>
      <c r="Z1005" s="145" t="b">
        <v>0</v>
      </c>
      <c r="AA1005" s="145"/>
      <c r="AB1005" s="129"/>
      <c r="AC1005" s="129"/>
      <c r="AD1005" s="129"/>
      <c r="AE1005" s="129"/>
      <c r="AF1005" s="132"/>
      <c r="AG1005" s="128" t="b">
        <v>0</v>
      </c>
      <c r="AH1005" s="128"/>
      <c r="AI1005" s="128"/>
      <c r="AJ1005" s="128"/>
      <c r="AK1005" s="128"/>
      <c r="AL1005" s="129"/>
      <c r="AM1005" s="129"/>
      <c r="AN1005" s="139"/>
    </row>
    <row r="1006">
      <c r="A1006" s="129"/>
      <c r="B1006" s="119"/>
      <c r="C1006" s="128"/>
      <c r="D1006" s="142"/>
      <c r="E1006" s="122"/>
      <c r="F1006" s="136"/>
      <c r="G1006" s="152"/>
      <c r="H1006" s="155"/>
      <c r="I1006" s="155"/>
      <c r="J1006" s="155"/>
      <c r="K1006" s="155"/>
      <c r="L1006" s="155"/>
      <c r="M1006" s="126"/>
      <c r="N1006" s="127"/>
      <c r="O1006" s="127"/>
      <c r="P1006" s="127"/>
      <c r="Q1006" s="126"/>
      <c r="R1006" s="128"/>
      <c r="S1006" s="128"/>
      <c r="T1006" s="128"/>
      <c r="U1006" s="128"/>
      <c r="V1006" s="129"/>
      <c r="W1006" s="129"/>
      <c r="X1006" s="129"/>
      <c r="Y1006" s="129"/>
      <c r="Z1006" s="145" t="b">
        <v>0</v>
      </c>
      <c r="AA1006" s="145"/>
      <c r="AB1006" s="129"/>
      <c r="AC1006" s="129"/>
      <c r="AD1006" s="129"/>
      <c r="AE1006" s="129"/>
      <c r="AF1006" s="132"/>
      <c r="AG1006" s="128" t="b">
        <v>0</v>
      </c>
      <c r="AH1006" s="128"/>
      <c r="AI1006" s="128"/>
      <c r="AJ1006" s="128"/>
      <c r="AK1006" s="128"/>
      <c r="AL1006" s="129"/>
      <c r="AM1006" s="129"/>
      <c r="AN1006" s="139"/>
    </row>
    <row r="1007">
      <c r="A1007" s="129"/>
      <c r="B1007" s="119"/>
      <c r="C1007" s="128"/>
      <c r="D1007" s="142"/>
      <c r="E1007" s="122"/>
      <c r="F1007" s="136"/>
      <c r="G1007" s="152"/>
      <c r="H1007" s="155"/>
      <c r="I1007" s="155"/>
      <c r="J1007" s="155"/>
      <c r="K1007" s="155"/>
      <c r="L1007" s="155"/>
      <c r="M1007" s="126"/>
      <c r="N1007" s="127"/>
      <c r="O1007" s="127"/>
      <c r="P1007" s="127"/>
      <c r="Q1007" s="126"/>
      <c r="R1007" s="128"/>
      <c r="S1007" s="128"/>
      <c r="T1007" s="128"/>
      <c r="U1007" s="128"/>
      <c r="V1007" s="129"/>
      <c r="W1007" s="129"/>
      <c r="X1007" s="129"/>
      <c r="Y1007" s="129"/>
      <c r="Z1007" s="145" t="b">
        <v>0</v>
      </c>
      <c r="AA1007" s="145"/>
      <c r="AB1007" s="129"/>
      <c r="AC1007" s="129"/>
      <c r="AD1007" s="129"/>
      <c r="AE1007" s="129"/>
      <c r="AF1007" s="132"/>
      <c r="AG1007" s="128" t="b">
        <v>0</v>
      </c>
      <c r="AH1007" s="128"/>
      <c r="AI1007" s="128"/>
      <c r="AJ1007" s="128"/>
      <c r="AK1007" s="128"/>
      <c r="AL1007" s="129"/>
      <c r="AM1007" s="129"/>
      <c r="AN1007" s="139"/>
    </row>
    <row r="1008">
      <c r="A1008" s="129"/>
      <c r="B1008" s="119"/>
      <c r="C1008" s="128"/>
      <c r="D1008" s="142"/>
      <c r="E1008" s="122"/>
      <c r="F1008" s="136"/>
      <c r="G1008" s="152"/>
      <c r="H1008" s="155"/>
      <c r="I1008" s="155"/>
      <c r="J1008" s="155"/>
      <c r="K1008" s="155"/>
      <c r="L1008" s="155"/>
      <c r="M1008" s="126"/>
      <c r="N1008" s="127"/>
      <c r="O1008" s="127"/>
      <c r="P1008" s="127"/>
      <c r="Q1008" s="126"/>
      <c r="R1008" s="128"/>
      <c r="S1008" s="128"/>
      <c r="T1008" s="128"/>
      <c r="U1008" s="128"/>
      <c r="V1008" s="129"/>
      <c r="W1008" s="129"/>
      <c r="X1008" s="129"/>
      <c r="Y1008" s="129"/>
      <c r="Z1008" s="145" t="b">
        <v>0</v>
      </c>
      <c r="AA1008" s="145"/>
      <c r="AB1008" s="129"/>
      <c r="AC1008" s="129"/>
      <c r="AD1008" s="129"/>
      <c r="AE1008" s="129"/>
      <c r="AF1008" s="132"/>
      <c r="AG1008" s="128" t="b">
        <v>0</v>
      </c>
      <c r="AH1008" s="128"/>
      <c r="AI1008" s="128"/>
      <c r="AJ1008" s="128"/>
      <c r="AK1008" s="128"/>
      <c r="AL1008" s="129"/>
      <c r="AM1008" s="129"/>
      <c r="AN1008" s="139"/>
    </row>
    <row r="1009">
      <c r="A1009" s="129"/>
      <c r="B1009" s="119"/>
      <c r="C1009" s="128"/>
      <c r="D1009" s="142"/>
      <c r="E1009" s="122"/>
      <c r="F1009" s="136"/>
      <c r="G1009" s="152"/>
      <c r="H1009" s="155"/>
      <c r="I1009" s="155"/>
      <c r="J1009" s="155"/>
      <c r="K1009" s="155"/>
      <c r="L1009" s="155"/>
      <c r="M1009" s="126"/>
      <c r="N1009" s="127"/>
      <c r="O1009" s="127"/>
      <c r="P1009" s="127"/>
      <c r="Q1009" s="126"/>
      <c r="R1009" s="128"/>
      <c r="S1009" s="128"/>
      <c r="T1009" s="128"/>
      <c r="U1009" s="128"/>
      <c r="V1009" s="129"/>
      <c r="W1009" s="129"/>
      <c r="X1009" s="129"/>
      <c r="Y1009" s="129"/>
      <c r="Z1009" s="145" t="b">
        <v>0</v>
      </c>
      <c r="AA1009" s="145"/>
      <c r="AB1009" s="129"/>
      <c r="AC1009" s="129"/>
      <c r="AD1009" s="129"/>
      <c r="AE1009" s="129"/>
      <c r="AF1009" s="132"/>
      <c r="AG1009" s="128" t="b">
        <v>0</v>
      </c>
      <c r="AH1009" s="128"/>
      <c r="AI1009" s="128"/>
      <c r="AJ1009" s="128"/>
      <c r="AK1009" s="128"/>
      <c r="AL1009" s="129"/>
      <c r="AM1009" s="129"/>
      <c r="AN1009" s="139"/>
    </row>
    <row r="1010">
      <c r="A1010" s="129"/>
      <c r="B1010" s="119"/>
      <c r="C1010" s="128"/>
      <c r="D1010" s="142"/>
      <c r="E1010" s="122"/>
      <c r="F1010" s="136"/>
      <c r="G1010" s="152"/>
      <c r="H1010" s="155"/>
      <c r="I1010" s="155"/>
      <c r="J1010" s="155"/>
      <c r="K1010" s="155"/>
      <c r="L1010" s="155"/>
      <c r="M1010" s="126"/>
      <c r="N1010" s="127"/>
      <c r="O1010" s="127"/>
      <c r="P1010" s="127"/>
      <c r="Q1010" s="126"/>
      <c r="R1010" s="128"/>
      <c r="S1010" s="128"/>
      <c r="T1010" s="128"/>
      <c r="U1010" s="128"/>
      <c r="V1010" s="129"/>
      <c r="W1010" s="129"/>
      <c r="X1010" s="129"/>
      <c r="Y1010" s="129"/>
      <c r="Z1010" s="145" t="b">
        <v>0</v>
      </c>
      <c r="AA1010" s="145"/>
      <c r="AB1010" s="129"/>
      <c r="AC1010" s="129"/>
      <c r="AD1010" s="129"/>
      <c r="AE1010" s="129"/>
      <c r="AF1010" s="132"/>
      <c r="AG1010" s="128" t="b">
        <v>0</v>
      </c>
      <c r="AH1010" s="128"/>
      <c r="AI1010" s="128"/>
      <c r="AJ1010" s="128"/>
      <c r="AK1010" s="128"/>
      <c r="AL1010" s="129"/>
      <c r="AM1010" s="129"/>
      <c r="AN1010" s="139"/>
    </row>
    <row r="1011">
      <c r="A1011" s="129"/>
      <c r="B1011" s="119"/>
      <c r="C1011" s="128"/>
      <c r="D1011" s="142"/>
      <c r="E1011" s="122"/>
      <c r="F1011" s="136"/>
      <c r="G1011" s="152"/>
      <c r="H1011" s="155"/>
      <c r="I1011" s="155"/>
      <c r="J1011" s="155"/>
      <c r="K1011" s="155"/>
      <c r="L1011" s="155"/>
      <c r="M1011" s="126"/>
      <c r="N1011" s="127"/>
      <c r="O1011" s="127"/>
      <c r="P1011" s="127"/>
      <c r="Q1011" s="126"/>
      <c r="R1011" s="128"/>
      <c r="S1011" s="128"/>
      <c r="T1011" s="128"/>
      <c r="U1011" s="128"/>
      <c r="V1011" s="129"/>
      <c r="W1011" s="129"/>
      <c r="X1011" s="129"/>
      <c r="Y1011" s="129"/>
      <c r="Z1011" s="145" t="b">
        <v>0</v>
      </c>
      <c r="AA1011" s="145"/>
      <c r="AB1011" s="129"/>
      <c r="AC1011" s="129"/>
      <c r="AD1011" s="129"/>
      <c r="AE1011" s="129"/>
      <c r="AF1011" s="132"/>
      <c r="AG1011" s="128" t="b">
        <v>0</v>
      </c>
      <c r="AH1011" s="128"/>
      <c r="AI1011" s="128"/>
      <c r="AJ1011" s="128"/>
      <c r="AK1011" s="128"/>
      <c r="AL1011" s="129"/>
      <c r="AM1011" s="129"/>
      <c r="AN1011" s="139"/>
    </row>
    <row r="1012">
      <c r="A1012" s="129"/>
      <c r="B1012" s="119"/>
      <c r="C1012" s="128"/>
      <c r="D1012" s="142"/>
      <c r="E1012" s="122"/>
      <c r="F1012" s="136"/>
      <c r="G1012" s="152"/>
      <c r="H1012" s="155"/>
      <c r="I1012" s="155"/>
      <c r="J1012" s="155"/>
      <c r="K1012" s="155"/>
      <c r="L1012" s="155"/>
      <c r="M1012" s="126"/>
      <c r="N1012" s="127"/>
      <c r="O1012" s="127"/>
      <c r="P1012" s="127"/>
      <c r="Q1012" s="126"/>
      <c r="R1012" s="128"/>
      <c r="S1012" s="128"/>
      <c r="T1012" s="128"/>
      <c r="U1012" s="128"/>
      <c r="V1012" s="129"/>
      <c r="W1012" s="129"/>
      <c r="X1012" s="129"/>
      <c r="Y1012" s="129"/>
      <c r="Z1012" s="145" t="b">
        <v>0</v>
      </c>
      <c r="AA1012" s="145"/>
      <c r="AB1012" s="129"/>
      <c r="AC1012" s="129"/>
      <c r="AD1012" s="129"/>
      <c r="AE1012" s="129"/>
      <c r="AF1012" s="132"/>
      <c r="AG1012" s="128" t="b">
        <v>0</v>
      </c>
      <c r="AH1012" s="128"/>
      <c r="AI1012" s="128"/>
      <c r="AJ1012" s="128"/>
      <c r="AK1012" s="128"/>
      <c r="AL1012" s="129"/>
      <c r="AM1012" s="129"/>
      <c r="AN1012" s="139"/>
    </row>
    <row r="1013">
      <c r="A1013" s="129"/>
      <c r="B1013" s="119"/>
      <c r="C1013" s="128"/>
      <c r="D1013" s="142"/>
      <c r="E1013" s="122"/>
      <c r="F1013" s="136"/>
      <c r="G1013" s="152"/>
      <c r="H1013" s="155"/>
      <c r="I1013" s="155"/>
      <c r="J1013" s="155"/>
      <c r="K1013" s="155"/>
      <c r="L1013" s="155"/>
      <c r="M1013" s="126"/>
      <c r="N1013" s="127"/>
      <c r="O1013" s="127"/>
      <c r="P1013" s="127"/>
      <c r="Q1013" s="126"/>
      <c r="R1013" s="128"/>
      <c r="S1013" s="128"/>
      <c r="T1013" s="128"/>
      <c r="U1013" s="128"/>
      <c r="V1013" s="129"/>
      <c r="W1013" s="129"/>
      <c r="X1013" s="129"/>
      <c r="Y1013" s="129"/>
      <c r="Z1013" s="145" t="b">
        <v>0</v>
      </c>
      <c r="AA1013" s="145"/>
      <c r="AB1013" s="129"/>
      <c r="AC1013" s="129"/>
      <c r="AD1013" s="129"/>
      <c r="AE1013" s="129"/>
      <c r="AF1013" s="132"/>
      <c r="AG1013" s="128" t="b">
        <v>0</v>
      </c>
      <c r="AH1013" s="128"/>
      <c r="AI1013" s="128"/>
      <c r="AJ1013" s="128"/>
      <c r="AK1013" s="128"/>
      <c r="AL1013" s="129"/>
      <c r="AM1013" s="129"/>
      <c r="AN1013" s="139"/>
    </row>
    <row r="1014">
      <c r="A1014" s="129"/>
      <c r="B1014" s="119"/>
      <c r="C1014" s="128"/>
      <c r="D1014" s="142"/>
      <c r="E1014" s="122"/>
      <c r="F1014" s="136"/>
      <c r="G1014" s="152"/>
      <c r="H1014" s="155"/>
      <c r="I1014" s="155"/>
      <c r="J1014" s="155"/>
      <c r="K1014" s="155"/>
      <c r="L1014" s="155"/>
      <c r="M1014" s="126"/>
      <c r="N1014" s="127"/>
      <c r="O1014" s="127"/>
      <c r="P1014" s="127"/>
      <c r="Q1014" s="126"/>
      <c r="R1014" s="128"/>
      <c r="S1014" s="128"/>
      <c r="T1014" s="128"/>
      <c r="U1014" s="128"/>
      <c r="V1014" s="129"/>
      <c r="W1014" s="129"/>
      <c r="X1014" s="129"/>
      <c r="Y1014" s="129"/>
      <c r="Z1014" s="145" t="b">
        <v>0</v>
      </c>
      <c r="AA1014" s="145"/>
      <c r="AB1014" s="129"/>
      <c r="AC1014" s="129"/>
      <c r="AD1014" s="129"/>
      <c r="AE1014" s="129"/>
      <c r="AF1014" s="132"/>
      <c r="AG1014" s="128" t="b">
        <v>0</v>
      </c>
      <c r="AH1014" s="128"/>
      <c r="AI1014" s="128"/>
      <c r="AJ1014" s="128"/>
      <c r="AK1014" s="128"/>
      <c r="AL1014" s="129"/>
      <c r="AM1014" s="129"/>
      <c r="AN1014" s="139"/>
    </row>
    <row r="1015">
      <c r="A1015" s="129"/>
      <c r="B1015" s="119"/>
      <c r="C1015" s="128"/>
      <c r="D1015" s="142"/>
      <c r="E1015" s="122"/>
      <c r="F1015" s="136"/>
      <c r="G1015" s="152"/>
      <c r="H1015" s="155"/>
      <c r="I1015" s="155"/>
      <c r="J1015" s="155"/>
      <c r="K1015" s="155"/>
      <c r="L1015" s="155"/>
      <c r="M1015" s="126"/>
      <c r="N1015" s="127"/>
      <c r="O1015" s="127"/>
      <c r="P1015" s="127"/>
      <c r="Q1015" s="126"/>
      <c r="R1015" s="128"/>
      <c r="S1015" s="128"/>
      <c r="T1015" s="128"/>
      <c r="U1015" s="128"/>
      <c r="V1015" s="129"/>
      <c r="W1015" s="129"/>
      <c r="X1015" s="129"/>
      <c r="Y1015" s="129"/>
      <c r="Z1015" s="145" t="b">
        <v>0</v>
      </c>
      <c r="AA1015" s="145"/>
      <c r="AB1015" s="129"/>
      <c r="AC1015" s="129"/>
      <c r="AD1015" s="129"/>
      <c r="AE1015" s="129"/>
      <c r="AF1015" s="132"/>
      <c r="AG1015" s="128" t="b">
        <v>0</v>
      </c>
      <c r="AH1015" s="128"/>
      <c r="AI1015" s="128"/>
      <c r="AJ1015" s="128"/>
      <c r="AK1015" s="128"/>
      <c r="AL1015" s="129"/>
      <c r="AM1015" s="129"/>
      <c r="AN1015" s="139"/>
    </row>
    <row r="1016">
      <c r="A1016" s="129"/>
      <c r="B1016" s="119"/>
      <c r="C1016" s="128"/>
      <c r="D1016" s="142"/>
      <c r="E1016" s="122"/>
      <c r="F1016" s="136"/>
      <c r="G1016" s="152"/>
      <c r="H1016" s="155"/>
      <c r="I1016" s="155"/>
      <c r="J1016" s="155"/>
      <c r="K1016" s="155"/>
      <c r="L1016" s="155"/>
      <c r="M1016" s="126"/>
      <c r="N1016" s="127"/>
      <c r="O1016" s="127"/>
      <c r="P1016" s="127"/>
      <c r="Q1016" s="126"/>
      <c r="R1016" s="128"/>
      <c r="S1016" s="128"/>
      <c r="T1016" s="128"/>
      <c r="U1016" s="128"/>
      <c r="V1016" s="129"/>
      <c r="W1016" s="129"/>
      <c r="X1016" s="129"/>
      <c r="Y1016" s="129"/>
      <c r="Z1016" s="145" t="b">
        <v>0</v>
      </c>
      <c r="AA1016" s="145"/>
      <c r="AB1016" s="129"/>
      <c r="AC1016" s="129"/>
      <c r="AD1016" s="129"/>
      <c r="AE1016" s="129"/>
      <c r="AF1016" s="132"/>
      <c r="AG1016" s="128" t="b">
        <v>0</v>
      </c>
      <c r="AH1016" s="128"/>
      <c r="AI1016" s="128"/>
      <c r="AJ1016" s="128"/>
      <c r="AK1016" s="128"/>
      <c r="AL1016" s="129"/>
      <c r="AM1016" s="129"/>
      <c r="AN1016" s="139"/>
    </row>
    <row r="1017">
      <c r="A1017" s="129"/>
      <c r="B1017" s="119"/>
      <c r="C1017" s="128"/>
      <c r="D1017" s="142"/>
      <c r="E1017" s="122"/>
      <c r="F1017" s="136"/>
      <c r="G1017" s="152"/>
      <c r="H1017" s="155"/>
      <c r="I1017" s="155"/>
      <c r="J1017" s="155"/>
      <c r="K1017" s="155"/>
      <c r="L1017" s="155"/>
      <c r="M1017" s="126"/>
      <c r="N1017" s="127"/>
      <c r="O1017" s="127"/>
      <c r="P1017" s="127"/>
      <c r="Q1017" s="126"/>
      <c r="R1017" s="128"/>
      <c r="S1017" s="128"/>
      <c r="T1017" s="128"/>
      <c r="U1017" s="128"/>
      <c r="V1017" s="129"/>
      <c r="W1017" s="129"/>
      <c r="X1017" s="129"/>
      <c r="Y1017" s="129"/>
      <c r="Z1017" s="145" t="b">
        <v>0</v>
      </c>
      <c r="AA1017" s="145"/>
      <c r="AB1017" s="129"/>
      <c r="AC1017" s="129"/>
      <c r="AD1017" s="129"/>
      <c r="AE1017" s="129"/>
      <c r="AF1017" s="132"/>
      <c r="AG1017" s="128" t="b">
        <v>0</v>
      </c>
      <c r="AH1017" s="128"/>
      <c r="AI1017" s="128"/>
      <c r="AJ1017" s="128"/>
      <c r="AK1017" s="128"/>
      <c r="AL1017" s="129"/>
      <c r="AM1017" s="129"/>
      <c r="AN1017" s="139"/>
    </row>
    <row r="1018">
      <c r="A1018" s="129"/>
      <c r="B1018" s="119"/>
      <c r="C1018" s="128"/>
      <c r="D1018" s="142"/>
      <c r="E1018" s="122"/>
      <c r="F1018" s="136"/>
      <c r="G1018" s="152"/>
      <c r="H1018" s="155"/>
      <c r="I1018" s="155"/>
      <c r="J1018" s="155"/>
      <c r="K1018" s="155"/>
      <c r="L1018" s="155"/>
      <c r="M1018" s="126"/>
      <c r="N1018" s="127"/>
      <c r="O1018" s="127"/>
      <c r="P1018" s="127"/>
      <c r="Q1018" s="126"/>
      <c r="R1018" s="128"/>
      <c r="S1018" s="128"/>
      <c r="T1018" s="128"/>
      <c r="U1018" s="128"/>
      <c r="V1018" s="129"/>
      <c r="W1018" s="129"/>
      <c r="X1018" s="129"/>
      <c r="Y1018" s="129"/>
      <c r="Z1018" s="145" t="b">
        <v>0</v>
      </c>
      <c r="AA1018" s="145"/>
      <c r="AB1018" s="129"/>
      <c r="AC1018" s="129"/>
      <c r="AD1018" s="129"/>
      <c r="AE1018" s="129"/>
      <c r="AF1018" s="132"/>
      <c r="AG1018" s="128" t="b">
        <v>0</v>
      </c>
      <c r="AH1018" s="128"/>
      <c r="AI1018" s="128"/>
      <c r="AJ1018" s="128"/>
      <c r="AK1018" s="128"/>
      <c r="AL1018" s="129"/>
      <c r="AM1018" s="129"/>
      <c r="AN1018" s="139"/>
    </row>
    <row r="1019">
      <c r="A1019" s="129"/>
      <c r="B1019" s="119"/>
      <c r="C1019" s="128"/>
      <c r="D1019" s="142"/>
      <c r="E1019" s="122"/>
      <c r="F1019" s="136"/>
      <c r="G1019" s="152"/>
      <c r="H1019" s="155"/>
      <c r="I1019" s="155"/>
      <c r="J1019" s="155"/>
      <c r="K1019" s="155"/>
      <c r="L1019" s="155"/>
      <c r="M1019" s="126"/>
      <c r="N1019" s="127"/>
      <c r="O1019" s="127"/>
      <c r="P1019" s="127"/>
      <c r="Q1019" s="126"/>
      <c r="R1019" s="128"/>
      <c r="S1019" s="128"/>
      <c r="T1019" s="128"/>
      <c r="U1019" s="128"/>
      <c r="V1019" s="129"/>
      <c r="W1019" s="129"/>
      <c r="X1019" s="129"/>
      <c r="Y1019" s="129"/>
      <c r="Z1019" s="145" t="b">
        <v>0</v>
      </c>
      <c r="AA1019" s="145"/>
      <c r="AB1019" s="129"/>
      <c r="AC1019" s="129"/>
      <c r="AD1019" s="129"/>
      <c r="AE1019" s="129"/>
      <c r="AF1019" s="132"/>
      <c r="AG1019" s="128" t="b">
        <v>0</v>
      </c>
      <c r="AH1019" s="128"/>
      <c r="AI1019" s="128"/>
      <c r="AJ1019" s="128"/>
      <c r="AK1019" s="128"/>
      <c r="AL1019" s="129"/>
      <c r="AM1019" s="129"/>
      <c r="AN1019" s="139"/>
    </row>
    <row r="1020">
      <c r="A1020" s="129"/>
      <c r="B1020" s="119"/>
      <c r="C1020" s="128"/>
      <c r="D1020" s="142"/>
      <c r="E1020" s="122"/>
      <c r="F1020" s="136"/>
      <c r="G1020" s="152"/>
      <c r="H1020" s="155"/>
      <c r="I1020" s="155"/>
      <c r="J1020" s="155"/>
      <c r="K1020" s="155"/>
      <c r="L1020" s="155"/>
      <c r="M1020" s="126"/>
      <c r="N1020" s="127"/>
      <c r="O1020" s="127"/>
      <c r="P1020" s="127"/>
      <c r="Q1020" s="126"/>
      <c r="R1020" s="128"/>
      <c r="S1020" s="128"/>
      <c r="T1020" s="128"/>
      <c r="U1020" s="128"/>
      <c r="V1020" s="129"/>
      <c r="W1020" s="129"/>
      <c r="X1020" s="129"/>
      <c r="Y1020" s="129"/>
      <c r="Z1020" s="145" t="b">
        <v>0</v>
      </c>
      <c r="AA1020" s="145"/>
      <c r="AB1020" s="129"/>
      <c r="AC1020" s="129"/>
      <c r="AD1020" s="129"/>
      <c r="AE1020" s="129"/>
      <c r="AF1020" s="132"/>
      <c r="AG1020" s="128" t="b">
        <v>0</v>
      </c>
      <c r="AH1020" s="128"/>
      <c r="AI1020" s="128"/>
      <c r="AJ1020" s="128"/>
      <c r="AK1020" s="128"/>
      <c r="AL1020" s="129"/>
      <c r="AM1020" s="129"/>
      <c r="AN1020" s="139"/>
    </row>
    <row r="1021">
      <c r="A1021" s="129"/>
      <c r="B1021" s="119"/>
      <c r="C1021" s="128"/>
      <c r="D1021" s="142"/>
      <c r="E1021" s="122"/>
      <c r="F1021" s="136"/>
      <c r="G1021" s="152"/>
      <c r="H1021" s="155"/>
      <c r="I1021" s="155"/>
      <c r="J1021" s="155"/>
      <c r="K1021" s="155"/>
      <c r="L1021" s="155"/>
      <c r="M1021" s="126"/>
      <c r="N1021" s="127"/>
      <c r="O1021" s="127"/>
      <c r="P1021" s="127"/>
      <c r="Q1021" s="126"/>
      <c r="R1021" s="128"/>
      <c r="S1021" s="128"/>
      <c r="T1021" s="128"/>
      <c r="U1021" s="128"/>
      <c r="V1021" s="129"/>
      <c r="W1021" s="129"/>
      <c r="X1021" s="129"/>
      <c r="Y1021" s="129"/>
      <c r="Z1021" s="145" t="b">
        <v>0</v>
      </c>
      <c r="AA1021" s="145"/>
      <c r="AB1021" s="129"/>
      <c r="AC1021" s="129"/>
      <c r="AD1021" s="129"/>
      <c r="AE1021" s="129"/>
      <c r="AF1021" s="132"/>
      <c r="AG1021" s="128" t="b">
        <v>0</v>
      </c>
      <c r="AH1021" s="128"/>
      <c r="AI1021" s="128"/>
      <c r="AJ1021" s="128"/>
      <c r="AK1021" s="128"/>
      <c r="AL1021" s="129"/>
      <c r="AM1021" s="129"/>
      <c r="AN1021" s="139"/>
    </row>
    <row r="1022">
      <c r="A1022" s="129"/>
      <c r="B1022" s="119"/>
      <c r="C1022" s="128"/>
      <c r="D1022" s="142"/>
      <c r="E1022" s="122"/>
      <c r="F1022" s="136"/>
      <c r="G1022" s="152"/>
      <c r="H1022" s="155"/>
      <c r="I1022" s="155"/>
      <c r="J1022" s="155"/>
      <c r="K1022" s="155"/>
      <c r="L1022" s="155"/>
      <c r="M1022" s="126"/>
      <c r="N1022" s="127"/>
      <c r="O1022" s="127"/>
      <c r="P1022" s="127"/>
      <c r="Q1022" s="126"/>
      <c r="R1022" s="128"/>
      <c r="S1022" s="128"/>
      <c r="T1022" s="128"/>
      <c r="U1022" s="128"/>
      <c r="V1022" s="129"/>
      <c r="W1022" s="129"/>
      <c r="X1022" s="129"/>
      <c r="Y1022" s="129"/>
      <c r="Z1022" s="145" t="b">
        <v>0</v>
      </c>
      <c r="AA1022" s="145"/>
      <c r="AB1022" s="129"/>
      <c r="AC1022" s="129"/>
      <c r="AD1022" s="129"/>
      <c r="AE1022" s="129"/>
      <c r="AF1022" s="132"/>
      <c r="AG1022" s="128" t="b">
        <v>0</v>
      </c>
      <c r="AH1022" s="128"/>
      <c r="AI1022" s="128"/>
      <c r="AJ1022" s="128"/>
      <c r="AK1022" s="128"/>
      <c r="AL1022" s="129"/>
      <c r="AM1022" s="129"/>
      <c r="AN1022" s="139"/>
    </row>
    <row r="1023">
      <c r="A1023" s="129"/>
      <c r="B1023" s="119"/>
      <c r="C1023" s="128"/>
      <c r="D1023" s="142"/>
      <c r="E1023" s="122"/>
      <c r="F1023" s="136"/>
      <c r="G1023" s="152"/>
      <c r="H1023" s="155"/>
      <c r="I1023" s="155"/>
      <c r="J1023" s="155"/>
      <c r="K1023" s="155"/>
      <c r="L1023" s="155"/>
      <c r="M1023" s="126"/>
      <c r="N1023" s="127"/>
      <c r="O1023" s="127"/>
      <c r="P1023" s="127"/>
      <c r="Q1023" s="126"/>
      <c r="R1023" s="128"/>
      <c r="S1023" s="128"/>
      <c r="T1023" s="128"/>
      <c r="U1023" s="128"/>
      <c r="V1023" s="129"/>
      <c r="W1023" s="129"/>
      <c r="X1023" s="129"/>
      <c r="Y1023" s="129"/>
      <c r="Z1023" s="145" t="b">
        <v>0</v>
      </c>
      <c r="AA1023" s="145"/>
      <c r="AB1023" s="129"/>
      <c r="AC1023" s="129"/>
      <c r="AD1023" s="129"/>
      <c r="AE1023" s="129"/>
      <c r="AF1023" s="132"/>
      <c r="AG1023" s="128" t="b">
        <v>0</v>
      </c>
      <c r="AH1023" s="128"/>
      <c r="AI1023" s="128"/>
      <c r="AJ1023" s="128"/>
      <c r="AK1023" s="128"/>
      <c r="AL1023" s="129"/>
      <c r="AM1023" s="129"/>
      <c r="AN1023" s="139"/>
    </row>
    <row r="1024">
      <c r="A1024" s="129"/>
      <c r="B1024" s="119"/>
      <c r="C1024" s="128"/>
      <c r="D1024" s="142"/>
      <c r="E1024" s="122"/>
      <c r="F1024" s="136"/>
      <c r="G1024" s="152"/>
      <c r="H1024" s="155"/>
      <c r="I1024" s="155"/>
      <c r="J1024" s="155"/>
      <c r="K1024" s="155"/>
      <c r="L1024" s="155"/>
      <c r="M1024" s="126"/>
      <c r="N1024" s="127"/>
      <c r="O1024" s="127"/>
      <c r="P1024" s="127"/>
      <c r="Q1024" s="126"/>
      <c r="R1024" s="128"/>
      <c r="S1024" s="128"/>
      <c r="T1024" s="128"/>
      <c r="U1024" s="128"/>
      <c r="V1024" s="129"/>
      <c r="W1024" s="129"/>
      <c r="X1024" s="129"/>
      <c r="Y1024" s="129"/>
      <c r="Z1024" s="145" t="b">
        <v>0</v>
      </c>
      <c r="AA1024" s="145"/>
      <c r="AB1024" s="129"/>
      <c r="AC1024" s="129"/>
      <c r="AD1024" s="129"/>
      <c r="AE1024" s="129"/>
      <c r="AF1024" s="132"/>
      <c r="AG1024" s="128" t="b">
        <v>0</v>
      </c>
      <c r="AH1024" s="128"/>
      <c r="AI1024" s="128"/>
      <c r="AJ1024" s="128"/>
      <c r="AK1024" s="128"/>
      <c r="AL1024" s="129"/>
      <c r="AM1024" s="129"/>
      <c r="AN1024" s="139"/>
    </row>
    <row r="1025">
      <c r="A1025" s="129"/>
      <c r="B1025" s="119"/>
      <c r="C1025" s="128"/>
      <c r="D1025" s="142"/>
      <c r="E1025" s="122"/>
      <c r="F1025" s="136"/>
      <c r="G1025" s="152"/>
      <c r="H1025" s="155"/>
      <c r="I1025" s="155"/>
      <c r="J1025" s="155"/>
      <c r="K1025" s="155"/>
      <c r="L1025" s="155"/>
      <c r="M1025" s="126"/>
      <c r="N1025" s="127"/>
      <c r="O1025" s="127"/>
      <c r="P1025" s="127"/>
      <c r="Q1025" s="126"/>
      <c r="R1025" s="128"/>
      <c r="S1025" s="128"/>
      <c r="T1025" s="128"/>
      <c r="U1025" s="128"/>
      <c r="V1025" s="129"/>
      <c r="W1025" s="129"/>
      <c r="X1025" s="129"/>
      <c r="Y1025" s="129"/>
      <c r="Z1025" s="145" t="b">
        <v>0</v>
      </c>
      <c r="AA1025" s="145"/>
      <c r="AB1025" s="129"/>
      <c r="AC1025" s="129"/>
      <c r="AD1025" s="129"/>
      <c r="AE1025" s="129"/>
      <c r="AF1025" s="132"/>
      <c r="AG1025" s="128" t="b">
        <v>0</v>
      </c>
      <c r="AH1025" s="128"/>
      <c r="AI1025" s="128"/>
      <c r="AJ1025" s="128"/>
      <c r="AK1025" s="128"/>
      <c r="AL1025" s="129"/>
      <c r="AM1025" s="129"/>
      <c r="AN1025" s="139"/>
    </row>
    <row r="1026">
      <c r="A1026" s="129"/>
      <c r="B1026" s="119"/>
      <c r="C1026" s="128"/>
      <c r="D1026" s="142"/>
      <c r="E1026" s="122"/>
      <c r="F1026" s="136"/>
      <c r="G1026" s="152"/>
      <c r="H1026" s="155"/>
      <c r="I1026" s="155"/>
      <c r="J1026" s="155"/>
      <c r="K1026" s="155"/>
      <c r="L1026" s="155"/>
      <c r="M1026" s="126"/>
      <c r="N1026" s="127"/>
      <c r="O1026" s="127"/>
      <c r="P1026" s="127"/>
      <c r="Q1026" s="126"/>
      <c r="R1026" s="128"/>
      <c r="S1026" s="128"/>
      <c r="T1026" s="128"/>
      <c r="U1026" s="128"/>
      <c r="V1026" s="129"/>
      <c r="W1026" s="129"/>
      <c r="X1026" s="129"/>
      <c r="Y1026" s="129"/>
      <c r="Z1026" s="145" t="b">
        <v>0</v>
      </c>
      <c r="AA1026" s="145"/>
      <c r="AB1026" s="129"/>
      <c r="AC1026" s="129"/>
      <c r="AD1026" s="129"/>
      <c r="AE1026" s="129"/>
      <c r="AF1026" s="132"/>
      <c r="AG1026" s="128" t="b">
        <v>0</v>
      </c>
      <c r="AH1026" s="128"/>
      <c r="AI1026" s="128"/>
      <c r="AJ1026" s="128"/>
      <c r="AK1026" s="128"/>
      <c r="AL1026" s="129"/>
      <c r="AM1026" s="129"/>
      <c r="AN1026" s="139"/>
    </row>
    <row r="1027">
      <c r="A1027" s="129"/>
      <c r="B1027" s="119"/>
      <c r="C1027" s="128"/>
      <c r="D1027" s="142"/>
      <c r="E1027" s="122"/>
      <c r="F1027" s="136"/>
      <c r="G1027" s="152"/>
      <c r="H1027" s="155"/>
      <c r="I1027" s="155"/>
      <c r="J1027" s="155"/>
      <c r="K1027" s="155"/>
      <c r="L1027" s="155"/>
      <c r="M1027" s="126"/>
      <c r="N1027" s="127"/>
      <c r="O1027" s="127"/>
      <c r="P1027" s="127"/>
      <c r="Q1027" s="126"/>
      <c r="R1027" s="128"/>
      <c r="S1027" s="128"/>
      <c r="T1027" s="128"/>
      <c r="U1027" s="128"/>
      <c r="V1027" s="129"/>
      <c r="W1027" s="129"/>
      <c r="X1027" s="129"/>
      <c r="Y1027" s="129"/>
      <c r="Z1027" s="145" t="b">
        <v>0</v>
      </c>
      <c r="AA1027" s="145"/>
      <c r="AB1027" s="129"/>
      <c r="AC1027" s="129"/>
      <c r="AD1027" s="129"/>
      <c r="AE1027" s="129"/>
      <c r="AF1027" s="132"/>
      <c r="AG1027" s="128" t="b">
        <v>0</v>
      </c>
      <c r="AH1027" s="128"/>
      <c r="AI1027" s="128"/>
      <c r="AJ1027" s="128"/>
      <c r="AK1027" s="128"/>
      <c r="AL1027" s="129"/>
      <c r="AM1027" s="129"/>
      <c r="AN1027" s="139"/>
    </row>
    <row r="1028">
      <c r="A1028" s="129"/>
      <c r="B1028" s="119"/>
      <c r="C1028" s="128"/>
      <c r="D1028" s="142"/>
      <c r="E1028" s="122"/>
      <c r="F1028" s="136"/>
      <c r="G1028" s="152"/>
      <c r="H1028" s="155"/>
      <c r="I1028" s="155"/>
      <c r="J1028" s="155"/>
      <c r="K1028" s="155"/>
      <c r="L1028" s="155"/>
      <c r="M1028" s="126"/>
      <c r="N1028" s="127"/>
      <c r="O1028" s="127"/>
      <c r="P1028" s="127"/>
      <c r="Q1028" s="126"/>
      <c r="R1028" s="128"/>
      <c r="S1028" s="128"/>
      <c r="T1028" s="128"/>
      <c r="U1028" s="128"/>
      <c r="V1028" s="129"/>
      <c r="W1028" s="129"/>
      <c r="X1028" s="129"/>
      <c r="Y1028" s="129"/>
      <c r="Z1028" s="145" t="b">
        <v>0</v>
      </c>
      <c r="AA1028" s="145"/>
      <c r="AB1028" s="129"/>
      <c r="AC1028" s="129"/>
      <c r="AD1028" s="129"/>
      <c r="AE1028" s="129"/>
      <c r="AF1028" s="132"/>
      <c r="AG1028" s="128" t="b">
        <v>0</v>
      </c>
      <c r="AH1028" s="128"/>
      <c r="AI1028" s="128"/>
      <c r="AJ1028" s="128"/>
      <c r="AK1028" s="128"/>
      <c r="AL1028" s="129"/>
      <c r="AM1028" s="129"/>
      <c r="AN1028" s="139"/>
    </row>
    <row r="1029">
      <c r="A1029" s="129"/>
      <c r="B1029" s="119"/>
      <c r="C1029" s="128"/>
      <c r="D1029" s="142"/>
      <c r="E1029" s="122"/>
      <c r="F1029" s="136"/>
      <c r="G1029" s="152"/>
      <c r="H1029" s="155"/>
      <c r="I1029" s="155"/>
      <c r="J1029" s="155"/>
      <c r="K1029" s="155"/>
      <c r="L1029" s="155"/>
      <c r="M1029" s="126"/>
      <c r="N1029" s="127"/>
      <c r="O1029" s="127"/>
      <c r="P1029" s="127"/>
      <c r="Q1029" s="126"/>
      <c r="R1029" s="128"/>
      <c r="S1029" s="128"/>
      <c r="T1029" s="128"/>
      <c r="U1029" s="128"/>
      <c r="V1029" s="129"/>
      <c r="W1029" s="129"/>
      <c r="X1029" s="129"/>
      <c r="Y1029" s="129"/>
      <c r="Z1029" s="145" t="b">
        <v>0</v>
      </c>
      <c r="AA1029" s="145"/>
      <c r="AB1029" s="129"/>
      <c r="AC1029" s="129"/>
      <c r="AD1029" s="129"/>
      <c r="AE1029" s="129"/>
      <c r="AF1029" s="132"/>
      <c r="AG1029" s="128" t="b">
        <v>0</v>
      </c>
      <c r="AH1029" s="128"/>
      <c r="AI1029" s="128"/>
      <c r="AJ1029" s="128"/>
      <c r="AK1029" s="128"/>
      <c r="AL1029" s="129"/>
      <c r="AM1029" s="129"/>
      <c r="AN1029" s="139"/>
    </row>
    <row r="1030">
      <c r="A1030" s="129"/>
      <c r="B1030" s="119"/>
      <c r="C1030" s="128"/>
      <c r="D1030" s="142"/>
      <c r="E1030" s="122"/>
      <c r="F1030" s="136"/>
      <c r="G1030" s="152"/>
      <c r="H1030" s="155"/>
      <c r="I1030" s="155"/>
      <c r="J1030" s="155"/>
      <c r="K1030" s="155"/>
      <c r="L1030" s="155"/>
      <c r="M1030" s="126"/>
      <c r="N1030" s="127"/>
      <c r="O1030" s="127"/>
      <c r="P1030" s="127"/>
      <c r="Q1030" s="126"/>
      <c r="R1030" s="128"/>
      <c r="S1030" s="128"/>
      <c r="T1030" s="128"/>
      <c r="U1030" s="128"/>
      <c r="V1030" s="129"/>
      <c r="W1030" s="129"/>
      <c r="X1030" s="129"/>
      <c r="Y1030" s="129"/>
      <c r="Z1030" s="145" t="b">
        <v>0</v>
      </c>
      <c r="AA1030" s="145"/>
      <c r="AB1030" s="129"/>
      <c r="AC1030" s="129"/>
      <c r="AD1030" s="129"/>
      <c r="AE1030" s="129"/>
      <c r="AF1030" s="132"/>
      <c r="AG1030" s="128" t="b">
        <v>0</v>
      </c>
      <c r="AH1030" s="128"/>
      <c r="AI1030" s="128"/>
      <c r="AJ1030" s="128"/>
      <c r="AK1030" s="128"/>
      <c r="AL1030" s="129"/>
      <c r="AM1030" s="129"/>
      <c r="AN1030" s="139"/>
    </row>
    <row r="1031">
      <c r="A1031" s="129"/>
      <c r="B1031" s="119"/>
      <c r="C1031" s="128"/>
      <c r="D1031" s="142"/>
      <c r="E1031" s="122"/>
      <c r="F1031" s="136"/>
      <c r="G1031" s="152"/>
      <c r="H1031" s="155"/>
      <c r="I1031" s="155"/>
      <c r="J1031" s="155"/>
      <c r="K1031" s="155"/>
      <c r="L1031" s="155"/>
      <c r="M1031" s="126"/>
      <c r="N1031" s="127"/>
      <c r="O1031" s="127"/>
      <c r="P1031" s="127"/>
      <c r="Q1031" s="126"/>
      <c r="R1031" s="128"/>
      <c r="S1031" s="128"/>
      <c r="T1031" s="128"/>
      <c r="U1031" s="128"/>
      <c r="V1031" s="129"/>
      <c r="W1031" s="129"/>
      <c r="X1031" s="129"/>
      <c r="Y1031" s="129"/>
      <c r="Z1031" s="145" t="b">
        <v>0</v>
      </c>
      <c r="AA1031" s="145"/>
      <c r="AB1031" s="129"/>
      <c r="AC1031" s="129"/>
      <c r="AD1031" s="129"/>
      <c r="AE1031" s="129"/>
      <c r="AF1031" s="132"/>
      <c r="AG1031" s="128" t="b">
        <v>0</v>
      </c>
      <c r="AH1031" s="128"/>
      <c r="AI1031" s="128"/>
      <c r="AJ1031" s="128"/>
      <c r="AK1031" s="128"/>
      <c r="AL1031" s="129"/>
      <c r="AM1031" s="129"/>
      <c r="AN1031" s="139"/>
    </row>
    <row r="1032">
      <c r="A1032" s="129"/>
      <c r="B1032" s="119"/>
      <c r="C1032" s="128"/>
      <c r="D1032" s="142"/>
      <c r="E1032" s="122"/>
      <c r="F1032" s="136"/>
      <c r="G1032" s="152"/>
      <c r="H1032" s="155"/>
      <c r="I1032" s="155"/>
      <c r="J1032" s="155"/>
      <c r="K1032" s="155"/>
      <c r="L1032" s="155"/>
      <c r="M1032" s="126"/>
      <c r="N1032" s="127"/>
      <c r="O1032" s="127"/>
      <c r="P1032" s="127"/>
      <c r="Q1032" s="126"/>
      <c r="R1032" s="128"/>
      <c r="S1032" s="128"/>
      <c r="T1032" s="128"/>
      <c r="U1032" s="128"/>
      <c r="V1032" s="129"/>
      <c r="W1032" s="129"/>
      <c r="X1032" s="129"/>
      <c r="Y1032" s="129"/>
      <c r="Z1032" s="145" t="b">
        <v>0</v>
      </c>
      <c r="AA1032" s="145"/>
      <c r="AB1032" s="129"/>
      <c r="AC1032" s="129"/>
      <c r="AD1032" s="129"/>
      <c r="AE1032" s="129"/>
      <c r="AF1032" s="132"/>
      <c r="AG1032" s="128" t="b">
        <v>0</v>
      </c>
      <c r="AH1032" s="128"/>
      <c r="AI1032" s="128"/>
      <c r="AJ1032" s="128"/>
      <c r="AK1032" s="128"/>
      <c r="AL1032" s="129"/>
      <c r="AM1032" s="129"/>
      <c r="AN1032" s="139"/>
    </row>
    <row r="1033">
      <c r="A1033" s="129"/>
      <c r="B1033" s="119"/>
      <c r="C1033" s="128"/>
      <c r="D1033" s="142"/>
      <c r="E1033" s="122"/>
      <c r="F1033" s="136"/>
      <c r="G1033" s="152"/>
      <c r="H1033" s="155"/>
      <c r="I1033" s="155"/>
      <c r="J1033" s="155"/>
      <c r="K1033" s="155"/>
      <c r="L1033" s="155"/>
      <c r="M1033" s="126"/>
      <c r="N1033" s="127"/>
      <c r="O1033" s="127"/>
      <c r="P1033" s="127"/>
      <c r="Q1033" s="126"/>
      <c r="R1033" s="128"/>
      <c r="S1033" s="128"/>
      <c r="T1033" s="128"/>
      <c r="U1033" s="128"/>
      <c r="V1033" s="129"/>
      <c r="W1033" s="129"/>
      <c r="X1033" s="129"/>
      <c r="Y1033" s="129"/>
      <c r="Z1033" s="145" t="b">
        <v>0</v>
      </c>
      <c r="AA1033" s="145"/>
      <c r="AB1033" s="129"/>
      <c r="AC1033" s="129"/>
      <c r="AD1033" s="129"/>
      <c r="AE1033" s="129"/>
      <c r="AF1033" s="132"/>
      <c r="AG1033" s="128" t="b">
        <v>0</v>
      </c>
      <c r="AH1033" s="128"/>
      <c r="AI1033" s="128"/>
      <c r="AJ1033" s="128"/>
      <c r="AK1033" s="128"/>
      <c r="AL1033" s="129"/>
      <c r="AM1033" s="129"/>
      <c r="AN1033" s="139"/>
    </row>
    <row r="1034">
      <c r="A1034" s="129"/>
      <c r="B1034" s="119"/>
      <c r="C1034" s="128"/>
      <c r="D1034" s="142"/>
      <c r="E1034" s="122"/>
      <c r="F1034" s="136"/>
      <c r="G1034" s="152"/>
      <c r="H1034" s="155"/>
      <c r="I1034" s="155"/>
      <c r="J1034" s="155"/>
      <c r="K1034" s="155"/>
      <c r="L1034" s="155"/>
      <c r="M1034" s="126"/>
      <c r="N1034" s="127"/>
      <c r="O1034" s="127"/>
      <c r="P1034" s="127"/>
      <c r="Q1034" s="126"/>
      <c r="R1034" s="128"/>
      <c r="S1034" s="128"/>
      <c r="T1034" s="128"/>
      <c r="U1034" s="128"/>
      <c r="V1034" s="129"/>
      <c r="W1034" s="129"/>
      <c r="X1034" s="129"/>
      <c r="Y1034" s="129"/>
      <c r="Z1034" s="145" t="b">
        <v>0</v>
      </c>
      <c r="AA1034" s="145"/>
      <c r="AB1034" s="129"/>
      <c r="AC1034" s="129"/>
      <c r="AD1034" s="129"/>
      <c r="AE1034" s="129"/>
      <c r="AF1034" s="132"/>
      <c r="AG1034" s="128" t="b">
        <v>0</v>
      </c>
      <c r="AH1034" s="128"/>
      <c r="AI1034" s="128"/>
      <c r="AJ1034" s="128"/>
      <c r="AK1034" s="128"/>
      <c r="AL1034" s="129"/>
      <c r="AM1034" s="129"/>
      <c r="AN1034" s="139"/>
    </row>
    <row r="1035">
      <c r="A1035" s="129"/>
      <c r="B1035" s="119"/>
      <c r="C1035" s="128"/>
      <c r="D1035" s="142"/>
      <c r="E1035" s="122"/>
      <c r="F1035" s="136"/>
      <c r="G1035" s="152"/>
      <c r="H1035" s="155"/>
      <c r="I1035" s="155"/>
      <c r="J1035" s="155"/>
      <c r="K1035" s="155"/>
      <c r="L1035" s="155"/>
      <c r="M1035" s="126"/>
      <c r="N1035" s="127"/>
      <c r="O1035" s="127"/>
      <c r="P1035" s="127"/>
      <c r="Q1035" s="126"/>
      <c r="R1035" s="128"/>
      <c r="S1035" s="128"/>
      <c r="T1035" s="128"/>
      <c r="U1035" s="128"/>
      <c r="V1035" s="129"/>
      <c r="W1035" s="129"/>
      <c r="X1035" s="129"/>
      <c r="Y1035" s="129"/>
      <c r="Z1035" s="145" t="b">
        <v>0</v>
      </c>
      <c r="AA1035" s="145"/>
      <c r="AB1035" s="129"/>
      <c r="AC1035" s="129"/>
      <c r="AD1035" s="129"/>
      <c r="AE1035" s="129"/>
      <c r="AF1035" s="132"/>
      <c r="AG1035" s="128" t="b">
        <v>0</v>
      </c>
      <c r="AH1035" s="128"/>
      <c r="AI1035" s="128"/>
      <c r="AJ1035" s="128"/>
      <c r="AK1035" s="128"/>
      <c r="AL1035" s="129"/>
      <c r="AM1035" s="129"/>
      <c r="AN1035" s="139"/>
    </row>
    <row r="1036">
      <c r="A1036" s="129"/>
      <c r="B1036" s="119"/>
      <c r="C1036" s="128"/>
      <c r="D1036" s="142"/>
      <c r="E1036" s="122"/>
      <c r="F1036" s="136"/>
      <c r="G1036" s="152"/>
      <c r="H1036" s="155"/>
      <c r="I1036" s="155"/>
      <c r="J1036" s="155"/>
      <c r="K1036" s="155"/>
      <c r="L1036" s="155"/>
      <c r="M1036" s="126"/>
      <c r="N1036" s="127"/>
      <c r="O1036" s="127"/>
      <c r="P1036" s="127"/>
      <c r="Q1036" s="126"/>
      <c r="R1036" s="128"/>
      <c r="S1036" s="128"/>
      <c r="T1036" s="128"/>
      <c r="U1036" s="128"/>
      <c r="V1036" s="129"/>
      <c r="W1036" s="129"/>
      <c r="X1036" s="129"/>
      <c r="Y1036" s="129"/>
      <c r="Z1036" s="145" t="b">
        <v>0</v>
      </c>
      <c r="AA1036" s="145"/>
      <c r="AB1036" s="129"/>
      <c r="AC1036" s="129"/>
      <c r="AD1036" s="129"/>
      <c r="AE1036" s="129"/>
      <c r="AF1036" s="132"/>
      <c r="AG1036" s="128" t="b">
        <v>0</v>
      </c>
      <c r="AH1036" s="128"/>
      <c r="AI1036" s="128"/>
      <c r="AJ1036" s="128"/>
      <c r="AK1036" s="128"/>
      <c r="AL1036" s="129"/>
      <c r="AM1036" s="129"/>
      <c r="AN1036" s="139"/>
    </row>
    <row r="1037">
      <c r="A1037" s="129"/>
      <c r="B1037" s="119"/>
      <c r="C1037" s="128"/>
      <c r="D1037" s="142"/>
      <c r="E1037" s="122"/>
      <c r="F1037" s="136"/>
      <c r="G1037" s="152"/>
      <c r="H1037" s="155"/>
      <c r="I1037" s="155"/>
      <c r="J1037" s="155"/>
      <c r="K1037" s="155"/>
      <c r="L1037" s="155"/>
      <c r="M1037" s="126"/>
      <c r="N1037" s="127"/>
      <c r="O1037" s="127"/>
      <c r="P1037" s="127"/>
      <c r="Q1037" s="126"/>
      <c r="R1037" s="128"/>
      <c r="S1037" s="128"/>
      <c r="T1037" s="128"/>
      <c r="U1037" s="128"/>
      <c r="V1037" s="129"/>
      <c r="W1037" s="129"/>
      <c r="X1037" s="129"/>
      <c r="Y1037" s="129"/>
      <c r="Z1037" s="145" t="b">
        <v>0</v>
      </c>
      <c r="AA1037" s="145"/>
      <c r="AB1037" s="129"/>
      <c r="AC1037" s="129"/>
      <c r="AD1037" s="129"/>
      <c r="AE1037" s="129"/>
      <c r="AF1037" s="132"/>
      <c r="AG1037" s="128" t="b">
        <v>0</v>
      </c>
      <c r="AH1037" s="128"/>
      <c r="AI1037" s="128"/>
      <c r="AJ1037" s="128"/>
      <c r="AK1037" s="128"/>
      <c r="AL1037" s="129"/>
      <c r="AM1037" s="129"/>
      <c r="AN1037" s="139"/>
    </row>
    <row r="1038">
      <c r="A1038" s="129"/>
      <c r="B1038" s="119"/>
      <c r="C1038" s="128"/>
      <c r="D1038" s="142"/>
      <c r="E1038" s="122"/>
      <c r="F1038" s="136"/>
      <c r="G1038" s="152"/>
      <c r="H1038" s="155"/>
      <c r="I1038" s="155"/>
      <c r="J1038" s="155"/>
      <c r="K1038" s="155"/>
      <c r="L1038" s="155"/>
      <c r="M1038" s="126"/>
      <c r="N1038" s="127"/>
      <c r="O1038" s="127"/>
      <c r="P1038" s="127"/>
      <c r="Q1038" s="126"/>
      <c r="R1038" s="128"/>
      <c r="S1038" s="128"/>
      <c r="T1038" s="128"/>
      <c r="U1038" s="128"/>
      <c r="V1038" s="129"/>
      <c r="W1038" s="129"/>
      <c r="X1038" s="129"/>
      <c r="Y1038" s="129"/>
      <c r="Z1038" s="145" t="b">
        <v>0</v>
      </c>
      <c r="AA1038" s="145"/>
      <c r="AB1038" s="129"/>
      <c r="AC1038" s="129"/>
      <c r="AD1038" s="129"/>
      <c r="AE1038" s="129"/>
      <c r="AF1038" s="132"/>
      <c r="AG1038" s="128" t="b">
        <v>0</v>
      </c>
      <c r="AH1038" s="128"/>
      <c r="AI1038" s="128"/>
      <c r="AJ1038" s="128"/>
      <c r="AK1038" s="128"/>
      <c r="AL1038" s="129"/>
      <c r="AM1038" s="129"/>
      <c r="AN1038" s="139"/>
    </row>
    <row r="1039">
      <c r="A1039" s="129"/>
      <c r="B1039" s="119"/>
      <c r="C1039" s="128"/>
      <c r="D1039" s="142"/>
      <c r="E1039" s="122"/>
      <c r="F1039" s="136"/>
      <c r="G1039" s="152"/>
      <c r="H1039" s="155"/>
      <c r="I1039" s="155"/>
      <c r="J1039" s="155"/>
      <c r="K1039" s="155"/>
      <c r="L1039" s="155"/>
      <c r="M1039" s="126"/>
      <c r="N1039" s="127"/>
      <c r="O1039" s="127"/>
      <c r="P1039" s="127"/>
      <c r="Q1039" s="126"/>
      <c r="R1039" s="128"/>
      <c r="S1039" s="128"/>
      <c r="T1039" s="128"/>
      <c r="U1039" s="128"/>
      <c r="V1039" s="129"/>
      <c r="W1039" s="129"/>
      <c r="X1039" s="129"/>
      <c r="Y1039" s="129"/>
      <c r="Z1039" s="145" t="b">
        <v>0</v>
      </c>
      <c r="AA1039" s="145"/>
      <c r="AB1039" s="129"/>
      <c r="AC1039" s="129"/>
      <c r="AD1039" s="129"/>
      <c r="AE1039" s="129"/>
      <c r="AF1039" s="132"/>
      <c r="AG1039" s="128" t="b">
        <v>0</v>
      </c>
      <c r="AH1039" s="128"/>
      <c r="AI1039" s="128"/>
      <c r="AJ1039" s="128"/>
      <c r="AK1039" s="128"/>
      <c r="AL1039" s="129"/>
      <c r="AM1039" s="129"/>
      <c r="AN1039" s="139"/>
    </row>
    <row r="1040">
      <c r="A1040" s="129"/>
      <c r="B1040" s="119"/>
      <c r="C1040" s="128"/>
      <c r="D1040" s="142"/>
      <c r="E1040" s="122"/>
      <c r="F1040" s="136"/>
      <c r="G1040" s="152"/>
      <c r="H1040" s="155"/>
      <c r="I1040" s="155"/>
      <c r="J1040" s="155"/>
      <c r="K1040" s="155"/>
      <c r="L1040" s="155"/>
      <c r="M1040" s="126"/>
      <c r="N1040" s="127"/>
      <c r="O1040" s="127"/>
      <c r="P1040" s="127"/>
      <c r="Q1040" s="126"/>
      <c r="R1040" s="128"/>
      <c r="S1040" s="128"/>
      <c r="T1040" s="128"/>
      <c r="U1040" s="128"/>
      <c r="V1040" s="129"/>
      <c r="W1040" s="129"/>
      <c r="X1040" s="129"/>
      <c r="Y1040" s="129"/>
      <c r="Z1040" s="145" t="b">
        <v>0</v>
      </c>
      <c r="AA1040" s="145"/>
      <c r="AB1040" s="129"/>
      <c r="AC1040" s="129"/>
      <c r="AD1040" s="129"/>
      <c r="AE1040" s="129"/>
      <c r="AF1040" s="132"/>
      <c r="AG1040" s="128" t="b">
        <v>0</v>
      </c>
      <c r="AH1040" s="128"/>
      <c r="AI1040" s="128"/>
      <c r="AJ1040" s="128"/>
      <c r="AK1040" s="128"/>
      <c r="AL1040" s="129"/>
      <c r="AM1040" s="129"/>
      <c r="AN1040" s="139"/>
    </row>
    <row r="1041">
      <c r="A1041" s="129"/>
      <c r="B1041" s="119"/>
      <c r="C1041" s="128"/>
      <c r="D1041" s="142"/>
      <c r="E1041" s="122"/>
      <c r="F1041" s="136"/>
      <c r="G1041" s="152"/>
      <c r="H1041" s="155"/>
      <c r="I1041" s="155"/>
      <c r="J1041" s="155"/>
      <c r="K1041" s="155"/>
      <c r="L1041" s="155"/>
      <c r="M1041" s="126"/>
      <c r="N1041" s="127"/>
      <c r="O1041" s="127"/>
      <c r="P1041" s="127"/>
      <c r="Q1041" s="126"/>
      <c r="R1041" s="128"/>
      <c r="S1041" s="128"/>
      <c r="T1041" s="128"/>
      <c r="U1041" s="128"/>
      <c r="V1041" s="129"/>
      <c r="W1041" s="129"/>
      <c r="X1041" s="129"/>
      <c r="Y1041" s="129"/>
      <c r="Z1041" s="145" t="b">
        <v>0</v>
      </c>
      <c r="AA1041" s="145"/>
      <c r="AB1041" s="129"/>
      <c r="AC1041" s="129"/>
      <c r="AD1041" s="129"/>
      <c r="AE1041" s="129"/>
      <c r="AF1041" s="132"/>
      <c r="AG1041" s="128" t="b">
        <v>0</v>
      </c>
      <c r="AH1041" s="128"/>
      <c r="AI1041" s="128"/>
      <c r="AJ1041" s="128"/>
      <c r="AK1041" s="128"/>
      <c r="AL1041" s="129"/>
      <c r="AM1041" s="129"/>
      <c r="AN1041" s="139"/>
    </row>
    <row r="1042">
      <c r="A1042" s="129"/>
      <c r="B1042" s="119"/>
      <c r="C1042" s="128"/>
      <c r="D1042" s="142"/>
      <c r="E1042" s="122"/>
      <c r="F1042" s="136"/>
      <c r="G1042" s="152"/>
      <c r="H1042" s="155"/>
      <c r="I1042" s="155"/>
      <c r="J1042" s="155"/>
      <c r="K1042" s="155"/>
      <c r="L1042" s="155"/>
      <c r="M1042" s="126"/>
      <c r="N1042" s="127"/>
      <c r="O1042" s="127"/>
      <c r="P1042" s="127"/>
      <c r="Q1042" s="126"/>
      <c r="R1042" s="128"/>
      <c r="S1042" s="128"/>
      <c r="T1042" s="128"/>
      <c r="U1042" s="128"/>
      <c r="V1042" s="129"/>
      <c r="W1042" s="129"/>
      <c r="X1042" s="129"/>
      <c r="Y1042" s="129"/>
      <c r="Z1042" s="145" t="b">
        <v>0</v>
      </c>
      <c r="AA1042" s="145"/>
      <c r="AB1042" s="129"/>
      <c r="AC1042" s="129"/>
      <c r="AD1042" s="129"/>
      <c r="AE1042" s="129"/>
      <c r="AF1042" s="132"/>
      <c r="AG1042" s="128" t="b">
        <v>0</v>
      </c>
      <c r="AH1042" s="128"/>
      <c r="AI1042" s="128"/>
      <c r="AJ1042" s="128"/>
      <c r="AK1042" s="128"/>
      <c r="AL1042" s="129"/>
      <c r="AM1042" s="129"/>
      <c r="AN1042" s="139"/>
    </row>
    <row r="1043">
      <c r="A1043" s="129"/>
      <c r="B1043" s="119"/>
      <c r="C1043" s="128"/>
      <c r="D1043" s="142"/>
      <c r="E1043" s="122"/>
      <c r="F1043" s="136"/>
      <c r="G1043" s="152"/>
      <c r="H1043" s="155"/>
      <c r="I1043" s="155"/>
      <c r="J1043" s="155"/>
      <c r="K1043" s="155"/>
      <c r="L1043" s="155"/>
      <c r="M1043" s="126"/>
      <c r="N1043" s="127"/>
      <c r="O1043" s="127"/>
      <c r="P1043" s="127"/>
      <c r="Q1043" s="126"/>
      <c r="R1043" s="128"/>
      <c r="S1043" s="128"/>
      <c r="T1043" s="128"/>
      <c r="U1043" s="128"/>
      <c r="V1043" s="129"/>
      <c r="W1043" s="129"/>
      <c r="X1043" s="129"/>
      <c r="Y1043" s="129"/>
      <c r="Z1043" s="145" t="b">
        <v>0</v>
      </c>
      <c r="AA1043" s="145"/>
      <c r="AB1043" s="129"/>
      <c r="AC1043" s="129"/>
      <c r="AD1043" s="129"/>
      <c r="AE1043" s="129"/>
      <c r="AF1043" s="132"/>
      <c r="AG1043" s="128" t="b">
        <v>0</v>
      </c>
      <c r="AH1043" s="128"/>
      <c r="AI1043" s="128"/>
      <c r="AJ1043" s="128"/>
      <c r="AK1043" s="128"/>
      <c r="AL1043" s="129"/>
      <c r="AM1043" s="129"/>
      <c r="AN1043" s="139"/>
    </row>
    <row r="1044">
      <c r="A1044" s="129"/>
      <c r="B1044" s="119"/>
      <c r="C1044" s="128"/>
      <c r="D1044" s="142"/>
      <c r="E1044" s="122"/>
      <c r="F1044" s="136"/>
      <c r="G1044" s="152"/>
      <c r="H1044" s="155"/>
      <c r="I1044" s="155"/>
      <c r="J1044" s="155"/>
      <c r="K1044" s="155"/>
      <c r="L1044" s="155"/>
      <c r="M1044" s="126"/>
      <c r="N1044" s="127"/>
      <c r="O1044" s="127"/>
      <c r="P1044" s="127"/>
      <c r="Q1044" s="126"/>
      <c r="R1044" s="128"/>
      <c r="S1044" s="128"/>
      <c r="T1044" s="128"/>
      <c r="U1044" s="128"/>
      <c r="V1044" s="129"/>
      <c r="W1044" s="129"/>
      <c r="X1044" s="129"/>
      <c r="Y1044" s="129"/>
      <c r="Z1044" s="145" t="b">
        <v>0</v>
      </c>
      <c r="AA1044" s="145"/>
      <c r="AB1044" s="129"/>
      <c r="AC1044" s="129"/>
      <c r="AD1044" s="129"/>
      <c r="AE1044" s="129"/>
      <c r="AF1044" s="132"/>
      <c r="AG1044" s="128" t="b">
        <v>0</v>
      </c>
      <c r="AH1044" s="128"/>
      <c r="AI1044" s="128"/>
      <c r="AJ1044" s="128"/>
      <c r="AK1044" s="128"/>
      <c r="AL1044" s="129"/>
      <c r="AM1044" s="129"/>
      <c r="AN1044" s="139"/>
    </row>
    <row r="1045">
      <c r="A1045" s="129"/>
      <c r="B1045" s="119"/>
      <c r="C1045" s="128"/>
      <c r="D1045" s="142"/>
      <c r="E1045" s="122"/>
      <c r="F1045" s="136"/>
      <c r="G1045" s="152"/>
      <c r="H1045" s="155"/>
      <c r="I1045" s="155"/>
      <c r="J1045" s="155"/>
      <c r="K1045" s="155"/>
      <c r="L1045" s="155"/>
      <c r="M1045" s="126"/>
      <c r="N1045" s="127"/>
      <c r="O1045" s="127"/>
      <c r="P1045" s="127"/>
      <c r="Q1045" s="126"/>
      <c r="R1045" s="128"/>
      <c r="S1045" s="128"/>
      <c r="T1045" s="128"/>
      <c r="U1045" s="128"/>
      <c r="V1045" s="129"/>
      <c r="W1045" s="129"/>
      <c r="X1045" s="129"/>
      <c r="Y1045" s="129"/>
      <c r="Z1045" s="145" t="b">
        <v>0</v>
      </c>
      <c r="AA1045" s="145"/>
      <c r="AB1045" s="129"/>
      <c r="AC1045" s="129"/>
      <c r="AD1045" s="129"/>
      <c r="AE1045" s="129"/>
      <c r="AF1045" s="132"/>
      <c r="AG1045" s="128" t="b">
        <v>0</v>
      </c>
      <c r="AH1045" s="128"/>
      <c r="AI1045" s="128"/>
      <c r="AJ1045" s="128"/>
      <c r="AK1045" s="128"/>
      <c r="AL1045" s="129"/>
      <c r="AM1045" s="129"/>
      <c r="AN1045" s="139"/>
    </row>
    <row r="1046">
      <c r="A1046" s="129"/>
      <c r="B1046" s="119"/>
      <c r="C1046" s="128"/>
      <c r="D1046" s="142"/>
      <c r="E1046" s="122"/>
      <c r="F1046" s="136"/>
      <c r="G1046" s="152"/>
      <c r="H1046" s="155"/>
      <c r="I1046" s="155"/>
      <c r="J1046" s="155"/>
      <c r="K1046" s="155"/>
      <c r="L1046" s="155"/>
      <c r="M1046" s="126"/>
      <c r="N1046" s="127"/>
      <c r="O1046" s="127"/>
      <c r="P1046" s="127"/>
      <c r="Q1046" s="126"/>
      <c r="R1046" s="128"/>
      <c r="S1046" s="128"/>
      <c r="T1046" s="128"/>
      <c r="U1046" s="128"/>
      <c r="V1046" s="129"/>
      <c r="W1046" s="129"/>
      <c r="X1046" s="129"/>
      <c r="Y1046" s="129"/>
      <c r="Z1046" s="145" t="b">
        <v>0</v>
      </c>
      <c r="AA1046" s="145"/>
      <c r="AB1046" s="129"/>
      <c r="AC1046" s="129"/>
      <c r="AD1046" s="129"/>
      <c r="AE1046" s="129"/>
      <c r="AF1046" s="132"/>
      <c r="AG1046" s="128" t="b">
        <v>0</v>
      </c>
      <c r="AH1046" s="128"/>
      <c r="AI1046" s="128"/>
      <c r="AJ1046" s="128"/>
      <c r="AK1046" s="128"/>
      <c r="AL1046" s="129"/>
      <c r="AM1046" s="129"/>
      <c r="AN1046" s="139"/>
    </row>
    <row r="1047">
      <c r="A1047" s="129"/>
      <c r="B1047" s="119"/>
      <c r="C1047" s="128"/>
      <c r="D1047" s="142"/>
      <c r="E1047" s="122"/>
      <c r="F1047" s="136"/>
      <c r="G1047" s="152"/>
      <c r="H1047" s="155"/>
      <c r="I1047" s="155"/>
      <c r="J1047" s="155"/>
      <c r="K1047" s="155"/>
      <c r="L1047" s="155"/>
      <c r="M1047" s="126"/>
      <c r="N1047" s="127"/>
      <c r="O1047" s="127"/>
      <c r="P1047" s="127"/>
      <c r="Q1047" s="126"/>
      <c r="R1047" s="128"/>
      <c r="S1047" s="128"/>
      <c r="T1047" s="128"/>
      <c r="U1047" s="128"/>
      <c r="V1047" s="129"/>
      <c r="W1047" s="129"/>
      <c r="X1047" s="129"/>
      <c r="Y1047" s="129"/>
      <c r="Z1047" s="145" t="b">
        <v>0</v>
      </c>
      <c r="AA1047" s="145"/>
      <c r="AB1047" s="129"/>
      <c r="AC1047" s="129"/>
      <c r="AD1047" s="129"/>
      <c r="AE1047" s="129"/>
      <c r="AF1047" s="132"/>
      <c r="AG1047" s="128" t="b">
        <v>0</v>
      </c>
      <c r="AH1047" s="128"/>
      <c r="AI1047" s="128"/>
      <c r="AJ1047" s="128"/>
      <c r="AK1047" s="128"/>
      <c r="AL1047" s="129"/>
      <c r="AM1047" s="129"/>
      <c r="AN1047" s="139"/>
    </row>
    <row r="1048">
      <c r="A1048" s="129"/>
      <c r="B1048" s="119"/>
      <c r="C1048" s="128"/>
      <c r="D1048" s="142"/>
      <c r="E1048" s="122"/>
      <c r="F1048" s="136"/>
      <c r="G1048" s="152"/>
      <c r="H1048" s="155"/>
      <c r="I1048" s="155"/>
      <c r="J1048" s="155"/>
      <c r="K1048" s="155"/>
      <c r="L1048" s="155"/>
      <c r="M1048" s="126"/>
      <c r="N1048" s="127"/>
      <c r="O1048" s="127"/>
      <c r="P1048" s="127"/>
      <c r="Q1048" s="126"/>
      <c r="R1048" s="128"/>
      <c r="S1048" s="128"/>
      <c r="T1048" s="128"/>
      <c r="U1048" s="128"/>
      <c r="V1048" s="129"/>
      <c r="W1048" s="129"/>
      <c r="X1048" s="129"/>
      <c r="Y1048" s="129"/>
      <c r="Z1048" s="145" t="b">
        <v>0</v>
      </c>
      <c r="AA1048" s="145"/>
      <c r="AB1048" s="129"/>
      <c r="AC1048" s="129"/>
      <c r="AD1048" s="129"/>
      <c r="AE1048" s="129"/>
      <c r="AF1048" s="132"/>
      <c r="AG1048" s="128" t="b">
        <v>0</v>
      </c>
      <c r="AH1048" s="128"/>
      <c r="AI1048" s="128"/>
      <c r="AJ1048" s="128"/>
      <c r="AK1048" s="128"/>
      <c r="AL1048" s="129"/>
      <c r="AM1048" s="129"/>
      <c r="AN1048" s="139"/>
    </row>
    <row r="1049">
      <c r="A1049" s="129"/>
      <c r="B1049" s="119"/>
      <c r="C1049" s="128"/>
      <c r="D1049" s="142"/>
      <c r="E1049" s="122"/>
      <c r="F1049" s="136"/>
      <c r="G1049" s="152"/>
      <c r="H1049" s="155"/>
      <c r="I1049" s="155"/>
      <c r="J1049" s="155"/>
      <c r="K1049" s="155"/>
      <c r="L1049" s="155"/>
      <c r="M1049" s="126"/>
      <c r="N1049" s="127"/>
      <c r="O1049" s="127"/>
      <c r="P1049" s="127"/>
      <c r="Q1049" s="126"/>
      <c r="R1049" s="128"/>
      <c r="S1049" s="128"/>
      <c r="T1049" s="128"/>
      <c r="U1049" s="128"/>
      <c r="V1049" s="129"/>
      <c r="W1049" s="129"/>
      <c r="X1049" s="129"/>
      <c r="Y1049" s="129"/>
      <c r="Z1049" s="145" t="b">
        <v>0</v>
      </c>
      <c r="AA1049" s="145"/>
      <c r="AB1049" s="129"/>
      <c r="AC1049" s="129"/>
      <c r="AD1049" s="129"/>
      <c r="AE1049" s="129"/>
      <c r="AF1049" s="132"/>
      <c r="AG1049" s="128" t="b">
        <v>0</v>
      </c>
      <c r="AH1049" s="128"/>
      <c r="AI1049" s="128"/>
      <c r="AJ1049" s="128"/>
      <c r="AK1049" s="128"/>
      <c r="AL1049" s="129"/>
      <c r="AM1049" s="129"/>
      <c r="AN1049" s="139"/>
    </row>
    <row r="1050">
      <c r="A1050" s="129"/>
      <c r="B1050" s="119"/>
      <c r="C1050" s="128"/>
      <c r="D1050" s="142"/>
      <c r="E1050" s="122"/>
      <c r="F1050" s="136"/>
      <c r="G1050" s="152"/>
      <c r="H1050" s="155"/>
      <c r="I1050" s="155"/>
      <c r="J1050" s="155"/>
      <c r="K1050" s="155"/>
      <c r="L1050" s="155"/>
      <c r="M1050" s="126"/>
      <c r="N1050" s="127"/>
      <c r="O1050" s="127"/>
      <c r="P1050" s="127"/>
      <c r="Q1050" s="126"/>
      <c r="R1050" s="128"/>
      <c r="S1050" s="128"/>
      <c r="T1050" s="128"/>
      <c r="U1050" s="128"/>
      <c r="V1050" s="129"/>
      <c r="W1050" s="129"/>
      <c r="X1050" s="129"/>
      <c r="Y1050" s="129"/>
      <c r="Z1050" s="145" t="b">
        <v>0</v>
      </c>
      <c r="AA1050" s="145"/>
      <c r="AB1050" s="129"/>
      <c r="AC1050" s="129"/>
      <c r="AD1050" s="129"/>
      <c r="AE1050" s="129"/>
      <c r="AF1050" s="132"/>
      <c r="AG1050" s="128" t="b">
        <v>0</v>
      </c>
      <c r="AH1050" s="128"/>
      <c r="AI1050" s="128"/>
      <c r="AJ1050" s="128"/>
      <c r="AK1050" s="128"/>
      <c r="AL1050" s="129"/>
      <c r="AM1050" s="129"/>
      <c r="AN1050" s="139"/>
    </row>
    <row r="1051">
      <c r="A1051" s="129"/>
      <c r="B1051" s="119"/>
      <c r="C1051" s="128"/>
      <c r="D1051" s="142"/>
      <c r="E1051" s="122"/>
      <c r="F1051" s="136"/>
      <c r="G1051" s="152"/>
      <c r="H1051" s="155"/>
      <c r="I1051" s="155"/>
      <c r="J1051" s="155"/>
      <c r="K1051" s="155"/>
      <c r="L1051" s="155"/>
      <c r="M1051" s="126"/>
      <c r="N1051" s="127"/>
      <c r="O1051" s="127"/>
      <c r="P1051" s="127"/>
      <c r="Q1051" s="126"/>
      <c r="R1051" s="128"/>
      <c r="S1051" s="128"/>
      <c r="T1051" s="128"/>
      <c r="U1051" s="128"/>
      <c r="V1051" s="129"/>
      <c r="W1051" s="129"/>
      <c r="X1051" s="129"/>
      <c r="Y1051" s="129"/>
      <c r="Z1051" s="145" t="b">
        <v>0</v>
      </c>
      <c r="AA1051" s="145"/>
      <c r="AB1051" s="129"/>
      <c r="AC1051" s="129"/>
      <c r="AD1051" s="129"/>
      <c r="AE1051" s="129"/>
      <c r="AF1051" s="132"/>
      <c r="AG1051" s="128" t="b">
        <v>0</v>
      </c>
      <c r="AH1051" s="128"/>
      <c r="AI1051" s="128"/>
      <c r="AJ1051" s="128"/>
      <c r="AK1051" s="128"/>
      <c r="AL1051" s="129"/>
      <c r="AM1051" s="129"/>
      <c r="AN1051" s="139"/>
    </row>
    <row r="1052">
      <c r="A1052" s="129"/>
      <c r="B1052" s="119"/>
      <c r="C1052" s="128"/>
      <c r="D1052" s="142"/>
      <c r="E1052" s="122"/>
      <c r="F1052" s="136"/>
      <c r="G1052" s="152"/>
      <c r="H1052" s="155"/>
      <c r="I1052" s="155"/>
      <c r="J1052" s="155"/>
      <c r="K1052" s="155"/>
      <c r="L1052" s="155"/>
      <c r="M1052" s="126"/>
      <c r="N1052" s="127"/>
      <c r="O1052" s="127"/>
      <c r="P1052" s="127"/>
      <c r="Q1052" s="126"/>
      <c r="R1052" s="128"/>
      <c r="S1052" s="128"/>
      <c r="T1052" s="128"/>
      <c r="U1052" s="128"/>
      <c r="V1052" s="129"/>
      <c r="W1052" s="129"/>
      <c r="X1052" s="129"/>
      <c r="Y1052" s="129"/>
      <c r="Z1052" s="145" t="b">
        <v>0</v>
      </c>
      <c r="AA1052" s="145"/>
      <c r="AB1052" s="129"/>
      <c r="AC1052" s="129"/>
      <c r="AD1052" s="129"/>
      <c r="AE1052" s="129"/>
      <c r="AF1052" s="132"/>
      <c r="AG1052" s="128" t="b">
        <v>0</v>
      </c>
      <c r="AH1052" s="128"/>
      <c r="AI1052" s="128"/>
      <c r="AJ1052" s="128"/>
      <c r="AK1052" s="128"/>
      <c r="AL1052" s="129"/>
      <c r="AM1052" s="129"/>
      <c r="AN1052" s="139"/>
    </row>
    <row r="1053">
      <c r="A1053" s="129"/>
      <c r="B1053" s="119"/>
      <c r="C1053" s="128"/>
      <c r="D1053" s="142"/>
      <c r="E1053" s="122"/>
      <c r="F1053" s="136"/>
      <c r="G1053" s="152"/>
      <c r="H1053" s="155"/>
      <c r="I1053" s="155"/>
      <c r="J1053" s="155"/>
      <c r="K1053" s="155"/>
      <c r="L1053" s="155"/>
      <c r="M1053" s="126"/>
      <c r="N1053" s="127"/>
      <c r="O1053" s="127"/>
      <c r="P1053" s="127"/>
      <c r="Q1053" s="126"/>
      <c r="R1053" s="128"/>
      <c r="S1053" s="128"/>
      <c r="T1053" s="128"/>
      <c r="U1053" s="128"/>
      <c r="V1053" s="129"/>
      <c r="W1053" s="129"/>
      <c r="X1053" s="129"/>
      <c r="Y1053" s="129"/>
      <c r="Z1053" s="145" t="b">
        <v>0</v>
      </c>
      <c r="AA1053" s="145"/>
      <c r="AB1053" s="129"/>
      <c r="AC1053" s="129"/>
      <c r="AD1053" s="129"/>
      <c r="AE1053" s="129"/>
      <c r="AF1053" s="132"/>
      <c r="AG1053" s="128" t="b">
        <v>0</v>
      </c>
      <c r="AH1053" s="128"/>
      <c r="AI1053" s="128"/>
      <c r="AJ1053" s="128"/>
      <c r="AK1053" s="128"/>
      <c r="AL1053" s="129"/>
      <c r="AM1053" s="129"/>
      <c r="AN1053" s="139"/>
    </row>
    <row r="1054">
      <c r="A1054" s="129"/>
      <c r="B1054" s="119"/>
      <c r="C1054" s="128"/>
      <c r="D1054" s="142"/>
      <c r="E1054" s="122"/>
      <c r="F1054" s="136"/>
      <c r="G1054" s="152"/>
      <c r="H1054" s="155"/>
      <c r="I1054" s="155"/>
      <c r="J1054" s="155"/>
      <c r="K1054" s="155"/>
      <c r="L1054" s="155"/>
      <c r="M1054" s="126"/>
      <c r="N1054" s="127"/>
      <c r="O1054" s="127"/>
      <c r="P1054" s="127"/>
      <c r="Q1054" s="126"/>
      <c r="R1054" s="128"/>
      <c r="S1054" s="128"/>
      <c r="T1054" s="128"/>
      <c r="U1054" s="128"/>
      <c r="V1054" s="129"/>
      <c r="W1054" s="129"/>
      <c r="X1054" s="129"/>
      <c r="Y1054" s="129"/>
      <c r="Z1054" s="145" t="b">
        <v>0</v>
      </c>
      <c r="AA1054" s="145"/>
      <c r="AB1054" s="129"/>
      <c r="AC1054" s="129"/>
      <c r="AD1054" s="129"/>
      <c r="AE1054" s="129"/>
      <c r="AF1054" s="132"/>
      <c r="AG1054" s="128" t="b">
        <v>0</v>
      </c>
      <c r="AH1054" s="128"/>
      <c r="AI1054" s="128"/>
      <c r="AJ1054" s="128"/>
      <c r="AK1054" s="128"/>
      <c r="AL1054" s="129"/>
      <c r="AM1054" s="129"/>
      <c r="AN1054" s="139"/>
    </row>
    <row r="1055">
      <c r="A1055" s="129"/>
      <c r="B1055" s="119"/>
      <c r="C1055" s="128"/>
      <c r="D1055" s="142"/>
      <c r="E1055" s="122"/>
      <c r="F1055" s="136"/>
      <c r="G1055" s="152"/>
      <c r="H1055" s="155"/>
      <c r="I1055" s="155"/>
      <c r="J1055" s="155"/>
      <c r="K1055" s="155"/>
      <c r="L1055" s="155"/>
      <c r="M1055" s="126"/>
      <c r="N1055" s="127"/>
      <c r="O1055" s="127"/>
      <c r="P1055" s="127"/>
      <c r="Q1055" s="126"/>
      <c r="R1055" s="128"/>
      <c r="S1055" s="128"/>
      <c r="T1055" s="128"/>
      <c r="U1055" s="128"/>
      <c r="V1055" s="129"/>
      <c r="W1055" s="129"/>
      <c r="X1055" s="129"/>
      <c r="Y1055" s="129"/>
      <c r="Z1055" s="145" t="b">
        <v>0</v>
      </c>
      <c r="AA1055" s="145"/>
      <c r="AB1055" s="129"/>
      <c r="AC1055" s="129"/>
      <c r="AD1055" s="129"/>
      <c r="AE1055" s="129"/>
      <c r="AF1055" s="132"/>
      <c r="AG1055" s="128" t="b">
        <v>0</v>
      </c>
      <c r="AH1055" s="128"/>
      <c r="AI1055" s="128"/>
      <c r="AJ1055" s="128"/>
      <c r="AK1055" s="128"/>
      <c r="AL1055" s="129"/>
      <c r="AM1055" s="129"/>
      <c r="AN1055" s="139"/>
    </row>
    <row r="1056">
      <c r="A1056" s="129"/>
      <c r="B1056" s="119"/>
      <c r="C1056" s="128"/>
      <c r="D1056" s="142"/>
      <c r="E1056" s="122"/>
      <c r="F1056" s="136"/>
      <c r="G1056" s="152"/>
      <c r="H1056" s="155"/>
      <c r="I1056" s="155"/>
      <c r="J1056" s="155"/>
      <c r="K1056" s="155"/>
      <c r="L1056" s="155"/>
      <c r="M1056" s="126"/>
      <c r="N1056" s="127"/>
      <c r="O1056" s="127"/>
      <c r="P1056" s="127"/>
      <c r="Q1056" s="126"/>
      <c r="R1056" s="128"/>
      <c r="S1056" s="128"/>
      <c r="T1056" s="128"/>
      <c r="U1056" s="128"/>
      <c r="V1056" s="129"/>
      <c r="W1056" s="129"/>
      <c r="X1056" s="129"/>
      <c r="Y1056" s="129"/>
      <c r="Z1056" s="145" t="b">
        <v>0</v>
      </c>
      <c r="AA1056" s="145"/>
      <c r="AB1056" s="129"/>
      <c r="AC1056" s="129"/>
      <c r="AD1056" s="129"/>
      <c r="AE1056" s="129"/>
      <c r="AF1056" s="132"/>
      <c r="AG1056" s="128" t="b">
        <v>0</v>
      </c>
      <c r="AH1056" s="128"/>
      <c r="AI1056" s="128"/>
      <c r="AJ1056" s="128"/>
      <c r="AK1056" s="128"/>
      <c r="AL1056" s="129"/>
      <c r="AM1056" s="129"/>
      <c r="AN1056" s="139"/>
    </row>
    <row r="1057">
      <c r="A1057" s="129"/>
      <c r="B1057" s="119"/>
      <c r="C1057" s="128"/>
      <c r="D1057" s="142"/>
      <c r="E1057" s="122"/>
      <c r="F1057" s="136"/>
      <c r="G1057" s="152"/>
      <c r="H1057" s="155"/>
      <c r="I1057" s="155"/>
      <c r="J1057" s="155"/>
      <c r="K1057" s="155"/>
      <c r="L1057" s="155"/>
      <c r="M1057" s="126"/>
      <c r="N1057" s="127"/>
      <c r="O1057" s="127"/>
      <c r="P1057" s="127"/>
      <c r="Q1057" s="126"/>
      <c r="R1057" s="128"/>
      <c r="S1057" s="128"/>
      <c r="T1057" s="128"/>
      <c r="U1057" s="128"/>
      <c r="V1057" s="129"/>
      <c r="W1057" s="129"/>
      <c r="X1057" s="129"/>
      <c r="Y1057" s="129"/>
      <c r="Z1057" s="145" t="b">
        <v>0</v>
      </c>
      <c r="AA1057" s="145"/>
      <c r="AB1057" s="129"/>
      <c r="AC1057" s="129"/>
      <c r="AD1057" s="129"/>
      <c r="AE1057" s="129"/>
      <c r="AF1057" s="132"/>
      <c r="AG1057" s="128" t="b">
        <v>0</v>
      </c>
      <c r="AH1057" s="128"/>
      <c r="AI1057" s="128"/>
      <c r="AJ1057" s="128"/>
      <c r="AK1057" s="128"/>
      <c r="AL1057" s="129"/>
      <c r="AM1057" s="129"/>
      <c r="AN1057" s="139"/>
    </row>
    <row r="1058">
      <c r="A1058" s="129"/>
      <c r="B1058" s="119"/>
      <c r="C1058" s="128"/>
      <c r="D1058" s="142"/>
      <c r="E1058" s="122"/>
      <c r="F1058" s="136"/>
      <c r="G1058" s="152"/>
      <c r="H1058" s="155"/>
      <c r="I1058" s="155"/>
      <c r="J1058" s="155"/>
      <c r="K1058" s="155"/>
      <c r="L1058" s="155"/>
      <c r="M1058" s="126"/>
      <c r="N1058" s="127"/>
      <c r="O1058" s="127"/>
      <c r="P1058" s="127"/>
      <c r="Q1058" s="126"/>
      <c r="R1058" s="128"/>
      <c r="S1058" s="128"/>
      <c r="T1058" s="128"/>
      <c r="U1058" s="128"/>
      <c r="V1058" s="129"/>
      <c r="W1058" s="129"/>
      <c r="X1058" s="129"/>
      <c r="Y1058" s="129"/>
      <c r="Z1058" s="145" t="b">
        <v>0</v>
      </c>
      <c r="AA1058" s="145"/>
      <c r="AB1058" s="129"/>
      <c r="AC1058" s="129"/>
      <c r="AD1058" s="129"/>
      <c r="AE1058" s="129"/>
      <c r="AF1058" s="132"/>
      <c r="AG1058" s="128" t="b">
        <v>0</v>
      </c>
      <c r="AH1058" s="128"/>
      <c r="AI1058" s="128"/>
      <c r="AJ1058" s="128"/>
      <c r="AK1058" s="128"/>
      <c r="AL1058" s="129"/>
      <c r="AM1058" s="129"/>
      <c r="AN1058" s="139"/>
    </row>
    <row r="1059">
      <c r="A1059" s="129"/>
      <c r="B1059" s="119"/>
      <c r="C1059" s="128"/>
      <c r="D1059" s="142"/>
      <c r="E1059" s="122"/>
      <c r="F1059" s="136"/>
      <c r="G1059" s="152"/>
      <c r="H1059" s="155"/>
      <c r="I1059" s="155"/>
      <c r="J1059" s="155"/>
      <c r="K1059" s="155"/>
      <c r="L1059" s="155"/>
      <c r="M1059" s="126"/>
      <c r="N1059" s="127"/>
      <c r="O1059" s="127"/>
      <c r="P1059" s="127"/>
      <c r="Q1059" s="126"/>
      <c r="R1059" s="128"/>
      <c r="S1059" s="128"/>
      <c r="T1059" s="128"/>
      <c r="U1059" s="128"/>
      <c r="V1059" s="129"/>
      <c r="W1059" s="129"/>
      <c r="X1059" s="129"/>
      <c r="Y1059" s="129"/>
      <c r="Z1059" s="145" t="b">
        <v>0</v>
      </c>
      <c r="AA1059" s="145"/>
      <c r="AB1059" s="129"/>
      <c r="AC1059" s="129"/>
      <c r="AD1059" s="129"/>
      <c r="AE1059" s="129"/>
      <c r="AF1059" s="132"/>
      <c r="AG1059" s="128" t="b">
        <v>0</v>
      </c>
      <c r="AH1059" s="128"/>
      <c r="AI1059" s="128"/>
      <c r="AJ1059" s="128"/>
      <c r="AK1059" s="128"/>
      <c r="AL1059" s="129"/>
      <c r="AM1059" s="129"/>
      <c r="AN1059" s="139"/>
    </row>
    <row r="1060">
      <c r="A1060" s="129"/>
      <c r="B1060" s="119"/>
      <c r="C1060" s="128"/>
      <c r="D1060" s="142"/>
      <c r="E1060" s="122"/>
      <c r="F1060" s="136"/>
      <c r="G1060" s="152"/>
      <c r="H1060" s="155"/>
      <c r="I1060" s="155"/>
      <c r="J1060" s="155"/>
      <c r="K1060" s="155"/>
      <c r="L1060" s="155"/>
      <c r="M1060" s="126"/>
      <c r="N1060" s="127"/>
      <c r="O1060" s="127"/>
      <c r="P1060" s="127"/>
      <c r="Q1060" s="126"/>
      <c r="R1060" s="128"/>
      <c r="S1060" s="128"/>
      <c r="T1060" s="128"/>
      <c r="U1060" s="128"/>
      <c r="V1060" s="129"/>
      <c r="W1060" s="129"/>
      <c r="X1060" s="129"/>
      <c r="Y1060" s="129"/>
      <c r="Z1060" s="145" t="b">
        <v>0</v>
      </c>
      <c r="AA1060" s="145"/>
      <c r="AB1060" s="129"/>
      <c r="AC1060" s="129"/>
      <c r="AD1060" s="129"/>
      <c r="AE1060" s="129"/>
      <c r="AF1060" s="132"/>
      <c r="AG1060" s="128" t="b">
        <v>0</v>
      </c>
      <c r="AH1060" s="128"/>
      <c r="AI1060" s="128"/>
      <c r="AJ1060" s="128"/>
      <c r="AK1060" s="128"/>
      <c r="AL1060" s="129"/>
      <c r="AM1060" s="129"/>
      <c r="AN1060" s="139"/>
    </row>
    <row r="1061">
      <c r="A1061" s="129"/>
      <c r="B1061" s="119"/>
      <c r="C1061" s="128"/>
      <c r="D1061" s="142"/>
      <c r="E1061" s="122"/>
      <c r="F1061" s="136"/>
      <c r="G1061" s="152"/>
      <c r="H1061" s="155"/>
      <c r="I1061" s="155"/>
      <c r="J1061" s="155"/>
      <c r="K1061" s="155"/>
      <c r="L1061" s="155"/>
      <c r="M1061" s="126"/>
      <c r="N1061" s="127"/>
      <c r="O1061" s="127"/>
      <c r="P1061" s="127"/>
      <c r="Q1061" s="126"/>
      <c r="R1061" s="128"/>
      <c r="S1061" s="128"/>
      <c r="T1061" s="128"/>
      <c r="U1061" s="128"/>
      <c r="V1061" s="129"/>
      <c r="W1061" s="129"/>
      <c r="X1061" s="129"/>
      <c r="Y1061" s="129"/>
      <c r="Z1061" s="145" t="b">
        <v>0</v>
      </c>
      <c r="AA1061" s="145"/>
      <c r="AB1061" s="129"/>
      <c r="AC1061" s="129"/>
      <c r="AD1061" s="129"/>
      <c r="AE1061" s="129"/>
      <c r="AF1061" s="132"/>
      <c r="AG1061" s="128" t="b">
        <v>0</v>
      </c>
      <c r="AH1061" s="128"/>
      <c r="AI1061" s="128"/>
      <c r="AJ1061" s="128"/>
      <c r="AK1061" s="128"/>
      <c r="AL1061" s="129"/>
      <c r="AM1061" s="129"/>
      <c r="AN1061" s="139"/>
    </row>
    <row r="1062">
      <c r="A1062" s="129"/>
      <c r="B1062" s="119"/>
      <c r="C1062" s="128"/>
      <c r="D1062" s="142"/>
      <c r="E1062" s="122"/>
      <c r="F1062" s="136"/>
      <c r="G1062" s="152"/>
      <c r="H1062" s="155"/>
      <c r="I1062" s="155"/>
      <c r="J1062" s="155"/>
      <c r="K1062" s="155"/>
      <c r="L1062" s="155"/>
      <c r="M1062" s="126"/>
      <c r="N1062" s="127"/>
      <c r="O1062" s="127"/>
      <c r="P1062" s="127"/>
      <c r="Q1062" s="126"/>
      <c r="R1062" s="128"/>
      <c r="S1062" s="128"/>
      <c r="T1062" s="128"/>
      <c r="U1062" s="128"/>
      <c r="V1062" s="129"/>
      <c r="W1062" s="129"/>
      <c r="X1062" s="129"/>
      <c r="Y1062" s="129"/>
      <c r="Z1062" s="145" t="b">
        <v>0</v>
      </c>
      <c r="AA1062" s="145"/>
      <c r="AB1062" s="129"/>
      <c r="AC1062" s="129"/>
      <c r="AD1062" s="129"/>
      <c r="AE1062" s="129"/>
      <c r="AF1062" s="132"/>
      <c r="AG1062" s="128" t="b">
        <v>0</v>
      </c>
      <c r="AH1062" s="128"/>
      <c r="AI1062" s="128"/>
      <c r="AJ1062" s="128"/>
      <c r="AK1062" s="128"/>
      <c r="AL1062" s="129"/>
      <c r="AM1062" s="129"/>
      <c r="AN1062" s="139"/>
    </row>
    <row r="1063">
      <c r="A1063" s="129"/>
      <c r="B1063" s="119"/>
      <c r="C1063" s="128"/>
      <c r="D1063" s="142"/>
      <c r="E1063" s="122"/>
      <c r="F1063" s="136"/>
      <c r="G1063" s="152"/>
      <c r="H1063" s="155"/>
      <c r="I1063" s="155"/>
      <c r="J1063" s="155"/>
      <c r="K1063" s="155"/>
      <c r="L1063" s="155"/>
      <c r="M1063" s="126"/>
      <c r="N1063" s="127"/>
      <c r="O1063" s="127"/>
      <c r="P1063" s="127"/>
      <c r="Q1063" s="126"/>
      <c r="R1063" s="128"/>
      <c r="S1063" s="128"/>
      <c r="T1063" s="128"/>
      <c r="U1063" s="128"/>
      <c r="V1063" s="129"/>
      <c r="W1063" s="129"/>
      <c r="X1063" s="129"/>
      <c r="Y1063" s="129"/>
      <c r="Z1063" s="145" t="b">
        <v>0</v>
      </c>
      <c r="AA1063" s="145"/>
      <c r="AB1063" s="129"/>
      <c r="AC1063" s="129"/>
      <c r="AD1063" s="129"/>
      <c r="AE1063" s="129"/>
      <c r="AF1063" s="132"/>
      <c r="AG1063" s="128" t="b">
        <v>0</v>
      </c>
      <c r="AH1063" s="128"/>
      <c r="AI1063" s="128"/>
      <c r="AJ1063" s="128"/>
      <c r="AK1063" s="128"/>
      <c r="AL1063" s="129"/>
      <c r="AM1063" s="129"/>
      <c r="AN1063" s="139"/>
    </row>
    <row r="1064">
      <c r="A1064" s="129"/>
      <c r="B1064" s="119"/>
      <c r="C1064" s="128"/>
      <c r="D1064" s="142"/>
      <c r="E1064" s="122"/>
      <c r="F1064" s="136"/>
      <c r="G1064" s="152"/>
      <c r="H1064" s="155"/>
      <c r="I1064" s="155"/>
      <c r="J1064" s="155"/>
      <c r="K1064" s="155"/>
      <c r="L1064" s="155"/>
      <c r="M1064" s="126"/>
      <c r="N1064" s="127"/>
      <c r="O1064" s="127"/>
      <c r="P1064" s="127"/>
      <c r="Q1064" s="126"/>
      <c r="R1064" s="128"/>
      <c r="S1064" s="128"/>
      <c r="T1064" s="128"/>
      <c r="U1064" s="128"/>
      <c r="V1064" s="129"/>
      <c r="W1064" s="129"/>
      <c r="X1064" s="129"/>
      <c r="Y1064" s="129"/>
      <c r="Z1064" s="145" t="b">
        <v>0</v>
      </c>
      <c r="AA1064" s="145"/>
      <c r="AB1064" s="129"/>
      <c r="AC1064" s="129"/>
      <c r="AD1064" s="129"/>
      <c r="AE1064" s="129"/>
      <c r="AF1064" s="132"/>
      <c r="AG1064" s="128" t="b">
        <v>0</v>
      </c>
      <c r="AH1064" s="128"/>
      <c r="AI1064" s="128"/>
      <c r="AJ1064" s="128"/>
      <c r="AK1064" s="128"/>
      <c r="AL1064" s="129"/>
      <c r="AM1064" s="129"/>
      <c r="AN1064" s="139"/>
    </row>
    <row r="1065">
      <c r="A1065" s="129"/>
      <c r="B1065" s="119"/>
      <c r="C1065" s="128"/>
      <c r="D1065" s="142"/>
      <c r="E1065" s="122"/>
      <c r="F1065" s="136"/>
      <c r="G1065" s="152"/>
      <c r="H1065" s="155"/>
      <c r="I1065" s="155"/>
      <c r="J1065" s="155"/>
      <c r="K1065" s="155"/>
      <c r="L1065" s="155"/>
      <c r="M1065" s="126"/>
      <c r="N1065" s="127"/>
      <c r="O1065" s="127"/>
      <c r="P1065" s="127"/>
      <c r="Q1065" s="126"/>
      <c r="R1065" s="128"/>
      <c r="S1065" s="128"/>
      <c r="T1065" s="128"/>
      <c r="U1065" s="128"/>
      <c r="V1065" s="129"/>
      <c r="W1065" s="129"/>
      <c r="X1065" s="129"/>
      <c r="Y1065" s="129"/>
      <c r="Z1065" s="145" t="b">
        <v>0</v>
      </c>
      <c r="AA1065" s="145"/>
      <c r="AB1065" s="129"/>
      <c r="AC1065" s="129"/>
      <c r="AD1065" s="129"/>
      <c r="AE1065" s="129"/>
      <c r="AF1065" s="132"/>
      <c r="AG1065" s="128" t="b">
        <v>0</v>
      </c>
      <c r="AH1065" s="128"/>
      <c r="AI1065" s="128"/>
      <c r="AJ1065" s="128"/>
      <c r="AK1065" s="128"/>
      <c r="AL1065" s="129"/>
      <c r="AM1065" s="129"/>
      <c r="AN1065" s="139"/>
    </row>
    <row r="1066">
      <c r="A1066" s="129"/>
      <c r="B1066" s="119"/>
      <c r="C1066" s="128"/>
      <c r="D1066" s="142"/>
      <c r="E1066" s="122"/>
      <c r="F1066" s="136"/>
      <c r="G1066" s="152"/>
      <c r="H1066" s="155"/>
      <c r="I1066" s="155"/>
      <c r="J1066" s="155"/>
      <c r="K1066" s="155"/>
      <c r="L1066" s="155"/>
      <c r="M1066" s="126"/>
      <c r="N1066" s="127"/>
      <c r="O1066" s="127"/>
      <c r="P1066" s="127"/>
      <c r="Q1066" s="126"/>
      <c r="R1066" s="128"/>
      <c r="S1066" s="128"/>
      <c r="T1066" s="128"/>
      <c r="U1066" s="128"/>
      <c r="V1066" s="129"/>
      <c r="W1066" s="129"/>
      <c r="X1066" s="129"/>
      <c r="Y1066" s="129"/>
      <c r="Z1066" s="145" t="b">
        <v>0</v>
      </c>
      <c r="AA1066" s="145"/>
      <c r="AB1066" s="129"/>
      <c r="AC1066" s="129"/>
      <c r="AD1066" s="129"/>
      <c r="AE1066" s="129"/>
      <c r="AF1066" s="132"/>
      <c r="AG1066" s="128" t="b">
        <v>0</v>
      </c>
      <c r="AH1066" s="128"/>
      <c r="AI1066" s="128"/>
      <c r="AJ1066" s="128"/>
      <c r="AK1066" s="128"/>
      <c r="AL1066" s="129"/>
      <c r="AM1066" s="129"/>
      <c r="AN1066" s="139"/>
    </row>
    <row r="1067">
      <c r="A1067" s="129"/>
      <c r="B1067" s="119"/>
      <c r="C1067" s="128"/>
      <c r="D1067" s="142"/>
      <c r="E1067" s="122"/>
      <c r="F1067" s="136"/>
      <c r="G1067" s="152"/>
      <c r="H1067" s="155"/>
      <c r="I1067" s="155"/>
      <c r="J1067" s="155"/>
      <c r="K1067" s="155"/>
      <c r="L1067" s="155"/>
      <c r="M1067" s="126"/>
      <c r="N1067" s="127"/>
      <c r="O1067" s="127"/>
      <c r="P1067" s="127"/>
      <c r="Q1067" s="126"/>
      <c r="R1067" s="128"/>
      <c r="S1067" s="128"/>
      <c r="T1067" s="128"/>
      <c r="U1067" s="128"/>
      <c r="V1067" s="129"/>
      <c r="W1067" s="129"/>
      <c r="X1067" s="129"/>
      <c r="Y1067" s="129"/>
      <c r="Z1067" s="145" t="b">
        <v>0</v>
      </c>
      <c r="AA1067" s="145"/>
      <c r="AB1067" s="129"/>
      <c r="AC1067" s="129"/>
      <c r="AD1067" s="129"/>
      <c r="AE1067" s="129"/>
      <c r="AF1067" s="132"/>
      <c r="AG1067" s="128" t="b">
        <v>0</v>
      </c>
      <c r="AH1067" s="128"/>
      <c r="AI1067" s="128"/>
      <c r="AJ1067" s="128"/>
      <c r="AK1067" s="128"/>
      <c r="AL1067" s="129"/>
      <c r="AM1067" s="129"/>
      <c r="AN1067" s="139"/>
    </row>
    <row r="1068">
      <c r="A1068" s="129"/>
      <c r="B1068" s="119"/>
      <c r="C1068" s="128"/>
      <c r="D1068" s="142"/>
      <c r="E1068" s="122"/>
      <c r="F1068" s="136"/>
      <c r="G1068" s="152"/>
      <c r="H1068" s="155"/>
      <c r="I1068" s="155"/>
      <c r="J1068" s="155"/>
      <c r="K1068" s="155"/>
      <c r="L1068" s="155"/>
      <c r="M1068" s="126"/>
      <c r="N1068" s="127"/>
      <c r="O1068" s="127"/>
      <c r="P1068" s="127"/>
      <c r="Q1068" s="126"/>
      <c r="R1068" s="128"/>
      <c r="S1068" s="128"/>
      <c r="T1068" s="128"/>
      <c r="U1068" s="128"/>
      <c r="V1068" s="129"/>
      <c r="W1068" s="129"/>
      <c r="X1068" s="129"/>
      <c r="Y1068" s="129"/>
      <c r="Z1068" s="145" t="b">
        <v>0</v>
      </c>
      <c r="AA1068" s="145"/>
      <c r="AB1068" s="129"/>
      <c r="AC1068" s="129"/>
      <c r="AD1068" s="129"/>
      <c r="AE1068" s="129"/>
      <c r="AF1068" s="132"/>
      <c r="AG1068" s="128" t="b">
        <v>0</v>
      </c>
      <c r="AH1068" s="128"/>
      <c r="AI1068" s="128"/>
      <c r="AJ1068" s="128"/>
      <c r="AK1068" s="128"/>
      <c r="AL1068" s="129"/>
      <c r="AM1068" s="129"/>
      <c r="AN1068" s="139"/>
    </row>
    <row r="1069">
      <c r="A1069" s="129"/>
      <c r="B1069" s="119"/>
      <c r="C1069" s="128"/>
      <c r="D1069" s="142"/>
      <c r="E1069" s="122"/>
      <c r="F1069" s="136"/>
      <c r="G1069" s="152"/>
      <c r="H1069" s="155"/>
      <c r="I1069" s="155"/>
      <c r="J1069" s="155"/>
      <c r="K1069" s="155"/>
      <c r="L1069" s="155"/>
      <c r="M1069" s="126"/>
      <c r="N1069" s="127"/>
      <c r="O1069" s="127"/>
      <c r="P1069" s="127"/>
      <c r="Q1069" s="126"/>
      <c r="R1069" s="128"/>
      <c r="S1069" s="128"/>
      <c r="T1069" s="128"/>
      <c r="U1069" s="128"/>
      <c r="V1069" s="129"/>
      <c r="W1069" s="129"/>
      <c r="X1069" s="129"/>
      <c r="Y1069" s="129"/>
      <c r="Z1069" s="145" t="b">
        <v>0</v>
      </c>
      <c r="AA1069" s="145"/>
      <c r="AB1069" s="129"/>
      <c r="AC1069" s="129"/>
      <c r="AD1069" s="129"/>
      <c r="AE1069" s="129"/>
      <c r="AF1069" s="132"/>
      <c r="AG1069" s="128" t="b">
        <v>0</v>
      </c>
      <c r="AH1069" s="128"/>
      <c r="AI1069" s="128"/>
      <c r="AJ1069" s="128"/>
      <c r="AK1069" s="128"/>
      <c r="AL1069" s="129"/>
      <c r="AM1069" s="129"/>
      <c r="AN1069" s="139"/>
    </row>
    <row r="1070">
      <c r="A1070" s="129"/>
      <c r="B1070" s="119"/>
      <c r="C1070" s="128"/>
      <c r="D1070" s="142"/>
      <c r="E1070" s="122"/>
      <c r="F1070" s="136"/>
      <c r="G1070" s="152"/>
      <c r="H1070" s="155"/>
      <c r="I1070" s="155"/>
      <c r="J1070" s="155"/>
      <c r="K1070" s="155"/>
      <c r="L1070" s="155"/>
      <c r="M1070" s="126"/>
      <c r="N1070" s="127"/>
      <c r="O1070" s="127"/>
      <c r="P1070" s="127"/>
      <c r="Q1070" s="126"/>
      <c r="R1070" s="128"/>
      <c r="S1070" s="128"/>
      <c r="T1070" s="128"/>
      <c r="U1070" s="128"/>
      <c r="V1070" s="129"/>
      <c r="W1070" s="129"/>
      <c r="X1070" s="129"/>
      <c r="Y1070" s="129"/>
      <c r="Z1070" s="145" t="b">
        <v>0</v>
      </c>
      <c r="AA1070" s="145"/>
      <c r="AB1070" s="129"/>
      <c r="AC1070" s="129"/>
      <c r="AD1070" s="129"/>
      <c r="AE1070" s="129"/>
      <c r="AF1070" s="132"/>
      <c r="AG1070" s="128" t="b">
        <v>0</v>
      </c>
      <c r="AH1070" s="128"/>
      <c r="AI1070" s="128"/>
      <c r="AJ1070" s="128"/>
      <c r="AK1070" s="128"/>
      <c r="AL1070" s="129"/>
      <c r="AM1070" s="129"/>
      <c r="AN1070" s="139"/>
    </row>
    <row r="1071">
      <c r="A1071" s="129"/>
      <c r="B1071" s="119"/>
      <c r="C1071" s="128"/>
      <c r="D1071" s="142"/>
      <c r="E1071" s="122"/>
      <c r="F1071" s="136"/>
      <c r="G1071" s="152"/>
      <c r="H1071" s="155"/>
      <c r="I1071" s="155"/>
      <c r="J1071" s="155"/>
      <c r="K1071" s="155"/>
      <c r="L1071" s="155"/>
      <c r="M1071" s="126"/>
      <c r="N1071" s="127"/>
      <c r="O1071" s="127"/>
      <c r="P1071" s="127"/>
      <c r="Q1071" s="126"/>
      <c r="R1071" s="128"/>
      <c r="S1071" s="128"/>
      <c r="T1071" s="128"/>
      <c r="U1071" s="128"/>
      <c r="V1071" s="129"/>
      <c r="W1071" s="129"/>
      <c r="X1071" s="129"/>
      <c r="Y1071" s="129"/>
      <c r="Z1071" s="145" t="b">
        <v>0</v>
      </c>
      <c r="AA1071" s="145"/>
      <c r="AB1071" s="129"/>
      <c r="AC1071" s="129"/>
      <c r="AD1071" s="129"/>
      <c r="AE1071" s="129"/>
      <c r="AF1071" s="132"/>
      <c r="AG1071" s="128" t="b">
        <v>0</v>
      </c>
      <c r="AH1071" s="128"/>
      <c r="AI1071" s="128"/>
      <c r="AJ1071" s="128"/>
      <c r="AK1071" s="128"/>
      <c r="AL1071" s="129"/>
      <c r="AM1071" s="129"/>
      <c r="AN1071" s="139"/>
    </row>
    <row r="1072">
      <c r="A1072" s="129"/>
      <c r="B1072" s="119"/>
      <c r="C1072" s="128"/>
      <c r="D1072" s="142"/>
      <c r="E1072" s="122"/>
      <c r="F1072" s="136"/>
      <c r="G1072" s="152"/>
      <c r="H1072" s="155"/>
      <c r="I1072" s="155"/>
      <c r="J1072" s="155"/>
      <c r="K1072" s="155"/>
      <c r="L1072" s="155"/>
      <c r="M1072" s="126"/>
      <c r="N1072" s="127"/>
      <c r="O1072" s="127"/>
      <c r="P1072" s="127"/>
      <c r="Q1072" s="126"/>
      <c r="R1072" s="128"/>
      <c r="S1072" s="128"/>
      <c r="T1072" s="128"/>
      <c r="U1072" s="128"/>
      <c r="V1072" s="129"/>
      <c r="W1072" s="129"/>
      <c r="X1072" s="129"/>
      <c r="Y1072" s="129"/>
      <c r="Z1072" s="145" t="b">
        <v>0</v>
      </c>
      <c r="AA1072" s="145"/>
      <c r="AB1072" s="129"/>
      <c r="AC1072" s="129"/>
      <c r="AD1072" s="129"/>
      <c r="AE1072" s="129"/>
      <c r="AF1072" s="132"/>
      <c r="AG1072" s="128" t="b">
        <v>0</v>
      </c>
      <c r="AH1072" s="128"/>
      <c r="AI1072" s="128"/>
      <c r="AJ1072" s="128"/>
      <c r="AK1072" s="128"/>
      <c r="AL1072" s="129"/>
      <c r="AM1072" s="129"/>
      <c r="AN1072" s="139"/>
    </row>
    <row r="1073">
      <c r="A1073" s="129"/>
      <c r="B1073" s="119"/>
      <c r="C1073" s="128"/>
      <c r="D1073" s="142"/>
      <c r="E1073" s="122"/>
      <c r="F1073" s="136"/>
      <c r="G1073" s="152"/>
      <c r="H1073" s="155"/>
      <c r="I1073" s="155"/>
      <c r="J1073" s="155"/>
      <c r="K1073" s="155"/>
      <c r="L1073" s="155"/>
      <c r="M1073" s="126"/>
      <c r="N1073" s="127"/>
      <c r="O1073" s="127"/>
      <c r="P1073" s="127"/>
      <c r="Q1073" s="126"/>
      <c r="R1073" s="128"/>
      <c r="S1073" s="128"/>
      <c r="T1073" s="128"/>
      <c r="U1073" s="128"/>
      <c r="V1073" s="129"/>
      <c r="W1073" s="129"/>
      <c r="X1073" s="129"/>
      <c r="Y1073" s="129"/>
      <c r="Z1073" s="145" t="b">
        <v>0</v>
      </c>
      <c r="AA1073" s="145"/>
      <c r="AB1073" s="129"/>
      <c r="AC1073" s="129"/>
      <c r="AD1073" s="129"/>
      <c r="AE1073" s="129"/>
      <c r="AF1073" s="132"/>
      <c r="AG1073" s="128" t="b">
        <v>0</v>
      </c>
      <c r="AH1073" s="128"/>
      <c r="AI1073" s="128"/>
      <c r="AJ1073" s="128"/>
      <c r="AK1073" s="128"/>
      <c r="AL1073" s="129"/>
      <c r="AM1073" s="129"/>
      <c r="AN1073" s="139"/>
    </row>
    <row r="1074">
      <c r="A1074" s="129"/>
      <c r="B1074" s="119"/>
      <c r="C1074" s="128"/>
      <c r="D1074" s="142"/>
      <c r="E1074" s="122"/>
      <c r="F1074" s="136"/>
      <c r="G1074" s="152"/>
      <c r="H1074" s="155"/>
      <c r="I1074" s="155"/>
      <c r="J1074" s="155"/>
      <c r="K1074" s="155"/>
      <c r="L1074" s="155"/>
      <c r="M1074" s="126"/>
      <c r="N1074" s="127"/>
      <c r="O1074" s="127"/>
      <c r="P1074" s="127"/>
      <c r="Q1074" s="126"/>
      <c r="R1074" s="128"/>
      <c r="S1074" s="128"/>
      <c r="T1074" s="128"/>
      <c r="U1074" s="128"/>
      <c r="V1074" s="129"/>
      <c r="W1074" s="129"/>
      <c r="X1074" s="129"/>
      <c r="Y1074" s="129"/>
      <c r="Z1074" s="145" t="b">
        <v>0</v>
      </c>
      <c r="AA1074" s="145"/>
      <c r="AB1074" s="129"/>
      <c r="AC1074" s="129"/>
      <c r="AD1074" s="129"/>
      <c r="AE1074" s="129"/>
      <c r="AF1074" s="132"/>
      <c r="AG1074" s="128" t="b">
        <v>0</v>
      </c>
      <c r="AH1074" s="128"/>
      <c r="AI1074" s="128"/>
      <c r="AJ1074" s="128"/>
      <c r="AK1074" s="128"/>
      <c r="AL1074" s="129"/>
      <c r="AM1074" s="129"/>
      <c r="AN1074" s="139"/>
    </row>
    <row r="1075">
      <c r="A1075" s="129"/>
      <c r="B1075" s="119"/>
      <c r="C1075" s="128"/>
      <c r="D1075" s="142"/>
      <c r="E1075" s="122"/>
      <c r="F1075" s="136"/>
      <c r="G1075" s="152"/>
      <c r="H1075" s="155"/>
      <c r="I1075" s="155"/>
      <c r="J1075" s="155"/>
      <c r="K1075" s="155"/>
      <c r="L1075" s="155"/>
      <c r="M1075" s="126"/>
      <c r="N1075" s="127"/>
      <c r="O1075" s="127"/>
      <c r="P1075" s="127"/>
      <c r="Q1075" s="126"/>
      <c r="R1075" s="128"/>
      <c r="S1075" s="128"/>
      <c r="T1075" s="128"/>
      <c r="U1075" s="128"/>
      <c r="V1075" s="129"/>
      <c r="W1075" s="129"/>
      <c r="X1075" s="129"/>
      <c r="Y1075" s="129"/>
      <c r="Z1075" s="145" t="b">
        <v>0</v>
      </c>
      <c r="AA1075" s="145"/>
      <c r="AB1075" s="129"/>
      <c r="AC1075" s="129"/>
      <c r="AD1075" s="129"/>
      <c r="AE1075" s="129"/>
      <c r="AF1075" s="132"/>
      <c r="AG1075" s="128" t="b">
        <v>0</v>
      </c>
      <c r="AH1075" s="128"/>
      <c r="AI1075" s="128"/>
      <c r="AJ1075" s="128"/>
      <c r="AK1075" s="128"/>
      <c r="AL1075" s="129"/>
      <c r="AM1075" s="129"/>
      <c r="AN1075" s="139"/>
    </row>
    <row r="1076">
      <c r="A1076" s="129"/>
      <c r="B1076" s="119"/>
      <c r="C1076" s="128"/>
      <c r="D1076" s="142"/>
      <c r="E1076" s="122"/>
      <c r="F1076" s="136"/>
      <c r="G1076" s="152"/>
      <c r="H1076" s="155"/>
      <c r="I1076" s="155"/>
      <c r="J1076" s="155"/>
      <c r="K1076" s="155"/>
      <c r="L1076" s="155"/>
      <c r="M1076" s="126"/>
      <c r="N1076" s="127"/>
      <c r="O1076" s="127"/>
      <c r="P1076" s="127"/>
      <c r="Q1076" s="126"/>
      <c r="R1076" s="128"/>
      <c r="S1076" s="128"/>
      <c r="T1076" s="128"/>
      <c r="U1076" s="128"/>
      <c r="V1076" s="129"/>
      <c r="W1076" s="129"/>
      <c r="X1076" s="129"/>
      <c r="Y1076" s="129"/>
      <c r="Z1076" s="145" t="b">
        <v>0</v>
      </c>
      <c r="AA1076" s="145"/>
      <c r="AB1076" s="129"/>
      <c r="AC1076" s="129"/>
      <c r="AD1076" s="129"/>
      <c r="AE1076" s="129"/>
      <c r="AF1076" s="132"/>
      <c r="AG1076" s="128" t="b">
        <v>0</v>
      </c>
      <c r="AH1076" s="128"/>
      <c r="AI1076" s="128"/>
      <c r="AJ1076" s="128"/>
      <c r="AK1076" s="128"/>
      <c r="AL1076" s="129"/>
      <c r="AM1076" s="129"/>
      <c r="AN1076" s="139"/>
    </row>
    <row r="1077">
      <c r="A1077" s="129"/>
      <c r="B1077" s="119"/>
      <c r="C1077" s="128"/>
      <c r="D1077" s="142"/>
      <c r="E1077" s="122"/>
      <c r="F1077" s="136"/>
      <c r="G1077" s="152"/>
      <c r="H1077" s="155"/>
      <c r="I1077" s="155"/>
      <c r="J1077" s="155"/>
      <c r="K1077" s="155"/>
      <c r="L1077" s="155"/>
      <c r="M1077" s="126"/>
      <c r="N1077" s="127"/>
      <c r="O1077" s="127"/>
      <c r="P1077" s="127"/>
      <c r="Q1077" s="126"/>
      <c r="R1077" s="128"/>
      <c r="S1077" s="128"/>
      <c r="T1077" s="128"/>
      <c r="U1077" s="128"/>
      <c r="V1077" s="129"/>
      <c r="W1077" s="129"/>
      <c r="X1077" s="129"/>
      <c r="Y1077" s="129"/>
      <c r="Z1077" s="145" t="b">
        <v>0</v>
      </c>
      <c r="AA1077" s="145"/>
      <c r="AB1077" s="129"/>
      <c r="AC1077" s="129"/>
      <c r="AD1077" s="129"/>
      <c r="AE1077" s="129"/>
      <c r="AF1077" s="132"/>
      <c r="AG1077" s="128" t="b">
        <v>0</v>
      </c>
      <c r="AH1077" s="128"/>
      <c r="AI1077" s="128"/>
      <c r="AJ1077" s="128"/>
      <c r="AK1077" s="128"/>
      <c r="AL1077" s="129"/>
      <c r="AM1077" s="129"/>
      <c r="AN1077" s="139"/>
    </row>
    <row r="1078">
      <c r="A1078" s="129"/>
      <c r="B1078" s="119"/>
      <c r="C1078" s="128"/>
      <c r="D1078" s="142"/>
      <c r="E1078" s="122"/>
      <c r="F1078" s="136"/>
      <c r="G1078" s="152"/>
      <c r="H1078" s="155"/>
      <c r="I1078" s="155"/>
      <c r="J1078" s="155"/>
      <c r="K1078" s="155"/>
      <c r="L1078" s="155"/>
      <c r="M1078" s="126"/>
      <c r="N1078" s="127"/>
      <c r="O1078" s="127"/>
      <c r="P1078" s="127"/>
      <c r="Q1078" s="126"/>
      <c r="R1078" s="128"/>
      <c r="S1078" s="128"/>
      <c r="T1078" s="128"/>
      <c r="U1078" s="128"/>
      <c r="V1078" s="129"/>
      <c r="W1078" s="129"/>
      <c r="X1078" s="129"/>
      <c r="Y1078" s="129"/>
      <c r="Z1078" s="145" t="b">
        <v>0</v>
      </c>
      <c r="AA1078" s="145"/>
      <c r="AB1078" s="129"/>
      <c r="AC1078" s="129"/>
      <c r="AD1078" s="129"/>
      <c r="AE1078" s="129"/>
      <c r="AF1078" s="132"/>
      <c r="AG1078" s="128" t="b">
        <v>0</v>
      </c>
      <c r="AH1078" s="128"/>
      <c r="AI1078" s="128"/>
      <c r="AJ1078" s="128"/>
      <c r="AK1078" s="128"/>
      <c r="AL1078" s="129"/>
      <c r="AM1078" s="129"/>
      <c r="AN1078" s="139"/>
    </row>
    <row r="1079">
      <c r="A1079" s="129"/>
      <c r="B1079" s="119"/>
      <c r="C1079" s="128"/>
      <c r="D1079" s="142"/>
      <c r="E1079" s="122"/>
      <c r="F1079" s="136"/>
      <c r="G1079" s="152"/>
      <c r="H1079" s="155"/>
      <c r="I1079" s="155"/>
      <c r="J1079" s="155"/>
      <c r="K1079" s="155"/>
      <c r="L1079" s="155"/>
      <c r="M1079" s="126"/>
      <c r="N1079" s="127"/>
      <c r="O1079" s="127"/>
      <c r="P1079" s="127"/>
      <c r="Q1079" s="126"/>
      <c r="R1079" s="128"/>
      <c r="S1079" s="128"/>
      <c r="T1079" s="128"/>
      <c r="U1079" s="128"/>
      <c r="V1079" s="129"/>
      <c r="W1079" s="129"/>
      <c r="X1079" s="129"/>
      <c r="Y1079" s="129"/>
      <c r="Z1079" s="145" t="b">
        <v>0</v>
      </c>
      <c r="AA1079" s="145"/>
      <c r="AB1079" s="129"/>
      <c r="AC1079" s="129"/>
      <c r="AD1079" s="129"/>
      <c r="AE1079" s="129"/>
      <c r="AF1079" s="132"/>
      <c r="AG1079" s="128" t="b">
        <v>0</v>
      </c>
      <c r="AH1079" s="128"/>
      <c r="AI1079" s="128"/>
      <c r="AJ1079" s="128"/>
      <c r="AK1079" s="128"/>
      <c r="AL1079" s="129"/>
      <c r="AM1079" s="129"/>
      <c r="AN1079" s="139"/>
    </row>
    <row r="1080">
      <c r="A1080" s="129"/>
      <c r="B1080" s="119"/>
      <c r="C1080" s="128"/>
      <c r="D1080" s="142"/>
      <c r="E1080" s="122"/>
      <c r="F1080" s="136"/>
      <c r="G1080" s="152"/>
      <c r="H1080" s="155"/>
      <c r="I1080" s="155"/>
      <c r="J1080" s="155"/>
      <c r="K1080" s="155"/>
      <c r="L1080" s="155"/>
      <c r="M1080" s="126"/>
      <c r="N1080" s="127"/>
      <c r="O1080" s="127"/>
      <c r="P1080" s="127"/>
      <c r="Q1080" s="126"/>
      <c r="R1080" s="128"/>
      <c r="S1080" s="128"/>
      <c r="T1080" s="128"/>
      <c r="U1080" s="128"/>
      <c r="V1080" s="129"/>
      <c r="W1080" s="129"/>
      <c r="X1080" s="129"/>
      <c r="Y1080" s="129"/>
      <c r="Z1080" s="145" t="b">
        <v>0</v>
      </c>
      <c r="AA1080" s="145"/>
      <c r="AB1080" s="129"/>
      <c r="AC1080" s="129"/>
      <c r="AD1080" s="129"/>
      <c r="AE1080" s="129"/>
      <c r="AF1080" s="132"/>
      <c r="AG1080" s="128" t="b">
        <v>0</v>
      </c>
      <c r="AH1080" s="128"/>
      <c r="AI1080" s="128"/>
      <c r="AJ1080" s="128"/>
      <c r="AK1080" s="128"/>
      <c r="AL1080" s="129"/>
      <c r="AM1080" s="129"/>
      <c r="AN1080" s="139"/>
    </row>
    <row r="1081">
      <c r="A1081" s="129"/>
      <c r="B1081" s="119"/>
      <c r="C1081" s="128"/>
      <c r="D1081" s="142"/>
      <c r="E1081" s="122"/>
      <c r="F1081" s="136"/>
      <c r="G1081" s="152"/>
      <c r="H1081" s="155"/>
      <c r="I1081" s="155"/>
      <c r="J1081" s="155"/>
      <c r="K1081" s="155"/>
      <c r="L1081" s="155"/>
      <c r="M1081" s="126"/>
      <c r="N1081" s="127"/>
      <c r="O1081" s="127"/>
      <c r="P1081" s="127"/>
      <c r="Q1081" s="126"/>
      <c r="R1081" s="128"/>
      <c r="S1081" s="128"/>
      <c r="T1081" s="128"/>
      <c r="U1081" s="128"/>
      <c r="V1081" s="129"/>
      <c r="W1081" s="129"/>
      <c r="X1081" s="129"/>
      <c r="Y1081" s="129"/>
      <c r="Z1081" s="145" t="b">
        <v>0</v>
      </c>
      <c r="AA1081" s="145"/>
      <c r="AB1081" s="129"/>
      <c r="AC1081" s="129"/>
      <c r="AD1081" s="129"/>
      <c r="AE1081" s="129"/>
      <c r="AF1081" s="132"/>
      <c r="AG1081" s="128" t="b">
        <v>0</v>
      </c>
      <c r="AH1081" s="128"/>
      <c r="AI1081" s="128"/>
      <c r="AJ1081" s="128"/>
      <c r="AK1081" s="128"/>
      <c r="AL1081" s="129"/>
      <c r="AM1081" s="129"/>
      <c r="AN1081" s="139"/>
    </row>
    <row r="1082">
      <c r="A1082" s="129"/>
      <c r="B1082" s="119"/>
      <c r="C1082" s="128"/>
      <c r="D1082" s="142"/>
      <c r="E1082" s="122"/>
      <c r="F1082" s="136"/>
      <c r="G1082" s="152"/>
      <c r="H1082" s="155"/>
      <c r="I1082" s="155"/>
      <c r="J1082" s="155"/>
      <c r="K1082" s="155"/>
      <c r="L1082" s="155"/>
      <c r="M1082" s="126"/>
      <c r="N1082" s="127"/>
      <c r="O1082" s="127"/>
      <c r="P1082" s="127"/>
      <c r="Q1082" s="126"/>
      <c r="R1082" s="128"/>
      <c r="S1082" s="128"/>
      <c r="T1082" s="128"/>
      <c r="U1082" s="128"/>
      <c r="V1082" s="129"/>
      <c r="W1082" s="129"/>
      <c r="X1082" s="129"/>
      <c r="Y1082" s="129"/>
      <c r="Z1082" s="145" t="b">
        <v>0</v>
      </c>
      <c r="AA1082" s="145"/>
      <c r="AB1082" s="129"/>
      <c r="AC1082" s="129"/>
      <c r="AD1082" s="129"/>
      <c r="AE1082" s="129"/>
      <c r="AF1082" s="132"/>
      <c r="AG1082" s="128" t="b">
        <v>0</v>
      </c>
      <c r="AH1082" s="128"/>
      <c r="AI1082" s="128"/>
      <c r="AJ1082" s="128"/>
      <c r="AK1082" s="128"/>
      <c r="AL1082" s="129"/>
      <c r="AM1082" s="129"/>
      <c r="AN1082" s="139"/>
    </row>
    <row r="1083">
      <c r="A1083" s="129"/>
      <c r="B1083" s="119"/>
      <c r="C1083" s="128"/>
      <c r="D1083" s="142"/>
      <c r="E1083" s="122"/>
      <c r="F1083" s="136"/>
      <c r="G1083" s="152"/>
      <c r="H1083" s="155"/>
      <c r="I1083" s="155"/>
      <c r="J1083" s="155"/>
      <c r="K1083" s="155"/>
      <c r="L1083" s="155"/>
      <c r="M1083" s="126"/>
      <c r="N1083" s="127"/>
      <c r="O1083" s="127"/>
      <c r="P1083" s="127"/>
      <c r="Q1083" s="126"/>
      <c r="R1083" s="128"/>
      <c r="S1083" s="128"/>
      <c r="T1083" s="128"/>
      <c r="U1083" s="128"/>
      <c r="V1083" s="129"/>
      <c r="W1083" s="129"/>
      <c r="X1083" s="129"/>
      <c r="Y1083" s="129"/>
      <c r="Z1083" s="145" t="b">
        <v>0</v>
      </c>
      <c r="AA1083" s="145"/>
      <c r="AB1083" s="129"/>
      <c r="AC1083" s="129"/>
      <c r="AD1083" s="129"/>
      <c r="AE1083" s="129"/>
      <c r="AF1083" s="132"/>
      <c r="AG1083" s="128" t="b">
        <v>0</v>
      </c>
      <c r="AH1083" s="128"/>
      <c r="AI1083" s="128"/>
      <c r="AJ1083" s="128"/>
      <c r="AK1083" s="128"/>
      <c r="AL1083" s="129"/>
      <c r="AM1083" s="129"/>
      <c r="AN1083" s="139"/>
    </row>
    <row r="1084">
      <c r="A1084" s="129"/>
      <c r="B1084" s="119"/>
      <c r="C1084" s="128"/>
      <c r="D1084" s="142"/>
      <c r="E1084" s="122"/>
      <c r="F1084" s="136"/>
      <c r="G1084" s="152"/>
      <c r="H1084" s="155"/>
      <c r="I1084" s="155"/>
      <c r="J1084" s="155"/>
      <c r="K1084" s="155"/>
      <c r="L1084" s="155"/>
      <c r="M1084" s="126"/>
      <c r="N1084" s="127"/>
      <c r="O1084" s="127"/>
      <c r="P1084" s="127"/>
      <c r="Q1084" s="126"/>
      <c r="R1084" s="128"/>
      <c r="S1084" s="128"/>
      <c r="T1084" s="128"/>
      <c r="U1084" s="128"/>
      <c r="V1084" s="129"/>
      <c r="W1084" s="129"/>
      <c r="X1084" s="129"/>
      <c r="Y1084" s="129"/>
      <c r="Z1084" s="145" t="b">
        <v>0</v>
      </c>
      <c r="AA1084" s="145"/>
      <c r="AB1084" s="129"/>
      <c r="AC1084" s="129"/>
      <c r="AD1084" s="129"/>
      <c r="AE1084" s="129"/>
      <c r="AF1084" s="132"/>
      <c r="AG1084" s="128" t="b">
        <v>0</v>
      </c>
      <c r="AH1084" s="128"/>
      <c r="AI1084" s="128"/>
      <c r="AJ1084" s="128"/>
      <c r="AK1084" s="128"/>
      <c r="AL1084" s="129"/>
      <c r="AM1084" s="129"/>
      <c r="AN1084" s="139"/>
    </row>
    <row r="1085">
      <c r="A1085" s="129"/>
      <c r="B1085" s="119"/>
      <c r="C1085" s="128"/>
      <c r="D1085" s="142"/>
      <c r="E1085" s="122"/>
      <c r="F1085" s="136"/>
      <c r="G1085" s="152"/>
      <c r="H1085" s="155"/>
      <c r="I1085" s="155"/>
      <c r="J1085" s="155"/>
      <c r="K1085" s="155"/>
      <c r="L1085" s="155"/>
      <c r="M1085" s="126"/>
      <c r="N1085" s="127"/>
      <c r="O1085" s="127"/>
      <c r="P1085" s="127"/>
      <c r="Q1085" s="126"/>
      <c r="R1085" s="128"/>
      <c r="S1085" s="128"/>
      <c r="T1085" s="128"/>
      <c r="U1085" s="128"/>
      <c r="V1085" s="129"/>
      <c r="W1085" s="129"/>
      <c r="X1085" s="129"/>
      <c r="Y1085" s="129"/>
      <c r="Z1085" s="145" t="b">
        <v>0</v>
      </c>
      <c r="AA1085" s="145"/>
      <c r="AB1085" s="129"/>
      <c r="AC1085" s="129"/>
      <c r="AD1085" s="129"/>
      <c r="AE1085" s="129"/>
      <c r="AF1085" s="132"/>
      <c r="AG1085" s="128" t="b">
        <v>0</v>
      </c>
      <c r="AH1085" s="128"/>
      <c r="AI1085" s="128"/>
      <c r="AJ1085" s="128"/>
      <c r="AK1085" s="128"/>
      <c r="AL1085" s="129"/>
      <c r="AM1085" s="129"/>
      <c r="AN1085" s="139"/>
    </row>
    <row r="1086">
      <c r="A1086" s="129"/>
      <c r="B1086" s="119"/>
      <c r="C1086" s="128"/>
      <c r="D1086" s="142"/>
      <c r="E1086" s="122"/>
      <c r="F1086" s="136"/>
      <c r="G1086" s="152"/>
      <c r="H1086" s="155"/>
      <c r="I1086" s="155"/>
      <c r="J1086" s="155"/>
      <c r="K1086" s="155"/>
      <c r="L1086" s="155"/>
      <c r="M1086" s="126"/>
      <c r="N1086" s="127"/>
      <c r="O1086" s="127"/>
      <c r="P1086" s="127"/>
      <c r="Q1086" s="126"/>
      <c r="R1086" s="128"/>
      <c r="S1086" s="128"/>
      <c r="T1086" s="128"/>
      <c r="U1086" s="128"/>
      <c r="V1086" s="129"/>
      <c r="W1086" s="129"/>
      <c r="X1086" s="129"/>
      <c r="Y1086" s="129"/>
      <c r="Z1086" s="145" t="b">
        <v>0</v>
      </c>
      <c r="AA1086" s="145"/>
      <c r="AB1086" s="129"/>
      <c r="AC1086" s="129"/>
      <c r="AD1086" s="129"/>
      <c r="AE1086" s="129"/>
      <c r="AF1086" s="132"/>
      <c r="AG1086" s="128" t="b">
        <v>0</v>
      </c>
      <c r="AH1086" s="128"/>
      <c r="AI1086" s="128"/>
      <c r="AJ1086" s="128"/>
      <c r="AK1086" s="128"/>
      <c r="AL1086" s="129"/>
      <c r="AM1086" s="129"/>
      <c r="AN1086" s="139"/>
    </row>
    <row r="1087">
      <c r="A1087" s="129"/>
      <c r="B1087" s="119"/>
      <c r="C1087" s="128"/>
      <c r="D1087" s="142"/>
      <c r="E1087" s="122"/>
      <c r="F1087" s="136"/>
      <c r="G1087" s="152"/>
      <c r="H1087" s="155"/>
      <c r="I1087" s="155"/>
      <c r="J1087" s="155"/>
      <c r="K1087" s="155"/>
      <c r="L1087" s="155"/>
      <c r="M1087" s="126"/>
      <c r="N1087" s="127"/>
      <c r="O1087" s="127"/>
      <c r="P1087" s="127"/>
      <c r="Q1087" s="126"/>
      <c r="R1087" s="128"/>
      <c r="S1087" s="128"/>
      <c r="T1087" s="128"/>
      <c r="U1087" s="128"/>
      <c r="V1087" s="129"/>
      <c r="W1087" s="129"/>
      <c r="X1087" s="129"/>
      <c r="Y1087" s="129"/>
      <c r="Z1087" s="145" t="b">
        <v>0</v>
      </c>
      <c r="AA1087" s="145"/>
      <c r="AB1087" s="129"/>
      <c r="AC1087" s="129"/>
      <c r="AD1087" s="129"/>
      <c r="AE1087" s="129"/>
      <c r="AF1087" s="132"/>
      <c r="AG1087" s="128" t="b">
        <v>0</v>
      </c>
      <c r="AH1087" s="128"/>
      <c r="AI1087" s="128"/>
      <c r="AJ1087" s="128"/>
      <c r="AK1087" s="128"/>
      <c r="AL1087" s="129"/>
      <c r="AM1087" s="129"/>
      <c r="AN1087" s="139"/>
    </row>
    <row r="1088">
      <c r="A1088" s="129"/>
      <c r="B1088" s="119"/>
      <c r="C1088" s="128"/>
      <c r="D1088" s="142"/>
      <c r="E1088" s="122"/>
      <c r="F1088" s="136"/>
      <c r="G1088" s="152"/>
      <c r="H1088" s="155"/>
      <c r="I1088" s="155"/>
      <c r="J1088" s="155"/>
      <c r="K1088" s="155"/>
      <c r="L1088" s="155"/>
      <c r="M1088" s="126"/>
      <c r="N1088" s="127"/>
      <c r="O1088" s="127"/>
      <c r="P1088" s="127"/>
      <c r="Q1088" s="126"/>
      <c r="R1088" s="128"/>
      <c r="S1088" s="128"/>
      <c r="T1088" s="128"/>
      <c r="U1088" s="128"/>
      <c r="V1088" s="129"/>
      <c r="W1088" s="129"/>
      <c r="X1088" s="129"/>
      <c r="Y1088" s="129"/>
      <c r="Z1088" s="145" t="b">
        <v>0</v>
      </c>
      <c r="AA1088" s="145"/>
      <c r="AB1088" s="129"/>
      <c r="AC1088" s="129"/>
      <c r="AD1088" s="129"/>
      <c r="AE1088" s="129"/>
      <c r="AF1088" s="132"/>
      <c r="AG1088" s="128" t="b">
        <v>0</v>
      </c>
      <c r="AH1088" s="128"/>
      <c r="AI1088" s="128"/>
      <c r="AJ1088" s="128"/>
      <c r="AK1088" s="128"/>
      <c r="AL1088" s="129"/>
      <c r="AM1088" s="129"/>
      <c r="AN1088" s="139"/>
    </row>
    <row r="1089">
      <c r="A1089" s="129"/>
      <c r="B1089" s="119"/>
      <c r="C1089" s="128"/>
      <c r="D1089" s="142"/>
      <c r="E1089" s="122"/>
      <c r="F1089" s="136"/>
      <c r="G1089" s="152"/>
      <c r="H1089" s="155"/>
      <c r="I1089" s="155"/>
      <c r="J1089" s="155"/>
      <c r="K1089" s="155"/>
      <c r="L1089" s="155"/>
      <c r="M1089" s="126"/>
      <c r="N1089" s="127"/>
      <c r="O1089" s="127"/>
      <c r="P1089" s="127"/>
      <c r="Q1089" s="126"/>
      <c r="R1089" s="128"/>
      <c r="S1089" s="128"/>
      <c r="T1089" s="128"/>
      <c r="U1089" s="128"/>
      <c r="V1089" s="129"/>
      <c r="W1089" s="129"/>
      <c r="X1089" s="129"/>
      <c r="Y1089" s="129"/>
      <c r="Z1089" s="145" t="b">
        <v>0</v>
      </c>
      <c r="AA1089" s="145"/>
      <c r="AB1089" s="129"/>
      <c r="AC1089" s="129"/>
      <c r="AD1089" s="129"/>
      <c r="AE1089" s="129"/>
      <c r="AF1089" s="132"/>
      <c r="AG1089" s="128" t="b">
        <v>0</v>
      </c>
      <c r="AH1089" s="128"/>
      <c r="AI1089" s="128"/>
      <c r="AJ1089" s="128"/>
      <c r="AK1089" s="128"/>
      <c r="AL1089" s="129"/>
      <c r="AM1089" s="129"/>
      <c r="AN1089" s="139"/>
    </row>
    <row r="1090">
      <c r="A1090" s="129"/>
      <c r="B1090" s="119"/>
      <c r="C1090" s="128"/>
      <c r="D1090" s="142"/>
      <c r="E1090" s="122"/>
      <c r="F1090" s="136"/>
      <c r="G1090" s="152"/>
      <c r="H1090" s="155"/>
      <c r="I1090" s="155"/>
      <c r="J1090" s="155"/>
      <c r="K1090" s="155"/>
      <c r="L1090" s="155"/>
      <c r="M1090" s="126"/>
      <c r="N1090" s="127"/>
      <c r="O1090" s="127"/>
      <c r="P1090" s="127"/>
      <c r="Q1090" s="126"/>
      <c r="R1090" s="128"/>
      <c r="S1090" s="128"/>
      <c r="T1090" s="128"/>
      <c r="U1090" s="128"/>
      <c r="V1090" s="129"/>
      <c r="W1090" s="129"/>
      <c r="X1090" s="129"/>
      <c r="Y1090" s="129"/>
      <c r="Z1090" s="145" t="b">
        <v>0</v>
      </c>
      <c r="AA1090" s="145"/>
      <c r="AB1090" s="129"/>
      <c r="AC1090" s="129"/>
      <c r="AD1090" s="129"/>
      <c r="AE1090" s="129"/>
      <c r="AF1090" s="132"/>
      <c r="AG1090" s="128" t="b">
        <v>0</v>
      </c>
      <c r="AH1090" s="128"/>
      <c r="AI1090" s="128"/>
      <c r="AJ1090" s="128"/>
      <c r="AK1090" s="128"/>
      <c r="AL1090" s="129"/>
      <c r="AM1090" s="129"/>
      <c r="AN1090" s="139"/>
    </row>
    <row r="1091">
      <c r="A1091" s="129"/>
      <c r="B1091" s="119"/>
      <c r="C1091" s="128"/>
      <c r="D1091" s="142"/>
      <c r="E1091" s="122"/>
      <c r="F1091" s="136"/>
      <c r="G1091" s="152"/>
      <c r="H1091" s="155"/>
      <c r="I1091" s="155"/>
      <c r="J1091" s="155"/>
      <c r="K1091" s="155"/>
      <c r="L1091" s="155"/>
      <c r="M1091" s="126"/>
      <c r="N1091" s="127"/>
      <c r="O1091" s="127"/>
      <c r="P1091" s="127"/>
      <c r="Q1091" s="126"/>
      <c r="R1091" s="128"/>
      <c r="S1091" s="128"/>
      <c r="T1091" s="128"/>
      <c r="U1091" s="128"/>
      <c r="V1091" s="129"/>
      <c r="W1091" s="129"/>
      <c r="X1091" s="129"/>
      <c r="Y1091" s="129"/>
      <c r="Z1091" s="145" t="b">
        <v>0</v>
      </c>
      <c r="AA1091" s="145"/>
      <c r="AB1091" s="129"/>
      <c r="AC1091" s="129"/>
      <c r="AD1091" s="129"/>
      <c r="AE1091" s="129"/>
      <c r="AF1091" s="132"/>
      <c r="AG1091" s="128" t="b">
        <v>0</v>
      </c>
      <c r="AH1091" s="128"/>
      <c r="AI1091" s="128"/>
      <c r="AJ1091" s="128"/>
      <c r="AK1091" s="128"/>
      <c r="AL1091" s="129"/>
      <c r="AM1091" s="129"/>
      <c r="AN1091" s="139"/>
    </row>
    <row r="1092">
      <c r="A1092" s="129"/>
      <c r="B1092" s="119"/>
      <c r="C1092" s="128"/>
      <c r="D1092" s="142"/>
      <c r="E1092" s="122"/>
      <c r="F1092" s="136"/>
      <c r="G1092" s="152"/>
      <c r="H1092" s="155"/>
      <c r="I1092" s="155"/>
      <c r="J1092" s="155"/>
      <c r="K1092" s="155"/>
      <c r="L1092" s="155"/>
      <c r="M1092" s="126"/>
      <c r="N1092" s="127"/>
      <c r="O1092" s="127"/>
      <c r="P1092" s="127"/>
      <c r="Q1092" s="126"/>
      <c r="R1092" s="128"/>
      <c r="S1092" s="128"/>
      <c r="T1092" s="128"/>
      <c r="U1092" s="128"/>
      <c r="V1092" s="129"/>
      <c r="W1092" s="129"/>
      <c r="X1092" s="129"/>
      <c r="Y1092" s="129"/>
      <c r="Z1092" s="145" t="b">
        <v>0</v>
      </c>
      <c r="AA1092" s="145"/>
      <c r="AB1092" s="129"/>
      <c r="AC1092" s="129"/>
      <c r="AD1092" s="129"/>
      <c r="AE1092" s="129"/>
      <c r="AF1092" s="132"/>
      <c r="AG1092" s="128" t="b">
        <v>0</v>
      </c>
      <c r="AH1092" s="128"/>
      <c r="AI1092" s="128"/>
      <c r="AJ1092" s="128"/>
      <c r="AK1092" s="128"/>
      <c r="AL1092" s="129"/>
      <c r="AM1092" s="129"/>
      <c r="AN1092" s="139"/>
    </row>
    <row r="1093">
      <c r="A1093" s="129"/>
      <c r="B1093" s="119"/>
      <c r="C1093" s="128"/>
      <c r="D1093" s="142"/>
      <c r="E1093" s="122"/>
      <c r="F1093" s="136"/>
      <c r="G1093" s="152"/>
      <c r="H1093" s="155"/>
      <c r="I1093" s="155"/>
      <c r="J1093" s="155"/>
      <c r="K1093" s="155"/>
      <c r="L1093" s="155"/>
      <c r="M1093" s="126"/>
      <c r="N1093" s="127"/>
      <c r="O1093" s="127"/>
      <c r="P1093" s="127"/>
      <c r="Q1093" s="126"/>
      <c r="R1093" s="128"/>
      <c r="S1093" s="128"/>
      <c r="T1093" s="128"/>
      <c r="U1093" s="128"/>
      <c r="V1093" s="129"/>
      <c r="W1093" s="129"/>
      <c r="X1093" s="129"/>
      <c r="Y1093" s="129"/>
      <c r="Z1093" s="145" t="b">
        <v>0</v>
      </c>
      <c r="AA1093" s="145"/>
      <c r="AB1093" s="129"/>
      <c r="AC1093" s="129"/>
      <c r="AD1093" s="129"/>
      <c r="AE1093" s="129"/>
      <c r="AF1093" s="132"/>
      <c r="AG1093" s="128" t="b">
        <v>0</v>
      </c>
      <c r="AH1093" s="128"/>
      <c r="AI1093" s="128"/>
      <c r="AJ1093" s="128"/>
      <c r="AK1093" s="128"/>
      <c r="AL1093" s="129"/>
      <c r="AM1093" s="129"/>
      <c r="AN1093" s="139"/>
    </row>
    <row r="1094">
      <c r="A1094" s="129"/>
      <c r="B1094" s="119"/>
      <c r="C1094" s="128"/>
      <c r="D1094" s="142"/>
      <c r="E1094" s="122"/>
      <c r="F1094" s="136"/>
      <c r="G1094" s="152"/>
      <c r="H1094" s="155"/>
      <c r="I1094" s="155"/>
      <c r="J1094" s="155"/>
      <c r="K1094" s="155"/>
      <c r="L1094" s="155"/>
      <c r="M1094" s="126"/>
      <c r="N1094" s="127"/>
      <c r="O1094" s="127"/>
      <c r="P1094" s="127"/>
      <c r="Q1094" s="126"/>
      <c r="R1094" s="128"/>
      <c r="S1094" s="128"/>
      <c r="T1094" s="128"/>
      <c r="U1094" s="128"/>
      <c r="V1094" s="129"/>
      <c r="W1094" s="129"/>
      <c r="X1094" s="129"/>
      <c r="Y1094" s="129"/>
      <c r="Z1094" s="145" t="b">
        <v>0</v>
      </c>
      <c r="AA1094" s="145"/>
      <c r="AB1094" s="129"/>
      <c r="AC1094" s="129"/>
      <c r="AD1094" s="129"/>
      <c r="AE1094" s="129"/>
      <c r="AF1094" s="132"/>
      <c r="AG1094" s="128" t="b">
        <v>0</v>
      </c>
      <c r="AH1094" s="128"/>
      <c r="AI1094" s="128"/>
      <c r="AJ1094" s="128"/>
      <c r="AK1094" s="128"/>
      <c r="AL1094" s="129"/>
      <c r="AM1094" s="129"/>
      <c r="AN1094" s="139"/>
    </row>
    <row r="1095">
      <c r="A1095" s="129"/>
      <c r="B1095" s="119"/>
      <c r="C1095" s="128"/>
      <c r="D1095" s="142"/>
      <c r="E1095" s="122"/>
      <c r="F1095" s="136"/>
      <c r="G1095" s="152"/>
      <c r="H1095" s="155"/>
      <c r="I1095" s="155"/>
      <c r="J1095" s="155"/>
      <c r="K1095" s="155"/>
      <c r="L1095" s="155"/>
      <c r="M1095" s="126"/>
      <c r="N1095" s="127"/>
      <c r="O1095" s="127"/>
      <c r="P1095" s="127"/>
      <c r="Q1095" s="126"/>
      <c r="R1095" s="128"/>
      <c r="S1095" s="128"/>
      <c r="T1095" s="128"/>
      <c r="U1095" s="128"/>
      <c r="V1095" s="129"/>
      <c r="W1095" s="129"/>
      <c r="X1095" s="129"/>
      <c r="Y1095" s="129"/>
      <c r="Z1095" s="145" t="b">
        <v>0</v>
      </c>
      <c r="AA1095" s="145"/>
      <c r="AB1095" s="129"/>
      <c r="AC1095" s="129"/>
      <c r="AD1095" s="129"/>
      <c r="AE1095" s="129"/>
      <c r="AF1095" s="132"/>
      <c r="AG1095" s="128" t="b">
        <v>0</v>
      </c>
      <c r="AH1095" s="128"/>
      <c r="AI1095" s="128"/>
      <c r="AJ1095" s="128"/>
      <c r="AK1095" s="128"/>
      <c r="AL1095" s="129"/>
      <c r="AM1095" s="129"/>
      <c r="AN1095" s="139"/>
    </row>
    <row r="1096">
      <c r="A1096" s="129"/>
      <c r="B1096" s="119"/>
      <c r="C1096" s="128"/>
      <c r="D1096" s="142"/>
      <c r="E1096" s="122"/>
      <c r="F1096" s="136"/>
      <c r="G1096" s="152"/>
      <c r="H1096" s="155"/>
      <c r="I1096" s="155"/>
      <c r="J1096" s="155"/>
      <c r="K1096" s="155"/>
      <c r="L1096" s="155"/>
      <c r="M1096" s="126"/>
      <c r="N1096" s="127"/>
      <c r="O1096" s="127"/>
      <c r="P1096" s="127"/>
      <c r="Q1096" s="126"/>
      <c r="R1096" s="128"/>
      <c r="S1096" s="128"/>
      <c r="T1096" s="128"/>
      <c r="U1096" s="128"/>
      <c r="V1096" s="129"/>
      <c r="W1096" s="129"/>
      <c r="X1096" s="129"/>
      <c r="Y1096" s="129"/>
      <c r="Z1096" s="145" t="b">
        <v>0</v>
      </c>
      <c r="AA1096" s="145"/>
      <c r="AB1096" s="129"/>
      <c r="AC1096" s="129"/>
      <c r="AD1096" s="129"/>
      <c r="AE1096" s="129"/>
      <c r="AF1096" s="132"/>
      <c r="AG1096" s="128" t="b">
        <v>0</v>
      </c>
      <c r="AH1096" s="128"/>
      <c r="AI1096" s="128"/>
      <c r="AJ1096" s="128"/>
      <c r="AK1096" s="128"/>
      <c r="AL1096" s="129"/>
      <c r="AM1096" s="129"/>
      <c r="AN1096" s="139"/>
    </row>
    <row r="1097">
      <c r="A1097" s="129"/>
      <c r="B1097" s="119"/>
      <c r="C1097" s="128"/>
      <c r="D1097" s="142"/>
      <c r="E1097" s="122"/>
      <c r="F1097" s="136"/>
      <c r="G1097" s="152"/>
      <c r="H1097" s="155"/>
      <c r="I1097" s="155"/>
      <c r="J1097" s="155"/>
      <c r="K1097" s="155"/>
      <c r="L1097" s="155"/>
      <c r="M1097" s="126"/>
      <c r="N1097" s="127"/>
      <c r="O1097" s="127"/>
      <c r="P1097" s="127"/>
      <c r="Q1097" s="126"/>
      <c r="R1097" s="128"/>
      <c r="S1097" s="128"/>
      <c r="T1097" s="128"/>
      <c r="U1097" s="128"/>
      <c r="V1097" s="129"/>
      <c r="W1097" s="129"/>
      <c r="X1097" s="129"/>
      <c r="Y1097" s="129"/>
      <c r="Z1097" s="145" t="b">
        <v>0</v>
      </c>
      <c r="AA1097" s="145"/>
      <c r="AB1097" s="129"/>
      <c r="AC1097" s="129"/>
      <c r="AD1097" s="129"/>
      <c r="AE1097" s="129"/>
      <c r="AF1097" s="132"/>
      <c r="AG1097" s="128" t="b">
        <v>0</v>
      </c>
      <c r="AH1097" s="128"/>
      <c r="AI1097" s="128"/>
      <c r="AJ1097" s="128"/>
      <c r="AK1097" s="128"/>
      <c r="AL1097" s="129"/>
      <c r="AM1097" s="129"/>
      <c r="AN1097" s="139"/>
    </row>
    <row r="1098">
      <c r="A1098" s="129"/>
      <c r="B1098" s="119"/>
      <c r="C1098" s="128"/>
      <c r="D1098" s="142"/>
      <c r="E1098" s="122"/>
      <c r="F1098" s="136"/>
      <c r="G1098" s="152"/>
      <c r="H1098" s="155"/>
      <c r="I1098" s="155"/>
      <c r="J1098" s="155"/>
      <c r="K1098" s="155"/>
      <c r="L1098" s="155"/>
      <c r="M1098" s="126"/>
      <c r="N1098" s="127"/>
      <c r="O1098" s="127"/>
      <c r="P1098" s="127"/>
      <c r="Q1098" s="126"/>
      <c r="R1098" s="128"/>
      <c r="S1098" s="128"/>
      <c r="T1098" s="128"/>
      <c r="U1098" s="128"/>
      <c r="V1098" s="129"/>
      <c r="W1098" s="129"/>
      <c r="X1098" s="129"/>
      <c r="Y1098" s="129"/>
      <c r="Z1098" s="145" t="b">
        <v>0</v>
      </c>
      <c r="AA1098" s="145"/>
      <c r="AB1098" s="129"/>
      <c r="AC1098" s="129"/>
      <c r="AD1098" s="129"/>
      <c r="AE1098" s="129"/>
      <c r="AF1098" s="132"/>
      <c r="AG1098" s="128" t="b">
        <v>0</v>
      </c>
      <c r="AH1098" s="128"/>
      <c r="AI1098" s="128"/>
      <c r="AJ1098" s="128"/>
      <c r="AK1098" s="128"/>
      <c r="AL1098" s="129"/>
      <c r="AM1098" s="129"/>
      <c r="AN1098" s="139"/>
    </row>
    <row r="1099">
      <c r="A1099" s="129"/>
      <c r="B1099" s="119"/>
      <c r="C1099" s="128"/>
      <c r="D1099" s="142"/>
      <c r="E1099" s="122"/>
      <c r="F1099" s="136"/>
      <c r="G1099" s="152"/>
      <c r="H1099" s="155"/>
      <c r="I1099" s="155"/>
      <c r="J1099" s="155"/>
      <c r="K1099" s="155"/>
      <c r="L1099" s="155"/>
      <c r="M1099" s="126"/>
      <c r="N1099" s="127"/>
      <c r="O1099" s="127"/>
      <c r="P1099" s="127"/>
      <c r="Q1099" s="126"/>
      <c r="R1099" s="128"/>
      <c r="S1099" s="128"/>
      <c r="T1099" s="128"/>
      <c r="U1099" s="128"/>
      <c r="V1099" s="129"/>
      <c r="W1099" s="129"/>
      <c r="X1099" s="129"/>
      <c r="Y1099" s="129"/>
      <c r="Z1099" s="145" t="b">
        <v>0</v>
      </c>
      <c r="AA1099" s="145"/>
      <c r="AB1099" s="129"/>
      <c r="AC1099" s="129"/>
      <c r="AD1099" s="129"/>
      <c r="AE1099" s="129"/>
      <c r="AF1099" s="132"/>
      <c r="AG1099" s="128" t="b">
        <v>0</v>
      </c>
      <c r="AH1099" s="128"/>
      <c r="AI1099" s="128"/>
      <c r="AJ1099" s="128"/>
      <c r="AK1099" s="128"/>
      <c r="AL1099" s="129"/>
      <c r="AM1099" s="129"/>
      <c r="AN1099" s="139"/>
    </row>
    <row r="1100">
      <c r="A1100" s="129"/>
      <c r="B1100" s="119"/>
      <c r="C1100" s="128"/>
      <c r="D1100" s="142"/>
      <c r="E1100" s="122"/>
      <c r="F1100" s="136"/>
      <c r="G1100" s="152"/>
      <c r="H1100" s="155"/>
      <c r="I1100" s="155"/>
      <c r="J1100" s="155"/>
      <c r="K1100" s="155"/>
      <c r="L1100" s="155"/>
      <c r="M1100" s="126"/>
      <c r="N1100" s="127"/>
      <c r="O1100" s="127"/>
      <c r="P1100" s="127"/>
      <c r="Q1100" s="126"/>
      <c r="R1100" s="128"/>
      <c r="S1100" s="128"/>
      <c r="T1100" s="128"/>
      <c r="U1100" s="128"/>
      <c r="V1100" s="129"/>
      <c r="W1100" s="129"/>
      <c r="X1100" s="129"/>
      <c r="Y1100" s="129"/>
      <c r="Z1100" s="145" t="b">
        <v>0</v>
      </c>
      <c r="AA1100" s="145"/>
      <c r="AB1100" s="129"/>
      <c r="AC1100" s="129"/>
      <c r="AD1100" s="129"/>
      <c r="AE1100" s="129"/>
      <c r="AF1100" s="132"/>
      <c r="AG1100" s="128" t="b">
        <v>0</v>
      </c>
      <c r="AH1100" s="128"/>
      <c r="AI1100" s="128"/>
      <c r="AJ1100" s="128"/>
      <c r="AK1100" s="128"/>
      <c r="AL1100" s="129"/>
      <c r="AM1100" s="129"/>
      <c r="AN1100" s="139"/>
    </row>
    <row r="1101">
      <c r="A1101" s="129"/>
      <c r="B1101" s="119"/>
      <c r="C1101" s="128"/>
      <c r="D1101" s="142"/>
      <c r="E1101" s="122"/>
      <c r="F1101" s="136"/>
      <c r="G1101" s="152"/>
      <c r="H1101" s="155"/>
      <c r="I1101" s="155"/>
      <c r="J1101" s="155"/>
      <c r="K1101" s="155"/>
      <c r="L1101" s="155"/>
      <c r="M1101" s="126"/>
      <c r="N1101" s="127"/>
      <c r="O1101" s="127"/>
      <c r="P1101" s="127"/>
      <c r="Q1101" s="126"/>
      <c r="R1101" s="128"/>
      <c r="S1101" s="128"/>
      <c r="T1101" s="128"/>
      <c r="U1101" s="128"/>
      <c r="V1101" s="129"/>
      <c r="W1101" s="129"/>
      <c r="X1101" s="129"/>
      <c r="Y1101" s="129"/>
      <c r="Z1101" s="145" t="b">
        <v>0</v>
      </c>
      <c r="AA1101" s="145"/>
      <c r="AB1101" s="129"/>
      <c r="AC1101" s="129"/>
      <c r="AD1101" s="129"/>
      <c r="AE1101" s="129"/>
      <c r="AF1101" s="132"/>
      <c r="AG1101" s="128" t="b">
        <v>0</v>
      </c>
      <c r="AH1101" s="128"/>
      <c r="AI1101" s="128"/>
      <c r="AJ1101" s="128"/>
      <c r="AK1101" s="128"/>
      <c r="AL1101" s="129"/>
      <c r="AM1101" s="129"/>
      <c r="AN1101" s="139"/>
    </row>
    <row r="1102">
      <c r="A1102" s="129"/>
      <c r="B1102" s="119"/>
      <c r="C1102" s="128"/>
      <c r="D1102" s="142"/>
      <c r="E1102" s="122"/>
      <c r="F1102" s="136"/>
      <c r="G1102" s="152"/>
      <c r="H1102" s="155"/>
      <c r="I1102" s="155"/>
      <c r="J1102" s="155"/>
      <c r="K1102" s="155"/>
      <c r="L1102" s="155"/>
      <c r="M1102" s="126"/>
      <c r="N1102" s="127"/>
      <c r="O1102" s="127"/>
      <c r="P1102" s="127"/>
      <c r="Q1102" s="126"/>
      <c r="R1102" s="128"/>
      <c r="S1102" s="128"/>
      <c r="T1102" s="128"/>
      <c r="U1102" s="128"/>
      <c r="V1102" s="129"/>
      <c r="W1102" s="129"/>
      <c r="X1102" s="129"/>
      <c r="Y1102" s="129"/>
      <c r="Z1102" s="145" t="b">
        <v>0</v>
      </c>
      <c r="AA1102" s="145"/>
      <c r="AB1102" s="129"/>
      <c r="AC1102" s="129"/>
      <c r="AD1102" s="129"/>
      <c r="AE1102" s="129"/>
      <c r="AF1102" s="132"/>
      <c r="AG1102" s="128" t="b">
        <v>0</v>
      </c>
      <c r="AH1102" s="128"/>
      <c r="AI1102" s="128"/>
      <c r="AJ1102" s="128"/>
      <c r="AK1102" s="128"/>
      <c r="AL1102" s="129"/>
      <c r="AM1102" s="129"/>
      <c r="AN1102" s="139"/>
    </row>
    <row r="1103">
      <c r="A1103" s="129"/>
      <c r="B1103" s="119"/>
      <c r="C1103" s="128"/>
      <c r="D1103" s="142"/>
      <c r="E1103" s="122"/>
      <c r="F1103" s="136"/>
      <c r="G1103" s="152"/>
      <c r="H1103" s="155"/>
      <c r="I1103" s="155"/>
      <c r="J1103" s="155"/>
      <c r="K1103" s="155"/>
      <c r="L1103" s="155"/>
      <c r="M1103" s="126"/>
      <c r="N1103" s="127"/>
      <c r="O1103" s="127"/>
      <c r="P1103" s="127"/>
      <c r="Q1103" s="126"/>
      <c r="R1103" s="128"/>
      <c r="S1103" s="128"/>
      <c r="T1103" s="128"/>
      <c r="U1103" s="128"/>
      <c r="V1103" s="129"/>
      <c r="W1103" s="129"/>
      <c r="X1103" s="129"/>
      <c r="Y1103" s="129"/>
      <c r="Z1103" s="145" t="b">
        <v>0</v>
      </c>
      <c r="AA1103" s="145"/>
      <c r="AB1103" s="129"/>
      <c r="AC1103" s="129"/>
      <c r="AD1103" s="129"/>
      <c r="AE1103" s="129"/>
      <c r="AF1103" s="132"/>
      <c r="AG1103" s="128" t="b">
        <v>0</v>
      </c>
      <c r="AH1103" s="128"/>
      <c r="AI1103" s="128"/>
      <c r="AJ1103" s="128"/>
      <c r="AK1103" s="128"/>
      <c r="AL1103" s="129"/>
      <c r="AM1103" s="129"/>
      <c r="AN1103" s="139"/>
    </row>
    <row r="1104">
      <c r="A1104" s="129"/>
      <c r="B1104" s="119"/>
      <c r="C1104" s="128"/>
      <c r="D1104" s="142"/>
      <c r="E1104" s="122"/>
      <c r="F1104" s="136"/>
      <c r="G1104" s="152"/>
      <c r="H1104" s="155"/>
      <c r="I1104" s="155"/>
      <c r="J1104" s="155"/>
      <c r="K1104" s="155"/>
      <c r="L1104" s="155"/>
      <c r="M1104" s="126"/>
      <c r="N1104" s="127"/>
      <c r="O1104" s="127"/>
      <c r="P1104" s="127"/>
      <c r="Q1104" s="126"/>
      <c r="R1104" s="128"/>
      <c r="S1104" s="128"/>
      <c r="T1104" s="128"/>
      <c r="U1104" s="128"/>
      <c r="V1104" s="129"/>
      <c r="W1104" s="129"/>
      <c r="X1104" s="129"/>
      <c r="Y1104" s="129"/>
      <c r="Z1104" s="145" t="b">
        <v>0</v>
      </c>
      <c r="AA1104" s="145"/>
      <c r="AB1104" s="129"/>
      <c r="AC1104" s="129"/>
      <c r="AD1104" s="129"/>
      <c r="AE1104" s="129"/>
      <c r="AF1104" s="132"/>
      <c r="AG1104" s="128" t="b">
        <v>0</v>
      </c>
      <c r="AH1104" s="128"/>
      <c r="AI1104" s="128"/>
      <c r="AJ1104" s="128"/>
      <c r="AK1104" s="128"/>
      <c r="AL1104" s="129"/>
      <c r="AM1104" s="129"/>
      <c r="AN1104" s="139"/>
    </row>
    <row r="1105">
      <c r="A1105" s="129"/>
      <c r="B1105" s="119"/>
      <c r="C1105" s="128"/>
      <c r="D1105" s="142"/>
      <c r="E1105" s="122"/>
      <c r="F1105" s="136"/>
      <c r="G1105" s="152"/>
      <c r="H1105" s="155"/>
      <c r="I1105" s="155"/>
      <c r="J1105" s="155"/>
      <c r="K1105" s="155"/>
      <c r="L1105" s="155"/>
      <c r="M1105" s="126"/>
      <c r="N1105" s="127"/>
      <c r="O1105" s="127"/>
      <c r="P1105" s="127"/>
      <c r="Q1105" s="126"/>
      <c r="R1105" s="128"/>
      <c r="S1105" s="128"/>
      <c r="T1105" s="128"/>
      <c r="U1105" s="128"/>
      <c r="V1105" s="129"/>
      <c r="W1105" s="129"/>
      <c r="X1105" s="129"/>
      <c r="Y1105" s="129"/>
      <c r="Z1105" s="145" t="b">
        <v>0</v>
      </c>
      <c r="AA1105" s="145"/>
      <c r="AB1105" s="129"/>
      <c r="AC1105" s="129"/>
      <c r="AD1105" s="129"/>
      <c r="AE1105" s="129"/>
      <c r="AF1105" s="132"/>
      <c r="AG1105" s="128" t="b">
        <v>0</v>
      </c>
      <c r="AH1105" s="128"/>
      <c r="AI1105" s="128"/>
      <c r="AJ1105" s="128"/>
      <c r="AK1105" s="128"/>
      <c r="AL1105" s="129"/>
      <c r="AM1105" s="129"/>
      <c r="AN1105" s="139"/>
    </row>
    <row r="1106">
      <c r="A1106" s="129"/>
      <c r="B1106" s="119"/>
      <c r="C1106" s="128"/>
      <c r="D1106" s="142"/>
      <c r="E1106" s="122"/>
      <c r="F1106" s="136"/>
      <c r="G1106" s="152"/>
      <c r="H1106" s="155"/>
      <c r="I1106" s="155"/>
      <c r="J1106" s="155"/>
      <c r="K1106" s="155"/>
      <c r="L1106" s="155"/>
      <c r="M1106" s="126"/>
      <c r="N1106" s="127"/>
      <c r="O1106" s="127"/>
      <c r="P1106" s="127"/>
      <c r="Q1106" s="126"/>
      <c r="R1106" s="128"/>
      <c r="S1106" s="128"/>
      <c r="T1106" s="128"/>
      <c r="U1106" s="128"/>
      <c r="V1106" s="129"/>
      <c r="W1106" s="129"/>
      <c r="X1106" s="129"/>
      <c r="Y1106" s="129"/>
      <c r="Z1106" s="145" t="b">
        <v>0</v>
      </c>
      <c r="AA1106" s="145"/>
      <c r="AB1106" s="129"/>
      <c r="AC1106" s="129"/>
      <c r="AD1106" s="129"/>
      <c r="AE1106" s="129"/>
      <c r="AF1106" s="132"/>
      <c r="AG1106" s="128" t="b">
        <v>0</v>
      </c>
      <c r="AH1106" s="128"/>
      <c r="AI1106" s="128"/>
      <c r="AJ1106" s="128"/>
      <c r="AK1106" s="128"/>
      <c r="AL1106" s="129"/>
      <c r="AM1106" s="129"/>
      <c r="AN1106" s="139"/>
    </row>
    <row r="1107">
      <c r="A1107" s="129"/>
      <c r="B1107" s="119"/>
      <c r="C1107" s="128"/>
      <c r="D1107" s="142"/>
      <c r="E1107" s="122"/>
      <c r="F1107" s="136"/>
      <c r="G1107" s="152"/>
      <c r="H1107" s="155"/>
      <c r="I1107" s="155"/>
      <c r="J1107" s="155"/>
      <c r="K1107" s="155"/>
      <c r="L1107" s="155"/>
      <c r="M1107" s="126"/>
      <c r="N1107" s="127"/>
      <c r="O1107" s="127"/>
      <c r="P1107" s="127"/>
      <c r="Q1107" s="126"/>
      <c r="R1107" s="128"/>
      <c r="S1107" s="128"/>
      <c r="T1107" s="128"/>
      <c r="U1107" s="128"/>
      <c r="V1107" s="129"/>
      <c r="W1107" s="129"/>
      <c r="X1107" s="129"/>
      <c r="Y1107" s="129"/>
      <c r="Z1107" s="145" t="b">
        <v>0</v>
      </c>
      <c r="AA1107" s="145"/>
      <c r="AB1107" s="129"/>
      <c r="AC1107" s="129"/>
      <c r="AD1107" s="129"/>
      <c r="AE1107" s="129"/>
      <c r="AF1107" s="132"/>
      <c r="AG1107" s="128" t="b">
        <v>0</v>
      </c>
      <c r="AH1107" s="128"/>
      <c r="AI1107" s="128"/>
      <c r="AJ1107" s="128"/>
      <c r="AK1107" s="128"/>
      <c r="AL1107" s="129"/>
      <c r="AM1107" s="129"/>
      <c r="AN1107" s="139"/>
    </row>
    <row r="1108">
      <c r="A1108" s="129"/>
      <c r="B1108" s="119"/>
      <c r="C1108" s="128"/>
      <c r="D1108" s="142"/>
      <c r="E1108" s="122"/>
      <c r="F1108" s="136"/>
      <c r="G1108" s="152"/>
      <c r="H1108" s="155"/>
      <c r="I1108" s="155"/>
      <c r="J1108" s="155"/>
      <c r="K1108" s="155"/>
      <c r="L1108" s="155"/>
      <c r="M1108" s="126"/>
      <c r="N1108" s="127"/>
      <c r="O1108" s="127"/>
      <c r="P1108" s="127"/>
      <c r="Q1108" s="126"/>
      <c r="R1108" s="128"/>
      <c r="S1108" s="128"/>
      <c r="T1108" s="128"/>
      <c r="U1108" s="128"/>
      <c r="V1108" s="129"/>
      <c r="W1108" s="129"/>
      <c r="X1108" s="129"/>
      <c r="Y1108" s="129"/>
      <c r="Z1108" s="145" t="b">
        <v>0</v>
      </c>
      <c r="AA1108" s="145"/>
      <c r="AB1108" s="129"/>
      <c r="AC1108" s="129"/>
      <c r="AD1108" s="129"/>
      <c r="AE1108" s="129"/>
      <c r="AF1108" s="132"/>
      <c r="AG1108" s="128" t="b">
        <v>0</v>
      </c>
      <c r="AH1108" s="128"/>
      <c r="AI1108" s="128"/>
      <c r="AJ1108" s="128"/>
      <c r="AK1108" s="128"/>
      <c r="AL1108" s="129"/>
      <c r="AM1108" s="129"/>
      <c r="AN1108" s="139"/>
    </row>
    <row r="1109">
      <c r="A1109" s="129"/>
      <c r="B1109" s="119"/>
      <c r="C1109" s="128"/>
      <c r="D1109" s="142"/>
      <c r="E1109" s="122"/>
      <c r="F1109" s="136"/>
      <c r="G1109" s="152"/>
      <c r="H1109" s="155"/>
      <c r="I1109" s="155"/>
      <c r="J1109" s="155"/>
      <c r="K1109" s="155"/>
      <c r="L1109" s="155"/>
      <c r="M1109" s="126"/>
      <c r="N1109" s="127"/>
      <c r="O1109" s="127"/>
      <c r="P1109" s="127"/>
      <c r="Q1109" s="126"/>
      <c r="R1109" s="128"/>
      <c r="S1109" s="128"/>
      <c r="T1109" s="128"/>
      <c r="U1109" s="128"/>
      <c r="V1109" s="129"/>
      <c r="W1109" s="129"/>
      <c r="X1109" s="129"/>
      <c r="Y1109" s="129"/>
      <c r="Z1109" s="145" t="b">
        <v>0</v>
      </c>
      <c r="AA1109" s="145"/>
      <c r="AB1109" s="129"/>
      <c r="AC1109" s="129"/>
      <c r="AD1109" s="129"/>
      <c r="AE1109" s="129"/>
      <c r="AF1109" s="132"/>
      <c r="AG1109" s="128" t="b">
        <v>0</v>
      </c>
      <c r="AH1109" s="128"/>
      <c r="AI1109" s="128"/>
      <c r="AJ1109" s="128"/>
      <c r="AK1109" s="128"/>
      <c r="AL1109" s="129"/>
      <c r="AM1109" s="129"/>
      <c r="AN1109" s="139"/>
    </row>
    <row r="1110">
      <c r="A1110" s="129"/>
      <c r="B1110" s="119"/>
      <c r="C1110" s="128"/>
      <c r="D1110" s="142"/>
      <c r="E1110" s="122"/>
      <c r="F1110" s="136"/>
      <c r="G1110" s="152"/>
      <c r="H1110" s="155"/>
      <c r="I1110" s="155"/>
      <c r="J1110" s="155"/>
      <c r="K1110" s="155"/>
      <c r="L1110" s="155"/>
      <c r="M1110" s="126"/>
      <c r="N1110" s="127"/>
      <c r="O1110" s="127"/>
      <c r="P1110" s="127"/>
      <c r="Q1110" s="126"/>
      <c r="R1110" s="128"/>
      <c r="S1110" s="128"/>
      <c r="T1110" s="128"/>
      <c r="U1110" s="128"/>
      <c r="V1110" s="129"/>
      <c r="W1110" s="129"/>
      <c r="X1110" s="129"/>
      <c r="Y1110" s="129"/>
      <c r="Z1110" s="145" t="b">
        <v>0</v>
      </c>
      <c r="AA1110" s="145"/>
      <c r="AB1110" s="129"/>
      <c r="AC1110" s="129"/>
      <c r="AD1110" s="129"/>
      <c r="AE1110" s="129"/>
      <c r="AF1110" s="132"/>
      <c r="AG1110" s="128" t="b">
        <v>0</v>
      </c>
      <c r="AH1110" s="128"/>
      <c r="AI1110" s="128"/>
      <c r="AJ1110" s="128"/>
      <c r="AK1110" s="128"/>
      <c r="AL1110" s="129"/>
      <c r="AM1110" s="129"/>
      <c r="AN1110" s="139"/>
    </row>
    <row r="1111">
      <c r="A1111" s="129"/>
      <c r="B1111" s="119"/>
      <c r="C1111" s="128"/>
      <c r="D1111" s="142"/>
      <c r="E1111" s="122"/>
      <c r="F1111" s="136"/>
      <c r="G1111" s="152"/>
      <c r="H1111" s="155"/>
      <c r="I1111" s="155"/>
      <c r="J1111" s="155"/>
      <c r="K1111" s="155"/>
      <c r="L1111" s="155"/>
      <c r="M1111" s="126"/>
      <c r="N1111" s="127"/>
      <c r="O1111" s="127"/>
      <c r="P1111" s="127"/>
      <c r="Q1111" s="126"/>
      <c r="R1111" s="128"/>
      <c r="S1111" s="128"/>
      <c r="T1111" s="128"/>
      <c r="U1111" s="128"/>
      <c r="V1111" s="129"/>
      <c r="W1111" s="129"/>
      <c r="X1111" s="129"/>
      <c r="Y1111" s="129"/>
      <c r="Z1111" s="145" t="b">
        <v>0</v>
      </c>
      <c r="AA1111" s="145"/>
      <c r="AB1111" s="129"/>
      <c r="AC1111" s="129"/>
      <c r="AD1111" s="129"/>
      <c r="AE1111" s="129"/>
      <c r="AF1111" s="132"/>
      <c r="AG1111" s="128" t="b">
        <v>0</v>
      </c>
      <c r="AH1111" s="128"/>
      <c r="AI1111" s="128"/>
      <c r="AJ1111" s="128"/>
      <c r="AK1111" s="128"/>
      <c r="AL1111" s="129"/>
      <c r="AM1111" s="129"/>
      <c r="AN1111" s="139"/>
    </row>
    <row r="1112">
      <c r="A1112" s="129"/>
      <c r="B1112" s="119"/>
      <c r="C1112" s="128"/>
      <c r="D1112" s="142"/>
      <c r="E1112" s="122"/>
      <c r="F1112" s="136"/>
      <c r="G1112" s="152"/>
      <c r="H1112" s="155"/>
      <c r="I1112" s="155"/>
      <c r="J1112" s="155"/>
      <c r="K1112" s="155"/>
      <c r="L1112" s="155"/>
      <c r="M1112" s="126"/>
      <c r="N1112" s="127"/>
      <c r="O1112" s="127"/>
      <c r="P1112" s="127"/>
      <c r="Q1112" s="126"/>
      <c r="R1112" s="128"/>
      <c r="S1112" s="128"/>
      <c r="T1112" s="128"/>
      <c r="U1112" s="128"/>
      <c r="V1112" s="129"/>
      <c r="W1112" s="129"/>
      <c r="X1112" s="129"/>
      <c r="Y1112" s="129"/>
      <c r="Z1112" s="145" t="b">
        <v>0</v>
      </c>
      <c r="AA1112" s="145"/>
      <c r="AB1112" s="129"/>
      <c r="AC1112" s="129"/>
      <c r="AD1112" s="129"/>
      <c r="AE1112" s="129"/>
      <c r="AF1112" s="132"/>
      <c r="AG1112" s="128" t="b">
        <v>0</v>
      </c>
      <c r="AH1112" s="128"/>
      <c r="AI1112" s="128"/>
      <c r="AJ1112" s="128"/>
      <c r="AK1112" s="128"/>
      <c r="AL1112" s="129"/>
      <c r="AM1112" s="129"/>
      <c r="AN1112" s="139"/>
    </row>
    <row r="1113">
      <c r="A1113" s="129"/>
      <c r="B1113" s="119"/>
      <c r="C1113" s="128"/>
      <c r="D1113" s="142"/>
      <c r="E1113" s="122"/>
      <c r="F1113" s="136"/>
      <c r="G1113" s="152"/>
      <c r="H1113" s="155"/>
      <c r="I1113" s="155"/>
      <c r="J1113" s="155"/>
      <c r="K1113" s="155"/>
      <c r="L1113" s="155"/>
      <c r="M1113" s="126"/>
      <c r="N1113" s="127"/>
      <c r="O1113" s="127"/>
      <c r="P1113" s="127"/>
      <c r="Q1113" s="126"/>
      <c r="R1113" s="128"/>
      <c r="S1113" s="128"/>
      <c r="T1113" s="128"/>
      <c r="U1113" s="128"/>
      <c r="V1113" s="129"/>
      <c r="W1113" s="129"/>
      <c r="X1113" s="129"/>
      <c r="Y1113" s="129"/>
      <c r="Z1113" s="145" t="b">
        <v>0</v>
      </c>
      <c r="AA1113" s="145"/>
      <c r="AB1113" s="129"/>
      <c r="AC1113" s="129"/>
      <c r="AD1113" s="129"/>
      <c r="AE1113" s="129"/>
      <c r="AF1113" s="132"/>
      <c r="AG1113" s="128" t="b">
        <v>0</v>
      </c>
      <c r="AH1113" s="128"/>
      <c r="AI1113" s="128"/>
      <c r="AJ1113" s="128"/>
      <c r="AK1113" s="128"/>
      <c r="AL1113" s="129"/>
      <c r="AM1113" s="129"/>
      <c r="AN1113" s="139"/>
    </row>
    <row r="1114">
      <c r="A1114" s="129"/>
      <c r="B1114" s="119"/>
      <c r="C1114" s="128"/>
      <c r="D1114" s="142"/>
      <c r="E1114" s="122"/>
      <c r="F1114" s="136"/>
      <c r="G1114" s="152"/>
      <c r="H1114" s="155"/>
      <c r="I1114" s="155"/>
      <c r="J1114" s="155"/>
      <c r="K1114" s="155"/>
      <c r="L1114" s="155"/>
      <c r="M1114" s="126"/>
      <c r="N1114" s="127"/>
      <c r="O1114" s="127"/>
      <c r="P1114" s="127"/>
      <c r="Q1114" s="126"/>
      <c r="R1114" s="128"/>
      <c r="S1114" s="128"/>
      <c r="T1114" s="128"/>
      <c r="U1114" s="128"/>
      <c r="V1114" s="129"/>
      <c r="W1114" s="129"/>
      <c r="X1114" s="129"/>
      <c r="Y1114" s="129"/>
      <c r="Z1114" s="145" t="b">
        <v>0</v>
      </c>
      <c r="AA1114" s="145"/>
      <c r="AB1114" s="129"/>
      <c r="AC1114" s="129"/>
      <c r="AD1114" s="129"/>
      <c r="AE1114" s="129"/>
      <c r="AF1114" s="132"/>
      <c r="AG1114" s="128" t="b">
        <v>0</v>
      </c>
      <c r="AH1114" s="128"/>
      <c r="AI1114" s="128"/>
      <c r="AJ1114" s="128"/>
      <c r="AK1114" s="128"/>
      <c r="AL1114" s="129"/>
      <c r="AM1114" s="129"/>
      <c r="AN1114" s="139"/>
    </row>
    <row r="1115">
      <c r="A1115" s="129"/>
      <c r="B1115" s="119"/>
      <c r="C1115" s="128"/>
      <c r="D1115" s="142"/>
      <c r="E1115" s="122"/>
      <c r="F1115" s="136"/>
      <c r="G1115" s="152"/>
      <c r="H1115" s="155"/>
      <c r="I1115" s="155"/>
      <c r="J1115" s="155"/>
      <c r="K1115" s="155"/>
      <c r="L1115" s="155"/>
      <c r="M1115" s="126"/>
      <c r="N1115" s="127"/>
      <c r="O1115" s="127"/>
      <c r="P1115" s="127"/>
      <c r="Q1115" s="126"/>
      <c r="R1115" s="128"/>
      <c r="S1115" s="128"/>
      <c r="T1115" s="128"/>
      <c r="U1115" s="128"/>
      <c r="V1115" s="129"/>
      <c r="W1115" s="129"/>
      <c r="X1115" s="129"/>
      <c r="Y1115" s="129"/>
      <c r="Z1115" s="145" t="b">
        <v>0</v>
      </c>
      <c r="AA1115" s="145"/>
      <c r="AB1115" s="129"/>
      <c r="AC1115" s="129"/>
      <c r="AD1115" s="129"/>
      <c r="AE1115" s="129"/>
      <c r="AF1115" s="132"/>
      <c r="AG1115" s="128" t="b">
        <v>0</v>
      </c>
      <c r="AH1115" s="128"/>
      <c r="AI1115" s="128"/>
      <c r="AJ1115" s="128"/>
      <c r="AK1115" s="128"/>
      <c r="AL1115" s="129"/>
      <c r="AM1115" s="129"/>
      <c r="AN1115" s="139"/>
    </row>
    <row r="1116">
      <c r="A1116" s="129"/>
      <c r="B1116" s="119"/>
      <c r="C1116" s="128"/>
      <c r="D1116" s="142"/>
      <c r="E1116" s="122"/>
      <c r="F1116" s="136"/>
      <c r="G1116" s="152"/>
      <c r="H1116" s="155"/>
      <c r="I1116" s="155"/>
      <c r="J1116" s="155"/>
      <c r="K1116" s="155"/>
      <c r="L1116" s="155"/>
      <c r="M1116" s="126"/>
      <c r="N1116" s="127"/>
      <c r="O1116" s="127"/>
      <c r="P1116" s="127"/>
      <c r="Q1116" s="126"/>
      <c r="R1116" s="128"/>
      <c r="S1116" s="128"/>
      <c r="T1116" s="128"/>
      <c r="U1116" s="128"/>
      <c r="V1116" s="129"/>
      <c r="W1116" s="129"/>
      <c r="X1116" s="129"/>
      <c r="Y1116" s="129"/>
      <c r="Z1116" s="145" t="b">
        <v>0</v>
      </c>
      <c r="AA1116" s="145"/>
      <c r="AB1116" s="129"/>
      <c r="AC1116" s="129"/>
      <c r="AD1116" s="129"/>
      <c r="AE1116" s="129"/>
      <c r="AF1116" s="132"/>
      <c r="AG1116" s="128" t="b">
        <v>0</v>
      </c>
      <c r="AH1116" s="128"/>
      <c r="AI1116" s="128"/>
      <c r="AJ1116" s="128"/>
      <c r="AK1116" s="128"/>
      <c r="AL1116" s="129"/>
      <c r="AM1116" s="129"/>
      <c r="AN1116" s="139"/>
    </row>
    <row r="1117">
      <c r="A1117" s="129"/>
      <c r="B1117" s="119"/>
      <c r="C1117" s="128"/>
      <c r="D1117" s="142"/>
      <c r="E1117" s="122"/>
      <c r="F1117" s="136"/>
      <c r="G1117" s="152"/>
      <c r="H1117" s="155"/>
      <c r="I1117" s="155"/>
      <c r="J1117" s="155"/>
      <c r="K1117" s="155"/>
      <c r="L1117" s="155"/>
      <c r="M1117" s="126"/>
      <c r="N1117" s="127"/>
      <c r="O1117" s="127"/>
      <c r="P1117" s="127"/>
      <c r="Q1117" s="126"/>
      <c r="R1117" s="128"/>
      <c r="S1117" s="128"/>
      <c r="T1117" s="128"/>
      <c r="U1117" s="128"/>
      <c r="V1117" s="129"/>
      <c r="W1117" s="129"/>
      <c r="X1117" s="129"/>
      <c r="Y1117" s="129"/>
      <c r="Z1117" s="145" t="b">
        <v>0</v>
      </c>
      <c r="AA1117" s="145"/>
      <c r="AB1117" s="129"/>
      <c r="AC1117" s="129"/>
      <c r="AD1117" s="129"/>
      <c r="AE1117" s="129"/>
      <c r="AF1117" s="132"/>
      <c r="AG1117" s="128" t="b">
        <v>0</v>
      </c>
      <c r="AH1117" s="128"/>
      <c r="AI1117" s="128"/>
      <c r="AJ1117" s="128"/>
      <c r="AK1117" s="128"/>
      <c r="AL1117" s="129"/>
      <c r="AM1117" s="129"/>
      <c r="AN1117" s="139"/>
    </row>
    <row r="1118">
      <c r="A1118" s="129"/>
      <c r="B1118" s="119"/>
      <c r="C1118" s="128"/>
      <c r="D1118" s="142"/>
      <c r="E1118" s="122"/>
      <c r="F1118" s="136"/>
      <c r="G1118" s="152"/>
      <c r="H1118" s="155"/>
      <c r="I1118" s="155"/>
      <c r="J1118" s="155"/>
      <c r="K1118" s="155"/>
      <c r="L1118" s="155"/>
      <c r="M1118" s="126"/>
      <c r="N1118" s="127"/>
      <c r="O1118" s="127"/>
      <c r="P1118" s="127"/>
      <c r="Q1118" s="126"/>
      <c r="R1118" s="128"/>
      <c r="S1118" s="128"/>
      <c r="T1118" s="128"/>
      <c r="U1118" s="128"/>
      <c r="V1118" s="129"/>
      <c r="W1118" s="129"/>
      <c r="X1118" s="129"/>
      <c r="Y1118" s="129"/>
      <c r="Z1118" s="145" t="b">
        <v>0</v>
      </c>
      <c r="AA1118" s="145"/>
      <c r="AB1118" s="129"/>
      <c r="AC1118" s="129"/>
      <c r="AD1118" s="129"/>
      <c r="AE1118" s="129"/>
      <c r="AF1118" s="132"/>
      <c r="AG1118" s="128" t="b">
        <v>0</v>
      </c>
      <c r="AH1118" s="128"/>
      <c r="AI1118" s="128"/>
      <c r="AJ1118" s="128"/>
      <c r="AK1118" s="128"/>
      <c r="AL1118" s="129"/>
      <c r="AM1118" s="129"/>
      <c r="AN1118" s="139"/>
    </row>
    <row r="1119">
      <c r="A1119" s="129"/>
      <c r="B1119" s="119"/>
      <c r="C1119" s="128"/>
      <c r="D1119" s="142"/>
      <c r="E1119" s="122"/>
      <c r="F1119" s="136"/>
      <c r="G1119" s="152"/>
      <c r="H1119" s="155"/>
      <c r="I1119" s="155"/>
      <c r="J1119" s="155"/>
      <c r="K1119" s="155"/>
      <c r="L1119" s="155"/>
      <c r="M1119" s="126"/>
      <c r="N1119" s="127"/>
      <c r="O1119" s="127"/>
      <c r="P1119" s="127"/>
      <c r="Q1119" s="126"/>
      <c r="R1119" s="128"/>
      <c r="S1119" s="128"/>
      <c r="T1119" s="128"/>
      <c r="U1119" s="128"/>
      <c r="V1119" s="129"/>
      <c r="W1119" s="129"/>
      <c r="X1119" s="129"/>
      <c r="Y1119" s="129"/>
      <c r="Z1119" s="145" t="b">
        <v>0</v>
      </c>
      <c r="AA1119" s="145"/>
      <c r="AB1119" s="129"/>
      <c r="AC1119" s="129"/>
      <c r="AD1119" s="129"/>
      <c r="AE1119" s="129"/>
      <c r="AF1119" s="132"/>
      <c r="AG1119" s="128" t="b">
        <v>0</v>
      </c>
      <c r="AH1119" s="128"/>
      <c r="AI1119" s="128"/>
      <c r="AJ1119" s="128"/>
      <c r="AK1119" s="128"/>
      <c r="AL1119" s="129"/>
      <c r="AM1119" s="129"/>
      <c r="AN1119" s="139"/>
    </row>
    <row r="1120">
      <c r="A1120" s="129"/>
      <c r="B1120" s="119"/>
      <c r="C1120" s="128"/>
      <c r="D1120" s="142"/>
      <c r="E1120" s="122"/>
      <c r="F1120" s="136"/>
      <c r="G1120" s="152"/>
      <c r="H1120" s="155"/>
      <c r="I1120" s="155"/>
      <c r="J1120" s="155"/>
      <c r="K1120" s="155"/>
      <c r="L1120" s="155"/>
      <c r="M1120" s="126"/>
      <c r="N1120" s="127"/>
      <c r="O1120" s="127"/>
      <c r="P1120" s="127"/>
      <c r="Q1120" s="126"/>
      <c r="R1120" s="128"/>
      <c r="S1120" s="128"/>
      <c r="T1120" s="128"/>
      <c r="U1120" s="128"/>
      <c r="V1120" s="129"/>
      <c r="W1120" s="129"/>
      <c r="X1120" s="129"/>
      <c r="Y1120" s="129"/>
      <c r="Z1120" s="145" t="b">
        <v>0</v>
      </c>
      <c r="AA1120" s="145"/>
      <c r="AB1120" s="129"/>
      <c r="AC1120" s="129"/>
      <c r="AD1120" s="129"/>
      <c r="AE1120" s="129"/>
      <c r="AF1120" s="132"/>
      <c r="AG1120" s="128" t="b">
        <v>0</v>
      </c>
      <c r="AH1120" s="128"/>
      <c r="AI1120" s="128"/>
      <c r="AJ1120" s="128"/>
      <c r="AK1120" s="128"/>
      <c r="AL1120" s="129"/>
      <c r="AM1120" s="129"/>
      <c r="AN1120" s="139"/>
    </row>
    <row r="1121">
      <c r="A1121" s="129"/>
      <c r="B1121" s="119"/>
      <c r="C1121" s="128"/>
      <c r="D1121" s="142"/>
      <c r="E1121" s="122"/>
      <c r="F1121" s="136"/>
      <c r="G1121" s="152"/>
      <c r="H1121" s="155"/>
      <c r="I1121" s="155"/>
      <c r="J1121" s="155"/>
      <c r="K1121" s="155"/>
      <c r="L1121" s="155"/>
      <c r="M1121" s="126"/>
      <c r="N1121" s="127"/>
      <c r="O1121" s="127"/>
      <c r="P1121" s="127"/>
      <c r="Q1121" s="126"/>
      <c r="R1121" s="128"/>
      <c r="S1121" s="128"/>
      <c r="T1121" s="128"/>
      <c r="U1121" s="128"/>
      <c r="V1121" s="129"/>
      <c r="W1121" s="129"/>
      <c r="X1121" s="129"/>
      <c r="Y1121" s="129"/>
      <c r="Z1121" s="145" t="b">
        <v>0</v>
      </c>
      <c r="AA1121" s="145"/>
      <c r="AB1121" s="129"/>
      <c r="AC1121" s="129"/>
      <c r="AD1121" s="129"/>
      <c r="AE1121" s="129"/>
      <c r="AF1121" s="132"/>
      <c r="AG1121" s="128" t="b">
        <v>0</v>
      </c>
      <c r="AH1121" s="128"/>
      <c r="AI1121" s="128"/>
      <c r="AJ1121" s="128"/>
      <c r="AK1121" s="128"/>
      <c r="AL1121" s="129"/>
      <c r="AM1121" s="129"/>
      <c r="AN1121" s="139"/>
    </row>
    <row r="1122">
      <c r="A1122" s="129"/>
      <c r="B1122" s="119"/>
      <c r="C1122" s="128"/>
      <c r="D1122" s="142"/>
      <c r="E1122" s="122"/>
      <c r="F1122" s="136"/>
      <c r="G1122" s="152"/>
      <c r="H1122" s="155"/>
      <c r="I1122" s="155"/>
      <c r="J1122" s="155"/>
      <c r="K1122" s="155"/>
      <c r="L1122" s="155"/>
      <c r="M1122" s="126"/>
      <c r="N1122" s="127"/>
      <c r="O1122" s="127"/>
      <c r="P1122" s="127"/>
      <c r="Q1122" s="126"/>
      <c r="R1122" s="128"/>
      <c r="S1122" s="128"/>
      <c r="T1122" s="128"/>
      <c r="U1122" s="128"/>
      <c r="V1122" s="129"/>
      <c r="W1122" s="129"/>
      <c r="X1122" s="129"/>
      <c r="Y1122" s="129"/>
      <c r="Z1122" s="145" t="b">
        <v>0</v>
      </c>
      <c r="AA1122" s="145"/>
      <c r="AB1122" s="129"/>
      <c r="AC1122" s="129"/>
      <c r="AD1122" s="129"/>
      <c r="AE1122" s="129"/>
      <c r="AF1122" s="132"/>
      <c r="AG1122" s="128" t="b">
        <v>0</v>
      </c>
      <c r="AH1122" s="128"/>
      <c r="AI1122" s="128"/>
      <c r="AJ1122" s="128"/>
      <c r="AK1122" s="128"/>
      <c r="AL1122" s="129"/>
      <c r="AM1122" s="129"/>
      <c r="AN1122" s="139"/>
    </row>
    <row r="1123">
      <c r="A1123" s="129"/>
      <c r="B1123" s="119"/>
      <c r="C1123" s="128"/>
      <c r="D1123" s="142"/>
      <c r="E1123" s="122"/>
      <c r="F1123" s="136"/>
      <c r="G1123" s="152"/>
      <c r="H1123" s="155"/>
      <c r="I1123" s="155"/>
      <c r="J1123" s="155"/>
      <c r="K1123" s="155"/>
      <c r="L1123" s="155"/>
      <c r="M1123" s="126"/>
      <c r="N1123" s="127"/>
      <c r="O1123" s="127"/>
      <c r="P1123" s="127"/>
      <c r="Q1123" s="126"/>
      <c r="R1123" s="128"/>
      <c r="S1123" s="128"/>
      <c r="T1123" s="128"/>
      <c r="U1123" s="128"/>
      <c r="V1123" s="129"/>
      <c r="W1123" s="129"/>
      <c r="X1123" s="129"/>
      <c r="Y1123" s="129"/>
      <c r="Z1123" s="145" t="b">
        <v>0</v>
      </c>
      <c r="AA1123" s="145"/>
      <c r="AB1123" s="129"/>
      <c r="AC1123" s="129"/>
      <c r="AD1123" s="129"/>
      <c r="AE1123" s="129"/>
      <c r="AF1123" s="132"/>
      <c r="AG1123" s="128" t="b">
        <v>0</v>
      </c>
      <c r="AH1123" s="128"/>
      <c r="AI1123" s="128"/>
      <c r="AJ1123" s="128"/>
      <c r="AK1123" s="128"/>
      <c r="AL1123" s="129"/>
      <c r="AM1123" s="129"/>
      <c r="AN1123" s="139"/>
    </row>
    <row r="1124">
      <c r="A1124" s="129"/>
      <c r="B1124" s="119"/>
      <c r="C1124" s="128"/>
      <c r="D1124" s="142"/>
      <c r="E1124" s="122"/>
      <c r="F1124" s="136"/>
      <c r="G1124" s="152"/>
      <c r="H1124" s="155"/>
      <c r="I1124" s="155"/>
      <c r="J1124" s="155"/>
      <c r="K1124" s="155"/>
      <c r="L1124" s="155"/>
      <c r="M1124" s="126"/>
      <c r="N1124" s="127"/>
      <c r="O1124" s="127"/>
      <c r="P1124" s="127"/>
      <c r="Q1124" s="126"/>
      <c r="R1124" s="128"/>
      <c r="S1124" s="128"/>
      <c r="T1124" s="128"/>
      <c r="U1124" s="128"/>
      <c r="V1124" s="129"/>
      <c r="W1124" s="129"/>
      <c r="X1124" s="129"/>
      <c r="Y1124" s="129"/>
      <c r="Z1124" s="145" t="b">
        <v>0</v>
      </c>
      <c r="AA1124" s="145"/>
      <c r="AB1124" s="129"/>
      <c r="AC1124" s="129"/>
      <c r="AD1124" s="129"/>
      <c r="AE1124" s="129"/>
      <c r="AF1124" s="132"/>
      <c r="AG1124" s="128" t="b">
        <v>0</v>
      </c>
      <c r="AH1124" s="128"/>
      <c r="AI1124" s="128"/>
      <c r="AJ1124" s="128"/>
      <c r="AK1124" s="128"/>
      <c r="AL1124" s="129"/>
      <c r="AM1124" s="129"/>
      <c r="AN1124" s="139"/>
    </row>
    <row r="1125">
      <c r="A1125" s="129"/>
      <c r="B1125" s="119"/>
      <c r="C1125" s="128"/>
      <c r="D1125" s="142"/>
      <c r="E1125" s="122"/>
      <c r="F1125" s="136"/>
      <c r="G1125" s="152"/>
      <c r="H1125" s="155"/>
      <c r="I1125" s="155"/>
      <c r="J1125" s="155"/>
      <c r="K1125" s="155"/>
      <c r="L1125" s="155"/>
      <c r="M1125" s="126"/>
      <c r="N1125" s="127"/>
      <c r="O1125" s="127"/>
      <c r="P1125" s="127"/>
      <c r="Q1125" s="126"/>
      <c r="R1125" s="128"/>
      <c r="S1125" s="128"/>
      <c r="T1125" s="128"/>
      <c r="U1125" s="128"/>
      <c r="V1125" s="129"/>
      <c r="W1125" s="129"/>
      <c r="X1125" s="129"/>
      <c r="Y1125" s="129"/>
      <c r="Z1125" s="145" t="b">
        <v>0</v>
      </c>
      <c r="AA1125" s="145"/>
      <c r="AB1125" s="129"/>
      <c r="AC1125" s="129"/>
      <c r="AD1125" s="129"/>
      <c r="AE1125" s="129"/>
      <c r="AF1125" s="132"/>
      <c r="AG1125" s="128" t="b">
        <v>0</v>
      </c>
      <c r="AH1125" s="128"/>
      <c r="AI1125" s="128"/>
      <c r="AJ1125" s="128"/>
      <c r="AK1125" s="128"/>
      <c r="AL1125" s="129"/>
      <c r="AM1125" s="129"/>
      <c r="AN1125" s="139"/>
    </row>
    <row r="1126">
      <c r="A1126" s="129"/>
      <c r="B1126" s="119"/>
      <c r="C1126" s="128"/>
      <c r="D1126" s="142"/>
      <c r="E1126" s="122"/>
      <c r="F1126" s="136"/>
      <c r="G1126" s="152"/>
      <c r="H1126" s="155"/>
      <c r="I1126" s="155"/>
      <c r="J1126" s="155"/>
      <c r="K1126" s="155"/>
      <c r="L1126" s="155"/>
      <c r="M1126" s="126"/>
      <c r="N1126" s="127"/>
      <c r="O1126" s="127"/>
      <c r="P1126" s="127"/>
      <c r="Q1126" s="126"/>
      <c r="R1126" s="128"/>
      <c r="S1126" s="128"/>
      <c r="T1126" s="128"/>
      <c r="U1126" s="128"/>
      <c r="V1126" s="129"/>
      <c r="W1126" s="129"/>
      <c r="X1126" s="129"/>
      <c r="Y1126" s="129"/>
      <c r="Z1126" s="145" t="b">
        <v>0</v>
      </c>
      <c r="AA1126" s="145"/>
      <c r="AB1126" s="129"/>
      <c r="AC1126" s="129"/>
      <c r="AD1126" s="129"/>
      <c r="AE1126" s="129"/>
      <c r="AF1126" s="132"/>
      <c r="AG1126" s="128" t="b">
        <v>0</v>
      </c>
      <c r="AH1126" s="128"/>
      <c r="AI1126" s="128"/>
      <c r="AJ1126" s="128"/>
      <c r="AK1126" s="128"/>
      <c r="AL1126" s="129"/>
      <c r="AM1126" s="129"/>
      <c r="AN1126" s="139"/>
    </row>
    <row r="1127">
      <c r="A1127" s="129"/>
      <c r="B1127" s="119"/>
      <c r="C1127" s="128"/>
      <c r="D1127" s="142"/>
      <c r="E1127" s="122"/>
      <c r="F1127" s="136"/>
      <c r="G1127" s="152"/>
      <c r="H1127" s="155"/>
      <c r="I1127" s="155"/>
      <c r="J1127" s="155"/>
      <c r="K1127" s="155"/>
      <c r="L1127" s="155"/>
      <c r="M1127" s="126"/>
      <c r="N1127" s="127"/>
      <c r="O1127" s="127"/>
      <c r="P1127" s="127"/>
      <c r="Q1127" s="126"/>
      <c r="R1127" s="128"/>
      <c r="S1127" s="128"/>
      <c r="T1127" s="128"/>
      <c r="U1127" s="128"/>
      <c r="V1127" s="129"/>
      <c r="W1127" s="129"/>
      <c r="X1127" s="129"/>
      <c r="Y1127" s="129"/>
      <c r="Z1127" s="145" t="b">
        <v>0</v>
      </c>
      <c r="AA1127" s="145"/>
      <c r="AB1127" s="129"/>
      <c r="AC1127" s="129"/>
      <c r="AD1127" s="129"/>
      <c r="AE1127" s="129"/>
      <c r="AF1127" s="132"/>
      <c r="AG1127" s="128" t="b">
        <v>0</v>
      </c>
      <c r="AH1127" s="128"/>
      <c r="AI1127" s="128"/>
      <c r="AJ1127" s="128"/>
      <c r="AK1127" s="128"/>
      <c r="AL1127" s="129"/>
      <c r="AM1127" s="129"/>
      <c r="AN1127" s="139"/>
    </row>
    <row r="1128">
      <c r="A1128" s="129"/>
      <c r="B1128" s="119"/>
      <c r="C1128" s="128"/>
      <c r="D1128" s="142"/>
      <c r="E1128" s="122"/>
      <c r="F1128" s="136"/>
      <c r="G1128" s="152"/>
      <c r="H1128" s="155"/>
      <c r="I1128" s="155"/>
      <c r="J1128" s="155"/>
      <c r="K1128" s="155"/>
      <c r="L1128" s="155"/>
      <c r="M1128" s="126"/>
      <c r="N1128" s="127"/>
      <c r="O1128" s="127"/>
      <c r="P1128" s="127"/>
      <c r="Q1128" s="126"/>
      <c r="R1128" s="128"/>
      <c r="S1128" s="128"/>
      <c r="T1128" s="128"/>
      <c r="U1128" s="128"/>
      <c r="V1128" s="129"/>
      <c r="W1128" s="129"/>
      <c r="X1128" s="129"/>
      <c r="Y1128" s="129"/>
      <c r="Z1128" s="145" t="b">
        <v>0</v>
      </c>
      <c r="AA1128" s="145"/>
      <c r="AB1128" s="129"/>
      <c r="AC1128" s="129"/>
      <c r="AD1128" s="129"/>
      <c r="AE1128" s="129"/>
      <c r="AF1128" s="132"/>
      <c r="AG1128" s="128" t="b">
        <v>0</v>
      </c>
      <c r="AH1128" s="128"/>
      <c r="AI1128" s="128"/>
      <c r="AJ1128" s="128"/>
      <c r="AK1128" s="128"/>
      <c r="AL1128" s="129"/>
      <c r="AM1128" s="129"/>
      <c r="AN1128" s="139"/>
    </row>
    <row r="1129">
      <c r="A1129" s="129"/>
      <c r="B1129" s="119"/>
      <c r="C1129" s="128"/>
      <c r="D1129" s="142"/>
      <c r="E1129" s="122"/>
      <c r="F1129" s="136"/>
      <c r="G1129" s="152"/>
      <c r="H1129" s="155"/>
      <c r="I1129" s="155"/>
      <c r="J1129" s="155"/>
      <c r="K1129" s="155"/>
      <c r="L1129" s="155"/>
      <c r="M1129" s="126"/>
      <c r="N1129" s="127"/>
      <c r="O1129" s="127"/>
      <c r="P1129" s="127"/>
      <c r="Q1129" s="126"/>
      <c r="R1129" s="128"/>
      <c r="S1129" s="128"/>
      <c r="T1129" s="128"/>
      <c r="U1129" s="128"/>
      <c r="V1129" s="129"/>
      <c r="W1129" s="129"/>
      <c r="X1129" s="129"/>
      <c r="Y1129" s="129"/>
      <c r="Z1129" s="145" t="b">
        <v>0</v>
      </c>
      <c r="AA1129" s="145"/>
      <c r="AB1129" s="129"/>
      <c r="AC1129" s="129"/>
      <c r="AD1129" s="129"/>
      <c r="AE1129" s="129"/>
      <c r="AF1129" s="132"/>
      <c r="AG1129" s="128" t="b">
        <v>0</v>
      </c>
      <c r="AH1129" s="128"/>
      <c r="AI1129" s="128"/>
      <c r="AJ1129" s="128"/>
      <c r="AK1129" s="128"/>
      <c r="AL1129" s="129"/>
      <c r="AM1129" s="129"/>
      <c r="AN1129" s="139"/>
    </row>
    <row r="1130">
      <c r="A1130" s="129"/>
      <c r="B1130" s="119"/>
      <c r="C1130" s="128"/>
      <c r="D1130" s="142"/>
      <c r="E1130" s="122"/>
      <c r="F1130" s="136"/>
      <c r="G1130" s="152"/>
      <c r="H1130" s="155"/>
      <c r="I1130" s="155"/>
      <c r="J1130" s="155"/>
      <c r="K1130" s="155"/>
      <c r="L1130" s="155"/>
      <c r="M1130" s="126"/>
      <c r="N1130" s="127"/>
      <c r="O1130" s="127"/>
      <c r="P1130" s="127"/>
      <c r="Q1130" s="126"/>
      <c r="R1130" s="128"/>
      <c r="S1130" s="128"/>
      <c r="T1130" s="128"/>
      <c r="U1130" s="128"/>
      <c r="V1130" s="129"/>
      <c r="W1130" s="129"/>
      <c r="X1130" s="129"/>
      <c r="Y1130" s="129"/>
      <c r="Z1130" s="145" t="b">
        <v>0</v>
      </c>
      <c r="AA1130" s="145"/>
      <c r="AB1130" s="129"/>
      <c r="AC1130" s="129"/>
      <c r="AD1130" s="129"/>
      <c r="AE1130" s="129"/>
      <c r="AF1130" s="132"/>
      <c r="AG1130" s="128" t="b">
        <v>0</v>
      </c>
      <c r="AH1130" s="128"/>
      <c r="AI1130" s="128"/>
      <c r="AJ1130" s="128"/>
      <c r="AK1130" s="128"/>
      <c r="AL1130" s="129"/>
      <c r="AM1130" s="129"/>
      <c r="AN1130" s="139"/>
    </row>
    <row r="1131">
      <c r="A1131" s="129"/>
      <c r="B1131" s="119"/>
      <c r="C1131" s="128"/>
      <c r="D1131" s="142"/>
      <c r="E1131" s="122"/>
      <c r="F1131" s="136"/>
      <c r="G1131" s="152"/>
      <c r="H1131" s="155"/>
      <c r="I1131" s="155"/>
      <c r="J1131" s="155"/>
      <c r="K1131" s="155"/>
      <c r="L1131" s="155"/>
      <c r="M1131" s="126"/>
      <c r="N1131" s="127"/>
      <c r="O1131" s="127"/>
      <c r="P1131" s="127"/>
      <c r="Q1131" s="126"/>
      <c r="R1131" s="128"/>
      <c r="S1131" s="128"/>
      <c r="T1131" s="128"/>
      <c r="U1131" s="128"/>
      <c r="V1131" s="129"/>
      <c r="W1131" s="129"/>
      <c r="X1131" s="129"/>
      <c r="Y1131" s="129"/>
      <c r="Z1131" s="145" t="b">
        <v>0</v>
      </c>
      <c r="AA1131" s="145"/>
      <c r="AB1131" s="129"/>
      <c r="AC1131" s="129"/>
      <c r="AD1131" s="129"/>
      <c r="AE1131" s="129"/>
      <c r="AF1131" s="132"/>
      <c r="AG1131" s="128" t="b">
        <v>0</v>
      </c>
      <c r="AH1131" s="128"/>
      <c r="AI1131" s="128"/>
      <c r="AJ1131" s="128"/>
      <c r="AK1131" s="128"/>
      <c r="AL1131" s="129"/>
      <c r="AM1131" s="129"/>
      <c r="AN1131" s="139"/>
    </row>
    <row r="1132">
      <c r="A1132" s="129"/>
      <c r="B1132" s="119"/>
      <c r="C1132" s="128"/>
      <c r="D1132" s="142"/>
      <c r="E1132" s="122"/>
      <c r="F1132" s="136"/>
      <c r="G1132" s="152"/>
      <c r="H1132" s="155"/>
      <c r="I1132" s="155"/>
      <c r="J1132" s="155"/>
      <c r="K1132" s="155"/>
      <c r="L1132" s="155"/>
      <c r="M1132" s="126"/>
      <c r="N1132" s="127"/>
      <c r="O1132" s="127"/>
      <c r="P1132" s="127"/>
      <c r="Q1132" s="126"/>
      <c r="R1132" s="128"/>
      <c r="S1132" s="128"/>
      <c r="T1132" s="128"/>
      <c r="U1132" s="128"/>
      <c r="V1132" s="129"/>
      <c r="W1132" s="129"/>
      <c r="X1132" s="129"/>
      <c r="Y1132" s="129"/>
      <c r="Z1132" s="145" t="b">
        <v>0</v>
      </c>
      <c r="AA1132" s="145"/>
      <c r="AB1132" s="129"/>
      <c r="AC1132" s="129"/>
      <c r="AD1132" s="129"/>
      <c r="AE1132" s="129"/>
      <c r="AF1132" s="132"/>
      <c r="AG1132" s="128" t="b">
        <v>0</v>
      </c>
      <c r="AH1132" s="128"/>
      <c r="AI1132" s="128"/>
      <c r="AJ1132" s="128"/>
      <c r="AK1132" s="128"/>
      <c r="AL1132" s="129"/>
      <c r="AM1132" s="129"/>
      <c r="AN1132" s="139"/>
    </row>
    <row r="1133">
      <c r="A1133" s="129"/>
      <c r="B1133" s="119"/>
      <c r="C1133" s="128"/>
      <c r="D1133" s="142"/>
      <c r="E1133" s="122"/>
      <c r="F1133" s="136"/>
      <c r="G1133" s="152"/>
      <c r="H1133" s="155"/>
      <c r="I1133" s="155"/>
      <c r="J1133" s="155"/>
      <c r="K1133" s="155"/>
      <c r="L1133" s="155"/>
      <c r="M1133" s="126"/>
      <c r="N1133" s="127"/>
      <c r="O1133" s="127"/>
      <c r="P1133" s="127"/>
      <c r="Q1133" s="126"/>
      <c r="R1133" s="128"/>
      <c r="S1133" s="128"/>
      <c r="T1133" s="128"/>
      <c r="U1133" s="128"/>
      <c r="V1133" s="129"/>
      <c r="W1133" s="129"/>
      <c r="X1133" s="129"/>
      <c r="Y1133" s="129"/>
      <c r="Z1133" s="145" t="b">
        <v>0</v>
      </c>
      <c r="AA1133" s="145"/>
      <c r="AB1133" s="129"/>
      <c r="AC1133" s="129"/>
      <c r="AD1133" s="129"/>
      <c r="AE1133" s="129"/>
      <c r="AF1133" s="132"/>
      <c r="AG1133" s="128" t="b">
        <v>0</v>
      </c>
      <c r="AH1133" s="128"/>
      <c r="AI1133" s="128"/>
      <c r="AJ1133" s="128"/>
      <c r="AK1133" s="128"/>
      <c r="AL1133" s="129"/>
      <c r="AM1133" s="129"/>
      <c r="AN1133" s="139"/>
    </row>
    <row r="1134">
      <c r="A1134" s="129"/>
      <c r="B1134" s="119"/>
      <c r="C1134" s="128"/>
      <c r="D1134" s="142"/>
      <c r="E1134" s="122"/>
      <c r="F1134" s="136"/>
      <c r="G1134" s="152"/>
      <c r="H1134" s="155"/>
      <c r="I1134" s="155"/>
      <c r="J1134" s="155"/>
      <c r="K1134" s="155"/>
      <c r="L1134" s="155"/>
      <c r="M1134" s="126"/>
      <c r="N1134" s="127"/>
      <c r="O1134" s="127"/>
      <c r="P1134" s="127"/>
      <c r="Q1134" s="126"/>
      <c r="R1134" s="128"/>
      <c r="S1134" s="128"/>
      <c r="T1134" s="128"/>
      <c r="U1134" s="128"/>
      <c r="V1134" s="129"/>
      <c r="W1134" s="129"/>
      <c r="X1134" s="129"/>
      <c r="Y1134" s="129"/>
      <c r="Z1134" s="145" t="b">
        <v>0</v>
      </c>
      <c r="AA1134" s="145"/>
      <c r="AB1134" s="129"/>
      <c r="AC1134" s="129"/>
      <c r="AD1134" s="129"/>
      <c r="AE1134" s="129"/>
      <c r="AF1134" s="132"/>
      <c r="AG1134" s="128" t="b">
        <v>0</v>
      </c>
      <c r="AH1134" s="128"/>
      <c r="AI1134" s="128"/>
      <c r="AJ1134" s="128"/>
      <c r="AK1134" s="128"/>
      <c r="AL1134" s="129"/>
      <c r="AM1134" s="129"/>
      <c r="AN1134" s="139"/>
    </row>
    <row r="1135">
      <c r="A1135" s="129"/>
      <c r="B1135" s="119"/>
      <c r="C1135" s="128"/>
      <c r="D1135" s="142"/>
      <c r="E1135" s="122"/>
      <c r="F1135" s="136"/>
      <c r="G1135" s="152"/>
      <c r="H1135" s="155"/>
      <c r="I1135" s="155"/>
      <c r="J1135" s="155"/>
      <c r="K1135" s="155"/>
      <c r="L1135" s="155"/>
      <c r="M1135" s="126"/>
      <c r="N1135" s="127"/>
      <c r="O1135" s="127"/>
      <c r="P1135" s="127"/>
      <c r="Q1135" s="126"/>
      <c r="R1135" s="128"/>
      <c r="S1135" s="128"/>
      <c r="T1135" s="128"/>
      <c r="U1135" s="128"/>
      <c r="V1135" s="129"/>
      <c r="W1135" s="129"/>
      <c r="X1135" s="129"/>
      <c r="Y1135" s="129"/>
      <c r="Z1135" s="145" t="b">
        <v>0</v>
      </c>
      <c r="AA1135" s="145"/>
      <c r="AB1135" s="129"/>
      <c r="AC1135" s="129"/>
      <c r="AD1135" s="129"/>
      <c r="AE1135" s="129"/>
      <c r="AF1135" s="132"/>
      <c r="AG1135" s="128" t="b">
        <v>0</v>
      </c>
      <c r="AH1135" s="128"/>
      <c r="AI1135" s="128"/>
      <c r="AJ1135" s="128"/>
      <c r="AK1135" s="128"/>
      <c r="AL1135" s="129"/>
      <c r="AM1135" s="129"/>
      <c r="AN1135" s="139"/>
    </row>
    <row r="1136">
      <c r="A1136" s="129"/>
      <c r="B1136" s="119"/>
      <c r="C1136" s="128"/>
      <c r="D1136" s="142"/>
      <c r="E1136" s="122"/>
      <c r="F1136" s="136"/>
      <c r="G1136" s="152"/>
      <c r="H1136" s="155"/>
      <c r="I1136" s="155"/>
      <c r="J1136" s="155"/>
      <c r="K1136" s="155"/>
      <c r="L1136" s="155"/>
      <c r="M1136" s="126"/>
      <c r="N1136" s="127"/>
      <c r="O1136" s="127"/>
      <c r="P1136" s="127"/>
      <c r="Q1136" s="126"/>
      <c r="R1136" s="128"/>
      <c r="S1136" s="128"/>
      <c r="T1136" s="128"/>
      <c r="U1136" s="128"/>
      <c r="V1136" s="129"/>
      <c r="W1136" s="129"/>
      <c r="X1136" s="129"/>
      <c r="Y1136" s="129"/>
      <c r="Z1136" s="145" t="b">
        <v>0</v>
      </c>
      <c r="AA1136" s="145"/>
      <c r="AB1136" s="129"/>
      <c r="AC1136" s="129"/>
      <c r="AD1136" s="129"/>
      <c r="AE1136" s="129"/>
      <c r="AF1136" s="132"/>
      <c r="AG1136" s="128" t="b">
        <v>0</v>
      </c>
      <c r="AH1136" s="128"/>
      <c r="AI1136" s="128"/>
      <c r="AJ1136" s="128"/>
      <c r="AK1136" s="128"/>
      <c r="AL1136" s="129"/>
      <c r="AM1136" s="129"/>
      <c r="AN1136" s="139"/>
    </row>
    <row r="1137">
      <c r="A1137" s="129"/>
      <c r="B1137" s="119"/>
      <c r="C1137" s="128"/>
      <c r="D1137" s="142"/>
      <c r="E1137" s="122"/>
      <c r="F1137" s="136"/>
      <c r="G1137" s="152"/>
      <c r="H1137" s="155"/>
      <c r="I1137" s="155"/>
      <c r="J1137" s="155"/>
      <c r="K1137" s="155"/>
      <c r="L1137" s="155"/>
      <c r="M1137" s="126"/>
      <c r="N1137" s="127"/>
      <c r="O1137" s="127"/>
      <c r="P1137" s="127"/>
      <c r="Q1137" s="126"/>
      <c r="R1137" s="128"/>
      <c r="S1137" s="128"/>
      <c r="T1137" s="128"/>
      <c r="U1137" s="128"/>
      <c r="V1137" s="129"/>
      <c r="W1137" s="129"/>
      <c r="X1137" s="129"/>
      <c r="Y1137" s="129"/>
      <c r="Z1137" s="145" t="b">
        <v>0</v>
      </c>
      <c r="AA1137" s="145"/>
      <c r="AB1137" s="129"/>
      <c r="AC1137" s="129"/>
      <c r="AD1137" s="129"/>
      <c r="AE1137" s="129"/>
      <c r="AF1137" s="132"/>
      <c r="AG1137" s="128" t="b">
        <v>0</v>
      </c>
      <c r="AH1137" s="128"/>
      <c r="AI1137" s="128"/>
      <c r="AJ1137" s="128"/>
      <c r="AK1137" s="128"/>
      <c r="AL1137" s="129"/>
      <c r="AM1137" s="129"/>
      <c r="AN1137" s="139"/>
    </row>
    <row r="1138">
      <c r="A1138" s="129"/>
      <c r="B1138" s="119"/>
      <c r="C1138" s="128"/>
      <c r="D1138" s="142"/>
      <c r="E1138" s="122"/>
      <c r="F1138" s="136"/>
      <c r="G1138" s="152"/>
      <c r="H1138" s="155"/>
      <c r="I1138" s="155"/>
      <c r="J1138" s="155"/>
      <c r="K1138" s="155"/>
      <c r="L1138" s="155"/>
      <c r="M1138" s="126"/>
      <c r="N1138" s="127"/>
      <c r="O1138" s="127"/>
      <c r="P1138" s="127"/>
      <c r="Q1138" s="126"/>
      <c r="R1138" s="128"/>
      <c r="S1138" s="128"/>
      <c r="T1138" s="128"/>
      <c r="U1138" s="128"/>
      <c r="V1138" s="129"/>
      <c r="W1138" s="129"/>
      <c r="X1138" s="129"/>
      <c r="Y1138" s="129"/>
      <c r="Z1138" s="145" t="b">
        <v>0</v>
      </c>
      <c r="AA1138" s="145"/>
      <c r="AB1138" s="129"/>
      <c r="AC1138" s="129"/>
      <c r="AD1138" s="129"/>
      <c r="AE1138" s="129"/>
      <c r="AF1138" s="132"/>
      <c r="AG1138" s="128" t="b">
        <v>0</v>
      </c>
      <c r="AH1138" s="128"/>
      <c r="AI1138" s="128"/>
      <c r="AJ1138" s="128"/>
      <c r="AK1138" s="128"/>
      <c r="AL1138" s="129"/>
      <c r="AM1138" s="129"/>
      <c r="AN1138" s="139"/>
    </row>
    <row r="1139">
      <c r="A1139" s="129"/>
      <c r="B1139" s="119"/>
      <c r="C1139" s="128"/>
      <c r="D1139" s="142"/>
      <c r="E1139" s="122"/>
      <c r="F1139" s="136"/>
      <c r="G1139" s="152"/>
      <c r="H1139" s="155"/>
      <c r="I1139" s="155"/>
      <c r="J1139" s="155"/>
      <c r="K1139" s="155"/>
      <c r="L1139" s="155"/>
      <c r="M1139" s="126"/>
      <c r="N1139" s="127"/>
      <c r="O1139" s="127"/>
      <c r="P1139" s="127"/>
      <c r="Q1139" s="126"/>
      <c r="R1139" s="128"/>
      <c r="S1139" s="128"/>
      <c r="T1139" s="128"/>
      <c r="U1139" s="128"/>
      <c r="V1139" s="129"/>
      <c r="W1139" s="129"/>
      <c r="X1139" s="129"/>
      <c r="Y1139" s="129"/>
      <c r="Z1139" s="145" t="b">
        <v>0</v>
      </c>
      <c r="AA1139" s="145"/>
      <c r="AB1139" s="129"/>
      <c r="AC1139" s="129"/>
      <c r="AD1139" s="129"/>
      <c r="AE1139" s="129"/>
      <c r="AF1139" s="132"/>
      <c r="AG1139" s="128" t="b">
        <v>0</v>
      </c>
      <c r="AH1139" s="128"/>
      <c r="AI1139" s="128"/>
      <c r="AJ1139" s="128"/>
      <c r="AK1139" s="128"/>
      <c r="AL1139" s="129"/>
      <c r="AM1139" s="129"/>
      <c r="AN1139" s="139"/>
    </row>
    <row r="1140">
      <c r="A1140" s="129"/>
      <c r="B1140" s="119"/>
      <c r="C1140" s="128"/>
      <c r="D1140" s="142"/>
      <c r="E1140" s="122"/>
      <c r="F1140" s="136"/>
      <c r="G1140" s="152"/>
      <c r="H1140" s="155"/>
      <c r="I1140" s="155"/>
      <c r="J1140" s="155"/>
      <c r="K1140" s="155"/>
      <c r="L1140" s="155"/>
      <c r="M1140" s="126"/>
      <c r="N1140" s="127"/>
      <c r="O1140" s="127"/>
      <c r="P1140" s="127"/>
      <c r="Q1140" s="126"/>
      <c r="R1140" s="128"/>
      <c r="S1140" s="128"/>
      <c r="T1140" s="128"/>
      <c r="U1140" s="128"/>
      <c r="V1140" s="129"/>
      <c r="W1140" s="129"/>
      <c r="X1140" s="129"/>
      <c r="Y1140" s="129"/>
      <c r="Z1140" s="145" t="b">
        <v>0</v>
      </c>
      <c r="AA1140" s="145"/>
      <c r="AB1140" s="129"/>
      <c r="AC1140" s="129"/>
      <c r="AD1140" s="129"/>
      <c r="AE1140" s="129"/>
      <c r="AF1140" s="132"/>
      <c r="AG1140" s="128" t="b">
        <v>0</v>
      </c>
      <c r="AH1140" s="128"/>
      <c r="AI1140" s="128"/>
      <c r="AJ1140" s="128"/>
      <c r="AK1140" s="128"/>
      <c r="AL1140" s="129"/>
      <c r="AM1140" s="129"/>
      <c r="AN1140" s="139"/>
    </row>
    <row r="1141">
      <c r="A1141" s="129"/>
      <c r="B1141" s="119"/>
      <c r="C1141" s="128"/>
      <c r="D1141" s="142"/>
      <c r="E1141" s="122"/>
      <c r="F1141" s="136"/>
      <c r="G1141" s="152"/>
      <c r="H1141" s="155"/>
      <c r="I1141" s="155"/>
      <c r="J1141" s="155"/>
      <c r="K1141" s="155"/>
      <c r="L1141" s="155"/>
      <c r="M1141" s="126"/>
      <c r="N1141" s="127"/>
      <c r="O1141" s="127"/>
      <c r="P1141" s="127"/>
      <c r="Q1141" s="126"/>
      <c r="R1141" s="128"/>
      <c r="S1141" s="128"/>
      <c r="T1141" s="128"/>
      <c r="U1141" s="128"/>
      <c r="V1141" s="129"/>
      <c r="W1141" s="129"/>
      <c r="X1141" s="129"/>
      <c r="Y1141" s="129"/>
      <c r="Z1141" s="145" t="b">
        <v>0</v>
      </c>
      <c r="AA1141" s="145"/>
      <c r="AB1141" s="129"/>
      <c r="AC1141" s="129"/>
      <c r="AD1141" s="129"/>
      <c r="AE1141" s="129"/>
      <c r="AF1141" s="132"/>
      <c r="AG1141" s="128" t="b">
        <v>0</v>
      </c>
      <c r="AH1141" s="128"/>
      <c r="AI1141" s="128"/>
      <c r="AJ1141" s="128"/>
      <c r="AK1141" s="128"/>
      <c r="AL1141" s="129"/>
      <c r="AM1141" s="129"/>
      <c r="AN1141" s="139"/>
    </row>
    <row r="1142">
      <c r="A1142" s="129"/>
      <c r="B1142" s="119"/>
      <c r="C1142" s="128"/>
      <c r="D1142" s="142"/>
      <c r="E1142" s="122"/>
      <c r="F1142" s="136"/>
      <c r="G1142" s="152"/>
      <c r="H1142" s="155"/>
      <c r="I1142" s="155"/>
      <c r="J1142" s="155"/>
      <c r="K1142" s="155"/>
      <c r="L1142" s="155"/>
      <c r="M1142" s="126"/>
      <c r="N1142" s="127"/>
      <c r="O1142" s="127"/>
      <c r="P1142" s="127"/>
      <c r="Q1142" s="126"/>
      <c r="R1142" s="128"/>
      <c r="S1142" s="128"/>
      <c r="T1142" s="128"/>
      <c r="U1142" s="128"/>
      <c r="V1142" s="129"/>
      <c r="W1142" s="129"/>
      <c r="X1142" s="129"/>
      <c r="Y1142" s="129"/>
      <c r="Z1142" s="145" t="b">
        <v>0</v>
      </c>
      <c r="AA1142" s="145"/>
      <c r="AB1142" s="129"/>
      <c r="AC1142" s="129"/>
      <c r="AD1142" s="129"/>
      <c r="AE1142" s="129"/>
      <c r="AF1142" s="132"/>
      <c r="AG1142" s="128" t="b">
        <v>0</v>
      </c>
      <c r="AH1142" s="128"/>
      <c r="AI1142" s="128"/>
      <c r="AJ1142" s="128"/>
      <c r="AK1142" s="128"/>
      <c r="AL1142" s="129"/>
      <c r="AM1142" s="129"/>
      <c r="AN1142" s="139"/>
    </row>
    <row r="1143">
      <c r="A1143" s="129"/>
      <c r="B1143" s="119"/>
      <c r="C1143" s="128"/>
      <c r="D1143" s="142"/>
      <c r="E1143" s="122"/>
      <c r="F1143" s="136"/>
      <c r="G1143" s="152"/>
      <c r="H1143" s="155"/>
      <c r="I1143" s="155"/>
      <c r="J1143" s="155"/>
      <c r="K1143" s="155"/>
      <c r="L1143" s="155"/>
      <c r="M1143" s="126"/>
      <c r="N1143" s="127"/>
      <c r="O1143" s="127"/>
      <c r="P1143" s="127"/>
      <c r="Q1143" s="126"/>
      <c r="R1143" s="128"/>
      <c r="S1143" s="128"/>
      <c r="T1143" s="128"/>
      <c r="U1143" s="128"/>
      <c r="V1143" s="129"/>
      <c r="W1143" s="129"/>
      <c r="X1143" s="129"/>
      <c r="Y1143" s="129"/>
      <c r="Z1143" s="145" t="b">
        <v>0</v>
      </c>
      <c r="AA1143" s="145"/>
      <c r="AB1143" s="129"/>
      <c r="AC1143" s="129"/>
      <c r="AD1143" s="129"/>
      <c r="AE1143" s="129"/>
      <c r="AF1143" s="132"/>
      <c r="AG1143" s="128" t="b">
        <v>0</v>
      </c>
      <c r="AH1143" s="128"/>
      <c r="AI1143" s="128"/>
      <c r="AJ1143" s="128"/>
      <c r="AK1143" s="128"/>
      <c r="AL1143" s="129"/>
      <c r="AM1143" s="129"/>
      <c r="AN1143" s="139"/>
    </row>
    <row r="1144">
      <c r="A1144" s="129"/>
      <c r="B1144" s="119"/>
      <c r="C1144" s="128"/>
      <c r="D1144" s="142"/>
      <c r="E1144" s="122"/>
      <c r="F1144" s="136"/>
      <c r="G1144" s="152"/>
      <c r="H1144" s="155"/>
      <c r="I1144" s="155"/>
      <c r="J1144" s="155"/>
      <c r="K1144" s="155"/>
      <c r="L1144" s="155"/>
      <c r="M1144" s="126"/>
      <c r="N1144" s="127"/>
      <c r="O1144" s="127"/>
      <c r="P1144" s="127"/>
      <c r="Q1144" s="126"/>
      <c r="R1144" s="128"/>
      <c r="S1144" s="128"/>
      <c r="T1144" s="128"/>
      <c r="U1144" s="128"/>
      <c r="V1144" s="129"/>
      <c r="W1144" s="129"/>
      <c r="X1144" s="129"/>
      <c r="Y1144" s="129"/>
      <c r="Z1144" s="145" t="b">
        <v>0</v>
      </c>
      <c r="AA1144" s="145"/>
      <c r="AB1144" s="129"/>
      <c r="AC1144" s="129"/>
      <c r="AD1144" s="129"/>
      <c r="AE1144" s="129"/>
      <c r="AF1144" s="132"/>
      <c r="AG1144" s="128" t="b">
        <v>0</v>
      </c>
      <c r="AH1144" s="128"/>
      <c r="AI1144" s="128"/>
      <c r="AJ1144" s="128"/>
      <c r="AK1144" s="128"/>
      <c r="AL1144" s="129"/>
      <c r="AM1144" s="129"/>
      <c r="AN1144" s="139"/>
    </row>
    <row r="1145">
      <c r="A1145" s="129"/>
      <c r="B1145" s="119"/>
      <c r="C1145" s="128"/>
      <c r="D1145" s="142"/>
      <c r="E1145" s="122"/>
      <c r="F1145" s="136"/>
      <c r="G1145" s="152"/>
      <c r="H1145" s="155"/>
      <c r="I1145" s="155"/>
      <c r="J1145" s="155"/>
      <c r="K1145" s="155"/>
      <c r="L1145" s="155"/>
      <c r="M1145" s="126"/>
      <c r="N1145" s="127"/>
      <c r="O1145" s="127"/>
      <c r="P1145" s="127"/>
      <c r="Q1145" s="126"/>
      <c r="R1145" s="128"/>
      <c r="S1145" s="128"/>
      <c r="T1145" s="128"/>
      <c r="U1145" s="128"/>
      <c r="V1145" s="129"/>
      <c r="W1145" s="129"/>
      <c r="X1145" s="129"/>
      <c r="Y1145" s="129"/>
      <c r="Z1145" s="145" t="b">
        <v>0</v>
      </c>
      <c r="AA1145" s="145"/>
      <c r="AB1145" s="129"/>
      <c r="AC1145" s="129"/>
      <c r="AD1145" s="129"/>
      <c r="AE1145" s="129"/>
      <c r="AF1145" s="132"/>
      <c r="AG1145" s="128" t="b">
        <v>0</v>
      </c>
      <c r="AH1145" s="128"/>
      <c r="AI1145" s="128"/>
      <c r="AJ1145" s="128"/>
      <c r="AK1145" s="128"/>
      <c r="AL1145" s="129"/>
      <c r="AM1145" s="129"/>
      <c r="AN1145" s="139"/>
    </row>
    <row r="1146">
      <c r="A1146" s="129"/>
      <c r="B1146" s="119"/>
      <c r="C1146" s="128"/>
      <c r="D1146" s="142"/>
      <c r="E1146" s="122"/>
      <c r="F1146" s="136"/>
      <c r="G1146" s="152"/>
      <c r="H1146" s="155"/>
      <c r="I1146" s="155"/>
      <c r="J1146" s="155"/>
      <c r="K1146" s="155"/>
      <c r="L1146" s="155"/>
      <c r="M1146" s="126"/>
      <c r="N1146" s="127"/>
      <c r="O1146" s="127"/>
      <c r="P1146" s="127"/>
      <c r="Q1146" s="126"/>
      <c r="R1146" s="128"/>
      <c r="S1146" s="128"/>
      <c r="T1146" s="128"/>
      <c r="U1146" s="128"/>
      <c r="V1146" s="129"/>
      <c r="W1146" s="129"/>
      <c r="X1146" s="129"/>
      <c r="Y1146" s="129"/>
      <c r="Z1146" s="145" t="b">
        <v>0</v>
      </c>
      <c r="AA1146" s="145"/>
      <c r="AB1146" s="129"/>
      <c r="AC1146" s="129"/>
      <c r="AD1146" s="129"/>
      <c r="AE1146" s="129"/>
      <c r="AF1146" s="132"/>
      <c r="AG1146" s="128" t="b">
        <v>0</v>
      </c>
      <c r="AH1146" s="128"/>
      <c r="AI1146" s="128"/>
      <c r="AJ1146" s="128"/>
      <c r="AK1146" s="128"/>
      <c r="AL1146" s="129"/>
      <c r="AM1146" s="129"/>
      <c r="AN1146" s="139"/>
    </row>
    <row r="1147">
      <c r="A1147" s="129"/>
      <c r="B1147" s="119"/>
      <c r="C1147" s="128"/>
      <c r="D1147" s="142"/>
      <c r="E1147" s="122"/>
      <c r="F1147" s="136"/>
      <c r="G1147" s="152"/>
      <c r="H1147" s="155"/>
      <c r="I1147" s="155"/>
      <c r="J1147" s="155"/>
      <c r="K1147" s="155"/>
      <c r="L1147" s="155"/>
      <c r="M1147" s="126"/>
      <c r="N1147" s="127"/>
      <c r="O1147" s="127"/>
      <c r="P1147" s="127"/>
      <c r="Q1147" s="126"/>
      <c r="R1147" s="128"/>
      <c r="S1147" s="128"/>
      <c r="T1147" s="128"/>
      <c r="U1147" s="128"/>
      <c r="V1147" s="129"/>
      <c r="W1147" s="129"/>
      <c r="X1147" s="129"/>
      <c r="Y1147" s="129"/>
      <c r="Z1147" s="145" t="b">
        <v>0</v>
      </c>
      <c r="AA1147" s="145"/>
      <c r="AB1147" s="129"/>
      <c r="AC1147" s="129"/>
      <c r="AD1147" s="129"/>
      <c r="AE1147" s="129"/>
      <c r="AF1147" s="132"/>
      <c r="AG1147" s="128" t="b">
        <v>0</v>
      </c>
      <c r="AH1147" s="128"/>
      <c r="AI1147" s="128"/>
      <c r="AJ1147" s="128"/>
      <c r="AK1147" s="128"/>
      <c r="AL1147" s="129"/>
      <c r="AM1147" s="129"/>
      <c r="AN1147" s="139"/>
    </row>
    <row r="1148">
      <c r="A1148" s="129"/>
      <c r="B1148" s="119"/>
      <c r="C1148" s="128"/>
      <c r="D1148" s="142"/>
      <c r="E1148" s="122"/>
      <c r="F1148" s="136"/>
      <c r="G1148" s="152"/>
      <c r="H1148" s="155"/>
      <c r="I1148" s="155"/>
      <c r="J1148" s="155"/>
      <c r="K1148" s="155"/>
      <c r="L1148" s="155"/>
      <c r="M1148" s="126"/>
      <c r="N1148" s="127"/>
      <c r="O1148" s="127"/>
      <c r="P1148" s="127"/>
      <c r="Q1148" s="126"/>
      <c r="R1148" s="128"/>
      <c r="S1148" s="128"/>
      <c r="T1148" s="128"/>
      <c r="U1148" s="128"/>
      <c r="V1148" s="129"/>
      <c r="W1148" s="129"/>
      <c r="X1148" s="129"/>
      <c r="Y1148" s="129"/>
      <c r="Z1148" s="145" t="b">
        <v>0</v>
      </c>
      <c r="AA1148" s="145"/>
      <c r="AB1148" s="129"/>
      <c r="AC1148" s="129"/>
      <c r="AD1148" s="129"/>
      <c r="AE1148" s="129"/>
      <c r="AF1148" s="132"/>
      <c r="AG1148" s="128" t="b">
        <v>0</v>
      </c>
      <c r="AH1148" s="128"/>
      <c r="AI1148" s="128"/>
      <c r="AJ1148" s="128"/>
      <c r="AK1148" s="128"/>
      <c r="AL1148" s="129"/>
      <c r="AM1148" s="129"/>
      <c r="AN1148" s="139"/>
    </row>
    <row r="1149">
      <c r="A1149" s="129"/>
      <c r="B1149" s="119"/>
      <c r="C1149" s="128"/>
      <c r="D1149" s="142"/>
      <c r="E1149" s="122"/>
      <c r="F1149" s="136"/>
      <c r="G1149" s="152"/>
      <c r="H1149" s="155"/>
      <c r="I1149" s="155"/>
      <c r="J1149" s="155"/>
      <c r="K1149" s="155"/>
      <c r="L1149" s="155"/>
      <c r="M1149" s="126"/>
      <c r="N1149" s="127"/>
      <c r="O1149" s="127"/>
      <c r="P1149" s="127"/>
      <c r="Q1149" s="126"/>
      <c r="R1149" s="128"/>
      <c r="S1149" s="128"/>
      <c r="T1149" s="128"/>
      <c r="U1149" s="128"/>
      <c r="V1149" s="129"/>
      <c r="W1149" s="129"/>
      <c r="X1149" s="129"/>
      <c r="Y1149" s="129"/>
      <c r="Z1149" s="145" t="b">
        <v>0</v>
      </c>
      <c r="AA1149" s="145"/>
      <c r="AB1149" s="129"/>
      <c r="AC1149" s="129"/>
      <c r="AD1149" s="129"/>
      <c r="AE1149" s="129"/>
      <c r="AF1149" s="132"/>
      <c r="AG1149" s="128" t="b">
        <v>0</v>
      </c>
      <c r="AH1149" s="128"/>
      <c r="AI1149" s="128"/>
      <c r="AJ1149" s="128"/>
      <c r="AK1149" s="128"/>
      <c r="AL1149" s="129"/>
      <c r="AM1149" s="129"/>
      <c r="AN1149" s="139"/>
    </row>
    <row r="1150">
      <c r="A1150" s="129"/>
      <c r="B1150" s="119"/>
      <c r="C1150" s="128"/>
      <c r="D1150" s="142"/>
      <c r="E1150" s="122"/>
      <c r="F1150" s="136"/>
      <c r="G1150" s="152"/>
      <c r="H1150" s="155"/>
      <c r="I1150" s="155"/>
      <c r="J1150" s="155"/>
      <c r="K1150" s="155"/>
      <c r="L1150" s="155"/>
      <c r="M1150" s="126"/>
      <c r="N1150" s="127"/>
      <c r="O1150" s="127"/>
      <c r="P1150" s="127"/>
      <c r="Q1150" s="126"/>
      <c r="R1150" s="128"/>
      <c r="S1150" s="128"/>
      <c r="T1150" s="128"/>
      <c r="U1150" s="128"/>
      <c r="V1150" s="129"/>
      <c r="W1150" s="129"/>
      <c r="X1150" s="129"/>
      <c r="Y1150" s="129"/>
      <c r="Z1150" s="145" t="b">
        <v>0</v>
      </c>
      <c r="AA1150" s="145"/>
      <c r="AB1150" s="129"/>
      <c r="AC1150" s="129"/>
      <c r="AD1150" s="129"/>
      <c r="AE1150" s="129"/>
      <c r="AF1150" s="132"/>
      <c r="AG1150" s="128" t="b">
        <v>0</v>
      </c>
      <c r="AH1150" s="128"/>
      <c r="AI1150" s="128"/>
      <c r="AJ1150" s="128"/>
      <c r="AK1150" s="128"/>
      <c r="AL1150" s="129"/>
      <c r="AM1150" s="129"/>
      <c r="AN1150" s="139"/>
    </row>
    <row r="1151">
      <c r="A1151" s="129"/>
      <c r="B1151" s="119"/>
      <c r="C1151" s="128"/>
      <c r="D1151" s="142"/>
      <c r="E1151" s="122"/>
      <c r="F1151" s="136"/>
      <c r="G1151" s="152"/>
      <c r="H1151" s="155"/>
      <c r="I1151" s="155"/>
      <c r="J1151" s="155"/>
      <c r="K1151" s="155"/>
      <c r="L1151" s="155"/>
      <c r="M1151" s="126"/>
      <c r="N1151" s="127"/>
      <c r="O1151" s="127"/>
      <c r="P1151" s="127"/>
      <c r="Q1151" s="126"/>
      <c r="R1151" s="128"/>
      <c r="S1151" s="128"/>
      <c r="T1151" s="128"/>
      <c r="U1151" s="128"/>
      <c r="V1151" s="129"/>
      <c r="W1151" s="129"/>
      <c r="X1151" s="129"/>
      <c r="Y1151" s="129"/>
      <c r="Z1151" s="145" t="b">
        <v>0</v>
      </c>
      <c r="AA1151" s="145"/>
      <c r="AB1151" s="129"/>
      <c r="AC1151" s="129"/>
      <c r="AD1151" s="129"/>
      <c r="AE1151" s="129"/>
      <c r="AF1151" s="132"/>
      <c r="AG1151" s="128" t="b">
        <v>0</v>
      </c>
      <c r="AH1151" s="128"/>
      <c r="AI1151" s="128"/>
      <c r="AJ1151" s="128"/>
      <c r="AK1151" s="128"/>
      <c r="AL1151" s="129"/>
      <c r="AM1151" s="129"/>
      <c r="AN1151" s="139"/>
    </row>
    <row r="1152">
      <c r="A1152" s="129"/>
      <c r="B1152" s="119"/>
      <c r="C1152" s="128"/>
      <c r="D1152" s="142"/>
      <c r="E1152" s="122"/>
      <c r="F1152" s="136"/>
      <c r="G1152" s="152"/>
      <c r="H1152" s="155"/>
      <c r="I1152" s="155"/>
      <c r="J1152" s="155"/>
      <c r="K1152" s="155"/>
      <c r="L1152" s="155"/>
      <c r="M1152" s="126"/>
      <c r="N1152" s="127"/>
      <c r="O1152" s="127"/>
      <c r="P1152" s="127"/>
      <c r="Q1152" s="126"/>
      <c r="R1152" s="128"/>
      <c r="S1152" s="128"/>
      <c r="T1152" s="128"/>
      <c r="U1152" s="128"/>
      <c r="V1152" s="129"/>
      <c r="W1152" s="129"/>
      <c r="X1152" s="129"/>
      <c r="Y1152" s="129"/>
      <c r="Z1152" s="145" t="b">
        <v>0</v>
      </c>
      <c r="AA1152" s="145"/>
      <c r="AB1152" s="129"/>
      <c r="AC1152" s="129"/>
      <c r="AD1152" s="129"/>
      <c r="AE1152" s="129"/>
      <c r="AF1152" s="132"/>
      <c r="AG1152" s="128" t="b">
        <v>0</v>
      </c>
      <c r="AH1152" s="128"/>
      <c r="AI1152" s="128"/>
      <c r="AJ1152" s="128"/>
      <c r="AK1152" s="128"/>
      <c r="AL1152" s="129"/>
      <c r="AM1152" s="129"/>
      <c r="AN1152" s="139"/>
    </row>
    <row r="1153">
      <c r="A1153" s="129"/>
      <c r="B1153" s="119"/>
      <c r="C1153" s="128"/>
      <c r="D1153" s="142"/>
      <c r="E1153" s="122"/>
      <c r="F1153" s="136"/>
      <c r="G1153" s="152"/>
      <c r="H1153" s="155"/>
      <c r="I1153" s="155"/>
      <c r="J1153" s="155"/>
      <c r="K1153" s="155"/>
      <c r="L1153" s="155"/>
      <c r="M1153" s="126"/>
      <c r="N1153" s="127"/>
      <c r="O1153" s="127"/>
      <c r="P1153" s="127"/>
      <c r="Q1153" s="126"/>
      <c r="R1153" s="128"/>
      <c r="S1153" s="128"/>
      <c r="T1153" s="128"/>
      <c r="U1153" s="128"/>
      <c r="V1153" s="129"/>
      <c r="W1153" s="129"/>
      <c r="X1153" s="129"/>
      <c r="Y1153" s="129"/>
      <c r="Z1153" s="145" t="b">
        <v>0</v>
      </c>
      <c r="AA1153" s="145"/>
      <c r="AB1153" s="129"/>
      <c r="AC1153" s="129"/>
      <c r="AD1153" s="129"/>
      <c r="AE1153" s="129"/>
      <c r="AF1153" s="132"/>
      <c r="AG1153" s="128" t="b">
        <v>0</v>
      </c>
      <c r="AH1153" s="128"/>
      <c r="AI1153" s="128"/>
      <c r="AJ1153" s="128"/>
      <c r="AK1153" s="128"/>
      <c r="AL1153" s="129"/>
      <c r="AM1153" s="129"/>
      <c r="AN1153" s="139"/>
    </row>
    <row r="1154">
      <c r="A1154" s="129"/>
      <c r="B1154" s="119"/>
      <c r="C1154" s="128"/>
      <c r="D1154" s="142"/>
      <c r="E1154" s="122"/>
      <c r="F1154" s="136"/>
      <c r="G1154" s="152"/>
      <c r="H1154" s="155"/>
      <c r="I1154" s="155"/>
      <c r="J1154" s="155"/>
      <c r="K1154" s="155"/>
      <c r="L1154" s="155"/>
      <c r="M1154" s="126"/>
      <c r="N1154" s="127"/>
      <c r="O1154" s="127"/>
      <c r="P1154" s="127"/>
      <c r="Q1154" s="126"/>
      <c r="R1154" s="128"/>
      <c r="S1154" s="128"/>
      <c r="T1154" s="128"/>
      <c r="U1154" s="128"/>
      <c r="V1154" s="129"/>
      <c r="W1154" s="129"/>
      <c r="X1154" s="129"/>
      <c r="Y1154" s="129"/>
      <c r="Z1154" s="145" t="b">
        <v>0</v>
      </c>
      <c r="AA1154" s="145"/>
      <c r="AB1154" s="129"/>
      <c r="AC1154" s="129"/>
      <c r="AD1154" s="129"/>
      <c r="AE1154" s="129"/>
      <c r="AF1154" s="132"/>
      <c r="AG1154" s="128" t="b">
        <v>0</v>
      </c>
      <c r="AH1154" s="128"/>
      <c r="AI1154" s="128"/>
      <c r="AJ1154" s="128"/>
      <c r="AK1154" s="128"/>
      <c r="AL1154" s="129"/>
      <c r="AM1154" s="129"/>
      <c r="AN1154" s="139"/>
    </row>
    <row r="1155">
      <c r="A1155" s="129"/>
      <c r="B1155" s="119"/>
      <c r="C1155" s="128"/>
      <c r="D1155" s="142"/>
      <c r="E1155" s="122"/>
      <c r="F1155" s="136"/>
      <c r="G1155" s="152"/>
      <c r="H1155" s="155"/>
      <c r="I1155" s="155"/>
      <c r="J1155" s="155"/>
      <c r="K1155" s="155"/>
      <c r="L1155" s="155"/>
      <c r="M1155" s="126"/>
      <c r="N1155" s="127"/>
      <c r="O1155" s="127"/>
      <c r="P1155" s="127"/>
      <c r="Q1155" s="126"/>
      <c r="R1155" s="128"/>
      <c r="S1155" s="128"/>
      <c r="T1155" s="128"/>
      <c r="U1155" s="128"/>
      <c r="V1155" s="129"/>
      <c r="W1155" s="129"/>
      <c r="X1155" s="129"/>
      <c r="Y1155" s="129"/>
      <c r="Z1155" s="145" t="b">
        <v>0</v>
      </c>
      <c r="AA1155" s="145"/>
      <c r="AB1155" s="129"/>
      <c r="AC1155" s="129"/>
      <c r="AD1155" s="129"/>
      <c r="AE1155" s="129"/>
      <c r="AF1155" s="132"/>
      <c r="AG1155" s="128" t="b">
        <v>0</v>
      </c>
      <c r="AH1155" s="128"/>
      <c r="AI1155" s="128"/>
      <c r="AJ1155" s="128"/>
      <c r="AK1155" s="128"/>
      <c r="AL1155" s="129"/>
      <c r="AM1155" s="129"/>
      <c r="AN1155" s="139"/>
    </row>
    <row r="1156">
      <c r="A1156" s="129"/>
      <c r="B1156" s="119"/>
      <c r="C1156" s="128"/>
      <c r="D1156" s="142"/>
      <c r="E1156" s="122"/>
      <c r="F1156" s="136"/>
      <c r="G1156" s="152"/>
      <c r="H1156" s="155"/>
      <c r="I1156" s="155"/>
      <c r="J1156" s="155"/>
      <c r="K1156" s="155"/>
      <c r="L1156" s="155"/>
      <c r="M1156" s="126"/>
      <c r="N1156" s="127"/>
      <c r="O1156" s="127"/>
      <c r="P1156" s="127"/>
      <c r="Q1156" s="126"/>
      <c r="R1156" s="128"/>
      <c r="S1156" s="128"/>
      <c r="T1156" s="128"/>
      <c r="U1156" s="128"/>
      <c r="V1156" s="129"/>
      <c r="W1156" s="129"/>
      <c r="X1156" s="129"/>
      <c r="Y1156" s="129"/>
      <c r="Z1156" s="145" t="b">
        <v>0</v>
      </c>
      <c r="AA1156" s="145"/>
      <c r="AB1156" s="129"/>
      <c r="AC1156" s="129"/>
      <c r="AD1156" s="129"/>
      <c r="AE1156" s="129"/>
      <c r="AF1156" s="132"/>
      <c r="AG1156" s="128" t="b">
        <v>0</v>
      </c>
      <c r="AH1156" s="128"/>
      <c r="AI1156" s="128"/>
      <c r="AJ1156" s="128"/>
      <c r="AK1156" s="128"/>
      <c r="AL1156" s="129"/>
      <c r="AM1156" s="129"/>
      <c r="AN1156" s="139"/>
    </row>
    <row r="1157">
      <c r="A1157" s="129"/>
      <c r="B1157" s="119"/>
      <c r="C1157" s="128"/>
      <c r="D1157" s="142"/>
      <c r="E1157" s="122"/>
      <c r="F1157" s="136"/>
      <c r="G1157" s="152"/>
      <c r="H1157" s="155"/>
      <c r="I1157" s="155"/>
      <c r="J1157" s="155"/>
      <c r="K1157" s="155"/>
      <c r="L1157" s="155"/>
      <c r="M1157" s="126"/>
      <c r="N1157" s="127"/>
      <c r="O1157" s="127"/>
      <c r="P1157" s="127"/>
      <c r="Q1157" s="126"/>
      <c r="R1157" s="128"/>
      <c r="S1157" s="128"/>
      <c r="T1157" s="128"/>
      <c r="U1157" s="128"/>
      <c r="V1157" s="129"/>
      <c r="W1157" s="129"/>
      <c r="X1157" s="129"/>
      <c r="Y1157" s="129"/>
      <c r="Z1157" s="145" t="b">
        <v>0</v>
      </c>
      <c r="AA1157" s="145"/>
      <c r="AB1157" s="129"/>
      <c r="AC1157" s="129"/>
      <c r="AD1157" s="129"/>
      <c r="AE1157" s="129"/>
      <c r="AF1157" s="132"/>
      <c r="AG1157" s="128" t="b">
        <v>0</v>
      </c>
      <c r="AH1157" s="128"/>
      <c r="AI1157" s="128"/>
      <c r="AJ1157" s="128"/>
      <c r="AK1157" s="128"/>
      <c r="AL1157" s="129"/>
      <c r="AM1157" s="129"/>
      <c r="AN1157" s="139"/>
    </row>
    <row r="1158">
      <c r="A1158" s="129"/>
      <c r="B1158" s="119"/>
      <c r="C1158" s="128"/>
      <c r="D1158" s="142"/>
      <c r="E1158" s="122"/>
      <c r="F1158" s="136"/>
      <c r="G1158" s="152"/>
      <c r="H1158" s="155"/>
      <c r="I1158" s="155"/>
      <c r="J1158" s="155"/>
      <c r="K1158" s="155"/>
      <c r="L1158" s="155"/>
      <c r="M1158" s="126"/>
      <c r="N1158" s="127"/>
      <c r="O1158" s="127"/>
      <c r="P1158" s="127"/>
      <c r="Q1158" s="126"/>
      <c r="R1158" s="128"/>
      <c r="S1158" s="128"/>
      <c r="T1158" s="128"/>
      <c r="U1158" s="128"/>
      <c r="V1158" s="129"/>
      <c r="W1158" s="129"/>
      <c r="X1158" s="129"/>
      <c r="Y1158" s="129"/>
      <c r="Z1158" s="145" t="b">
        <v>0</v>
      </c>
      <c r="AA1158" s="145"/>
      <c r="AB1158" s="129"/>
      <c r="AC1158" s="129"/>
      <c r="AD1158" s="129"/>
      <c r="AE1158" s="129"/>
      <c r="AF1158" s="132"/>
      <c r="AG1158" s="128" t="b">
        <v>0</v>
      </c>
      <c r="AH1158" s="128"/>
      <c r="AI1158" s="128"/>
      <c r="AJ1158" s="128"/>
      <c r="AK1158" s="128"/>
      <c r="AL1158" s="129"/>
      <c r="AM1158" s="129"/>
      <c r="AN1158" s="139"/>
    </row>
    <row r="1159">
      <c r="A1159" s="129"/>
      <c r="B1159" s="119"/>
      <c r="C1159" s="128"/>
      <c r="D1159" s="142"/>
      <c r="E1159" s="122"/>
      <c r="F1159" s="136"/>
      <c r="G1159" s="152"/>
      <c r="H1159" s="155"/>
      <c r="I1159" s="155"/>
      <c r="J1159" s="155"/>
      <c r="K1159" s="155"/>
      <c r="L1159" s="155"/>
      <c r="M1159" s="126"/>
      <c r="N1159" s="127"/>
      <c r="O1159" s="127"/>
      <c r="P1159" s="127"/>
      <c r="Q1159" s="126"/>
      <c r="R1159" s="128"/>
      <c r="S1159" s="128"/>
      <c r="T1159" s="128"/>
      <c r="U1159" s="128"/>
      <c r="V1159" s="129"/>
      <c r="W1159" s="129"/>
      <c r="X1159" s="129"/>
      <c r="Y1159" s="129"/>
      <c r="Z1159" s="145" t="b">
        <v>0</v>
      </c>
      <c r="AA1159" s="145"/>
      <c r="AB1159" s="129"/>
      <c r="AC1159" s="129"/>
      <c r="AD1159" s="129"/>
      <c r="AE1159" s="129"/>
      <c r="AF1159" s="132"/>
      <c r="AG1159" s="128" t="b">
        <v>0</v>
      </c>
      <c r="AH1159" s="128"/>
      <c r="AI1159" s="128"/>
      <c r="AJ1159" s="128"/>
      <c r="AK1159" s="128"/>
      <c r="AL1159" s="129"/>
      <c r="AM1159" s="129"/>
      <c r="AN1159" s="139"/>
    </row>
    <row r="1160">
      <c r="A1160" s="129"/>
      <c r="B1160" s="119"/>
      <c r="C1160" s="128"/>
      <c r="D1160" s="142"/>
      <c r="E1160" s="122"/>
      <c r="F1160" s="136"/>
      <c r="G1160" s="152"/>
      <c r="H1160" s="155"/>
      <c r="I1160" s="155"/>
      <c r="J1160" s="155"/>
      <c r="K1160" s="155"/>
      <c r="L1160" s="155"/>
      <c r="M1160" s="126"/>
      <c r="N1160" s="127"/>
      <c r="O1160" s="127"/>
      <c r="P1160" s="127"/>
      <c r="Q1160" s="126"/>
      <c r="R1160" s="128"/>
      <c r="S1160" s="128"/>
      <c r="T1160" s="128"/>
      <c r="U1160" s="128"/>
      <c r="V1160" s="129"/>
      <c r="W1160" s="129"/>
      <c r="X1160" s="129"/>
      <c r="Y1160" s="129"/>
      <c r="Z1160" s="145" t="b">
        <v>0</v>
      </c>
      <c r="AA1160" s="145"/>
      <c r="AB1160" s="129"/>
      <c r="AC1160" s="129"/>
      <c r="AD1160" s="129"/>
      <c r="AE1160" s="129"/>
      <c r="AF1160" s="132"/>
      <c r="AG1160" s="128" t="b">
        <v>0</v>
      </c>
      <c r="AH1160" s="128"/>
      <c r="AI1160" s="128"/>
      <c r="AJ1160" s="128"/>
      <c r="AK1160" s="128"/>
      <c r="AL1160" s="129"/>
      <c r="AM1160" s="129"/>
      <c r="AN1160" s="139"/>
    </row>
    <row r="1161">
      <c r="A1161" s="129"/>
      <c r="B1161" s="119"/>
      <c r="C1161" s="128"/>
      <c r="D1161" s="142"/>
      <c r="E1161" s="122"/>
      <c r="F1161" s="136"/>
      <c r="G1161" s="152"/>
      <c r="H1161" s="155"/>
      <c r="I1161" s="155"/>
      <c r="J1161" s="155"/>
      <c r="K1161" s="155"/>
      <c r="L1161" s="155"/>
      <c r="M1161" s="126"/>
      <c r="N1161" s="127"/>
      <c r="O1161" s="127"/>
      <c r="P1161" s="127"/>
      <c r="Q1161" s="126"/>
      <c r="R1161" s="128"/>
      <c r="S1161" s="128"/>
      <c r="T1161" s="128"/>
      <c r="U1161" s="128"/>
      <c r="V1161" s="129"/>
      <c r="W1161" s="129"/>
      <c r="X1161" s="129"/>
      <c r="Y1161" s="129"/>
      <c r="Z1161" s="145" t="b">
        <v>0</v>
      </c>
      <c r="AA1161" s="145"/>
      <c r="AB1161" s="129"/>
      <c r="AC1161" s="129"/>
      <c r="AD1161" s="129"/>
      <c r="AE1161" s="129"/>
      <c r="AF1161" s="132"/>
      <c r="AG1161" s="128" t="b">
        <v>0</v>
      </c>
      <c r="AH1161" s="128"/>
      <c r="AI1161" s="128"/>
      <c r="AJ1161" s="128"/>
      <c r="AK1161" s="128"/>
      <c r="AL1161" s="129"/>
      <c r="AM1161" s="129"/>
      <c r="AN1161" s="139"/>
    </row>
    <row r="1162">
      <c r="A1162" s="129"/>
      <c r="B1162" s="119"/>
      <c r="C1162" s="128"/>
      <c r="D1162" s="142"/>
      <c r="E1162" s="122"/>
      <c r="F1162" s="136"/>
      <c r="G1162" s="152"/>
      <c r="H1162" s="155"/>
      <c r="I1162" s="155"/>
      <c r="J1162" s="155"/>
      <c r="K1162" s="155"/>
      <c r="L1162" s="155"/>
      <c r="M1162" s="126"/>
      <c r="N1162" s="127"/>
      <c r="O1162" s="127"/>
      <c r="P1162" s="127"/>
      <c r="Q1162" s="126"/>
      <c r="R1162" s="128"/>
      <c r="S1162" s="128"/>
      <c r="T1162" s="128"/>
      <c r="U1162" s="128"/>
      <c r="V1162" s="129"/>
      <c r="W1162" s="129"/>
      <c r="X1162" s="129"/>
      <c r="Y1162" s="129"/>
      <c r="Z1162" s="145" t="b">
        <v>0</v>
      </c>
      <c r="AA1162" s="145"/>
      <c r="AB1162" s="129"/>
      <c r="AC1162" s="129"/>
      <c r="AD1162" s="129"/>
      <c r="AE1162" s="129"/>
      <c r="AF1162" s="132"/>
      <c r="AG1162" s="128" t="b">
        <v>0</v>
      </c>
      <c r="AH1162" s="128"/>
      <c r="AI1162" s="128"/>
      <c r="AJ1162" s="128"/>
      <c r="AK1162" s="128"/>
      <c r="AL1162" s="129"/>
      <c r="AM1162" s="129"/>
      <c r="AN1162" s="139"/>
    </row>
    <row r="1163">
      <c r="A1163" s="129"/>
      <c r="B1163" s="119"/>
      <c r="C1163" s="128"/>
      <c r="D1163" s="142"/>
      <c r="E1163" s="122"/>
      <c r="F1163" s="136"/>
      <c r="G1163" s="152"/>
      <c r="H1163" s="155"/>
      <c r="I1163" s="155"/>
      <c r="J1163" s="155"/>
      <c r="K1163" s="155"/>
      <c r="L1163" s="155"/>
      <c r="M1163" s="126"/>
      <c r="N1163" s="127"/>
      <c r="O1163" s="127"/>
      <c r="P1163" s="127"/>
      <c r="Q1163" s="126"/>
      <c r="R1163" s="128"/>
      <c r="S1163" s="128"/>
      <c r="T1163" s="128"/>
      <c r="U1163" s="128"/>
      <c r="V1163" s="129"/>
      <c r="W1163" s="129"/>
      <c r="X1163" s="129"/>
      <c r="Y1163" s="129"/>
      <c r="Z1163" s="145" t="b">
        <v>0</v>
      </c>
      <c r="AA1163" s="145"/>
      <c r="AB1163" s="129"/>
      <c r="AC1163" s="129"/>
      <c r="AD1163" s="129"/>
      <c r="AE1163" s="129"/>
      <c r="AF1163" s="132"/>
      <c r="AG1163" s="128" t="b">
        <v>0</v>
      </c>
      <c r="AH1163" s="128"/>
      <c r="AI1163" s="128"/>
      <c r="AJ1163" s="128"/>
      <c r="AK1163" s="128"/>
      <c r="AL1163" s="129"/>
      <c r="AM1163" s="129"/>
      <c r="AN1163" s="139"/>
    </row>
    <row r="1164">
      <c r="A1164" s="129"/>
      <c r="B1164" s="119"/>
      <c r="C1164" s="128"/>
      <c r="D1164" s="142"/>
      <c r="E1164" s="122"/>
      <c r="F1164" s="136"/>
      <c r="G1164" s="152"/>
      <c r="H1164" s="155"/>
      <c r="I1164" s="155"/>
      <c r="J1164" s="155"/>
      <c r="K1164" s="155"/>
      <c r="L1164" s="155"/>
      <c r="M1164" s="126"/>
      <c r="N1164" s="127"/>
      <c r="O1164" s="127"/>
      <c r="P1164" s="127"/>
      <c r="Q1164" s="126"/>
      <c r="R1164" s="128"/>
      <c r="S1164" s="128"/>
      <c r="T1164" s="128"/>
      <c r="U1164" s="128"/>
      <c r="V1164" s="129"/>
      <c r="W1164" s="129"/>
      <c r="X1164" s="129"/>
      <c r="Y1164" s="129"/>
      <c r="Z1164" s="145" t="b">
        <v>0</v>
      </c>
      <c r="AA1164" s="145"/>
      <c r="AB1164" s="129"/>
      <c r="AC1164" s="129"/>
      <c r="AD1164" s="129"/>
      <c r="AE1164" s="129"/>
      <c r="AF1164" s="132"/>
      <c r="AG1164" s="128" t="b">
        <v>0</v>
      </c>
      <c r="AH1164" s="128"/>
      <c r="AI1164" s="128"/>
      <c r="AJ1164" s="128"/>
      <c r="AK1164" s="128"/>
      <c r="AL1164" s="129"/>
      <c r="AM1164" s="129"/>
      <c r="AN1164" s="139"/>
    </row>
    <row r="1165">
      <c r="A1165" s="129"/>
      <c r="B1165" s="119"/>
      <c r="C1165" s="128"/>
      <c r="D1165" s="142"/>
      <c r="E1165" s="122"/>
      <c r="F1165" s="136"/>
      <c r="G1165" s="152"/>
      <c r="H1165" s="155"/>
      <c r="I1165" s="155"/>
      <c r="J1165" s="155"/>
      <c r="K1165" s="155"/>
      <c r="L1165" s="155"/>
      <c r="M1165" s="126"/>
      <c r="N1165" s="127"/>
      <c r="O1165" s="127"/>
      <c r="P1165" s="127"/>
      <c r="Q1165" s="126"/>
      <c r="R1165" s="128"/>
      <c r="S1165" s="128"/>
      <c r="T1165" s="128"/>
      <c r="U1165" s="128"/>
      <c r="V1165" s="129"/>
      <c r="W1165" s="129"/>
      <c r="X1165" s="129"/>
      <c r="Y1165" s="129"/>
      <c r="Z1165" s="145" t="b">
        <v>0</v>
      </c>
      <c r="AA1165" s="145"/>
      <c r="AB1165" s="129"/>
      <c r="AC1165" s="129"/>
      <c r="AD1165" s="129"/>
      <c r="AE1165" s="129"/>
      <c r="AF1165" s="132"/>
      <c r="AG1165" s="128" t="b">
        <v>0</v>
      </c>
      <c r="AH1165" s="128"/>
      <c r="AI1165" s="128"/>
      <c r="AJ1165" s="128"/>
      <c r="AK1165" s="128"/>
      <c r="AL1165" s="129"/>
      <c r="AM1165" s="129"/>
      <c r="AN1165" s="139"/>
    </row>
    <row r="1166">
      <c r="A1166" s="129"/>
      <c r="B1166" s="119"/>
      <c r="C1166" s="128"/>
      <c r="D1166" s="142"/>
      <c r="E1166" s="122"/>
      <c r="F1166" s="136"/>
      <c r="G1166" s="152"/>
      <c r="H1166" s="155"/>
      <c r="I1166" s="155"/>
      <c r="J1166" s="155"/>
      <c r="K1166" s="155"/>
      <c r="L1166" s="155"/>
      <c r="M1166" s="126"/>
      <c r="N1166" s="127"/>
      <c r="O1166" s="127"/>
      <c r="P1166" s="127"/>
      <c r="Q1166" s="126"/>
      <c r="R1166" s="128"/>
      <c r="S1166" s="128"/>
      <c r="T1166" s="128"/>
      <c r="U1166" s="128"/>
      <c r="V1166" s="129"/>
      <c r="W1166" s="129"/>
      <c r="X1166" s="129"/>
      <c r="Y1166" s="129"/>
      <c r="Z1166" s="145" t="b">
        <v>0</v>
      </c>
      <c r="AA1166" s="145"/>
      <c r="AB1166" s="129"/>
      <c r="AC1166" s="129"/>
      <c r="AD1166" s="129"/>
      <c r="AE1166" s="129"/>
      <c r="AF1166" s="132"/>
      <c r="AG1166" s="128" t="b">
        <v>0</v>
      </c>
      <c r="AH1166" s="128"/>
      <c r="AI1166" s="128"/>
      <c r="AJ1166" s="128"/>
      <c r="AK1166" s="128"/>
      <c r="AL1166" s="129"/>
      <c r="AM1166" s="129"/>
      <c r="AN1166" s="139"/>
    </row>
    <row r="1167">
      <c r="A1167" s="129"/>
      <c r="B1167" s="119"/>
      <c r="C1167" s="128"/>
      <c r="D1167" s="142"/>
      <c r="E1167" s="122"/>
      <c r="F1167" s="136"/>
      <c r="G1167" s="152"/>
      <c r="H1167" s="155"/>
      <c r="I1167" s="155"/>
      <c r="J1167" s="155"/>
      <c r="K1167" s="155"/>
      <c r="L1167" s="155"/>
      <c r="M1167" s="126"/>
      <c r="N1167" s="127"/>
      <c r="O1167" s="127"/>
      <c r="P1167" s="127"/>
      <c r="Q1167" s="126"/>
      <c r="R1167" s="128"/>
      <c r="S1167" s="128"/>
      <c r="T1167" s="128"/>
      <c r="U1167" s="128"/>
      <c r="V1167" s="129"/>
      <c r="W1167" s="129"/>
      <c r="X1167" s="129"/>
      <c r="Y1167" s="129"/>
      <c r="Z1167" s="145" t="b">
        <v>0</v>
      </c>
      <c r="AA1167" s="145"/>
      <c r="AB1167" s="129"/>
      <c r="AC1167" s="129"/>
      <c r="AD1167" s="129"/>
      <c r="AE1167" s="129"/>
      <c r="AF1167" s="132"/>
      <c r="AG1167" s="128" t="b">
        <v>0</v>
      </c>
      <c r="AH1167" s="128"/>
      <c r="AI1167" s="128"/>
      <c r="AJ1167" s="128"/>
      <c r="AK1167" s="128"/>
      <c r="AL1167" s="129"/>
      <c r="AM1167" s="129"/>
      <c r="AN1167" s="139"/>
    </row>
    <row r="1168">
      <c r="A1168" s="129"/>
      <c r="B1168" s="119"/>
      <c r="C1168" s="128"/>
      <c r="D1168" s="142"/>
      <c r="E1168" s="122"/>
      <c r="F1168" s="136"/>
      <c r="G1168" s="152"/>
      <c r="H1168" s="155"/>
      <c r="I1168" s="155"/>
      <c r="J1168" s="155"/>
      <c r="K1168" s="155"/>
      <c r="L1168" s="155"/>
      <c r="M1168" s="126"/>
      <c r="N1168" s="127"/>
      <c r="O1168" s="127"/>
      <c r="P1168" s="127"/>
      <c r="Q1168" s="126"/>
      <c r="R1168" s="128"/>
      <c r="S1168" s="128"/>
      <c r="T1168" s="128"/>
      <c r="U1168" s="128"/>
      <c r="V1168" s="129"/>
      <c r="W1168" s="129"/>
      <c r="X1168" s="129"/>
      <c r="Y1168" s="129"/>
      <c r="Z1168" s="145" t="b">
        <v>0</v>
      </c>
      <c r="AA1168" s="145"/>
      <c r="AB1168" s="129"/>
      <c r="AC1168" s="129"/>
      <c r="AD1168" s="129"/>
      <c r="AE1168" s="129"/>
      <c r="AF1168" s="132"/>
      <c r="AG1168" s="128" t="b">
        <v>0</v>
      </c>
      <c r="AH1168" s="128"/>
      <c r="AI1168" s="128"/>
      <c r="AJ1168" s="128"/>
      <c r="AK1168" s="128"/>
      <c r="AL1168" s="129"/>
      <c r="AM1168" s="129"/>
      <c r="AN1168" s="139"/>
    </row>
    <row r="1169">
      <c r="A1169" s="129"/>
      <c r="B1169" s="119"/>
      <c r="C1169" s="128"/>
      <c r="D1169" s="142"/>
      <c r="E1169" s="122"/>
      <c r="F1169" s="136"/>
      <c r="G1169" s="152"/>
      <c r="H1169" s="155"/>
      <c r="I1169" s="155"/>
      <c r="J1169" s="155"/>
      <c r="K1169" s="155"/>
      <c r="L1169" s="155"/>
      <c r="M1169" s="126"/>
      <c r="N1169" s="127"/>
      <c r="O1169" s="127"/>
      <c r="P1169" s="127"/>
      <c r="Q1169" s="126"/>
      <c r="R1169" s="128"/>
      <c r="S1169" s="128"/>
      <c r="T1169" s="128"/>
      <c r="U1169" s="128"/>
      <c r="V1169" s="129"/>
      <c r="W1169" s="129"/>
      <c r="X1169" s="129"/>
      <c r="Y1169" s="129"/>
      <c r="Z1169" s="145" t="b">
        <v>0</v>
      </c>
      <c r="AA1169" s="145"/>
      <c r="AB1169" s="129"/>
      <c r="AC1169" s="129"/>
      <c r="AD1169" s="129"/>
      <c r="AE1169" s="129"/>
      <c r="AF1169" s="132"/>
      <c r="AG1169" s="128" t="b">
        <v>0</v>
      </c>
      <c r="AH1169" s="128"/>
      <c r="AI1169" s="128"/>
      <c r="AJ1169" s="128"/>
      <c r="AK1169" s="128"/>
      <c r="AL1169" s="129"/>
      <c r="AM1169" s="129"/>
      <c r="AN1169" s="139"/>
    </row>
    <row r="1170">
      <c r="A1170" s="129"/>
      <c r="B1170" s="119"/>
      <c r="C1170" s="128"/>
      <c r="D1170" s="142"/>
      <c r="E1170" s="122"/>
      <c r="F1170" s="136"/>
      <c r="G1170" s="152"/>
      <c r="H1170" s="155"/>
      <c r="I1170" s="155"/>
      <c r="J1170" s="155"/>
      <c r="K1170" s="155"/>
      <c r="L1170" s="155"/>
      <c r="M1170" s="126"/>
      <c r="N1170" s="127"/>
      <c r="O1170" s="127"/>
      <c r="P1170" s="127"/>
      <c r="Q1170" s="126"/>
      <c r="R1170" s="128"/>
      <c r="S1170" s="128"/>
      <c r="T1170" s="128"/>
      <c r="U1170" s="128"/>
      <c r="V1170" s="129"/>
      <c r="W1170" s="129"/>
      <c r="X1170" s="129"/>
      <c r="Y1170" s="129"/>
      <c r="Z1170" s="145" t="b">
        <v>0</v>
      </c>
      <c r="AA1170" s="145"/>
      <c r="AB1170" s="129"/>
      <c r="AC1170" s="129"/>
      <c r="AD1170" s="129"/>
      <c r="AE1170" s="129"/>
      <c r="AF1170" s="132"/>
      <c r="AG1170" s="128" t="b">
        <v>0</v>
      </c>
      <c r="AH1170" s="128"/>
      <c r="AI1170" s="128"/>
      <c r="AJ1170" s="128"/>
      <c r="AK1170" s="128"/>
      <c r="AL1170" s="129"/>
      <c r="AM1170" s="129"/>
      <c r="AN1170" s="139"/>
    </row>
    <row r="1171">
      <c r="A1171" s="129"/>
      <c r="B1171" s="119"/>
      <c r="C1171" s="128"/>
      <c r="D1171" s="142"/>
      <c r="E1171" s="122"/>
      <c r="F1171" s="136"/>
      <c r="G1171" s="152"/>
      <c r="H1171" s="155"/>
      <c r="I1171" s="155"/>
      <c r="J1171" s="155"/>
      <c r="K1171" s="155"/>
      <c r="L1171" s="155"/>
      <c r="M1171" s="126"/>
      <c r="N1171" s="127"/>
      <c r="O1171" s="127"/>
      <c r="P1171" s="127"/>
      <c r="Q1171" s="126"/>
      <c r="R1171" s="128"/>
      <c r="S1171" s="128"/>
      <c r="T1171" s="128"/>
      <c r="U1171" s="128"/>
      <c r="V1171" s="129"/>
      <c r="W1171" s="129"/>
      <c r="X1171" s="129"/>
      <c r="Y1171" s="129"/>
      <c r="Z1171" s="145" t="b">
        <v>0</v>
      </c>
      <c r="AA1171" s="145"/>
      <c r="AB1171" s="129"/>
      <c r="AC1171" s="129"/>
      <c r="AD1171" s="129"/>
      <c r="AE1171" s="129"/>
      <c r="AF1171" s="132"/>
      <c r="AG1171" s="128" t="b">
        <v>0</v>
      </c>
      <c r="AH1171" s="128"/>
      <c r="AI1171" s="128"/>
      <c r="AJ1171" s="128"/>
      <c r="AK1171" s="128"/>
      <c r="AL1171" s="129"/>
      <c r="AM1171" s="129"/>
      <c r="AN1171" s="139"/>
    </row>
    <row r="1172">
      <c r="A1172" s="129"/>
      <c r="B1172" s="119"/>
      <c r="C1172" s="128"/>
      <c r="D1172" s="142"/>
      <c r="E1172" s="122"/>
      <c r="F1172" s="136"/>
      <c r="G1172" s="152"/>
      <c r="H1172" s="155"/>
      <c r="I1172" s="155"/>
      <c r="J1172" s="155"/>
      <c r="K1172" s="155"/>
      <c r="L1172" s="155"/>
      <c r="M1172" s="126"/>
      <c r="N1172" s="127"/>
      <c r="O1172" s="127"/>
      <c r="P1172" s="127"/>
      <c r="Q1172" s="126"/>
      <c r="R1172" s="128"/>
      <c r="S1172" s="128"/>
      <c r="T1172" s="128"/>
      <c r="U1172" s="128"/>
      <c r="V1172" s="129"/>
      <c r="W1172" s="129"/>
      <c r="X1172" s="129"/>
      <c r="Y1172" s="129"/>
      <c r="Z1172" s="145" t="b">
        <v>0</v>
      </c>
      <c r="AA1172" s="145"/>
      <c r="AB1172" s="129"/>
      <c r="AC1172" s="129"/>
      <c r="AD1172" s="129"/>
      <c r="AE1172" s="129"/>
      <c r="AF1172" s="132"/>
      <c r="AG1172" s="128" t="b">
        <v>0</v>
      </c>
      <c r="AH1172" s="128"/>
      <c r="AI1172" s="128"/>
      <c r="AJ1172" s="128"/>
      <c r="AK1172" s="128"/>
      <c r="AL1172" s="129"/>
      <c r="AM1172" s="129"/>
      <c r="AN1172" s="139"/>
    </row>
    <row r="1173">
      <c r="A1173" s="129"/>
      <c r="B1173" s="119"/>
      <c r="C1173" s="128"/>
      <c r="D1173" s="142"/>
      <c r="E1173" s="122"/>
      <c r="F1173" s="136"/>
      <c r="G1173" s="152"/>
      <c r="H1173" s="155"/>
      <c r="I1173" s="155"/>
      <c r="J1173" s="155"/>
      <c r="K1173" s="155"/>
      <c r="L1173" s="155"/>
      <c r="M1173" s="126"/>
      <c r="N1173" s="127"/>
      <c r="O1173" s="127"/>
      <c r="P1173" s="127"/>
      <c r="Q1173" s="126"/>
      <c r="R1173" s="128"/>
      <c r="S1173" s="128"/>
      <c r="T1173" s="128"/>
      <c r="U1173" s="128"/>
      <c r="V1173" s="129"/>
      <c r="W1173" s="129"/>
      <c r="X1173" s="129"/>
      <c r="Y1173" s="129"/>
      <c r="Z1173" s="145" t="b">
        <v>0</v>
      </c>
      <c r="AA1173" s="145"/>
      <c r="AB1173" s="129"/>
      <c r="AC1173" s="129"/>
      <c r="AD1173" s="129"/>
      <c r="AE1173" s="129"/>
      <c r="AF1173" s="132"/>
      <c r="AG1173" s="128" t="b">
        <v>0</v>
      </c>
      <c r="AH1173" s="128"/>
      <c r="AI1173" s="128"/>
      <c r="AJ1173" s="128"/>
      <c r="AK1173" s="128"/>
      <c r="AL1173" s="129"/>
      <c r="AM1173" s="129"/>
      <c r="AN1173" s="139"/>
    </row>
    <row r="1174">
      <c r="A1174" s="129"/>
      <c r="B1174" s="119"/>
      <c r="C1174" s="128"/>
      <c r="D1174" s="142"/>
      <c r="E1174" s="122"/>
      <c r="F1174" s="136"/>
      <c r="G1174" s="152"/>
      <c r="H1174" s="155"/>
      <c r="I1174" s="155"/>
      <c r="J1174" s="155"/>
      <c r="K1174" s="155"/>
      <c r="L1174" s="155"/>
      <c r="M1174" s="126"/>
      <c r="N1174" s="127"/>
      <c r="O1174" s="127"/>
      <c r="P1174" s="127"/>
      <c r="Q1174" s="126"/>
      <c r="R1174" s="128"/>
      <c r="S1174" s="128"/>
      <c r="T1174" s="128"/>
      <c r="U1174" s="128"/>
      <c r="V1174" s="129"/>
      <c r="W1174" s="129"/>
      <c r="X1174" s="129"/>
      <c r="Y1174" s="129"/>
      <c r="Z1174" s="145" t="b">
        <v>0</v>
      </c>
      <c r="AA1174" s="145"/>
      <c r="AB1174" s="129"/>
      <c r="AC1174" s="129"/>
      <c r="AD1174" s="129"/>
      <c r="AE1174" s="129"/>
      <c r="AF1174" s="132"/>
      <c r="AG1174" s="128" t="b">
        <v>0</v>
      </c>
      <c r="AH1174" s="128"/>
      <c r="AI1174" s="128"/>
      <c r="AJ1174" s="128"/>
      <c r="AK1174" s="128"/>
      <c r="AL1174" s="129"/>
      <c r="AM1174" s="129"/>
      <c r="AN1174" s="139"/>
    </row>
    <row r="1175">
      <c r="A1175" s="129"/>
      <c r="B1175" s="119"/>
      <c r="C1175" s="128"/>
      <c r="D1175" s="142"/>
      <c r="E1175" s="122"/>
      <c r="F1175" s="136"/>
      <c r="G1175" s="152"/>
      <c r="H1175" s="155"/>
      <c r="I1175" s="155"/>
      <c r="J1175" s="155"/>
      <c r="K1175" s="155"/>
      <c r="L1175" s="155"/>
      <c r="M1175" s="126"/>
      <c r="N1175" s="127"/>
      <c r="O1175" s="127"/>
      <c r="P1175" s="127"/>
      <c r="Q1175" s="126"/>
      <c r="R1175" s="128"/>
      <c r="S1175" s="128"/>
      <c r="T1175" s="128"/>
      <c r="U1175" s="128"/>
      <c r="V1175" s="129"/>
      <c r="W1175" s="129"/>
      <c r="X1175" s="129"/>
      <c r="Y1175" s="129"/>
      <c r="Z1175" s="145" t="b">
        <v>0</v>
      </c>
      <c r="AA1175" s="145"/>
      <c r="AB1175" s="129"/>
      <c r="AC1175" s="129"/>
      <c r="AD1175" s="129"/>
      <c r="AE1175" s="129"/>
      <c r="AF1175" s="132"/>
      <c r="AG1175" s="128" t="b">
        <v>0</v>
      </c>
      <c r="AH1175" s="128"/>
      <c r="AI1175" s="128"/>
      <c r="AJ1175" s="128"/>
      <c r="AK1175" s="128"/>
      <c r="AL1175" s="129"/>
      <c r="AM1175" s="129"/>
      <c r="AN1175" s="139"/>
    </row>
    <row r="1176">
      <c r="A1176" s="129"/>
      <c r="B1176" s="119"/>
      <c r="C1176" s="128"/>
      <c r="D1176" s="142"/>
      <c r="E1176" s="122"/>
      <c r="F1176" s="136"/>
      <c r="G1176" s="152"/>
      <c r="H1176" s="155"/>
      <c r="I1176" s="155"/>
      <c r="J1176" s="155"/>
      <c r="K1176" s="155"/>
      <c r="L1176" s="155"/>
      <c r="M1176" s="126"/>
      <c r="N1176" s="127"/>
      <c r="O1176" s="127"/>
      <c r="P1176" s="127"/>
      <c r="Q1176" s="126"/>
      <c r="R1176" s="128"/>
      <c r="S1176" s="128"/>
      <c r="T1176" s="128"/>
      <c r="U1176" s="128"/>
      <c r="V1176" s="129"/>
      <c r="W1176" s="129"/>
      <c r="X1176" s="129"/>
      <c r="Y1176" s="129"/>
      <c r="Z1176" s="145" t="b">
        <v>0</v>
      </c>
      <c r="AA1176" s="145"/>
      <c r="AB1176" s="129"/>
      <c r="AC1176" s="129"/>
      <c r="AD1176" s="129"/>
      <c r="AE1176" s="129"/>
      <c r="AF1176" s="132"/>
      <c r="AG1176" s="128" t="b">
        <v>0</v>
      </c>
      <c r="AH1176" s="128"/>
      <c r="AI1176" s="128"/>
      <c r="AJ1176" s="128"/>
      <c r="AK1176" s="128"/>
      <c r="AL1176" s="129"/>
      <c r="AM1176" s="129"/>
      <c r="AN1176" s="139"/>
    </row>
    <row r="1177">
      <c r="A1177" s="129"/>
      <c r="B1177" s="119"/>
      <c r="C1177" s="128"/>
      <c r="D1177" s="142"/>
      <c r="E1177" s="122"/>
      <c r="F1177" s="136"/>
      <c r="G1177" s="152"/>
      <c r="H1177" s="155"/>
      <c r="I1177" s="155"/>
      <c r="J1177" s="155"/>
      <c r="K1177" s="155"/>
      <c r="L1177" s="155"/>
      <c r="M1177" s="126"/>
      <c r="N1177" s="127"/>
      <c r="O1177" s="127"/>
      <c r="P1177" s="127"/>
      <c r="Q1177" s="126"/>
      <c r="R1177" s="128"/>
      <c r="S1177" s="128"/>
      <c r="T1177" s="128"/>
      <c r="U1177" s="128"/>
      <c r="V1177" s="129"/>
      <c r="W1177" s="129"/>
      <c r="X1177" s="129"/>
      <c r="Y1177" s="129"/>
      <c r="Z1177" s="145" t="b">
        <v>0</v>
      </c>
      <c r="AA1177" s="145"/>
      <c r="AB1177" s="129"/>
      <c r="AC1177" s="129"/>
      <c r="AD1177" s="129"/>
      <c r="AE1177" s="129"/>
      <c r="AF1177" s="132"/>
      <c r="AG1177" s="128" t="b">
        <v>0</v>
      </c>
      <c r="AH1177" s="128"/>
      <c r="AI1177" s="128"/>
      <c r="AJ1177" s="128"/>
      <c r="AK1177" s="128"/>
      <c r="AL1177" s="129"/>
      <c r="AM1177" s="129"/>
      <c r="AN1177" s="139"/>
    </row>
    <row r="1178">
      <c r="A1178" s="129"/>
      <c r="B1178" s="119"/>
      <c r="C1178" s="128"/>
      <c r="D1178" s="142"/>
      <c r="E1178" s="122"/>
      <c r="F1178" s="136"/>
      <c r="G1178" s="152"/>
      <c r="H1178" s="155"/>
      <c r="I1178" s="155"/>
      <c r="J1178" s="155"/>
      <c r="K1178" s="155"/>
      <c r="L1178" s="155"/>
      <c r="M1178" s="126"/>
      <c r="N1178" s="127"/>
      <c r="O1178" s="127"/>
      <c r="P1178" s="127"/>
      <c r="Q1178" s="126"/>
      <c r="R1178" s="128"/>
      <c r="S1178" s="128"/>
      <c r="T1178" s="128"/>
      <c r="U1178" s="128"/>
      <c r="V1178" s="129"/>
      <c r="W1178" s="129"/>
      <c r="X1178" s="129"/>
      <c r="Y1178" s="129"/>
      <c r="Z1178" s="145" t="b">
        <v>0</v>
      </c>
      <c r="AA1178" s="145"/>
      <c r="AB1178" s="129"/>
      <c r="AC1178" s="129"/>
      <c r="AD1178" s="129"/>
      <c r="AE1178" s="129"/>
      <c r="AF1178" s="132"/>
      <c r="AG1178" s="128" t="b">
        <v>0</v>
      </c>
      <c r="AH1178" s="128"/>
      <c r="AI1178" s="128"/>
      <c r="AJ1178" s="128"/>
      <c r="AK1178" s="128"/>
      <c r="AL1178" s="129"/>
      <c r="AM1178" s="129"/>
      <c r="AN1178" s="139"/>
    </row>
    <row r="1179">
      <c r="A1179" s="129"/>
      <c r="B1179" s="119"/>
      <c r="C1179" s="128"/>
      <c r="D1179" s="142"/>
      <c r="E1179" s="122"/>
      <c r="F1179" s="136"/>
      <c r="G1179" s="152"/>
      <c r="H1179" s="155"/>
      <c r="I1179" s="155"/>
      <c r="J1179" s="155"/>
      <c r="K1179" s="155"/>
      <c r="L1179" s="155"/>
      <c r="M1179" s="126"/>
      <c r="N1179" s="127"/>
      <c r="O1179" s="127"/>
      <c r="P1179" s="127"/>
      <c r="Q1179" s="126"/>
      <c r="R1179" s="128"/>
      <c r="S1179" s="128"/>
      <c r="T1179" s="128"/>
      <c r="U1179" s="128"/>
      <c r="V1179" s="129"/>
      <c r="W1179" s="129"/>
      <c r="X1179" s="129"/>
      <c r="Y1179" s="129"/>
      <c r="Z1179" s="145" t="b">
        <v>0</v>
      </c>
      <c r="AA1179" s="145"/>
      <c r="AB1179" s="129"/>
      <c r="AC1179" s="129"/>
      <c r="AD1179" s="129"/>
      <c r="AE1179" s="129"/>
      <c r="AF1179" s="132"/>
      <c r="AG1179" s="128" t="b">
        <v>0</v>
      </c>
      <c r="AH1179" s="128"/>
      <c r="AI1179" s="128"/>
      <c r="AJ1179" s="128"/>
      <c r="AK1179" s="128"/>
      <c r="AL1179" s="129"/>
      <c r="AM1179" s="129"/>
      <c r="AN1179" s="139"/>
    </row>
    <row r="1180">
      <c r="A1180" s="129"/>
      <c r="B1180" s="119"/>
      <c r="C1180" s="128"/>
      <c r="D1180" s="142"/>
      <c r="E1180" s="122"/>
      <c r="F1180" s="136"/>
      <c r="G1180" s="152"/>
      <c r="H1180" s="155"/>
      <c r="I1180" s="155"/>
      <c r="J1180" s="155"/>
      <c r="K1180" s="155"/>
      <c r="L1180" s="155"/>
      <c r="M1180" s="126"/>
      <c r="N1180" s="127"/>
      <c r="O1180" s="127"/>
      <c r="P1180" s="127"/>
      <c r="Q1180" s="126"/>
      <c r="R1180" s="128"/>
      <c r="S1180" s="128"/>
      <c r="T1180" s="128"/>
      <c r="U1180" s="128"/>
      <c r="V1180" s="129"/>
      <c r="W1180" s="129"/>
      <c r="X1180" s="129"/>
      <c r="Y1180" s="129"/>
      <c r="Z1180" s="145" t="b">
        <v>0</v>
      </c>
      <c r="AA1180" s="145"/>
      <c r="AB1180" s="129"/>
      <c r="AC1180" s="129"/>
      <c r="AD1180" s="129"/>
      <c r="AE1180" s="129"/>
      <c r="AF1180" s="132"/>
      <c r="AG1180" s="128" t="b">
        <v>0</v>
      </c>
      <c r="AH1180" s="128"/>
      <c r="AI1180" s="128"/>
      <c r="AJ1180" s="128"/>
      <c r="AK1180" s="128"/>
      <c r="AL1180" s="129"/>
      <c r="AM1180" s="129"/>
      <c r="AN1180" s="139"/>
    </row>
    <row r="1181">
      <c r="A1181" s="129"/>
      <c r="B1181" s="119"/>
      <c r="C1181" s="128"/>
      <c r="D1181" s="142"/>
      <c r="E1181" s="122"/>
      <c r="F1181" s="136"/>
      <c r="G1181" s="152"/>
      <c r="H1181" s="155"/>
      <c r="I1181" s="155"/>
      <c r="J1181" s="155"/>
      <c r="K1181" s="155"/>
      <c r="L1181" s="155"/>
      <c r="M1181" s="126"/>
      <c r="N1181" s="127"/>
      <c r="O1181" s="127"/>
      <c r="P1181" s="127"/>
      <c r="Q1181" s="126"/>
      <c r="R1181" s="128"/>
      <c r="S1181" s="128"/>
      <c r="T1181" s="128"/>
      <c r="U1181" s="128"/>
      <c r="V1181" s="129"/>
      <c r="W1181" s="129"/>
      <c r="X1181" s="129"/>
      <c r="Y1181" s="129"/>
      <c r="Z1181" s="145" t="b">
        <v>0</v>
      </c>
      <c r="AA1181" s="145"/>
      <c r="AB1181" s="129"/>
      <c r="AC1181" s="129"/>
      <c r="AD1181" s="129"/>
      <c r="AE1181" s="129"/>
      <c r="AF1181" s="132"/>
      <c r="AG1181" s="128" t="b">
        <v>0</v>
      </c>
      <c r="AH1181" s="128"/>
      <c r="AI1181" s="128"/>
      <c r="AJ1181" s="128"/>
      <c r="AK1181" s="128"/>
      <c r="AL1181" s="129"/>
      <c r="AM1181" s="129"/>
      <c r="AN1181" s="139"/>
    </row>
    <row r="1182">
      <c r="A1182" s="129"/>
      <c r="B1182" s="119"/>
      <c r="C1182" s="128"/>
      <c r="D1182" s="142"/>
      <c r="E1182" s="122"/>
      <c r="F1182" s="136"/>
      <c r="G1182" s="152"/>
      <c r="H1182" s="155"/>
      <c r="I1182" s="155"/>
      <c r="J1182" s="155"/>
      <c r="K1182" s="155"/>
      <c r="L1182" s="155"/>
      <c r="M1182" s="126"/>
      <c r="N1182" s="127"/>
      <c r="O1182" s="127"/>
      <c r="P1182" s="127"/>
      <c r="Q1182" s="126"/>
      <c r="R1182" s="128"/>
      <c r="S1182" s="128"/>
      <c r="T1182" s="128"/>
      <c r="U1182" s="128"/>
      <c r="V1182" s="129"/>
      <c r="W1182" s="129"/>
      <c r="X1182" s="129"/>
      <c r="Y1182" s="129"/>
      <c r="Z1182" s="145" t="b">
        <v>0</v>
      </c>
      <c r="AA1182" s="145"/>
      <c r="AB1182" s="129"/>
      <c r="AC1182" s="129"/>
      <c r="AD1182" s="129"/>
      <c r="AE1182" s="129"/>
      <c r="AF1182" s="132"/>
      <c r="AG1182" s="128" t="b">
        <v>0</v>
      </c>
      <c r="AH1182" s="128"/>
      <c r="AI1182" s="128"/>
      <c r="AJ1182" s="128"/>
      <c r="AK1182" s="128"/>
      <c r="AL1182" s="129"/>
      <c r="AM1182" s="129"/>
      <c r="AN1182" s="139"/>
    </row>
    <row r="1183">
      <c r="A1183" s="129"/>
      <c r="B1183" s="119"/>
      <c r="C1183" s="128"/>
      <c r="D1183" s="142"/>
      <c r="E1183" s="122"/>
      <c r="F1183" s="136"/>
      <c r="G1183" s="152"/>
      <c r="H1183" s="155"/>
      <c r="I1183" s="155"/>
      <c r="J1183" s="155"/>
      <c r="K1183" s="155"/>
      <c r="L1183" s="155"/>
      <c r="M1183" s="126"/>
      <c r="N1183" s="127"/>
      <c r="O1183" s="127"/>
      <c r="P1183" s="127"/>
      <c r="Q1183" s="126"/>
      <c r="R1183" s="128"/>
      <c r="S1183" s="128"/>
      <c r="T1183" s="128"/>
      <c r="U1183" s="128"/>
      <c r="V1183" s="129"/>
      <c r="W1183" s="129"/>
      <c r="X1183" s="129"/>
      <c r="Y1183" s="129"/>
      <c r="Z1183" s="145" t="b">
        <v>0</v>
      </c>
      <c r="AA1183" s="145"/>
      <c r="AB1183" s="129"/>
      <c r="AC1183" s="129"/>
      <c r="AD1183" s="129"/>
      <c r="AE1183" s="129"/>
      <c r="AF1183" s="132"/>
      <c r="AG1183" s="128" t="b">
        <v>0</v>
      </c>
      <c r="AH1183" s="128"/>
      <c r="AI1183" s="128"/>
      <c r="AJ1183" s="128"/>
      <c r="AK1183" s="128"/>
      <c r="AL1183" s="129"/>
      <c r="AM1183" s="129"/>
      <c r="AN1183" s="139"/>
    </row>
    <row r="1184">
      <c r="A1184" s="129"/>
      <c r="B1184" s="119"/>
      <c r="C1184" s="128"/>
      <c r="D1184" s="142"/>
      <c r="E1184" s="122"/>
      <c r="F1184" s="136"/>
      <c r="G1184" s="152"/>
      <c r="H1184" s="155"/>
      <c r="I1184" s="155"/>
      <c r="J1184" s="155"/>
      <c r="K1184" s="155"/>
      <c r="L1184" s="155"/>
      <c r="M1184" s="126"/>
      <c r="N1184" s="127"/>
      <c r="O1184" s="127"/>
      <c r="P1184" s="127"/>
      <c r="Q1184" s="126"/>
      <c r="R1184" s="128"/>
      <c r="S1184" s="128"/>
      <c r="T1184" s="128"/>
      <c r="U1184" s="128"/>
      <c r="V1184" s="129"/>
      <c r="W1184" s="129"/>
      <c r="X1184" s="129"/>
      <c r="Y1184" s="129"/>
      <c r="Z1184" s="145" t="b">
        <v>0</v>
      </c>
      <c r="AA1184" s="145"/>
      <c r="AB1184" s="129"/>
      <c r="AC1184" s="129"/>
      <c r="AD1184" s="129"/>
      <c r="AE1184" s="129"/>
      <c r="AF1184" s="132"/>
      <c r="AG1184" s="128" t="b">
        <v>0</v>
      </c>
      <c r="AH1184" s="128"/>
      <c r="AI1184" s="128"/>
      <c r="AJ1184" s="128"/>
      <c r="AK1184" s="128"/>
      <c r="AL1184" s="129"/>
      <c r="AM1184" s="129"/>
      <c r="AN1184" s="139"/>
    </row>
    <row r="1185">
      <c r="A1185" s="129"/>
      <c r="B1185" s="119"/>
      <c r="C1185" s="128"/>
      <c r="D1185" s="142"/>
      <c r="E1185" s="122"/>
      <c r="F1185" s="136"/>
      <c r="G1185" s="152"/>
      <c r="H1185" s="155"/>
      <c r="I1185" s="155"/>
      <c r="J1185" s="155"/>
      <c r="K1185" s="155"/>
      <c r="L1185" s="155"/>
      <c r="M1185" s="126"/>
      <c r="N1185" s="127"/>
      <c r="O1185" s="127"/>
      <c r="P1185" s="127"/>
      <c r="Q1185" s="126"/>
      <c r="R1185" s="128"/>
      <c r="S1185" s="128"/>
      <c r="T1185" s="128"/>
      <c r="U1185" s="128"/>
      <c r="V1185" s="129"/>
      <c r="W1185" s="129"/>
      <c r="X1185" s="129"/>
      <c r="Y1185" s="129"/>
      <c r="Z1185" s="145" t="b">
        <v>0</v>
      </c>
      <c r="AA1185" s="145"/>
      <c r="AB1185" s="129"/>
      <c r="AC1185" s="129"/>
      <c r="AD1185" s="129"/>
      <c r="AE1185" s="129"/>
      <c r="AF1185" s="132"/>
      <c r="AG1185" s="128" t="b">
        <v>0</v>
      </c>
      <c r="AH1185" s="128"/>
      <c r="AI1185" s="128"/>
      <c r="AJ1185" s="128"/>
      <c r="AK1185" s="128"/>
      <c r="AL1185" s="129"/>
      <c r="AM1185" s="129"/>
      <c r="AN1185" s="139"/>
    </row>
    <row r="1186">
      <c r="A1186" s="129"/>
      <c r="B1186" s="119"/>
      <c r="C1186" s="128"/>
      <c r="D1186" s="142"/>
      <c r="E1186" s="122"/>
      <c r="F1186" s="136"/>
      <c r="G1186" s="152"/>
      <c r="H1186" s="155"/>
      <c r="I1186" s="155"/>
      <c r="J1186" s="155"/>
      <c r="K1186" s="155"/>
      <c r="L1186" s="155"/>
      <c r="M1186" s="126"/>
      <c r="N1186" s="127"/>
      <c r="O1186" s="127"/>
      <c r="P1186" s="127"/>
      <c r="Q1186" s="126"/>
      <c r="R1186" s="128"/>
      <c r="S1186" s="128"/>
      <c r="T1186" s="128"/>
      <c r="U1186" s="128"/>
      <c r="V1186" s="129"/>
      <c r="W1186" s="129"/>
      <c r="X1186" s="129"/>
      <c r="Y1186" s="129"/>
      <c r="Z1186" s="145" t="b">
        <v>0</v>
      </c>
      <c r="AA1186" s="145"/>
      <c r="AB1186" s="129"/>
      <c r="AC1186" s="129"/>
      <c r="AD1186" s="129"/>
      <c r="AE1186" s="129"/>
      <c r="AF1186" s="132"/>
      <c r="AG1186" s="128" t="b">
        <v>0</v>
      </c>
      <c r="AH1186" s="128"/>
      <c r="AI1186" s="128"/>
      <c r="AJ1186" s="128"/>
      <c r="AK1186" s="128"/>
      <c r="AL1186" s="129"/>
      <c r="AM1186" s="129"/>
      <c r="AN1186" s="139"/>
    </row>
    <row r="1187">
      <c r="A1187" s="129"/>
      <c r="B1187" s="119"/>
      <c r="C1187" s="128"/>
      <c r="D1187" s="142"/>
      <c r="E1187" s="122"/>
      <c r="F1187" s="136"/>
      <c r="G1187" s="152"/>
      <c r="H1187" s="155"/>
      <c r="I1187" s="155"/>
      <c r="J1187" s="155"/>
      <c r="K1187" s="155"/>
      <c r="L1187" s="155"/>
      <c r="M1187" s="126"/>
      <c r="N1187" s="127"/>
      <c r="O1187" s="127"/>
      <c r="P1187" s="127"/>
      <c r="Q1187" s="126"/>
      <c r="R1187" s="128"/>
      <c r="S1187" s="128"/>
      <c r="T1187" s="128"/>
      <c r="U1187" s="128"/>
      <c r="V1187" s="129"/>
      <c r="W1187" s="129"/>
      <c r="X1187" s="129"/>
      <c r="Y1187" s="129"/>
      <c r="Z1187" s="145" t="b">
        <v>0</v>
      </c>
      <c r="AA1187" s="145"/>
      <c r="AB1187" s="129"/>
      <c r="AC1187" s="129"/>
      <c r="AD1187" s="129"/>
      <c r="AE1187" s="129"/>
      <c r="AF1187" s="132"/>
      <c r="AG1187" s="128" t="b">
        <v>0</v>
      </c>
      <c r="AH1187" s="128"/>
      <c r="AI1187" s="128"/>
      <c r="AJ1187" s="128"/>
      <c r="AK1187" s="128"/>
      <c r="AL1187" s="129"/>
      <c r="AM1187" s="129"/>
      <c r="AN1187" s="139"/>
    </row>
    <row r="1188">
      <c r="A1188" s="129"/>
      <c r="B1188" s="119"/>
      <c r="C1188" s="128"/>
      <c r="D1188" s="142"/>
      <c r="E1188" s="122"/>
      <c r="F1188" s="136"/>
      <c r="G1188" s="152"/>
      <c r="H1188" s="155"/>
      <c r="I1188" s="155"/>
      <c r="J1188" s="155"/>
      <c r="K1188" s="155"/>
      <c r="L1188" s="155"/>
      <c r="M1188" s="126"/>
      <c r="N1188" s="127"/>
      <c r="O1188" s="127"/>
      <c r="P1188" s="127"/>
      <c r="Q1188" s="126"/>
      <c r="R1188" s="128"/>
      <c r="S1188" s="128"/>
      <c r="T1188" s="128"/>
      <c r="U1188" s="128"/>
      <c r="V1188" s="129"/>
      <c r="W1188" s="129"/>
      <c r="X1188" s="129"/>
      <c r="Y1188" s="129"/>
      <c r="Z1188" s="145" t="b">
        <v>0</v>
      </c>
      <c r="AA1188" s="145"/>
      <c r="AB1188" s="129"/>
      <c r="AC1188" s="129"/>
      <c r="AD1188" s="129"/>
      <c r="AE1188" s="129"/>
      <c r="AF1188" s="132"/>
      <c r="AG1188" s="128" t="b">
        <v>0</v>
      </c>
      <c r="AH1188" s="128"/>
      <c r="AI1188" s="128"/>
      <c r="AJ1188" s="128"/>
      <c r="AK1188" s="128"/>
      <c r="AL1188" s="129"/>
      <c r="AM1188" s="129"/>
      <c r="AN1188" s="139"/>
    </row>
    <row r="1189">
      <c r="A1189" s="129"/>
      <c r="B1189" s="119"/>
      <c r="C1189" s="128"/>
      <c r="D1189" s="142"/>
      <c r="E1189" s="122"/>
      <c r="F1189" s="136"/>
      <c r="G1189" s="152"/>
      <c r="H1189" s="155"/>
      <c r="I1189" s="155"/>
      <c r="J1189" s="155"/>
      <c r="K1189" s="155"/>
      <c r="L1189" s="155"/>
      <c r="M1189" s="126"/>
      <c r="N1189" s="127"/>
      <c r="O1189" s="127"/>
      <c r="P1189" s="127"/>
      <c r="Q1189" s="126"/>
      <c r="R1189" s="128"/>
      <c r="S1189" s="128"/>
      <c r="T1189" s="128"/>
      <c r="U1189" s="128"/>
      <c r="V1189" s="129"/>
      <c r="W1189" s="129"/>
      <c r="X1189" s="129"/>
      <c r="Y1189" s="129"/>
      <c r="Z1189" s="145" t="b">
        <v>0</v>
      </c>
      <c r="AA1189" s="145"/>
      <c r="AB1189" s="129"/>
      <c r="AC1189" s="129"/>
      <c r="AD1189" s="129"/>
      <c r="AE1189" s="129"/>
      <c r="AF1189" s="132"/>
      <c r="AG1189" s="128" t="b">
        <v>0</v>
      </c>
      <c r="AH1189" s="128"/>
      <c r="AI1189" s="128"/>
      <c r="AJ1189" s="128"/>
      <c r="AK1189" s="128"/>
      <c r="AL1189" s="129"/>
      <c r="AM1189" s="129"/>
      <c r="AN1189" s="139"/>
    </row>
    <row r="1190">
      <c r="A1190" s="129"/>
      <c r="B1190" s="119"/>
      <c r="C1190" s="128"/>
      <c r="D1190" s="142"/>
      <c r="E1190" s="122"/>
      <c r="F1190" s="136"/>
      <c r="G1190" s="152"/>
      <c r="H1190" s="155"/>
      <c r="I1190" s="155"/>
      <c r="J1190" s="155"/>
      <c r="K1190" s="155"/>
      <c r="L1190" s="155"/>
      <c r="M1190" s="126"/>
      <c r="N1190" s="127"/>
      <c r="O1190" s="127"/>
      <c r="P1190" s="127"/>
      <c r="Q1190" s="126"/>
      <c r="R1190" s="128"/>
      <c r="S1190" s="128"/>
      <c r="T1190" s="128"/>
      <c r="U1190" s="128"/>
      <c r="V1190" s="129"/>
      <c r="W1190" s="129"/>
      <c r="X1190" s="129"/>
      <c r="Y1190" s="129"/>
      <c r="Z1190" s="145" t="b">
        <v>0</v>
      </c>
      <c r="AA1190" s="145"/>
      <c r="AB1190" s="129"/>
      <c r="AC1190" s="129"/>
      <c r="AD1190" s="129"/>
      <c r="AE1190" s="129"/>
      <c r="AF1190" s="132"/>
      <c r="AG1190" s="128" t="b">
        <v>0</v>
      </c>
      <c r="AH1190" s="128"/>
      <c r="AI1190" s="128"/>
      <c r="AJ1190" s="128"/>
      <c r="AK1190" s="128"/>
      <c r="AL1190" s="129"/>
      <c r="AM1190" s="129"/>
      <c r="AN1190" s="139"/>
    </row>
    <row r="1191">
      <c r="A1191" s="129"/>
      <c r="B1191" s="119"/>
      <c r="C1191" s="128"/>
      <c r="D1191" s="142"/>
      <c r="E1191" s="122"/>
      <c r="F1191" s="136"/>
      <c r="G1191" s="152"/>
      <c r="H1191" s="155"/>
      <c r="I1191" s="155"/>
      <c r="J1191" s="155"/>
      <c r="K1191" s="155"/>
      <c r="L1191" s="155"/>
      <c r="M1191" s="126"/>
      <c r="N1191" s="127"/>
      <c r="O1191" s="127"/>
      <c r="P1191" s="127"/>
      <c r="Q1191" s="126"/>
      <c r="R1191" s="128"/>
      <c r="S1191" s="128"/>
      <c r="T1191" s="128"/>
      <c r="U1191" s="128"/>
      <c r="V1191" s="129"/>
      <c r="W1191" s="129"/>
      <c r="X1191" s="129"/>
      <c r="Y1191" s="129"/>
      <c r="Z1191" s="145" t="b">
        <v>0</v>
      </c>
      <c r="AA1191" s="145"/>
      <c r="AB1191" s="129"/>
      <c r="AC1191" s="129"/>
      <c r="AD1191" s="129"/>
      <c r="AE1191" s="129"/>
      <c r="AF1191" s="132"/>
      <c r="AG1191" s="128" t="b">
        <v>0</v>
      </c>
      <c r="AH1191" s="128"/>
      <c r="AI1191" s="128"/>
      <c r="AJ1191" s="128"/>
      <c r="AK1191" s="128"/>
      <c r="AL1191" s="129"/>
      <c r="AM1191" s="129"/>
      <c r="AN1191" s="139"/>
    </row>
    <row r="1192">
      <c r="A1192" s="129"/>
      <c r="B1192" s="119"/>
      <c r="C1192" s="128"/>
      <c r="D1192" s="142"/>
      <c r="E1192" s="122"/>
      <c r="F1192" s="136"/>
      <c r="G1192" s="152"/>
      <c r="H1192" s="155"/>
      <c r="I1192" s="155"/>
      <c r="J1192" s="155"/>
      <c r="K1192" s="155"/>
      <c r="L1192" s="155"/>
      <c r="M1192" s="126"/>
      <c r="N1192" s="127"/>
      <c r="O1192" s="127"/>
      <c r="P1192" s="127"/>
      <c r="Q1192" s="126"/>
      <c r="R1192" s="128"/>
      <c r="S1192" s="128"/>
      <c r="T1192" s="128"/>
      <c r="U1192" s="128"/>
      <c r="V1192" s="129"/>
      <c r="W1192" s="129"/>
      <c r="X1192" s="129"/>
      <c r="Y1192" s="129"/>
      <c r="Z1192" s="145" t="b">
        <v>0</v>
      </c>
      <c r="AA1192" s="145"/>
      <c r="AB1192" s="129"/>
      <c r="AC1192" s="129"/>
      <c r="AD1192" s="129"/>
      <c r="AE1192" s="129"/>
      <c r="AF1192" s="132"/>
      <c r="AG1192" s="128" t="b">
        <v>0</v>
      </c>
      <c r="AH1192" s="128"/>
      <c r="AI1192" s="128"/>
      <c r="AJ1192" s="128"/>
      <c r="AK1192" s="128"/>
      <c r="AL1192" s="129"/>
      <c r="AM1192" s="129"/>
      <c r="AN1192" s="139"/>
    </row>
    <row r="1193">
      <c r="A1193" s="129"/>
      <c r="B1193" s="119"/>
      <c r="C1193" s="128"/>
      <c r="D1193" s="142"/>
      <c r="E1193" s="122"/>
      <c r="F1193" s="136"/>
      <c r="G1193" s="152"/>
      <c r="H1193" s="155"/>
      <c r="I1193" s="155"/>
      <c r="J1193" s="155"/>
      <c r="K1193" s="155"/>
      <c r="L1193" s="155"/>
      <c r="M1193" s="126"/>
      <c r="N1193" s="127"/>
      <c r="O1193" s="127"/>
      <c r="P1193" s="127"/>
      <c r="Q1193" s="126"/>
      <c r="R1193" s="128"/>
      <c r="S1193" s="128"/>
      <c r="T1193" s="128"/>
      <c r="U1193" s="128"/>
      <c r="V1193" s="129"/>
      <c r="W1193" s="129"/>
      <c r="X1193" s="129"/>
      <c r="Y1193" s="129"/>
      <c r="Z1193" s="145" t="b">
        <v>0</v>
      </c>
      <c r="AA1193" s="145"/>
      <c r="AB1193" s="129"/>
      <c r="AC1193" s="129"/>
      <c r="AD1193" s="129"/>
      <c r="AE1193" s="129"/>
      <c r="AF1193" s="132"/>
      <c r="AG1193" s="128" t="b">
        <v>0</v>
      </c>
      <c r="AH1193" s="128"/>
      <c r="AI1193" s="128"/>
      <c r="AJ1193" s="128"/>
      <c r="AK1193" s="128"/>
      <c r="AL1193" s="129"/>
      <c r="AM1193" s="129"/>
      <c r="AN1193" s="139"/>
    </row>
    <row r="1194">
      <c r="A1194" s="129"/>
      <c r="B1194" s="119"/>
      <c r="C1194" s="128"/>
      <c r="D1194" s="142"/>
      <c r="E1194" s="122"/>
      <c r="F1194" s="136"/>
      <c r="G1194" s="152"/>
      <c r="H1194" s="155"/>
      <c r="I1194" s="155"/>
      <c r="J1194" s="155"/>
      <c r="K1194" s="155"/>
      <c r="L1194" s="155"/>
      <c r="M1194" s="126"/>
      <c r="N1194" s="127"/>
      <c r="O1194" s="127"/>
      <c r="P1194" s="127"/>
      <c r="Q1194" s="126"/>
      <c r="R1194" s="128"/>
      <c r="S1194" s="128"/>
      <c r="T1194" s="128"/>
      <c r="U1194" s="128"/>
      <c r="V1194" s="129"/>
      <c r="W1194" s="129"/>
      <c r="X1194" s="129"/>
      <c r="Y1194" s="129"/>
      <c r="Z1194" s="145" t="b">
        <v>0</v>
      </c>
      <c r="AA1194" s="145"/>
      <c r="AB1194" s="129"/>
      <c r="AC1194" s="129"/>
      <c r="AD1194" s="129"/>
      <c r="AE1194" s="129"/>
      <c r="AF1194" s="132"/>
      <c r="AG1194" s="128" t="b">
        <v>0</v>
      </c>
      <c r="AH1194" s="128"/>
      <c r="AI1194" s="128"/>
      <c r="AJ1194" s="128"/>
      <c r="AK1194" s="128"/>
      <c r="AL1194" s="129"/>
      <c r="AM1194" s="129"/>
      <c r="AN1194" s="139"/>
    </row>
    <row r="1195">
      <c r="A1195" s="129"/>
      <c r="B1195" s="119"/>
      <c r="C1195" s="128"/>
      <c r="D1195" s="142"/>
      <c r="E1195" s="122"/>
      <c r="F1195" s="136"/>
      <c r="G1195" s="152"/>
      <c r="H1195" s="155"/>
      <c r="I1195" s="155"/>
      <c r="J1195" s="155"/>
      <c r="K1195" s="155"/>
      <c r="L1195" s="155"/>
      <c r="M1195" s="126"/>
      <c r="N1195" s="127"/>
      <c r="O1195" s="127"/>
      <c r="P1195" s="127"/>
      <c r="Q1195" s="126"/>
      <c r="R1195" s="128"/>
      <c r="S1195" s="128"/>
      <c r="T1195" s="128"/>
      <c r="U1195" s="128"/>
      <c r="V1195" s="129"/>
      <c r="W1195" s="129"/>
      <c r="X1195" s="129"/>
      <c r="Y1195" s="129"/>
      <c r="Z1195" s="145" t="b">
        <v>0</v>
      </c>
      <c r="AA1195" s="145"/>
      <c r="AB1195" s="129"/>
      <c r="AC1195" s="129"/>
      <c r="AD1195" s="129"/>
      <c r="AE1195" s="129"/>
      <c r="AF1195" s="132"/>
      <c r="AG1195" s="128" t="b">
        <v>0</v>
      </c>
      <c r="AH1195" s="128"/>
      <c r="AI1195" s="128"/>
      <c r="AJ1195" s="128"/>
      <c r="AK1195" s="128"/>
      <c r="AL1195" s="129"/>
      <c r="AM1195" s="129"/>
      <c r="AN1195" s="139"/>
    </row>
    <row r="1196">
      <c r="A1196" s="129"/>
      <c r="B1196" s="119"/>
      <c r="C1196" s="128"/>
      <c r="D1196" s="142"/>
      <c r="E1196" s="122"/>
      <c r="F1196" s="136"/>
      <c r="G1196" s="152"/>
      <c r="H1196" s="155"/>
      <c r="I1196" s="155"/>
      <c r="J1196" s="155"/>
      <c r="K1196" s="155"/>
      <c r="L1196" s="155"/>
      <c r="M1196" s="126"/>
      <c r="N1196" s="127"/>
      <c r="O1196" s="127"/>
      <c r="P1196" s="127"/>
      <c r="Q1196" s="126"/>
      <c r="R1196" s="128"/>
      <c r="S1196" s="128"/>
      <c r="T1196" s="128"/>
      <c r="U1196" s="128"/>
      <c r="V1196" s="129"/>
      <c r="W1196" s="129"/>
      <c r="X1196" s="129"/>
      <c r="Y1196" s="129"/>
      <c r="Z1196" s="145" t="b">
        <v>0</v>
      </c>
      <c r="AA1196" s="145"/>
      <c r="AB1196" s="129"/>
      <c r="AC1196" s="129"/>
      <c r="AD1196" s="129"/>
      <c r="AE1196" s="129"/>
      <c r="AF1196" s="132"/>
      <c r="AG1196" s="128" t="b">
        <v>0</v>
      </c>
      <c r="AH1196" s="128"/>
      <c r="AI1196" s="128"/>
      <c r="AJ1196" s="128"/>
      <c r="AK1196" s="128"/>
      <c r="AL1196" s="129"/>
      <c r="AM1196" s="129"/>
      <c r="AN1196" s="139"/>
    </row>
    <row r="1197">
      <c r="A1197" s="129"/>
      <c r="B1197" s="119"/>
      <c r="C1197" s="128"/>
      <c r="D1197" s="142"/>
      <c r="E1197" s="122"/>
      <c r="F1197" s="136"/>
      <c r="G1197" s="152"/>
      <c r="H1197" s="155"/>
      <c r="I1197" s="155"/>
      <c r="J1197" s="155"/>
      <c r="K1197" s="155"/>
      <c r="L1197" s="155"/>
      <c r="M1197" s="126"/>
      <c r="N1197" s="127"/>
      <c r="O1197" s="127"/>
      <c r="P1197" s="127"/>
      <c r="Q1197" s="126"/>
      <c r="R1197" s="128"/>
      <c r="S1197" s="128"/>
      <c r="T1197" s="128"/>
      <c r="U1197" s="128"/>
      <c r="V1197" s="129"/>
      <c r="W1197" s="129"/>
      <c r="X1197" s="129"/>
      <c r="Y1197" s="129"/>
      <c r="Z1197" s="145" t="b">
        <v>0</v>
      </c>
      <c r="AA1197" s="145"/>
      <c r="AB1197" s="129"/>
      <c r="AC1197" s="129"/>
      <c r="AD1197" s="129"/>
      <c r="AE1197" s="129"/>
      <c r="AF1197" s="132"/>
      <c r="AG1197" s="128" t="b">
        <v>0</v>
      </c>
      <c r="AH1197" s="128"/>
      <c r="AI1197" s="128"/>
      <c r="AJ1197" s="128"/>
      <c r="AK1197" s="128"/>
      <c r="AL1197" s="129"/>
      <c r="AM1197" s="129"/>
      <c r="AN1197" s="139"/>
    </row>
    <row r="1198">
      <c r="A1198" s="129"/>
      <c r="B1198" s="119"/>
      <c r="C1198" s="128"/>
      <c r="D1198" s="142"/>
      <c r="E1198" s="122"/>
      <c r="F1198" s="136"/>
      <c r="G1198" s="152"/>
      <c r="H1198" s="155"/>
      <c r="I1198" s="155"/>
      <c r="J1198" s="155"/>
      <c r="K1198" s="155"/>
      <c r="L1198" s="155"/>
      <c r="M1198" s="126"/>
      <c r="N1198" s="127"/>
      <c r="O1198" s="127"/>
      <c r="P1198" s="127"/>
      <c r="Q1198" s="126"/>
      <c r="R1198" s="128"/>
      <c r="S1198" s="128"/>
      <c r="T1198" s="128"/>
      <c r="U1198" s="128"/>
      <c r="V1198" s="129"/>
      <c r="W1198" s="129"/>
      <c r="X1198" s="129"/>
      <c r="Y1198" s="129"/>
      <c r="Z1198" s="145" t="b">
        <v>0</v>
      </c>
      <c r="AA1198" s="145"/>
      <c r="AB1198" s="129"/>
      <c r="AC1198" s="129"/>
      <c r="AD1198" s="129"/>
      <c r="AE1198" s="129"/>
      <c r="AF1198" s="132"/>
      <c r="AG1198" s="128" t="b">
        <v>0</v>
      </c>
      <c r="AH1198" s="128"/>
      <c r="AI1198" s="128"/>
      <c r="AJ1198" s="128"/>
      <c r="AK1198" s="128"/>
      <c r="AL1198" s="129"/>
      <c r="AM1198" s="129"/>
      <c r="AN1198" s="139"/>
    </row>
    <row r="1199">
      <c r="A1199" s="129"/>
      <c r="B1199" s="119"/>
      <c r="C1199" s="128"/>
      <c r="D1199" s="142"/>
      <c r="E1199" s="122"/>
      <c r="F1199" s="136"/>
      <c r="G1199" s="152"/>
      <c r="H1199" s="155"/>
      <c r="I1199" s="155"/>
      <c r="J1199" s="155"/>
      <c r="K1199" s="155"/>
      <c r="L1199" s="155"/>
      <c r="M1199" s="126"/>
      <c r="N1199" s="127"/>
      <c r="O1199" s="127"/>
      <c r="P1199" s="127"/>
      <c r="Q1199" s="126"/>
      <c r="R1199" s="128"/>
      <c r="S1199" s="128"/>
      <c r="T1199" s="128"/>
      <c r="U1199" s="128"/>
      <c r="V1199" s="129"/>
      <c r="W1199" s="129"/>
      <c r="X1199" s="129"/>
      <c r="Y1199" s="129"/>
      <c r="Z1199" s="145" t="b">
        <v>0</v>
      </c>
      <c r="AA1199" s="145"/>
      <c r="AB1199" s="129"/>
      <c r="AC1199" s="129"/>
      <c r="AD1199" s="129"/>
      <c r="AE1199" s="129"/>
      <c r="AF1199" s="132"/>
      <c r="AG1199" s="128" t="b">
        <v>0</v>
      </c>
      <c r="AH1199" s="128"/>
      <c r="AI1199" s="128"/>
      <c r="AJ1199" s="128"/>
      <c r="AK1199" s="128"/>
      <c r="AL1199" s="129"/>
      <c r="AM1199" s="129"/>
      <c r="AN1199" s="139"/>
    </row>
    <row r="1200">
      <c r="A1200" s="129"/>
      <c r="B1200" s="119"/>
      <c r="C1200" s="128"/>
      <c r="D1200" s="142"/>
      <c r="E1200" s="122"/>
      <c r="F1200" s="136"/>
      <c r="G1200" s="152"/>
      <c r="H1200" s="155"/>
      <c r="I1200" s="155"/>
      <c r="J1200" s="155"/>
      <c r="K1200" s="155"/>
      <c r="L1200" s="155"/>
      <c r="M1200" s="126"/>
      <c r="N1200" s="127"/>
      <c r="O1200" s="127"/>
      <c r="P1200" s="127"/>
      <c r="Q1200" s="126"/>
      <c r="R1200" s="128"/>
      <c r="S1200" s="128"/>
      <c r="T1200" s="128"/>
      <c r="U1200" s="128"/>
      <c r="V1200" s="129"/>
      <c r="W1200" s="129"/>
      <c r="X1200" s="129"/>
      <c r="Y1200" s="129"/>
      <c r="Z1200" s="145" t="b">
        <v>0</v>
      </c>
      <c r="AA1200" s="145"/>
      <c r="AB1200" s="129"/>
      <c r="AC1200" s="129"/>
      <c r="AD1200" s="129"/>
      <c r="AE1200" s="129"/>
      <c r="AF1200" s="132"/>
      <c r="AG1200" s="128" t="b">
        <v>0</v>
      </c>
      <c r="AH1200" s="128"/>
      <c r="AI1200" s="128"/>
      <c r="AJ1200" s="128"/>
      <c r="AK1200" s="128"/>
      <c r="AL1200" s="129"/>
      <c r="AM1200" s="129"/>
      <c r="AN1200" s="139"/>
    </row>
    <row r="1201">
      <c r="A1201" s="129"/>
      <c r="B1201" s="119"/>
      <c r="C1201" s="128"/>
      <c r="D1201" s="142"/>
      <c r="E1201" s="122"/>
      <c r="F1201" s="136"/>
      <c r="G1201" s="152"/>
      <c r="H1201" s="155"/>
      <c r="I1201" s="155"/>
      <c r="J1201" s="155"/>
      <c r="K1201" s="155"/>
      <c r="L1201" s="155"/>
      <c r="M1201" s="126"/>
      <c r="N1201" s="127"/>
      <c r="O1201" s="127"/>
      <c r="P1201" s="127"/>
      <c r="Q1201" s="126"/>
      <c r="R1201" s="128"/>
      <c r="S1201" s="128"/>
      <c r="T1201" s="128"/>
      <c r="U1201" s="128"/>
      <c r="V1201" s="129"/>
      <c r="W1201" s="129"/>
      <c r="X1201" s="129"/>
      <c r="Y1201" s="129"/>
      <c r="Z1201" s="145" t="b">
        <v>0</v>
      </c>
      <c r="AA1201" s="145"/>
      <c r="AB1201" s="129"/>
      <c r="AC1201" s="129"/>
      <c r="AD1201" s="129"/>
      <c r="AE1201" s="129"/>
      <c r="AF1201" s="132"/>
      <c r="AG1201" s="128" t="b">
        <v>0</v>
      </c>
      <c r="AH1201" s="128"/>
      <c r="AI1201" s="128"/>
      <c r="AJ1201" s="128"/>
      <c r="AK1201" s="128"/>
      <c r="AL1201" s="129"/>
      <c r="AM1201" s="129"/>
      <c r="AN1201" s="139"/>
    </row>
    <row r="1202">
      <c r="A1202" s="129"/>
      <c r="B1202" s="119"/>
      <c r="C1202" s="128"/>
      <c r="D1202" s="142"/>
      <c r="E1202" s="122"/>
      <c r="F1202" s="136"/>
      <c r="G1202" s="152"/>
      <c r="H1202" s="155"/>
      <c r="I1202" s="155"/>
      <c r="J1202" s="155"/>
      <c r="K1202" s="155"/>
      <c r="L1202" s="155"/>
      <c r="M1202" s="126"/>
      <c r="N1202" s="127"/>
      <c r="O1202" s="127"/>
      <c r="P1202" s="127"/>
      <c r="Q1202" s="126"/>
      <c r="R1202" s="128"/>
      <c r="S1202" s="128"/>
      <c r="T1202" s="128"/>
      <c r="U1202" s="128"/>
      <c r="V1202" s="129"/>
      <c r="W1202" s="129"/>
      <c r="X1202" s="129"/>
      <c r="Y1202" s="129"/>
      <c r="Z1202" s="145" t="b">
        <v>0</v>
      </c>
      <c r="AA1202" s="145"/>
      <c r="AB1202" s="129"/>
      <c r="AC1202" s="129"/>
      <c r="AD1202" s="129"/>
      <c r="AE1202" s="129"/>
      <c r="AF1202" s="132"/>
      <c r="AG1202" s="128" t="b">
        <v>0</v>
      </c>
      <c r="AH1202" s="128"/>
      <c r="AI1202" s="128"/>
      <c r="AJ1202" s="128"/>
      <c r="AK1202" s="128"/>
      <c r="AL1202" s="129"/>
      <c r="AM1202" s="129"/>
      <c r="AN1202" s="139"/>
    </row>
    <row r="1203">
      <c r="A1203" s="129"/>
      <c r="B1203" s="119"/>
      <c r="C1203" s="128"/>
      <c r="D1203" s="142"/>
      <c r="E1203" s="122"/>
      <c r="F1203" s="136"/>
      <c r="G1203" s="152"/>
      <c r="H1203" s="155"/>
      <c r="I1203" s="155"/>
      <c r="J1203" s="155"/>
      <c r="K1203" s="155"/>
      <c r="L1203" s="155"/>
      <c r="M1203" s="126"/>
      <c r="N1203" s="127"/>
      <c r="O1203" s="127"/>
      <c r="P1203" s="127"/>
      <c r="Q1203" s="126"/>
      <c r="R1203" s="128"/>
      <c r="S1203" s="128"/>
      <c r="T1203" s="128"/>
      <c r="U1203" s="128"/>
      <c r="V1203" s="129"/>
      <c r="W1203" s="129"/>
      <c r="X1203" s="129"/>
      <c r="Y1203" s="129"/>
      <c r="Z1203" s="145" t="b">
        <v>0</v>
      </c>
      <c r="AA1203" s="145"/>
      <c r="AB1203" s="129"/>
      <c r="AC1203" s="129"/>
      <c r="AD1203" s="129"/>
      <c r="AE1203" s="129"/>
      <c r="AF1203" s="132"/>
      <c r="AG1203" s="128" t="b">
        <v>0</v>
      </c>
      <c r="AH1203" s="128"/>
      <c r="AI1203" s="128"/>
      <c r="AJ1203" s="128"/>
      <c r="AK1203" s="128"/>
      <c r="AL1203" s="129"/>
      <c r="AM1203" s="129"/>
      <c r="AN1203" s="139"/>
    </row>
    <row r="1204">
      <c r="A1204" s="129"/>
      <c r="B1204" s="119"/>
      <c r="C1204" s="128"/>
      <c r="D1204" s="142"/>
      <c r="E1204" s="122"/>
      <c r="F1204" s="136"/>
      <c r="G1204" s="152"/>
      <c r="H1204" s="155"/>
      <c r="I1204" s="155"/>
      <c r="J1204" s="155"/>
      <c r="K1204" s="155"/>
      <c r="L1204" s="155"/>
      <c r="M1204" s="126"/>
      <c r="N1204" s="127"/>
      <c r="O1204" s="127"/>
      <c r="P1204" s="127"/>
      <c r="Q1204" s="126"/>
      <c r="R1204" s="128"/>
      <c r="S1204" s="128"/>
      <c r="T1204" s="128"/>
      <c r="U1204" s="128"/>
      <c r="V1204" s="129"/>
      <c r="W1204" s="129"/>
      <c r="X1204" s="129"/>
      <c r="Y1204" s="129"/>
      <c r="Z1204" s="145" t="b">
        <v>0</v>
      </c>
      <c r="AA1204" s="145"/>
      <c r="AB1204" s="129"/>
      <c r="AC1204" s="129"/>
      <c r="AD1204" s="129"/>
      <c r="AE1204" s="129"/>
      <c r="AF1204" s="132"/>
      <c r="AG1204" s="128" t="b">
        <v>0</v>
      </c>
      <c r="AH1204" s="128"/>
      <c r="AI1204" s="128"/>
      <c r="AJ1204" s="128"/>
      <c r="AK1204" s="128"/>
      <c r="AL1204" s="129"/>
      <c r="AM1204" s="129"/>
      <c r="AN1204" s="139"/>
    </row>
    <row r="1205">
      <c r="A1205" s="129"/>
      <c r="B1205" s="119"/>
      <c r="C1205" s="128"/>
      <c r="D1205" s="142"/>
      <c r="E1205" s="122"/>
      <c r="F1205" s="136"/>
      <c r="G1205" s="152"/>
      <c r="H1205" s="155"/>
      <c r="I1205" s="155"/>
      <c r="J1205" s="155"/>
      <c r="K1205" s="155"/>
      <c r="L1205" s="155"/>
      <c r="M1205" s="126"/>
      <c r="N1205" s="127"/>
      <c r="O1205" s="127"/>
      <c r="P1205" s="127"/>
      <c r="Q1205" s="126"/>
      <c r="R1205" s="128"/>
      <c r="S1205" s="128"/>
      <c r="T1205" s="128"/>
      <c r="U1205" s="128"/>
      <c r="V1205" s="129"/>
      <c r="W1205" s="129"/>
      <c r="X1205" s="129"/>
      <c r="Y1205" s="129"/>
      <c r="Z1205" s="145" t="b">
        <v>0</v>
      </c>
      <c r="AA1205" s="145"/>
      <c r="AB1205" s="129"/>
      <c r="AC1205" s="129"/>
      <c r="AD1205" s="129"/>
      <c r="AE1205" s="129"/>
      <c r="AF1205" s="132"/>
      <c r="AG1205" s="128" t="b">
        <v>0</v>
      </c>
      <c r="AH1205" s="128"/>
      <c r="AI1205" s="128"/>
      <c r="AJ1205" s="128"/>
      <c r="AK1205" s="128"/>
      <c r="AL1205" s="129"/>
      <c r="AM1205" s="129"/>
      <c r="AN1205" s="139"/>
    </row>
    <row r="1206">
      <c r="A1206" s="129"/>
      <c r="B1206" s="119"/>
      <c r="C1206" s="128"/>
      <c r="D1206" s="142"/>
      <c r="E1206" s="122"/>
      <c r="F1206" s="136"/>
      <c r="G1206" s="152"/>
      <c r="H1206" s="155"/>
      <c r="I1206" s="155"/>
      <c r="J1206" s="155"/>
      <c r="K1206" s="155"/>
      <c r="L1206" s="155"/>
      <c r="M1206" s="126"/>
      <c r="N1206" s="127"/>
      <c r="O1206" s="127"/>
      <c r="P1206" s="127"/>
      <c r="Q1206" s="126"/>
      <c r="R1206" s="128"/>
      <c r="S1206" s="128"/>
      <c r="T1206" s="128"/>
      <c r="U1206" s="128"/>
      <c r="V1206" s="129"/>
      <c r="W1206" s="129"/>
      <c r="X1206" s="129"/>
      <c r="Y1206" s="129"/>
      <c r="Z1206" s="145" t="b">
        <v>0</v>
      </c>
      <c r="AA1206" s="145"/>
      <c r="AB1206" s="129"/>
      <c r="AC1206" s="129"/>
      <c r="AD1206" s="129"/>
      <c r="AE1206" s="129"/>
      <c r="AF1206" s="132"/>
      <c r="AG1206" s="128" t="b">
        <v>0</v>
      </c>
      <c r="AH1206" s="128"/>
      <c r="AI1206" s="128"/>
      <c r="AJ1206" s="128"/>
      <c r="AK1206" s="128"/>
      <c r="AL1206" s="129"/>
      <c r="AM1206" s="129"/>
      <c r="AN1206" s="139"/>
    </row>
    <row r="1207">
      <c r="A1207" s="129"/>
      <c r="B1207" s="119"/>
      <c r="C1207" s="128"/>
      <c r="D1207" s="142"/>
      <c r="E1207" s="122"/>
      <c r="F1207" s="136"/>
      <c r="G1207" s="152"/>
      <c r="H1207" s="155"/>
      <c r="I1207" s="155"/>
      <c r="J1207" s="155"/>
      <c r="K1207" s="155"/>
      <c r="L1207" s="155"/>
      <c r="M1207" s="126"/>
      <c r="N1207" s="127"/>
      <c r="O1207" s="127"/>
      <c r="P1207" s="127"/>
      <c r="Q1207" s="126"/>
      <c r="R1207" s="128"/>
      <c r="S1207" s="128"/>
      <c r="T1207" s="128"/>
      <c r="U1207" s="128"/>
      <c r="V1207" s="129"/>
      <c r="W1207" s="129"/>
      <c r="X1207" s="129"/>
      <c r="Y1207" s="129"/>
      <c r="Z1207" s="145" t="b">
        <v>0</v>
      </c>
      <c r="AA1207" s="145"/>
      <c r="AB1207" s="129"/>
      <c r="AC1207" s="129"/>
      <c r="AD1207" s="129"/>
      <c r="AE1207" s="129"/>
      <c r="AF1207" s="132"/>
      <c r="AG1207" s="128" t="b">
        <v>0</v>
      </c>
      <c r="AH1207" s="128"/>
      <c r="AI1207" s="128"/>
      <c r="AJ1207" s="128"/>
      <c r="AK1207" s="128"/>
      <c r="AL1207" s="129"/>
      <c r="AM1207" s="129"/>
      <c r="AN1207" s="139"/>
    </row>
    <row r="1208">
      <c r="A1208" s="129"/>
      <c r="B1208" s="119"/>
      <c r="C1208" s="128"/>
      <c r="D1208" s="142"/>
      <c r="E1208" s="122"/>
      <c r="F1208" s="136"/>
      <c r="G1208" s="152"/>
      <c r="H1208" s="155"/>
      <c r="I1208" s="155"/>
      <c r="J1208" s="155"/>
      <c r="K1208" s="155"/>
      <c r="L1208" s="155"/>
      <c r="M1208" s="126"/>
      <c r="N1208" s="127"/>
      <c r="O1208" s="127"/>
      <c r="P1208" s="127"/>
      <c r="Q1208" s="126"/>
      <c r="R1208" s="128"/>
      <c r="S1208" s="128"/>
      <c r="T1208" s="128"/>
      <c r="U1208" s="128"/>
      <c r="V1208" s="129"/>
      <c r="W1208" s="129"/>
      <c r="X1208" s="129"/>
      <c r="Y1208" s="129"/>
      <c r="Z1208" s="145" t="b">
        <v>0</v>
      </c>
      <c r="AA1208" s="145"/>
      <c r="AB1208" s="129"/>
      <c r="AC1208" s="129"/>
      <c r="AD1208" s="129"/>
      <c r="AE1208" s="129"/>
      <c r="AF1208" s="132"/>
      <c r="AG1208" s="128" t="b">
        <v>0</v>
      </c>
      <c r="AH1208" s="128"/>
      <c r="AI1208" s="128"/>
      <c r="AJ1208" s="128"/>
      <c r="AK1208" s="128"/>
      <c r="AL1208" s="129"/>
      <c r="AM1208" s="129"/>
      <c r="AN1208" s="139"/>
    </row>
    <row r="1209">
      <c r="A1209" s="129"/>
      <c r="B1209" s="119"/>
      <c r="C1209" s="128"/>
      <c r="D1209" s="142"/>
      <c r="E1209" s="122"/>
      <c r="F1209" s="136"/>
      <c r="G1209" s="152"/>
      <c r="H1209" s="155"/>
      <c r="I1209" s="155"/>
      <c r="J1209" s="155"/>
      <c r="K1209" s="155"/>
      <c r="L1209" s="155"/>
      <c r="M1209" s="126"/>
      <c r="N1209" s="127"/>
      <c r="O1209" s="127"/>
      <c r="P1209" s="127"/>
      <c r="Q1209" s="126"/>
      <c r="R1209" s="128"/>
      <c r="S1209" s="128"/>
      <c r="T1209" s="128"/>
      <c r="U1209" s="128"/>
      <c r="V1209" s="129"/>
      <c r="W1209" s="129"/>
      <c r="X1209" s="129"/>
      <c r="Y1209" s="129"/>
      <c r="Z1209" s="145" t="b">
        <v>0</v>
      </c>
      <c r="AA1209" s="145"/>
      <c r="AB1209" s="129"/>
      <c r="AC1209" s="129"/>
      <c r="AD1209" s="129"/>
      <c r="AE1209" s="129"/>
      <c r="AF1209" s="132"/>
      <c r="AG1209" s="128" t="b">
        <v>0</v>
      </c>
      <c r="AH1209" s="128"/>
      <c r="AI1209" s="128"/>
      <c r="AJ1209" s="128"/>
      <c r="AK1209" s="128"/>
      <c r="AL1209" s="129"/>
      <c r="AM1209" s="129"/>
      <c r="AN1209" s="139"/>
    </row>
    <row r="1210">
      <c r="A1210" s="129"/>
      <c r="B1210" s="119"/>
      <c r="C1210" s="128"/>
      <c r="D1210" s="142"/>
      <c r="E1210" s="122"/>
      <c r="F1210" s="136"/>
      <c r="G1210" s="152"/>
      <c r="H1210" s="155"/>
      <c r="I1210" s="155"/>
      <c r="J1210" s="155"/>
      <c r="K1210" s="155"/>
      <c r="L1210" s="155"/>
      <c r="M1210" s="126"/>
      <c r="N1210" s="127"/>
      <c r="O1210" s="127"/>
      <c r="P1210" s="127"/>
      <c r="Q1210" s="126"/>
      <c r="R1210" s="128"/>
      <c r="S1210" s="128"/>
      <c r="T1210" s="128"/>
      <c r="U1210" s="128"/>
      <c r="V1210" s="129"/>
      <c r="W1210" s="129"/>
      <c r="X1210" s="129"/>
      <c r="Y1210" s="129"/>
      <c r="Z1210" s="145" t="b">
        <v>0</v>
      </c>
      <c r="AA1210" s="145"/>
      <c r="AB1210" s="129"/>
      <c r="AC1210" s="129"/>
      <c r="AD1210" s="129"/>
      <c r="AE1210" s="129"/>
      <c r="AF1210" s="132"/>
      <c r="AG1210" s="128" t="b">
        <v>0</v>
      </c>
      <c r="AH1210" s="128"/>
      <c r="AI1210" s="128"/>
      <c r="AJ1210" s="128"/>
      <c r="AK1210" s="128"/>
      <c r="AL1210" s="129"/>
      <c r="AM1210" s="129"/>
      <c r="AN1210" s="139"/>
    </row>
    <row r="1211">
      <c r="A1211" s="129"/>
      <c r="B1211" s="119"/>
      <c r="C1211" s="128"/>
      <c r="D1211" s="142"/>
      <c r="E1211" s="122"/>
      <c r="F1211" s="136"/>
      <c r="G1211" s="152"/>
      <c r="H1211" s="155"/>
      <c r="I1211" s="155"/>
      <c r="J1211" s="155"/>
      <c r="K1211" s="155"/>
      <c r="L1211" s="155"/>
      <c r="M1211" s="126"/>
      <c r="N1211" s="127"/>
      <c r="O1211" s="127"/>
      <c r="P1211" s="127"/>
      <c r="Q1211" s="126"/>
      <c r="R1211" s="128"/>
      <c r="S1211" s="128"/>
      <c r="T1211" s="128"/>
      <c r="U1211" s="128"/>
      <c r="V1211" s="129"/>
      <c r="W1211" s="129"/>
      <c r="X1211" s="129"/>
      <c r="Y1211" s="129"/>
      <c r="Z1211" s="145" t="b">
        <v>0</v>
      </c>
      <c r="AA1211" s="145"/>
      <c r="AB1211" s="129"/>
      <c r="AC1211" s="129"/>
      <c r="AD1211" s="129"/>
      <c r="AE1211" s="129"/>
      <c r="AF1211" s="132"/>
      <c r="AG1211" s="128" t="b">
        <v>0</v>
      </c>
      <c r="AH1211" s="128"/>
      <c r="AI1211" s="128"/>
      <c r="AJ1211" s="128"/>
      <c r="AK1211" s="128"/>
      <c r="AL1211" s="129"/>
      <c r="AM1211" s="129"/>
      <c r="AN1211" s="139"/>
    </row>
    <row r="1212">
      <c r="A1212" s="129"/>
      <c r="B1212" s="119"/>
      <c r="C1212" s="128"/>
      <c r="D1212" s="142"/>
      <c r="E1212" s="122"/>
      <c r="F1212" s="136"/>
      <c r="G1212" s="152"/>
      <c r="H1212" s="155"/>
      <c r="I1212" s="155"/>
      <c r="J1212" s="155"/>
      <c r="K1212" s="155"/>
      <c r="L1212" s="155"/>
      <c r="M1212" s="126"/>
      <c r="N1212" s="127"/>
      <c r="O1212" s="127"/>
      <c r="P1212" s="127"/>
      <c r="Q1212" s="126"/>
      <c r="R1212" s="128"/>
      <c r="S1212" s="128"/>
      <c r="T1212" s="128"/>
      <c r="U1212" s="128"/>
      <c r="V1212" s="129"/>
      <c r="W1212" s="129"/>
      <c r="X1212" s="129"/>
      <c r="Y1212" s="129"/>
      <c r="Z1212" s="145" t="b">
        <v>0</v>
      </c>
      <c r="AA1212" s="145"/>
      <c r="AB1212" s="129"/>
      <c r="AC1212" s="129"/>
      <c r="AD1212" s="129"/>
      <c r="AE1212" s="129"/>
      <c r="AF1212" s="132"/>
      <c r="AG1212" s="128" t="b">
        <v>0</v>
      </c>
      <c r="AH1212" s="128"/>
      <c r="AI1212" s="128"/>
      <c r="AJ1212" s="128"/>
      <c r="AK1212" s="128"/>
      <c r="AL1212" s="129"/>
      <c r="AM1212" s="129"/>
      <c r="AN1212" s="139"/>
    </row>
    <row r="1213">
      <c r="A1213" s="129"/>
      <c r="B1213" s="119"/>
      <c r="C1213" s="128"/>
      <c r="D1213" s="142"/>
      <c r="E1213" s="122"/>
      <c r="F1213" s="136"/>
      <c r="G1213" s="152"/>
      <c r="H1213" s="155"/>
      <c r="I1213" s="155"/>
      <c r="J1213" s="155"/>
      <c r="K1213" s="155"/>
      <c r="L1213" s="155"/>
      <c r="M1213" s="126"/>
      <c r="N1213" s="127"/>
      <c r="O1213" s="127"/>
      <c r="P1213" s="127"/>
      <c r="Q1213" s="126"/>
      <c r="R1213" s="128"/>
      <c r="S1213" s="128"/>
      <c r="T1213" s="128"/>
      <c r="U1213" s="128"/>
      <c r="V1213" s="129"/>
      <c r="W1213" s="129"/>
      <c r="X1213" s="129"/>
      <c r="Y1213" s="129"/>
      <c r="Z1213" s="145" t="b">
        <v>0</v>
      </c>
      <c r="AA1213" s="145"/>
      <c r="AB1213" s="129"/>
      <c r="AC1213" s="129"/>
      <c r="AD1213" s="129"/>
      <c r="AE1213" s="129"/>
      <c r="AF1213" s="132"/>
      <c r="AG1213" s="128" t="b">
        <v>0</v>
      </c>
      <c r="AH1213" s="128"/>
      <c r="AI1213" s="128"/>
      <c r="AJ1213" s="128"/>
      <c r="AK1213" s="128"/>
      <c r="AL1213" s="129"/>
      <c r="AM1213" s="129"/>
      <c r="AN1213" s="139"/>
    </row>
    <row r="1214">
      <c r="A1214" s="129"/>
      <c r="B1214" s="119"/>
      <c r="C1214" s="128"/>
      <c r="D1214" s="142"/>
      <c r="E1214" s="122"/>
      <c r="F1214" s="136"/>
      <c r="G1214" s="152"/>
      <c r="H1214" s="155"/>
      <c r="I1214" s="155"/>
      <c r="J1214" s="155"/>
      <c r="K1214" s="155"/>
      <c r="L1214" s="155"/>
      <c r="M1214" s="126"/>
      <c r="N1214" s="127"/>
      <c r="O1214" s="127"/>
      <c r="P1214" s="127"/>
      <c r="Q1214" s="126"/>
      <c r="R1214" s="128"/>
      <c r="S1214" s="128"/>
      <c r="T1214" s="128"/>
      <c r="U1214" s="128"/>
      <c r="V1214" s="129"/>
      <c r="W1214" s="129"/>
      <c r="X1214" s="129"/>
      <c r="Y1214" s="129"/>
      <c r="Z1214" s="145" t="b">
        <v>0</v>
      </c>
      <c r="AA1214" s="145"/>
      <c r="AB1214" s="129"/>
      <c r="AC1214" s="129"/>
      <c r="AD1214" s="129"/>
      <c r="AE1214" s="129"/>
      <c r="AF1214" s="132"/>
      <c r="AG1214" s="128" t="b">
        <v>0</v>
      </c>
      <c r="AH1214" s="128"/>
      <c r="AI1214" s="128"/>
      <c r="AJ1214" s="128"/>
      <c r="AK1214" s="128"/>
      <c r="AL1214" s="129"/>
      <c r="AM1214" s="129"/>
      <c r="AN1214" s="139"/>
    </row>
    <row r="1215">
      <c r="A1215" s="129"/>
      <c r="B1215" s="119"/>
      <c r="C1215" s="128"/>
      <c r="D1215" s="142"/>
      <c r="E1215" s="122"/>
      <c r="F1215" s="136"/>
      <c r="G1215" s="152"/>
      <c r="H1215" s="155"/>
      <c r="I1215" s="155"/>
      <c r="J1215" s="155"/>
      <c r="K1215" s="155"/>
      <c r="L1215" s="155"/>
      <c r="M1215" s="126"/>
      <c r="N1215" s="127"/>
      <c r="O1215" s="127"/>
      <c r="P1215" s="127"/>
      <c r="Q1215" s="126"/>
      <c r="R1215" s="128"/>
      <c r="S1215" s="128"/>
      <c r="T1215" s="128"/>
      <c r="U1215" s="128"/>
      <c r="V1215" s="129"/>
      <c r="W1215" s="129"/>
      <c r="X1215" s="129"/>
      <c r="Y1215" s="129"/>
      <c r="Z1215" s="145" t="b">
        <v>0</v>
      </c>
      <c r="AA1215" s="145"/>
      <c r="AB1215" s="129"/>
      <c r="AC1215" s="129"/>
      <c r="AD1215" s="129"/>
      <c r="AE1215" s="129"/>
      <c r="AF1215" s="132"/>
      <c r="AG1215" s="128" t="b">
        <v>0</v>
      </c>
      <c r="AH1215" s="128"/>
      <c r="AI1215" s="128"/>
      <c r="AJ1215" s="128"/>
      <c r="AK1215" s="128"/>
      <c r="AL1215" s="129"/>
      <c r="AM1215" s="129"/>
      <c r="AN1215" s="139"/>
    </row>
    <row r="1216">
      <c r="A1216" s="129"/>
      <c r="B1216" s="119"/>
      <c r="C1216" s="128"/>
      <c r="D1216" s="142"/>
      <c r="E1216" s="122"/>
      <c r="F1216" s="136"/>
      <c r="G1216" s="152"/>
      <c r="H1216" s="155"/>
      <c r="I1216" s="155"/>
      <c r="J1216" s="155"/>
      <c r="K1216" s="155"/>
      <c r="L1216" s="155"/>
      <c r="M1216" s="126"/>
      <c r="N1216" s="127"/>
      <c r="O1216" s="127"/>
      <c r="P1216" s="127"/>
      <c r="Q1216" s="126"/>
      <c r="R1216" s="128"/>
      <c r="S1216" s="128"/>
      <c r="T1216" s="128"/>
      <c r="U1216" s="128"/>
      <c r="V1216" s="129"/>
      <c r="W1216" s="129"/>
      <c r="X1216" s="129"/>
      <c r="Y1216" s="129"/>
      <c r="Z1216" s="145" t="b">
        <v>0</v>
      </c>
      <c r="AA1216" s="145"/>
      <c r="AB1216" s="129"/>
      <c r="AC1216" s="129"/>
      <c r="AD1216" s="129"/>
      <c r="AE1216" s="129"/>
      <c r="AF1216" s="132"/>
      <c r="AG1216" s="128" t="b">
        <v>0</v>
      </c>
      <c r="AH1216" s="128"/>
      <c r="AI1216" s="128"/>
      <c r="AJ1216" s="128"/>
      <c r="AK1216" s="128"/>
      <c r="AL1216" s="129"/>
      <c r="AM1216" s="129"/>
      <c r="AN1216" s="139"/>
    </row>
    <row r="1217">
      <c r="A1217" s="129"/>
      <c r="B1217" s="119"/>
      <c r="C1217" s="128"/>
      <c r="D1217" s="142"/>
      <c r="E1217" s="122"/>
      <c r="F1217" s="136"/>
      <c r="G1217" s="152"/>
      <c r="H1217" s="155"/>
      <c r="I1217" s="155"/>
      <c r="J1217" s="155"/>
      <c r="K1217" s="155"/>
      <c r="L1217" s="155"/>
      <c r="M1217" s="126"/>
      <c r="N1217" s="127"/>
      <c r="O1217" s="127"/>
      <c r="P1217" s="127"/>
      <c r="Q1217" s="126"/>
      <c r="R1217" s="128"/>
      <c r="S1217" s="128"/>
      <c r="T1217" s="128"/>
      <c r="U1217" s="128"/>
      <c r="V1217" s="129"/>
      <c r="W1217" s="129"/>
      <c r="X1217" s="129"/>
      <c r="Y1217" s="129"/>
      <c r="Z1217" s="145" t="b">
        <v>0</v>
      </c>
      <c r="AA1217" s="145"/>
      <c r="AB1217" s="129"/>
      <c r="AC1217" s="129"/>
      <c r="AD1217" s="129"/>
      <c r="AE1217" s="129"/>
      <c r="AF1217" s="132"/>
      <c r="AG1217" s="128" t="b">
        <v>0</v>
      </c>
      <c r="AH1217" s="128"/>
      <c r="AI1217" s="128"/>
      <c r="AJ1217" s="128"/>
      <c r="AK1217" s="128"/>
      <c r="AL1217" s="129"/>
      <c r="AM1217" s="129"/>
      <c r="AN1217" s="139"/>
    </row>
    <row r="1218">
      <c r="A1218" s="129"/>
      <c r="B1218" s="119"/>
      <c r="C1218" s="128"/>
      <c r="D1218" s="142"/>
      <c r="E1218" s="122"/>
      <c r="F1218" s="136"/>
      <c r="G1218" s="152"/>
      <c r="H1218" s="155"/>
      <c r="I1218" s="155"/>
      <c r="J1218" s="155"/>
      <c r="K1218" s="155"/>
      <c r="L1218" s="155"/>
      <c r="M1218" s="126"/>
      <c r="N1218" s="127"/>
      <c r="O1218" s="127"/>
      <c r="P1218" s="127"/>
      <c r="Q1218" s="126"/>
      <c r="R1218" s="128"/>
      <c r="S1218" s="128"/>
      <c r="T1218" s="128"/>
      <c r="U1218" s="128"/>
      <c r="V1218" s="129"/>
      <c r="W1218" s="129"/>
      <c r="X1218" s="129"/>
      <c r="Y1218" s="129"/>
      <c r="Z1218" s="145" t="b">
        <v>0</v>
      </c>
      <c r="AA1218" s="145"/>
      <c r="AB1218" s="129"/>
      <c r="AC1218" s="129"/>
      <c r="AD1218" s="129"/>
      <c r="AE1218" s="129"/>
      <c r="AF1218" s="132"/>
      <c r="AG1218" s="128" t="b">
        <v>0</v>
      </c>
      <c r="AH1218" s="128"/>
      <c r="AI1218" s="128"/>
      <c r="AJ1218" s="128"/>
      <c r="AK1218" s="128"/>
      <c r="AL1218" s="129"/>
      <c r="AM1218" s="129"/>
      <c r="AN1218" s="139"/>
    </row>
    <row r="1219">
      <c r="A1219" s="129"/>
      <c r="B1219" s="119"/>
      <c r="C1219" s="128"/>
      <c r="D1219" s="142"/>
      <c r="E1219" s="122"/>
      <c r="F1219" s="136"/>
      <c r="G1219" s="152"/>
      <c r="H1219" s="155"/>
      <c r="I1219" s="155"/>
      <c r="J1219" s="155"/>
      <c r="K1219" s="155"/>
      <c r="L1219" s="155"/>
      <c r="M1219" s="126"/>
      <c r="N1219" s="127"/>
      <c r="O1219" s="127"/>
      <c r="P1219" s="127"/>
      <c r="Q1219" s="126"/>
      <c r="R1219" s="128"/>
      <c r="S1219" s="128"/>
      <c r="T1219" s="128"/>
      <c r="U1219" s="128"/>
      <c r="V1219" s="129"/>
      <c r="W1219" s="129"/>
      <c r="X1219" s="129"/>
      <c r="Y1219" s="129"/>
      <c r="Z1219" s="145" t="b">
        <v>0</v>
      </c>
      <c r="AA1219" s="145"/>
      <c r="AB1219" s="129"/>
      <c r="AC1219" s="129"/>
      <c r="AD1219" s="129"/>
      <c r="AE1219" s="129"/>
      <c r="AF1219" s="132"/>
      <c r="AG1219" s="128" t="b">
        <v>0</v>
      </c>
      <c r="AH1219" s="128"/>
      <c r="AI1219" s="128"/>
      <c r="AJ1219" s="128"/>
      <c r="AK1219" s="128"/>
      <c r="AL1219" s="129"/>
      <c r="AM1219" s="129"/>
      <c r="AN1219" s="139"/>
    </row>
    <row r="1220">
      <c r="A1220" s="129"/>
      <c r="B1220" s="119"/>
      <c r="C1220" s="128"/>
      <c r="D1220" s="142"/>
      <c r="E1220" s="122"/>
      <c r="F1220" s="136"/>
      <c r="G1220" s="152"/>
      <c r="H1220" s="155"/>
      <c r="I1220" s="155"/>
      <c r="J1220" s="155"/>
      <c r="K1220" s="155"/>
      <c r="L1220" s="155"/>
      <c r="M1220" s="126"/>
      <c r="N1220" s="127"/>
      <c r="O1220" s="127"/>
      <c r="P1220" s="127"/>
      <c r="Q1220" s="126"/>
      <c r="R1220" s="128"/>
      <c r="S1220" s="128"/>
      <c r="T1220" s="128"/>
      <c r="U1220" s="128"/>
      <c r="V1220" s="129"/>
      <c r="W1220" s="129"/>
      <c r="X1220" s="129"/>
      <c r="Y1220" s="129"/>
      <c r="Z1220" s="145" t="b">
        <v>0</v>
      </c>
      <c r="AA1220" s="145"/>
      <c r="AB1220" s="129"/>
      <c r="AC1220" s="129"/>
      <c r="AD1220" s="129"/>
      <c r="AE1220" s="129"/>
      <c r="AF1220" s="132"/>
      <c r="AG1220" s="128" t="b">
        <v>0</v>
      </c>
      <c r="AH1220" s="128"/>
      <c r="AI1220" s="128"/>
      <c r="AJ1220" s="128"/>
      <c r="AK1220" s="128"/>
      <c r="AL1220" s="129"/>
      <c r="AM1220" s="129"/>
      <c r="AN1220" s="139"/>
    </row>
    <row r="1221">
      <c r="A1221" s="129"/>
      <c r="B1221" s="119"/>
      <c r="C1221" s="128"/>
      <c r="D1221" s="142"/>
      <c r="E1221" s="122"/>
      <c r="F1221" s="136"/>
      <c r="G1221" s="152"/>
      <c r="H1221" s="155"/>
      <c r="I1221" s="155"/>
      <c r="J1221" s="155"/>
      <c r="K1221" s="155"/>
      <c r="L1221" s="155"/>
      <c r="M1221" s="126"/>
      <c r="N1221" s="127"/>
      <c r="O1221" s="127"/>
      <c r="P1221" s="127"/>
      <c r="Q1221" s="126"/>
      <c r="R1221" s="128"/>
      <c r="S1221" s="128"/>
      <c r="T1221" s="128"/>
      <c r="U1221" s="128"/>
      <c r="V1221" s="129"/>
      <c r="W1221" s="129"/>
      <c r="X1221" s="129"/>
      <c r="Y1221" s="129"/>
      <c r="Z1221" s="145" t="b">
        <v>0</v>
      </c>
      <c r="AA1221" s="145"/>
      <c r="AB1221" s="129"/>
      <c r="AC1221" s="129"/>
      <c r="AD1221" s="129"/>
      <c r="AE1221" s="129"/>
      <c r="AF1221" s="132"/>
      <c r="AG1221" s="128" t="b">
        <v>0</v>
      </c>
      <c r="AH1221" s="128"/>
      <c r="AI1221" s="128"/>
      <c r="AJ1221" s="128"/>
      <c r="AK1221" s="128"/>
      <c r="AL1221" s="129"/>
      <c r="AM1221" s="129"/>
      <c r="AN1221" s="139"/>
    </row>
    <row r="1222">
      <c r="A1222" s="129"/>
      <c r="B1222" s="119"/>
      <c r="C1222" s="128"/>
      <c r="D1222" s="142"/>
      <c r="E1222" s="122"/>
      <c r="F1222" s="136"/>
      <c r="G1222" s="152"/>
      <c r="H1222" s="155"/>
      <c r="I1222" s="155"/>
      <c r="J1222" s="155"/>
      <c r="K1222" s="155"/>
      <c r="L1222" s="155"/>
      <c r="M1222" s="126"/>
      <c r="N1222" s="127"/>
      <c r="O1222" s="127"/>
      <c r="P1222" s="127"/>
      <c r="Q1222" s="126"/>
      <c r="R1222" s="128"/>
      <c r="S1222" s="128"/>
      <c r="T1222" s="128"/>
      <c r="U1222" s="128"/>
      <c r="V1222" s="129"/>
      <c r="W1222" s="129"/>
      <c r="X1222" s="129"/>
      <c r="Y1222" s="129"/>
      <c r="Z1222" s="145" t="b">
        <v>0</v>
      </c>
      <c r="AA1222" s="145"/>
      <c r="AB1222" s="129"/>
      <c r="AC1222" s="129"/>
      <c r="AD1222" s="129"/>
      <c r="AE1222" s="129"/>
      <c r="AF1222" s="132"/>
      <c r="AG1222" s="128" t="b">
        <v>0</v>
      </c>
      <c r="AH1222" s="128"/>
      <c r="AI1222" s="128"/>
      <c r="AJ1222" s="128"/>
      <c r="AK1222" s="128"/>
      <c r="AL1222" s="129"/>
      <c r="AM1222" s="129"/>
      <c r="AN1222" s="139"/>
    </row>
    <row r="1223">
      <c r="A1223" s="129"/>
      <c r="B1223" s="119"/>
      <c r="C1223" s="128"/>
      <c r="D1223" s="142"/>
      <c r="E1223" s="122"/>
      <c r="F1223" s="136"/>
      <c r="G1223" s="152"/>
      <c r="H1223" s="155"/>
      <c r="I1223" s="155"/>
      <c r="J1223" s="155"/>
      <c r="K1223" s="155"/>
      <c r="L1223" s="155"/>
      <c r="M1223" s="126"/>
      <c r="N1223" s="127"/>
      <c r="O1223" s="127"/>
      <c r="P1223" s="127"/>
      <c r="Q1223" s="126"/>
      <c r="R1223" s="128"/>
      <c r="S1223" s="128"/>
      <c r="T1223" s="128"/>
      <c r="U1223" s="128"/>
      <c r="V1223" s="129"/>
      <c r="W1223" s="129"/>
      <c r="X1223" s="129"/>
      <c r="Y1223" s="129"/>
      <c r="Z1223" s="145" t="b">
        <v>0</v>
      </c>
      <c r="AA1223" s="145"/>
      <c r="AB1223" s="129"/>
      <c r="AC1223" s="129"/>
      <c r="AD1223" s="129"/>
      <c r="AE1223" s="129"/>
      <c r="AF1223" s="132"/>
      <c r="AG1223" s="128" t="b">
        <v>0</v>
      </c>
      <c r="AH1223" s="128"/>
      <c r="AI1223" s="128"/>
      <c r="AJ1223" s="128"/>
      <c r="AK1223" s="128"/>
      <c r="AL1223" s="129"/>
      <c r="AM1223" s="129"/>
      <c r="AN1223" s="139"/>
    </row>
    <row r="1224">
      <c r="A1224" s="129"/>
      <c r="B1224" s="119"/>
      <c r="C1224" s="128"/>
      <c r="D1224" s="142"/>
      <c r="E1224" s="122"/>
      <c r="F1224" s="136"/>
      <c r="G1224" s="152"/>
      <c r="H1224" s="155"/>
      <c r="I1224" s="155"/>
      <c r="J1224" s="155"/>
      <c r="K1224" s="155"/>
      <c r="L1224" s="155"/>
      <c r="M1224" s="126"/>
      <c r="N1224" s="127"/>
      <c r="O1224" s="127"/>
      <c r="P1224" s="127"/>
      <c r="Q1224" s="126"/>
      <c r="R1224" s="128"/>
      <c r="S1224" s="128"/>
      <c r="T1224" s="128"/>
      <c r="U1224" s="128"/>
      <c r="V1224" s="129"/>
      <c r="W1224" s="129"/>
      <c r="X1224" s="129"/>
      <c r="Y1224" s="129"/>
      <c r="Z1224" s="145" t="b">
        <v>0</v>
      </c>
      <c r="AA1224" s="145"/>
      <c r="AB1224" s="129"/>
      <c r="AC1224" s="129"/>
      <c r="AD1224" s="129"/>
      <c r="AE1224" s="129"/>
      <c r="AF1224" s="132"/>
      <c r="AG1224" s="128" t="b">
        <v>0</v>
      </c>
      <c r="AH1224" s="128"/>
      <c r="AI1224" s="128"/>
      <c r="AJ1224" s="128"/>
      <c r="AK1224" s="128"/>
      <c r="AL1224" s="129"/>
      <c r="AM1224" s="129"/>
      <c r="AN1224" s="139"/>
    </row>
    <row r="1225">
      <c r="A1225" s="129"/>
      <c r="B1225" s="119"/>
      <c r="C1225" s="128"/>
      <c r="D1225" s="142"/>
      <c r="E1225" s="122"/>
      <c r="F1225" s="136"/>
      <c r="G1225" s="152"/>
      <c r="H1225" s="155"/>
      <c r="I1225" s="155"/>
      <c r="J1225" s="155"/>
      <c r="K1225" s="155"/>
      <c r="L1225" s="155"/>
      <c r="M1225" s="126"/>
      <c r="N1225" s="127"/>
      <c r="O1225" s="127"/>
      <c r="P1225" s="127"/>
      <c r="Q1225" s="126"/>
      <c r="R1225" s="128"/>
      <c r="S1225" s="128"/>
      <c r="T1225" s="128"/>
      <c r="U1225" s="128"/>
      <c r="V1225" s="129"/>
      <c r="W1225" s="129"/>
      <c r="X1225" s="129"/>
      <c r="Y1225" s="129"/>
      <c r="Z1225" s="145" t="b">
        <v>0</v>
      </c>
      <c r="AA1225" s="145"/>
      <c r="AB1225" s="129"/>
      <c r="AC1225" s="129"/>
      <c r="AD1225" s="129"/>
      <c r="AE1225" s="129"/>
      <c r="AF1225" s="132"/>
      <c r="AG1225" s="128" t="b">
        <v>0</v>
      </c>
      <c r="AH1225" s="128"/>
      <c r="AI1225" s="128"/>
      <c r="AJ1225" s="128"/>
      <c r="AK1225" s="128"/>
      <c r="AL1225" s="129"/>
      <c r="AM1225" s="129"/>
      <c r="AN1225" s="139"/>
    </row>
    <row r="1226">
      <c r="A1226" s="129"/>
      <c r="B1226" s="119"/>
      <c r="C1226" s="128"/>
      <c r="D1226" s="142"/>
      <c r="E1226" s="122"/>
      <c r="F1226" s="136"/>
      <c r="G1226" s="152"/>
      <c r="H1226" s="155"/>
      <c r="I1226" s="155"/>
      <c r="J1226" s="155"/>
      <c r="K1226" s="155"/>
      <c r="L1226" s="155"/>
      <c r="M1226" s="126"/>
      <c r="N1226" s="127"/>
      <c r="O1226" s="127"/>
      <c r="P1226" s="127"/>
      <c r="Q1226" s="126"/>
      <c r="R1226" s="128"/>
      <c r="S1226" s="128"/>
      <c r="T1226" s="128"/>
      <c r="U1226" s="128"/>
      <c r="V1226" s="129"/>
      <c r="W1226" s="129"/>
      <c r="X1226" s="129"/>
      <c r="Y1226" s="129"/>
      <c r="Z1226" s="145" t="b">
        <v>0</v>
      </c>
      <c r="AA1226" s="145"/>
      <c r="AB1226" s="129"/>
      <c r="AC1226" s="129"/>
      <c r="AD1226" s="129"/>
      <c r="AE1226" s="129"/>
      <c r="AF1226" s="132"/>
      <c r="AG1226" s="128" t="b">
        <v>0</v>
      </c>
      <c r="AH1226" s="128"/>
      <c r="AI1226" s="128"/>
      <c r="AJ1226" s="128"/>
      <c r="AK1226" s="128"/>
      <c r="AL1226" s="129"/>
      <c r="AM1226" s="129"/>
      <c r="AN1226" s="139"/>
    </row>
    <row r="1227">
      <c r="A1227" s="129"/>
      <c r="B1227" s="119"/>
      <c r="C1227" s="128"/>
      <c r="D1227" s="142"/>
      <c r="E1227" s="122"/>
      <c r="F1227" s="136"/>
      <c r="G1227" s="152"/>
      <c r="H1227" s="155"/>
      <c r="I1227" s="155"/>
      <c r="J1227" s="155"/>
      <c r="K1227" s="155"/>
      <c r="L1227" s="155"/>
      <c r="M1227" s="126"/>
      <c r="N1227" s="127"/>
      <c r="O1227" s="127"/>
      <c r="P1227" s="127"/>
      <c r="Q1227" s="126"/>
      <c r="R1227" s="128"/>
      <c r="S1227" s="128"/>
      <c r="T1227" s="128"/>
      <c r="U1227" s="128"/>
      <c r="V1227" s="129"/>
      <c r="W1227" s="129"/>
      <c r="X1227" s="129"/>
      <c r="Y1227" s="129"/>
      <c r="Z1227" s="145" t="b">
        <v>0</v>
      </c>
      <c r="AA1227" s="145"/>
      <c r="AB1227" s="129"/>
      <c r="AC1227" s="129"/>
      <c r="AD1227" s="129"/>
      <c r="AE1227" s="129"/>
      <c r="AF1227" s="132"/>
      <c r="AG1227" s="128" t="b">
        <v>0</v>
      </c>
      <c r="AH1227" s="128"/>
      <c r="AI1227" s="128"/>
      <c r="AJ1227" s="128"/>
      <c r="AK1227" s="128"/>
      <c r="AL1227" s="129"/>
      <c r="AM1227" s="129"/>
      <c r="AN1227" s="139"/>
    </row>
    <row r="1228">
      <c r="A1228" s="129"/>
      <c r="B1228" s="119"/>
      <c r="C1228" s="128"/>
      <c r="D1228" s="142"/>
      <c r="E1228" s="122"/>
      <c r="F1228" s="136"/>
      <c r="G1228" s="152"/>
      <c r="H1228" s="155"/>
      <c r="I1228" s="155"/>
      <c r="J1228" s="155"/>
      <c r="K1228" s="155"/>
      <c r="L1228" s="155"/>
      <c r="M1228" s="126"/>
      <c r="N1228" s="127"/>
      <c r="O1228" s="127"/>
      <c r="P1228" s="127"/>
      <c r="Q1228" s="126"/>
      <c r="R1228" s="128"/>
      <c r="S1228" s="128"/>
      <c r="T1228" s="128"/>
      <c r="U1228" s="128"/>
      <c r="V1228" s="129"/>
      <c r="W1228" s="129"/>
      <c r="X1228" s="129"/>
      <c r="Y1228" s="129"/>
      <c r="Z1228" s="145" t="b">
        <v>0</v>
      </c>
      <c r="AA1228" s="145"/>
      <c r="AB1228" s="129"/>
      <c r="AC1228" s="129"/>
      <c r="AD1228" s="129"/>
      <c r="AE1228" s="129"/>
      <c r="AF1228" s="132"/>
      <c r="AG1228" s="128" t="b">
        <v>0</v>
      </c>
      <c r="AH1228" s="128"/>
      <c r="AI1228" s="128"/>
      <c r="AJ1228" s="128"/>
      <c r="AK1228" s="128"/>
      <c r="AL1228" s="129"/>
      <c r="AM1228" s="129"/>
      <c r="AN1228" s="139"/>
    </row>
    <row r="1229">
      <c r="A1229" s="129"/>
      <c r="B1229" s="119"/>
      <c r="C1229" s="128"/>
      <c r="D1229" s="142"/>
      <c r="E1229" s="122"/>
      <c r="F1229" s="136"/>
      <c r="G1229" s="152"/>
      <c r="H1229" s="155"/>
      <c r="I1229" s="155"/>
      <c r="J1229" s="155"/>
      <c r="K1229" s="155"/>
      <c r="L1229" s="155"/>
      <c r="M1229" s="126"/>
      <c r="N1229" s="127"/>
      <c r="O1229" s="127"/>
      <c r="P1229" s="127"/>
      <c r="Q1229" s="126"/>
      <c r="R1229" s="128"/>
      <c r="S1229" s="128"/>
      <c r="T1229" s="128"/>
      <c r="U1229" s="128"/>
      <c r="V1229" s="129"/>
      <c r="W1229" s="129"/>
      <c r="X1229" s="129"/>
      <c r="Y1229" s="129"/>
      <c r="Z1229" s="145" t="b">
        <v>0</v>
      </c>
      <c r="AA1229" s="145"/>
      <c r="AB1229" s="129"/>
      <c r="AC1229" s="129"/>
      <c r="AD1229" s="129"/>
      <c r="AE1229" s="129"/>
      <c r="AF1229" s="132"/>
      <c r="AG1229" s="128" t="b">
        <v>0</v>
      </c>
      <c r="AH1229" s="128"/>
      <c r="AI1229" s="128"/>
      <c r="AJ1229" s="128"/>
      <c r="AK1229" s="128"/>
      <c r="AL1229" s="129"/>
      <c r="AM1229" s="129"/>
      <c r="AN1229" s="139"/>
    </row>
    <row r="1230">
      <c r="A1230" s="129"/>
      <c r="B1230" s="119"/>
      <c r="C1230" s="128"/>
      <c r="D1230" s="142"/>
      <c r="E1230" s="122"/>
      <c r="F1230" s="136"/>
      <c r="G1230" s="152"/>
      <c r="H1230" s="155"/>
      <c r="I1230" s="155"/>
      <c r="J1230" s="155"/>
      <c r="K1230" s="155"/>
      <c r="L1230" s="155"/>
      <c r="M1230" s="126"/>
      <c r="N1230" s="127"/>
      <c r="O1230" s="127"/>
      <c r="P1230" s="127"/>
      <c r="Q1230" s="126"/>
      <c r="R1230" s="128"/>
      <c r="S1230" s="128"/>
      <c r="T1230" s="128"/>
      <c r="U1230" s="128"/>
      <c r="V1230" s="129"/>
      <c r="W1230" s="129"/>
      <c r="X1230" s="129"/>
      <c r="Y1230" s="129"/>
      <c r="Z1230" s="145" t="b">
        <v>0</v>
      </c>
      <c r="AA1230" s="145"/>
      <c r="AB1230" s="129"/>
      <c r="AC1230" s="129"/>
      <c r="AD1230" s="129"/>
      <c r="AE1230" s="129"/>
      <c r="AF1230" s="132"/>
      <c r="AG1230" s="128" t="b">
        <v>0</v>
      </c>
      <c r="AH1230" s="128"/>
      <c r="AI1230" s="128"/>
      <c r="AJ1230" s="128"/>
      <c r="AK1230" s="128"/>
      <c r="AL1230" s="129"/>
      <c r="AM1230" s="129"/>
      <c r="AN1230" s="139"/>
    </row>
    <row r="1231">
      <c r="A1231" s="129"/>
      <c r="B1231" s="119"/>
      <c r="C1231" s="128"/>
      <c r="D1231" s="142"/>
      <c r="E1231" s="122"/>
      <c r="F1231" s="136"/>
      <c r="G1231" s="152"/>
      <c r="H1231" s="155"/>
      <c r="I1231" s="155"/>
      <c r="J1231" s="155"/>
      <c r="K1231" s="155"/>
      <c r="L1231" s="155"/>
      <c r="M1231" s="126"/>
      <c r="N1231" s="127"/>
      <c r="O1231" s="127"/>
      <c r="P1231" s="127"/>
      <c r="Q1231" s="126"/>
      <c r="R1231" s="128"/>
      <c r="S1231" s="128"/>
      <c r="T1231" s="128"/>
      <c r="U1231" s="128"/>
      <c r="V1231" s="129"/>
      <c r="W1231" s="129"/>
      <c r="X1231" s="129"/>
      <c r="Y1231" s="129"/>
      <c r="Z1231" s="145" t="b">
        <v>0</v>
      </c>
      <c r="AA1231" s="145"/>
      <c r="AB1231" s="129"/>
      <c r="AC1231" s="129"/>
      <c r="AD1231" s="129"/>
      <c r="AE1231" s="129"/>
      <c r="AF1231" s="132"/>
      <c r="AG1231" s="128" t="b">
        <v>0</v>
      </c>
      <c r="AH1231" s="128"/>
      <c r="AI1231" s="128"/>
      <c r="AJ1231" s="128"/>
      <c r="AK1231" s="128"/>
      <c r="AL1231" s="129"/>
      <c r="AM1231" s="129"/>
      <c r="AN1231" s="139"/>
    </row>
    <row r="1232">
      <c r="A1232" s="129"/>
      <c r="B1232" s="119"/>
      <c r="C1232" s="128"/>
      <c r="D1232" s="142"/>
      <c r="E1232" s="122"/>
      <c r="F1232" s="136"/>
      <c r="G1232" s="152"/>
      <c r="H1232" s="155"/>
      <c r="I1232" s="155"/>
      <c r="J1232" s="155"/>
      <c r="K1232" s="155"/>
      <c r="L1232" s="155"/>
      <c r="M1232" s="126"/>
      <c r="N1232" s="127"/>
      <c r="O1232" s="127"/>
      <c r="P1232" s="127"/>
      <c r="Q1232" s="126"/>
      <c r="R1232" s="128"/>
      <c r="S1232" s="128"/>
      <c r="T1232" s="128"/>
      <c r="U1232" s="128"/>
      <c r="V1232" s="129"/>
      <c r="W1232" s="129"/>
      <c r="X1232" s="129"/>
      <c r="Y1232" s="129"/>
      <c r="Z1232" s="145" t="b">
        <v>0</v>
      </c>
      <c r="AA1232" s="145"/>
      <c r="AB1232" s="129"/>
      <c r="AC1232" s="129"/>
      <c r="AD1232" s="129"/>
      <c r="AE1232" s="129"/>
      <c r="AF1232" s="132"/>
      <c r="AG1232" s="128" t="b">
        <v>0</v>
      </c>
      <c r="AH1232" s="128"/>
      <c r="AI1232" s="128"/>
      <c r="AJ1232" s="128"/>
      <c r="AK1232" s="128"/>
      <c r="AL1232" s="129"/>
      <c r="AM1232" s="129"/>
      <c r="AN1232" s="139"/>
    </row>
    <row r="1233">
      <c r="A1233" s="129"/>
      <c r="B1233" s="119"/>
      <c r="C1233" s="128"/>
      <c r="D1233" s="142"/>
      <c r="E1233" s="122"/>
      <c r="F1233" s="136"/>
      <c r="G1233" s="152"/>
      <c r="H1233" s="155"/>
      <c r="I1233" s="155"/>
      <c r="J1233" s="155"/>
      <c r="K1233" s="155"/>
      <c r="L1233" s="155"/>
      <c r="M1233" s="126"/>
      <c r="N1233" s="127"/>
      <c r="O1233" s="127"/>
      <c r="P1233" s="127"/>
      <c r="Q1233" s="126"/>
      <c r="R1233" s="128"/>
      <c r="S1233" s="128"/>
      <c r="T1233" s="128"/>
      <c r="U1233" s="128"/>
      <c r="V1233" s="129"/>
      <c r="W1233" s="129"/>
      <c r="X1233" s="129"/>
      <c r="Y1233" s="129"/>
      <c r="Z1233" s="145" t="b">
        <v>0</v>
      </c>
      <c r="AA1233" s="145"/>
      <c r="AB1233" s="129"/>
      <c r="AC1233" s="129"/>
      <c r="AD1233" s="129"/>
      <c r="AE1233" s="129"/>
      <c r="AF1233" s="132"/>
      <c r="AG1233" s="128" t="b">
        <v>0</v>
      </c>
      <c r="AH1233" s="128"/>
      <c r="AI1233" s="128"/>
      <c r="AJ1233" s="128"/>
      <c r="AK1233" s="128"/>
      <c r="AL1233" s="129"/>
      <c r="AM1233" s="129"/>
      <c r="AN1233" s="139"/>
    </row>
    <row r="1234">
      <c r="A1234" s="129"/>
      <c r="B1234" s="119"/>
      <c r="C1234" s="128"/>
      <c r="D1234" s="142"/>
      <c r="E1234" s="122"/>
      <c r="F1234" s="136"/>
      <c r="G1234" s="152"/>
      <c r="H1234" s="155"/>
      <c r="I1234" s="155"/>
      <c r="J1234" s="155"/>
      <c r="K1234" s="155"/>
      <c r="L1234" s="155"/>
      <c r="M1234" s="126"/>
      <c r="N1234" s="127"/>
      <c r="O1234" s="127"/>
      <c r="P1234" s="127"/>
      <c r="Q1234" s="126"/>
      <c r="R1234" s="128"/>
      <c r="S1234" s="128"/>
      <c r="T1234" s="128"/>
      <c r="U1234" s="128"/>
      <c r="V1234" s="129"/>
      <c r="W1234" s="129"/>
      <c r="X1234" s="129"/>
      <c r="Y1234" s="129"/>
      <c r="Z1234" s="145" t="b">
        <v>0</v>
      </c>
      <c r="AA1234" s="145"/>
      <c r="AB1234" s="129"/>
      <c r="AC1234" s="129"/>
      <c r="AD1234" s="129"/>
      <c r="AE1234" s="129"/>
      <c r="AF1234" s="132"/>
      <c r="AG1234" s="128" t="b">
        <v>0</v>
      </c>
      <c r="AH1234" s="128"/>
      <c r="AI1234" s="128"/>
      <c r="AJ1234" s="128"/>
      <c r="AK1234" s="128"/>
      <c r="AL1234" s="129"/>
      <c r="AM1234" s="129"/>
      <c r="AN1234" s="139"/>
    </row>
    <row r="1235">
      <c r="A1235" s="129"/>
      <c r="B1235" s="119"/>
      <c r="C1235" s="128"/>
      <c r="D1235" s="142"/>
      <c r="E1235" s="122"/>
      <c r="F1235" s="136"/>
      <c r="G1235" s="152"/>
      <c r="H1235" s="155"/>
      <c r="I1235" s="155"/>
      <c r="J1235" s="155"/>
      <c r="K1235" s="155"/>
      <c r="L1235" s="155"/>
      <c r="M1235" s="126"/>
      <c r="N1235" s="127"/>
      <c r="O1235" s="127"/>
      <c r="P1235" s="127"/>
      <c r="Q1235" s="126"/>
      <c r="R1235" s="128"/>
      <c r="S1235" s="128"/>
      <c r="T1235" s="128"/>
      <c r="U1235" s="128"/>
      <c r="V1235" s="129"/>
      <c r="W1235" s="129"/>
      <c r="X1235" s="129"/>
      <c r="Y1235" s="129"/>
      <c r="Z1235" s="145" t="b">
        <v>0</v>
      </c>
      <c r="AA1235" s="145"/>
      <c r="AB1235" s="129"/>
      <c r="AC1235" s="129"/>
      <c r="AD1235" s="129"/>
      <c r="AE1235" s="129"/>
      <c r="AF1235" s="132"/>
      <c r="AG1235" s="128" t="b">
        <v>0</v>
      </c>
      <c r="AH1235" s="128"/>
      <c r="AI1235" s="128"/>
      <c r="AJ1235" s="128"/>
      <c r="AK1235" s="128"/>
      <c r="AL1235" s="129"/>
      <c r="AM1235" s="129"/>
      <c r="AN1235" s="139"/>
    </row>
    <row r="1236">
      <c r="A1236" s="129"/>
      <c r="B1236" s="119"/>
      <c r="C1236" s="128"/>
      <c r="D1236" s="142"/>
      <c r="E1236" s="122"/>
      <c r="F1236" s="136"/>
      <c r="G1236" s="152"/>
      <c r="H1236" s="155"/>
      <c r="I1236" s="155"/>
      <c r="J1236" s="155"/>
      <c r="K1236" s="155"/>
      <c r="L1236" s="155"/>
      <c r="M1236" s="126"/>
      <c r="N1236" s="127"/>
      <c r="O1236" s="127"/>
      <c r="P1236" s="127"/>
      <c r="Q1236" s="126"/>
      <c r="R1236" s="128"/>
      <c r="S1236" s="128"/>
      <c r="T1236" s="128"/>
      <c r="U1236" s="128"/>
      <c r="V1236" s="129"/>
      <c r="W1236" s="129"/>
      <c r="X1236" s="129"/>
      <c r="Y1236" s="129"/>
      <c r="Z1236" s="145" t="b">
        <v>0</v>
      </c>
      <c r="AA1236" s="145"/>
      <c r="AB1236" s="129"/>
      <c r="AC1236" s="129"/>
      <c r="AD1236" s="129"/>
      <c r="AE1236" s="129"/>
      <c r="AF1236" s="132"/>
      <c r="AG1236" s="128" t="b">
        <v>0</v>
      </c>
      <c r="AH1236" s="128"/>
      <c r="AI1236" s="128"/>
      <c r="AJ1236" s="128"/>
      <c r="AK1236" s="128"/>
      <c r="AL1236" s="129"/>
      <c r="AM1236" s="129"/>
      <c r="AN1236" s="139"/>
    </row>
    <row r="1237">
      <c r="A1237" s="129"/>
      <c r="B1237" s="119"/>
      <c r="C1237" s="128"/>
      <c r="D1237" s="142"/>
      <c r="E1237" s="122"/>
      <c r="F1237" s="136"/>
      <c r="G1237" s="152"/>
      <c r="H1237" s="155"/>
      <c r="I1237" s="155"/>
      <c r="J1237" s="155"/>
      <c r="K1237" s="155"/>
      <c r="L1237" s="155"/>
      <c r="M1237" s="126"/>
      <c r="N1237" s="127"/>
      <c r="O1237" s="127"/>
      <c r="P1237" s="127"/>
      <c r="Q1237" s="126"/>
      <c r="R1237" s="128"/>
      <c r="S1237" s="128"/>
      <c r="T1237" s="128"/>
      <c r="U1237" s="128"/>
      <c r="V1237" s="129"/>
      <c r="W1237" s="129"/>
      <c r="X1237" s="129"/>
      <c r="Y1237" s="129"/>
      <c r="Z1237" s="145" t="b">
        <v>0</v>
      </c>
      <c r="AA1237" s="145"/>
      <c r="AB1237" s="129"/>
      <c r="AC1237" s="129"/>
      <c r="AD1237" s="129"/>
      <c r="AE1237" s="129"/>
      <c r="AF1237" s="132"/>
      <c r="AG1237" s="128" t="b">
        <v>0</v>
      </c>
      <c r="AH1237" s="128"/>
      <c r="AI1237" s="128"/>
      <c r="AJ1237" s="128"/>
      <c r="AK1237" s="128"/>
      <c r="AL1237" s="129"/>
      <c r="AM1237" s="129"/>
      <c r="AN1237" s="139"/>
    </row>
    <row r="1238">
      <c r="A1238" s="129"/>
      <c r="B1238" s="119"/>
      <c r="C1238" s="128"/>
      <c r="D1238" s="142"/>
      <c r="E1238" s="122"/>
      <c r="F1238" s="136"/>
      <c r="G1238" s="152"/>
      <c r="H1238" s="155"/>
      <c r="I1238" s="155"/>
      <c r="J1238" s="155"/>
      <c r="K1238" s="155"/>
      <c r="L1238" s="155"/>
      <c r="M1238" s="126"/>
      <c r="N1238" s="127"/>
      <c r="O1238" s="127"/>
      <c r="P1238" s="127"/>
      <c r="Q1238" s="126"/>
      <c r="R1238" s="128"/>
      <c r="S1238" s="128"/>
      <c r="T1238" s="128"/>
      <c r="U1238" s="128"/>
      <c r="V1238" s="129"/>
      <c r="W1238" s="129"/>
      <c r="X1238" s="129"/>
      <c r="Y1238" s="129"/>
      <c r="Z1238" s="145" t="b">
        <v>0</v>
      </c>
      <c r="AA1238" s="145"/>
      <c r="AB1238" s="129"/>
      <c r="AC1238" s="129"/>
      <c r="AD1238" s="129"/>
      <c r="AE1238" s="129"/>
      <c r="AF1238" s="132"/>
      <c r="AG1238" s="128" t="b">
        <v>0</v>
      </c>
      <c r="AH1238" s="128"/>
      <c r="AI1238" s="128"/>
      <c r="AJ1238" s="128"/>
      <c r="AK1238" s="128"/>
      <c r="AL1238" s="129"/>
      <c r="AM1238" s="129"/>
      <c r="AN1238" s="139"/>
    </row>
    <row r="1239">
      <c r="A1239" s="129"/>
      <c r="B1239" s="119"/>
      <c r="C1239" s="128"/>
      <c r="D1239" s="142"/>
      <c r="E1239" s="122"/>
      <c r="F1239" s="136"/>
      <c r="G1239" s="152"/>
      <c r="H1239" s="155"/>
      <c r="I1239" s="155"/>
      <c r="J1239" s="155"/>
      <c r="K1239" s="155"/>
      <c r="L1239" s="155"/>
      <c r="M1239" s="126"/>
      <c r="N1239" s="127"/>
      <c r="O1239" s="127"/>
      <c r="P1239" s="127"/>
      <c r="Q1239" s="126"/>
      <c r="R1239" s="128"/>
      <c r="S1239" s="128"/>
      <c r="T1239" s="128"/>
      <c r="U1239" s="128"/>
      <c r="V1239" s="129"/>
      <c r="W1239" s="129"/>
      <c r="X1239" s="129"/>
      <c r="Y1239" s="129"/>
      <c r="Z1239" s="145" t="b">
        <v>0</v>
      </c>
      <c r="AA1239" s="145"/>
      <c r="AB1239" s="129"/>
      <c r="AC1239" s="129"/>
      <c r="AD1239" s="129"/>
      <c r="AE1239" s="129"/>
      <c r="AF1239" s="132"/>
      <c r="AG1239" s="128" t="b">
        <v>0</v>
      </c>
      <c r="AH1239" s="128"/>
      <c r="AI1239" s="128"/>
      <c r="AJ1239" s="128"/>
      <c r="AK1239" s="128"/>
      <c r="AL1239" s="129"/>
      <c r="AM1239" s="129"/>
      <c r="AN1239" s="139"/>
    </row>
    <row r="1240">
      <c r="A1240" s="129"/>
      <c r="B1240" s="119"/>
      <c r="C1240" s="128"/>
      <c r="D1240" s="142"/>
      <c r="E1240" s="122"/>
      <c r="F1240" s="136"/>
      <c r="G1240" s="152"/>
      <c r="H1240" s="155"/>
      <c r="I1240" s="155"/>
      <c r="J1240" s="155"/>
      <c r="K1240" s="155"/>
      <c r="L1240" s="155"/>
      <c r="M1240" s="126"/>
      <c r="N1240" s="127"/>
      <c r="O1240" s="127"/>
      <c r="P1240" s="127"/>
      <c r="Q1240" s="126"/>
      <c r="R1240" s="128"/>
      <c r="S1240" s="128"/>
      <c r="T1240" s="128"/>
      <c r="U1240" s="128"/>
      <c r="V1240" s="129"/>
      <c r="W1240" s="129"/>
      <c r="X1240" s="129"/>
      <c r="Y1240" s="129"/>
      <c r="Z1240" s="145" t="b">
        <v>0</v>
      </c>
      <c r="AA1240" s="145"/>
      <c r="AB1240" s="129"/>
      <c r="AC1240" s="129"/>
      <c r="AD1240" s="129"/>
      <c r="AE1240" s="129"/>
      <c r="AF1240" s="132"/>
      <c r="AG1240" s="128" t="b">
        <v>0</v>
      </c>
      <c r="AH1240" s="128"/>
      <c r="AI1240" s="128"/>
      <c r="AJ1240" s="128"/>
      <c r="AK1240" s="128"/>
      <c r="AL1240" s="129"/>
      <c r="AM1240" s="129"/>
      <c r="AN1240" s="139"/>
    </row>
    <row r="1241">
      <c r="A1241" s="129"/>
      <c r="B1241" s="119"/>
      <c r="C1241" s="128"/>
      <c r="D1241" s="142"/>
      <c r="E1241" s="122"/>
      <c r="F1241" s="136"/>
      <c r="G1241" s="152"/>
      <c r="H1241" s="155"/>
      <c r="I1241" s="155"/>
      <c r="J1241" s="155"/>
      <c r="K1241" s="155"/>
      <c r="L1241" s="155"/>
      <c r="M1241" s="126"/>
      <c r="N1241" s="127"/>
      <c r="O1241" s="127"/>
      <c r="P1241" s="127"/>
      <c r="Q1241" s="126"/>
      <c r="R1241" s="128"/>
      <c r="S1241" s="128"/>
      <c r="T1241" s="128"/>
      <c r="U1241" s="128"/>
      <c r="V1241" s="129"/>
      <c r="W1241" s="129"/>
      <c r="X1241" s="129"/>
      <c r="Y1241" s="129"/>
      <c r="Z1241" s="145" t="b">
        <v>0</v>
      </c>
      <c r="AA1241" s="145"/>
      <c r="AB1241" s="129"/>
      <c r="AC1241" s="129"/>
      <c r="AD1241" s="129"/>
      <c r="AE1241" s="129"/>
      <c r="AF1241" s="132"/>
      <c r="AG1241" s="128" t="b">
        <v>0</v>
      </c>
      <c r="AH1241" s="128"/>
      <c r="AI1241" s="128"/>
      <c r="AJ1241" s="128"/>
      <c r="AK1241" s="128"/>
      <c r="AL1241" s="129"/>
      <c r="AM1241" s="129"/>
      <c r="AN1241" s="139"/>
    </row>
    <row r="1242">
      <c r="A1242" s="129"/>
      <c r="B1242" s="119"/>
      <c r="C1242" s="128"/>
      <c r="D1242" s="142"/>
      <c r="E1242" s="122"/>
      <c r="F1242" s="136"/>
      <c r="G1242" s="152"/>
      <c r="H1242" s="155"/>
      <c r="I1242" s="155"/>
      <c r="J1242" s="155"/>
      <c r="K1242" s="155"/>
      <c r="L1242" s="155"/>
      <c r="M1242" s="126"/>
      <c r="N1242" s="127"/>
      <c r="O1242" s="127"/>
      <c r="P1242" s="127"/>
      <c r="Q1242" s="126"/>
      <c r="R1242" s="128"/>
      <c r="S1242" s="128"/>
      <c r="T1242" s="128"/>
      <c r="U1242" s="128"/>
      <c r="V1242" s="129"/>
      <c r="W1242" s="129"/>
      <c r="X1242" s="129"/>
      <c r="Y1242" s="129"/>
      <c r="Z1242" s="145" t="b">
        <v>0</v>
      </c>
      <c r="AA1242" s="145"/>
      <c r="AB1242" s="129"/>
      <c r="AC1242" s="129"/>
      <c r="AD1242" s="129"/>
      <c r="AE1242" s="129"/>
      <c r="AF1242" s="132"/>
      <c r="AG1242" s="128" t="b">
        <v>0</v>
      </c>
      <c r="AH1242" s="128"/>
      <c r="AI1242" s="128"/>
      <c r="AJ1242" s="128"/>
      <c r="AK1242" s="128"/>
      <c r="AL1242" s="129"/>
      <c r="AM1242" s="129"/>
      <c r="AN1242" s="139"/>
    </row>
    <row r="1243">
      <c r="A1243" s="129"/>
      <c r="B1243" s="119"/>
      <c r="C1243" s="128"/>
      <c r="D1243" s="142"/>
      <c r="E1243" s="122"/>
      <c r="F1243" s="136"/>
      <c r="G1243" s="152"/>
      <c r="H1243" s="155"/>
      <c r="I1243" s="155"/>
      <c r="J1243" s="155"/>
      <c r="K1243" s="155"/>
      <c r="L1243" s="155"/>
      <c r="M1243" s="126"/>
      <c r="N1243" s="127"/>
      <c r="O1243" s="127"/>
      <c r="P1243" s="127"/>
      <c r="Q1243" s="126"/>
      <c r="R1243" s="128"/>
      <c r="S1243" s="128"/>
      <c r="T1243" s="128"/>
      <c r="U1243" s="128"/>
      <c r="V1243" s="129"/>
      <c r="W1243" s="129"/>
      <c r="X1243" s="129"/>
      <c r="Y1243" s="129"/>
      <c r="Z1243" s="145" t="b">
        <v>0</v>
      </c>
      <c r="AA1243" s="145"/>
      <c r="AB1243" s="129"/>
      <c r="AC1243" s="129"/>
      <c r="AD1243" s="129"/>
      <c r="AE1243" s="129"/>
      <c r="AF1243" s="132"/>
      <c r="AG1243" s="128" t="b">
        <v>0</v>
      </c>
      <c r="AH1243" s="128"/>
      <c r="AI1243" s="128"/>
      <c r="AJ1243" s="128"/>
      <c r="AK1243" s="128"/>
      <c r="AL1243" s="129"/>
      <c r="AM1243" s="129"/>
      <c r="AN1243" s="139"/>
    </row>
    <row r="1244">
      <c r="A1244" s="129"/>
      <c r="B1244" s="119"/>
      <c r="C1244" s="128"/>
      <c r="D1244" s="142"/>
      <c r="E1244" s="122"/>
      <c r="F1244" s="136"/>
      <c r="G1244" s="152"/>
      <c r="H1244" s="155"/>
      <c r="I1244" s="155"/>
      <c r="J1244" s="155"/>
      <c r="K1244" s="155"/>
      <c r="L1244" s="155"/>
      <c r="M1244" s="126"/>
      <c r="N1244" s="127"/>
      <c r="O1244" s="127"/>
      <c r="P1244" s="127"/>
      <c r="Q1244" s="126"/>
      <c r="R1244" s="128"/>
      <c r="S1244" s="128"/>
      <c r="T1244" s="128"/>
      <c r="U1244" s="128"/>
      <c r="V1244" s="129"/>
      <c r="W1244" s="129"/>
      <c r="X1244" s="129"/>
      <c r="Y1244" s="129"/>
      <c r="Z1244" s="145" t="b">
        <v>0</v>
      </c>
      <c r="AA1244" s="145"/>
      <c r="AB1244" s="129"/>
      <c r="AC1244" s="129"/>
      <c r="AD1244" s="129"/>
      <c r="AE1244" s="129"/>
      <c r="AF1244" s="132"/>
      <c r="AG1244" s="128" t="b">
        <v>0</v>
      </c>
      <c r="AH1244" s="128"/>
      <c r="AI1244" s="128"/>
      <c r="AJ1244" s="128"/>
      <c r="AK1244" s="128"/>
      <c r="AL1244" s="129"/>
      <c r="AM1244" s="129"/>
      <c r="AN1244" s="139"/>
    </row>
    <row r="1245">
      <c r="A1245" s="129"/>
      <c r="B1245" s="119"/>
      <c r="C1245" s="128"/>
      <c r="D1245" s="142"/>
      <c r="E1245" s="122"/>
      <c r="F1245" s="136"/>
      <c r="G1245" s="152"/>
      <c r="H1245" s="155"/>
      <c r="I1245" s="155"/>
      <c r="J1245" s="155"/>
      <c r="K1245" s="155"/>
      <c r="L1245" s="155"/>
      <c r="M1245" s="126"/>
      <c r="N1245" s="127"/>
      <c r="O1245" s="127"/>
      <c r="P1245" s="127"/>
      <c r="Q1245" s="126"/>
      <c r="R1245" s="128"/>
      <c r="S1245" s="128"/>
      <c r="T1245" s="128"/>
      <c r="U1245" s="128"/>
      <c r="V1245" s="129"/>
      <c r="W1245" s="129"/>
      <c r="X1245" s="129"/>
      <c r="Y1245" s="129"/>
      <c r="Z1245" s="145" t="b">
        <v>0</v>
      </c>
      <c r="AA1245" s="145"/>
      <c r="AB1245" s="129"/>
      <c r="AC1245" s="129"/>
      <c r="AD1245" s="129"/>
      <c r="AE1245" s="129"/>
      <c r="AF1245" s="132"/>
      <c r="AG1245" s="128" t="b">
        <v>0</v>
      </c>
      <c r="AH1245" s="128"/>
      <c r="AI1245" s="128"/>
      <c r="AJ1245" s="128"/>
      <c r="AK1245" s="128"/>
      <c r="AL1245" s="129"/>
      <c r="AM1245" s="129"/>
      <c r="AN1245" s="139"/>
    </row>
    <row r="1246">
      <c r="A1246" s="129"/>
      <c r="B1246" s="119"/>
      <c r="C1246" s="128"/>
      <c r="D1246" s="142"/>
      <c r="E1246" s="122"/>
      <c r="F1246" s="136"/>
      <c r="G1246" s="152"/>
      <c r="H1246" s="155"/>
      <c r="I1246" s="155"/>
      <c r="J1246" s="155"/>
      <c r="K1246" s="155"/>
      <c r="L1246" s="155"/>
      <c r="M1246" s="126"/>
      <c r="N1246" s="127"/>
      <c r="O1246" s="127"/>
      <c r="P1246" s="127"/>
      <c r="Q1246" s="126"/>
      <c r="R1246" s="128"/>
      <c r="S1246" s="128"/>
      <c r="T1246" s="128"/>
      <c r="U1246" s="128"/>
      <c r="V1246" s="129"/>
      <c r="W1246" s="129"/>
      <c r="X1246" s="129"/>
      <c r="Y1246" s="129"/>
      <c r="Z1246" s="145" t="b">
        <v>0</v>
      </c>
      <c r="AA1246" s="145"/>
      <c r="AB1246" s="129"/>
      <c r="AC1246" s="129"/>
      <c r="AD1246" s="129"/>
      <c r="AE1246" s="129"/>
      <c r="AF1246" s="132"/>
      <c r="AG1246" s="128" t="b">
        <v>0</v>
      </c>
      <c r="AH1246" s="128"/>
      <c r="AI1246" s="128"/>
      <c r="AJ1246" s="128"/>
      <c r="AK1246" s="128"/>
      <c r="AL1246" s="129"/>
      <c r="AM1246" s="129"/>
      <c r="AN1246" s="139"/>
    </row>
    <row r="1247">
      <c r="A1247" s="129"/>
      <c r="B1247" s="119"/>
      <c r="C1247" s="128"/>
      <c r="D1247" s="142"/>
      <c r="E1247" s="122"/>
      <c r="F1247" s="136"/>
      <c r="G1247" s="152"/>
      <c r="H1247" s="155"/>
      <c r="I1247" s="155"/>
      <c r="J1247" s="155"/>
      <c r="K1247" s="155"/>
      <c r="L1247" s="155"/>
      <c r="M1247" s="126"/>
      <c r="N1247" s="127"/>
      <c r="O1247" s="127"/>
      <c r="P1247" s="127"/>
      <c r="Q1247" s="126"/>
      <c r="R1247" s="128"/>
      <c r="S1247" s="128"/>
      <c r="T1247" s="128"/>
      <c r="U1247" s="128"/>
      <c r="V1247" s="129"/>
      <c r="W1247" s="129"/>
      <c r="X1247" s="129"/>
      <c r="Y1247" s="129"/>
      <c r="Z1247" s="145" t="b">
        <v>0</v>
      </c>
      <c r="AA1247" s="145"/>
      <c r="AB1247" s="129"/>
      <c r="AC1247" s="129"/>
      <c r="AD1247" s="129"/>
      <c r="AE1247" s="129"/>
      <c r="AF1247" s="132"/>
      <c r="AG1247" s="128" t="b">
        <v>0</v>
      </c>
      <c r="AH1247" s="128"/>
      <c r="AI1247" s="128"/>
      <c r="AJ1247" s="128"/>
      <c r="AK1247" s="128"/>
      <c r="AL1247" s="129"/>
      <c r="AM1247" s="129"/>
      <c r="AN1247" s="139"/>
    </row>
    <row r="1248">
      <c r="A1248" s="129"/>
      <c r="B1248" s="119"/>
      <c r="C1248" s="128"/>
      <c r="D1248" s="142"/>
      <c r="E1248" s="122"/>
      <c r="F1248" s="136"/>
      <c r="G1248" s="152"/>
      <c r="H1248" s="155"/>
      <c r="I1248" s="155"/>
      <c r="J1248" s="155"/>
      <c r="K1248" s="155"/>
      <c r="L1248" s="155"/>
      <c r="M1248" s="126"/>
      <c r="N1248" s="127"/>
      <c r="O1248" s="127"/>
      <c r="P1248" s="127"/>
      <c r="Q1248" s="126"/>
      <c r="R1248" s="128"/>
      <c r="S1248" s="128"/>
      <c r="T1248" s="128"/>
      <c r="U1248" s="128"/>
      <c r="V1248" s="129"/>
      <c r="W1248" s="129"/>
      <c r="X1248" s="129"/>
      <c r="Y1248" s="129"/>
      <c r="Z1248" s="145" t="b">
        <v>0</v>
      </c>
      <c r="AA1248" s="145"/>
      <c r="AB1248" s="129"/>
      <c r="AC1248" s="129"/>
      <c r="AD1248" s="129"/>
      <c r="AE1248" s="129"/>
      <c r="AF1248" s="132"/>
      <c r="AG1248" s="128" t="b">
        <v>0</v>
      </c>
      <c r="AH1248" s="128"/>
      <c r="AI1248" s="128"/>
      <c r="AJ1248" s="128"/>
      <c r="AK1248" s="128"/>
      <c r="AL1248" s="129"/>
      <c r="AM1248" s="129"/>
      <c r="AN1248" s="139"/>
    </row>
    <row r="1249">
      <c r="A1249" s="129"/>
      <c r="B1249" s="119"/>
      <c r="C1249" s="128"/>
      <c r="D1249" s="142"/>
      <c r="E1249" s="122"/>
      <c r="F1249" s="136"/>
      <c r="G1249" s="152"/>
      <c r="H1249" s="155"/>
      <c r="I1249" s="155"/>
      <c r="J1249" s="155"/>
      <c r="K1249" s="155"/>
      <c r="L1249" s="155"/>
      <c r="M1249" s="126"/>
      <c r="N1249" s="127"/>
      <c r="O1249" s="127"/>
      <c r="P1249" s="127"/>
      <c r="Q1249" s="126"/>
      <c r="R1249" s="128"/>
      <c r="S1249" s="128"/>
      <c r="T1249" s="128"/>
      <c r="U1249" s="128"/>
      <c r="V1249" s="129"/>
      <c r="W1249" s="129"/>
      <c r="X1249" s="129"/>
      <c r="Y1249" s="129"/>
      <c r="Z1249" s="145" t="b">
        <v>0</v>
      </c>
      <c r="AA1249" s="145"/>
      <c r="AB1249" s="129"/>
      <c r="AC1249" s="129"/>
      <c r="AD1249" s="129"/>
      <c r="AE1249" s="129"/>
      <c r="AF1249" s="132"/>
      <c r="AG1249" s="128" t="b">
        <v>0</v>
      </c>
      <c r="AH1249" s="128"/>
      <c r="AI1249" s="128"/>
      <c r="AJ1249" s="128"/>
      <c r="AK1249" s="128"/>
      <c r="AL1249" s="129"/>
      <c r="AM1249" s="129"/>
      <c r="AN1249" s="139"/>
    </row>
    <row r="1250">
      <c r="A1250" s="129"/>
      <c r="B1250" s="119"/>
      <c r="C1250" s="128"/>
      <c r="D1250" s="142"/>
      <c r="E1250" s="122"/>
      <c r="F1250" s="136"/>
      <c r="G1250" s="152"/>
      <c r="H1250" s="155"/>
      <c r="I1250" s="155"/>
      <c r="J1250" s="155"/>
      <c r="K1250" s="155"/>
      <c r="L1250" s="155"/>
      <c r="M1250" s="126"/>
      <c r="N1250" s="127"/>
      <c r="O1250" s="127"/>
      <c r="P1250" s="127"/>
      <c r="Q1250" s="126"/>
      <c r="R1250" s="128"/>
      <c r="S1250" s="128"/>
      <c r="T1250" s="128"/>
      <c r="U1250" s="128"/>
      <c r="V1250" s="129"/>
      <c r="W1250" s="129"/>
      <c r="X1250" s="129"/>
      <c r="Y1250" s="129"/>
      <c r="Z1250" s="145" t="b">
        <v>0</v>
      </c>
      <c r="AA1250" s="145"/>
      <c r="AB1250" s="129"/>
      <c r="AC1250" s="129"/>
      <c r="AD1250" s="129"/>
      <c r="AE1250" s="129"/>
      <c r="AF1250" s="132"/>
      <c r="AG1250" s="128" t="b">
        <v>0</v>
      </c>
      <c r="AH1250" s="128"/>
      <c r="AI1250" s="128"/>
      <c r="AJ1250" s="128"/>
      <c r="AK1250" s="128"/>
      <c r="AL1250" s="129"/>
      <c r="AM1250" s="129"/>
      <c r="AN1250" s="139"/>
    </row>
    <row r="1251">
      <c r="A1251" s="129"/>
      <c r="B1251" s="119"/>
      <c r="C1251" s="128"/>
      <c r="D1251" s="142"/>
      <c r="E1251" s="122"/>
      <c r="F1251" s="136"/>
      <c r="G1251" s="152"/>
      <c r="H1251" s="155"/>
      <c r="I1251" s="155"/>
      <c r="J1251" s="155"/>
      <c r="K1251" s="155"/>
      <c r="L1251" s="155"/>
      <c r="M1251" s="126"/>
      <c r="N1251" s="127"/>
      <c r="O1251" s="127"/>
      <c r="P1251" s="127"/>
      <c r="Q1251" s="126"/>
      <c r="R1251" s="128"/>
      <c r="S1251" s="128"/>
      <c r="T1251" s="128"/>
      <c r="U1251" s="128"/>
      <c r="V1251" s="129"/>
      <c r="W1251" s="129"/>
      <c r="X1251" s="129"/>
      <c r="Y1251" s="129"/>
      <c r="Z1251" s="145" t="b">
        <v>0</v>
      </c>
      <c r="AA1251" s="145"/>
      <c r="AB1251" s="129"/>
      <c r="AC1251" s="129"/>
      <c r="AD1251" s="129"/>
      <c r="AE1251" s="129"/>
      <c r="AF1251" s="132"/>
      <c r="AG1251" s="128" t="b">
        <v>0</v>
      </c>
      <c r="AH1251" s="128"/>
      <c r="AI1251" s="128"/>
      <c r="AJ1251" s="128"/>
      <c r="AK1251" s="128"/>
      <c r="AL1251" s="129"/>
      <c r="AM1251" s="129"/>
      <c r="AN1251" s="139"/>
    </row>
    <row r="1252">
      <c r="A1252" s="129"/>
      <c r="B1252" s="119"/>
      <c r="C1252" s="128"/>
      <c r="D1252" s="142"/>
      <c r="E1252" s="122"/>
      <c r="F1252" s="136"/>
      <c r="G1252" s="152"/>
      <c r="H1252" s="155"/>
      <c r="I1252" s="155"/>
      <c r="J1252" s="155"/>
      <c r="K1252" s="155"/>
      <c r="L1252" s="155"/>
      <c r="M1252" s="126"/>
      <c r="N1252" s="127"/>
      <c r="O1252" s="127"/>
      <c r="P1252" s="127"/>
      <c r="Q1252" s="126"/>
      <c r="R1252" s="128"/>
      <c r="S1252" s="128"/>
      <c r="T1252" s="128"/>
      <c r="U1252" s="128"/>
      <c r="V1252" s="129"/>
      <c r="W1252" s="129"/>
      <c r="X1252" s="129"/>
      <c r="Y1252" s="129"/>
      <c r="Z1252" s="145" t="b">
        <v>0</v>
      </c>
      <c r="AA1252" s="145"/>
      <c r="AB1252" s="129"/>
      <c r="AC1252" s="129"/>
      <c r="AD1252" s="129"/>
      <c r="AE1252" s="129"/>
      <c r="AF1252" s="132"/>
      <c r="AG1252" s="128" t="b">
        <v>0</v>
      </c>
      <c r="AH1252" s="128"/>
      <c r="AI1252" s="128"/>
      <c r="AJ1252" s="128"/>
      <c r="AK1252" s="128"/>
      <c r="AL1252" s="129"/>
      <c r="AM1252" s="129"/>
      <c r="AN1252" s="139"/>
    </row>
    <row r="1253">
      <c r="A1253" s="129"/>
      <c r="B1253" s="119"/>
      <c r="C1253" s="128"/>
      <c r="D1253" s="142"/>
      <c r="E1253" s="122"/>
      <c r="F1253" s="136"/>
      <c r="G1253" s="152"/>
      <c r="H1253" s="155"/>
      <c r="I1253" s="155"/>
      <c r="J1253" s="155"/>
      <c r="K1253" s="155"/>
      <c r="L1253" s="155"/>
      <c r="M1253" s="126"/>
      <c r="N1253" s="127"/>
      <c r="O1253" s="127"/>
      <c r="P1253" s="127"/>
      <c r="Q1253" s="126"/>
      <c r="R1253" s="128"/>
      <c r="S1253" s="128"/>
      <c r="T1253" s="128"/>
      <c r="U1253" s="128"/>
      <c r="V1253" s="129"/>
      <c r="W1253" s="129"/>
      <c r="X1253" s="129"/>
      <c r="Y1253" s="129"/>
      <c r="Z1253" s="145" t="b">
        <v>0</v>
      </c>
      <c r="AA1253" s="145"/>
      <c r="AB1253" s="129"/>
      <c r="AC1253" s="129"/>
      <c r="AD1253" s="129"/>
      <c r="AE1253" s="129"/>
      <c r="AF1253" s="132"/>
      <c r="AG1253" s="128" t="b">
        <v>0</v>
      </c>
      <c r="AH1253" s="128"/>
      <c r="AI1253" s="128"/>
      <c r="AJ1253" s="128"/>
      <c r="AK1253" s="128"/>
      <c r="AL1253" s="129"/>
      <c r="AM1253" s="129"/>
      <c r="AN1253" s="139"/>
    </row>
    <row r="1254">
      <c r="A1254" s="129"/>
      <c r="B1254" s="119"/>
      <c r="C1254" s="128"/>
      <c r="D1254" s="142"/>
      <c r="E1254" s="122"/>
      <c r="F1254" s="136"/>
      <c r="G1254" s="152"/>
      <c r="H1254" s="155"/>
      <c r="I1254" s="155"/>
      <c r="J1254" s="155"/>
      <c r="K1254" s="155"/>
      <c r="L1254" s="155"/>
      <c r="M1254" s="126"/>
      <c r="N1254" s="127"/>
      <c r="O1254" s="127"/>
      <c r="P1254" s="127"/>
      <c r="Q1254" s="126"/>
      <c r="R1254" s="128"/>
      <c r="S1254" s="128"/>
      <c r="T1254" s="128"/>
      <c r="U1254" s="128"/>
      <c r="V1254" s="129"/>
      <c r="W1254" s="129"/>
      <c r="X1254" s="129"/>
      <c r="Y1254" s="129"/>
      <c r="Z1254" s="145" t="b">
        <v>0</v>
      </c>
      <c r="AA1254" s="145"/>
      <c r="AB1254" s="129"/>
      <c r="AC1254" s="129"/>
      <c r="AD1254" s="129"/>
      <c r="AE1254" s="129"/>
      <c r="AF1254" s="132"/>
      <c r="AG1254" s="128" t="b">
        <v>0</v>
      </c>
      <c r="AH1254" s="128"/>
      <c r="AI1254" s="128"/>
      <c r="AJ1254" s="128"/>
      <c r="AK1254" s="128"/>
      <c r="AL1254" s="129"/>
      <c r="AM1254" s="129"/>
      <c r="AN1254" s="139"/>
    </row>
    <row r="1255">
      <c r="A1255" s="129"/>
      <c r="B1255" s="119"/>
      <c r="C1255" s="128"/>
      <c r="D1255" s="142"/>
      <c r="E1255" s="122"/>
      <c r="F1255" s="136"/>
      <c r="G1255" s="152"/>
      <c r="H1255" s="155"/>
      <c r="I1255" s="155"/>
      <c r="J1255" s="155"/>
      <c r="K1255" s="155"/>
      <c r="L1255" s="155"/>
      <c r="M1255" s="126"/>
      <c r="N1255" s="127"/>
      <c r="O1255" s="127"/>
      <c r="P1255" s="127"/>
      <c r="Q1255" s="126"/>
      <c r="R1255" s="128"/>
      <c r="S1255" s="128"/>
      <c r="T1255" s="128"/>
      <c r="U1255" s="128"/>
      <c r="V1255" s="129"/>
      <c r="W1255" s="129"/>
      <c r="X1255" s="129"/>
      <c r="Y1255" s="129"/>
      <c r="Z1255" s="145" t="b">
        <v>0</v>
      </c>
      <c r="AA1255" s="145"/>
      <c r="AB1255" s="129"/>
      <c r="AC1255" s="129"/>
      <c r="AD1255" s="129"/>
      <c r="AE1255" s="129"/>
      <c r="AF1255" s="132"/>
      <c r="AG1255" s="128" t="b">
        <v>0</v>
      </c>
      <c r="AH1255" s="128"/>
      <c r="AI1255" s="128"/>
      <c r="AJ1255" s="128"/>
      <c r="AK1255" s="128"/>
      <c r="AL1255" s="129"/>
      <c r="AM1255" s="129"/>
      <c r="AN1255" s="139"/>
    </row>
    <row r="1256">
      <c r="A1256" s="129"/>
      <c r="B1256" s="119"/>
      <c r="C1256" s="128"/>
      <c r="D1256" s="142"/>
      <c r="E1256" s="122"/>
      <c r="F1256" s="136"/>
      <c r="G1256" s="152"/>
      <c r="H1256" s="155"/>
      <c r="I1256" s="155"/>
      <c r="J1256" s="155"/>
      <c r="K1256" s="155"/>
      <c r="L1256" s="155"/>
      <c r="M1256" s="126"/>
      <c r="N1256" s="127"/>
      <c r="O1256" s="127"/>
      <c r="P1256" s="127"/>
      <c r="Q1256" s="126"/>
      <c r="R1256" s="128"/>
      <c r="S1256" s="128"/>
      <c r="T1256" s="128"/>
      <c r="U1256" s="128"/>
      <c r="V1256" s="129"/>
      <c r="W1256" s="129"/>
      <c r="X1256" s="129"/>
      <c r="Y1256" s="129"/>
      <c r="Z1256" s="145" t="b">
        <v>0</v>
      </c>
      <c r="AA1256" s="145"/>
      <c r="AB1256" s="129"/>
      <c r="AC1256" s="129"/>
      <c r="AD1256" s="129"/>
      <c r="AE1256" s="129"/>
      <c r="AF1256" s="132"/>
      <c r="AG1256" s="128" t="b">
        <v>0</v>
      </c>
      <c r="AH1256" s="128"/>
      <c r="AI1256" s="128"/>
      <c r="AJ1256" s="128"/>
      <c r="AK1256" s="128"/>
      <c r="AL1256" s="129"/>
      <c r="AM1256" s="129"/>
      <c r="AN1256" s="139"/>
    </row>
    <row r="1257">
      <c r="A1257" s="129"/>
      <c r="B1257" s="119"/>
      <c r="C1257" s="128"/>
      <c r="D1257" s="142"/>
      <c r="E1257" s="122"/>
      <c r="F1257" s="136"/>
      <c r="G1257" s="152"/>
      <c r="H1257" s="155"/>
      <c r="I1257" s="155"/>
      <c r="J1257" s="155"/>
      <c r="K1257" s="155"/>
      <c r="L1257" s="155"/>
      <c r="M1257" s="126"/>
      <c r="N1257" s="127"/>
      <c r="O1257" s="127"/>
      <c r="P1257" s="127"/>
      <c r="Q1257" s="126"/>
      <c r="R1257" s="128"/>
      <c r="S1257" s="128"/>
      <c r="T1257" s="128"/>
      <c r="U1257" s="128"/>
      <c r="V1257" s="129"/>
      <c r="W1257" s="129"/>
      <c r="X1257" s="129"/>
      <c r="Y1257" s="129"/>
      <c r="Z1257" s="145" t="b">
        <v>0</v>
      </c>
      <c r="AA1257" s="145"/>
      <c r="AB1257" s="129"/>
      <c r="AC1257" s="129"/>
      <c r="AD1257" s="129"/>
      <c r="AE1257" s="129"/>
      <c r="AF1257" s="132"/>
      <c r="AG1257" s="128" t="b">
        <v>0</v>
      </c>
      <c r="AH1257" s="128"/>
      <c r="AI1257" s="128"/>
      <c r="AJ1257" s="128"/>
      <c r="AK1257" s="128"/>
      <c r="AL1257" s="129"/>
      <c r="AM1257" s="129"/>
      <c r="AN1257" s="139"/>
    </row>
    <row r="1258">
      <c r="A1258" s="129"/>
      <c r="B1258" s="119"/>
      <c r="C1258" s="128"/>
      <c r="D1258" s="142"/>
      <c r="E1258" s="122"/>
      <c r="F1258" s="136"/>
      <c r="G1258" s="152"/>
      <c r="H1258" s="155"/>
      <c r="I1258" s="155"/>
      <c r="J1258" s="155"/>
      <c r="K1258" s="155"/>
      <c r="L1258" s="155"/>
      <c r="M1258" s="126"/>
      <c r="N1258" s="127"/>
      <c r="O1258" s="127"/>
      <c r="P1258" s="127"/>
      <c r="Q1258" s="126"/>
      <c r="R1258" s="128"/>
      <c r="S1258" s="128"/>
      <c r="T1258" s="128"/>
      <c r="U1258" s="128"/>
      <c r="V1258" s="129"/>
      <c r="W1258" s="129"/>
      <c r="X1258" s="129"/>
      <c r="Y1258" s="129"/>
      <c r="Z1258" s="145" t="b">
        <v>0</v>
      </c>
      <c r="AA1258" s="145"/>
      <c r="AB1258" s="129"/>
      <c r="AC1258" s="129"/>
      <c r="AD1258" s="129"/>
      <c r="AE1258" s="129"/>
      <c r="AF1258" s="132"/>
      <c r="AG1258" s="128" t="b">
        <v>0</v>
      </c>
      <c r="AH1258" s="128"/>
      <c r="AI1258" s="128"/>
      <c r="AJ1258" s="128"/>
      <c r="AK1258" s="128"/>
      <c r="AL1258" s="129"/>
      <c r="AM1258" s="129"/>
      <c r="AN1258" s="139"/>
    </row>
    <row r="1259">
      <c r="A1259" s="129"/>
      <c r="B1259" s="119"/>
      <c r="C1259" s="128"/>
      <c r="D1259" s="142"/>
      <c r="E1259" s="122"/>
      <c r="F1259" s="136"/>
      <c r="G1259" s="152"/>
      <c r="H1259" s="155"/>
      <c r="I1259" s="155"/>
      <c r="J1259" s="155"/>
      <c r="K1259" s="155"/>
      <c r="L1259" s="155"/>
      <c r="M1259" s="126"/>
      <c r="N1259" s="127"/>
      <c r="O1259" s="127"/>
      <c r="P1259" s="127"/>
      <c r="Q1259" s="126"/>
      <c r="R1259" s="128"/>
      <c r="S1259" s="128"/>
      <c r="T1259" s="128"/>
      <c r="U1259" s="128"/>
      <c r="V1259" s="129"/>
      <c r="W1259" s="129"/>
      <c r="X1259" s="129"/>
      <c r="Y1259" s="129"/>
      <c r="Z1259" s="145" t="b">
        <v>0</v>
      </c>
      <c r="AA1259" s="145"/>
      <c r="AB1259" s="129"/>
      <c r="AC1259" s="129"/>
      <c r="AD1259" s="129"/>
      <c r="AE1259" s="129"/>
      <c r="AF1259" s="132"/>
      <c r="AG1259" s="128" t="b">
        <v>0</v>
      </c>
      <c r="AH1259" s="128"/>
      <c r="AI1259" s="128"/>
      <c r="AJ1259" s="128"/>
      <c r="AK1259" s="128"/>
      <c r="AL1259" s="129"/>
      <c r="AM1259" s="129"/>
      <c r="AN1259" s="139"/>
    </row>
    <row r="1260">
      <c r="A1260" s="129"/>
      <c r="B1260" s="119"/>
      <c r="C1260" s="128"/>
      <c r="D1260" s="142"/>
      <c r="E1260" s="122"/>
      <c r="F1260" s="136"/>
      <c r="G1260" s="152"/>
      <c r="H1260" s="155"/>
      <c r="I1260" s="155"/>
      <c r="J1260" s="155"/>
      <c r="K1260" s="155"/>
      <c r="L1260" s="155"/>
      <c r="M1260" s="126"/>
      <c r="N1260" s="127"/>
      <c r="O1260" s="127"/>
      <c r="P1260" s="127"/>
      <c r="Q1260" s="126"/>
      <c r="R1260" s="128"/>
      <c r="S1260" s="128"/>
      <c r="T1260" s="128"/>
      <c r="U1260" s="128"/>
      <c r="V1260" s="129"/>
      <c r="W1260" s="129"/>
      <c r="X1260" s="129"/>
      <c r="Y1260" s="129"/>
      <c r="Z1260" s="145" t="b">
        <v>0</v>
      </c>
      <c r="AA1260" s="145"/>
      <c r="AB1260" s="129"/>
      <c r="AC1260" s="129"/>
      <c r="AD1260" s="129"/>
      <c r="AE1260" s="129"/>
      <c r="AF1260" s="132"/>
      <c r="AG1260" s="128" t="b">
        <v>0</v>
      </c>
      <c r="AH1260" s="128"/>
      <c r="AI1260" s="128"/>
      <c r="AJ1260" s="128"/>
      <c r="AK1260" s="128"/>
      <c r="AL1260" s="129"/>
      <c r="AM1260" s="129"/>
      <c r="AN1260" s="139"/>
    </row>
    <row r="1261">
      <c r="A1261" s="129"/>
      <c r="B1261" s="119"/>
      <c r="C1261" s="128"/>
      <c r="D1261" s="142"/>
      <c r="E1261" s="122"/>
      <c r="F1261" s="136"/>
      <c r="G1261" s="152"/>
      <c r="H1261" s="155"/>
      <c r="I1261" s="155"/>
      <c r="J1261" s="155"/>
      <c r="K1261" s="155"/>
      <c r="L1261" s="155"/>
      <c r="M1261" s="126"/>
      <c r="N1261" s="127"/>
      <c r="O1261" s="127"/>
      <c r="P1261" s="127"/>
      <c r="Q1261" s="126"/>
      <c r="R1261" s="128"/>
      <c r="S1261" s="128"/>
      <c r="T1261" s="128"/>
      <c r="U1261" s="128"/>
      <c r="V1261" s="129"/>
      <c r="W1261" s="129"/>
      <c r="X1261" s="129"/>
      <c r="Y1261" s="129"/>
      <c r="Z1261" s="145" t="b">
        <v>0</v>
      </c>
      <c r="AA1261" s="145"/>
      <c r="AB1261" s="129"/>
      <c r="AC1261" s="129"/>
      <c r="AD1261" s="129"/>
      <c r="AE1261" s="129"/>
      <c r="AF1261" s="132"/>
      <c r="AG1261" s="128" t="b">
        <v>0</v>
      </c>
      <c r="AH1261" s="128"/>
      <c r="AI1261" s="128"/>
      <c r="AJ1261" s="128"/>
      <c r="AK1261" s="128"/>
      <c r="AL1261" s="129"/>
      <c r="AM1261" s="129"/>
      <c r="AN1261" s="139"/>
    </row>
    <row r="1262">
      <c r="A1262" s="129"/>
      <c r="B1262" s="119"/>
      <c r="C1262" s="128"/>
      <c r="D1262" s="142"/>
      <c r="E1262" s="122"/>
      <c r="F1262" s="136"/>
      <c r="G1262" s="152"/>
      <c r="H1262" s="155"/>
      <c r="I1262" s="155"/>
      <c r="J1262" s="155"/>
      <c r="K1262" s="155"/>
      <c r="L1262" s="155"/>
      <c r="M1262" s="126"/>
      <c r="N1262" s="127"/>
      <c r="O1262" s="127"/>
      <c r="P1262" s="127"/>
      <c r="Q1262" s="126"/>
      <c r="R1262" s="128"/>
      <c r="S1262" s="128"/>
      <c r="T1262" s="128"/>
      <c r="U1262" s="128"/>
      <c r="V1262" s="129"/>
      <c r="W1262" s="129"/>
      <c r="X1262" s="129"/>
      <c r="Y1262" s="129"/>
      <c r="Z1262" s="145" t="b">
        <v>0</v>
      </c>
      <c r="AA1262" s="145"/>
      <c r="AB1262" s="129"/>
      <c r="AC1262" s="129"/>
      <c r="AD1262" s="129"/>
      <c r="AE1262" s="129"/>
      <c r="AF1262" s="132"/>
      <c r="AG1262" s="128" t="b">
        <v>0</v>
      </c>
      <c r="AH1262" s="128"/>
      <c r="AI1262" s="128"/>
      <c r="AJ1262" s="128"/>
      <c r="AK1262" s="128"/>
      <c r="AL1262" s="129"/>
      <c r="AM1262" s="129"/>
      <c r="AN1262" s="139"/>
    </row>
    <row r="1263">
      <c r="A1263" s="129"/>
      <c r="B1263" s="119"/>
      <c r="C1263" s="128"/>
      <c r="D1263" s="142"/>
      <c r="E1263" s="122"/>
      <c r="F1263" s="136"/>
      <c r="G1263" s="152"/>
      <c r="H1263" s="155"/>
      <c r="I1263" s="155"/>
      <c r="J1263" s="155"/>
      <c r="K1263" s="155"/>
      <c r="L1263" s="155"/>
      <c r="M1263" s="126"/>
      <c r="N1263" s="127"/>
      <c r="O1263" s="127"/>
      <c r="P1263" s="127"/>
      <c r="Q1263" s="126"/>
      <c r="R1263" s="128"/>
      <c r="S1263" s="128"/>
      <c r="T1263" s="128"/>
      <c r="U1263" s="128"/>
      <c r="V1263" s="129"/>
      <c r="W1263" s="129"/>
      <c r="X1263" s="129"/>
      <c r="Y1263" s="129"/>
      <c r="Z1263" s="145" t="b">
        <v>0</v>
      </c>
      <c r="AA1263" s="145"/>
      <c r="AB1263" s="129"/>
      <c r="AC1263" s="129"/>
      <c r="AD1263" s="129"/>
      <c r="AE1263" s="129"/>
      <c r="AF1263" s="132"/>
      <c r="AG1263" s="128" t="b">
        <v>0</v>
      </c>
      <c r="AH1263" s="128"/>
      <c r="AI1263" s="128"/>
      <c r="AJ1263" s="128"/>
      <c r="AK1263" s="128"/>
      <c r="AL1263" s="129"/>
      <c r="AM1263" s="129"/>
      <c r="AN1263" s="139"/>
    </row>
    <row r="1264">
      <c r="A1264" s="129"/>
      <c r="B1264" s="119"/>
      <c r="C1264" s="128"/>
      <c r="D1264" s="142"/>
      <c r="E1264" s="122"/>
      <c r="F1264" s="136"/>
      <c r="G1264" s="152"/>
      <c r="H1264" s="155"/>
      <c r="I1264" s="155"/>
      <c r="J1264" s="155"/>
      <c r="K1264" s="155"/>
      <c r="L1264" s="155"/>
      <c r="M1264" s="126"/>
      <c r="N1264" s="127"/>
      <c r="O1264" s="127"/>
      <c r="P1264" s="127"/>
      <c r="Q1264" s="126"/>
      <c r="R1264" s="128"/>
      <c r="S1264" s="128"/>
      <c r="T1264" s="128"/>
      <c r="U1264" s="128"/>
      <c r="V1264" s="129"/>
      <c r="W1264" s="129"/>
      <c r="X1264" s="129"/>
      <c r="Y1264" s="129"/>
      <c r="Z1264" s="145" t="b">
        <v>0</v>
      </c>
      <c r="AA1264" s="145"/>
      <c r="AB1264" s="129"/>
      <c r="AC1264" s="129"/>
      <c r="AD1264" s="129"/>
      <c r="AE1264" s="129"/>
      <c r="AF1264" s="132"/>
      <c r="AG1264" s="128" t="b">
        <v>0</v>
      </c>
      <c r="AH1264" s="128"/>
      <c r="AI1264" s="128"/>
      <c r="AJ1264" s="128"/>
      <c r="AK1264" s="128"/>
      <c r="AL1264" s="129"/>
      <c r="AM1264" s="129"/>
      <c r="AN1264" s="139"/>
    </row>
    <row r="1265">
      <c r="A1265" s="129"/>
      <c r="B1265" s="119"/>
      <c r="C1265" s="128"/>
      <c r="D1265" s="142"/>
      <c r="E1265" s="122"/>
      <c r="F1265" s="136"/>
      <c r="G1265" s="152"/>
      <c r="H1265" s="155"/>
      <c r="I1265" s="155"/>
      <c r="J1265" s="155"/>
      <c r="K1265" s="155"/>
      <c r="L1265" s="155"/>
      <c r="M1265" s="126"/>
      <c r="N1265" s="127"/>
      <c r="O1265" s="127"/>
      <c r="P1265" s="127"/>
      <c r="Q1265" s="126"/>
      <c r="R1265" s="128"/>
      <c r="S1265" s="128"/>
      <c r="T1265" s="128"/>
      <c r="U1265" s="128"/>
      <c r="V1265" s="129"/>
      <c r="W1265" s="129"/>
      <c r="X1265" s="129"/>
      <c r="Y1265" s="129"/>
      <c r="Z1265" s="145" t="b">
        <v>0</v>
      </c>
      <c r="AA1265" s="145"/>
      <c r="AB1265" s="129"/>
      <c r="AC1265" s="129"/>
      <c r="AD1265" s="129"/>
      <c r="AE1265" s="129"/>
      <c r="AF1265" s="132"/>
      <c r="AG1265" s="128" t="b">
        <v>0</v>
      </c>
      <c r="AH1265" s="128"/>
      <c r="AI1265" s="128"/>
      <c r="AJ1265" s="128"/>
      <c r="AK1265" s="128"/>
      <c r="AL1265" s="129"/>
      <c r="AM1265" s="129"/>
      <c r="AN1265" s="139"/>
    </row>
    <row r="1266">
      <c r="A1266" s="129"/>
      <c r="B1266" s="119"/>
      <c r="C1266" s="128"/>
      <c r="D1266" s="142"/>
      <c r="E1266" s="122"/>
      <c r="F1266" s="136"/>
      <c r="G1266" s="152"/>
      <c r="H1266" s="155"/>
      <c r="I1266" s="155"/>
      <c r="J1266" s="155"/>
      <c r="K1266" s="155"/>
      <c r="L1266" s="155"/>
      <c r="M1266" s="126"/>
      <c r="N1266" s="127"/>
      <c r="O1266" s="127"/>
      <c r="P1266" s="127"/>
      <c r="Q1266" s="126"/>
      <c r="R1266" s="128"/>
      <c r="S1266" s="128"/>
      <c r="T1266" s="128"/>
      <c r="U1266" s="128"/>
      <c r="V1266" s="129"/>
      <c r="W1266" s="129"/>
      <c r="X1266" s="129"/>
      <c r="Y1266" s="129"/>
      <c r="Z1266" s="145" t="b">
        <v>0</v>
      </c>
      <c r="AA1266" s="145"/>
      <c r="AB1266" s="129"/>
      <c r="AC1266" s="129"/>
      <c r="AD1266" s="129"/>
      <c r="AE1266" s="129"/>
      <c r="AF1266" s="132"/>
      <c r="AG1266" s="128" t="b">
        <v>0</v>
      </c>
      <c r="AH1266" s="128"/>
      <c r="AI1266" s="128"/>
      <c r="AJ1266" s="128"/>
      <c r="AK1266" s="128"/>
      <c r="AL1266" s="129"/>
      <c r="AM1266" s="129"/>
      <c r="AN1266" s="139"/>
    </row>
    <row r="1267">
      <c r="A1267" s="129"/>
      <c r="B1267" s="119"/>
      <c r="C1267" s="128"/>
      <c r="D1267" s="142"/>
      <c r="E1267" s="122"/>
      <c r="F1267" s="136"/>
      <c r="G1267" s="152"/>
      <c r="H1267" s="155"/>
      <c r="I1267" s="155"/>
      <c r="J1267" s="155"/>
      <c r="K1267" s="155"/>
      <c r="L1267" s="155"/>
      <c r="M1267" s="126"/>
      <c r="N1267" s="127"/>
      <c r="O1267" s="127"/>
      <c r="P1267" s="127"/>
      <c r="Q1267" s="126"/>
      <c r="R1267" s="128"/>
      <c r="S1267" s="128"/>
      <c r="T1267" s="128"/>
      <c r="U1267" s="128"/>
      <c r="V1267" s="129"/>
      <c r="W1267" s="129"/>
      <c r="X1267" s="129"/>
      <c r="Y1267" s="129"/>
      <c r="Z1267" s="145" t="b">
        <v>0</v>
      </c>
      <c r="AA1267" s="145"/>
      <c r="AB1267" s="129"/>
      <c r="AC1267" s="129"/>
      <c r="AD1267" s="129"/>
      <c r="AE1267" s="129"/>
      <c r="AF1267" s="132"/>
      <c r="AG1267" s="128" t="b">
        <v>0</v>
      </c>
      <c r="AH1267" s="128"/>
      <c r="AI1267" s="128"/>
      <c r="AJ1267" s="128"/>
      <c r="AK1267" s="128"/>
      <c r="AL1267" s="129"/>
      <c r="AM1267" s="129"/>
      <c r="AN1267" s="139"/>
    </row>
    <row r="1268">
      <c r="A1268" s="129"/>
      <c r="B1268" s="119"/>
      <c r="C1268" s="128"/>
      <c r="D1268" s="142"/>
      <c r="E1268" s="122"/>
      <c r="F1268" s="136"/>
      <c r="G1268" s="152"/>
      <c r="H1268" s="155"/>
      <c r="I1268" s="155"/>
      <c r="J1268" s="155"/>
      <c r="K1268" s="155"/>
      <c r="L1268" s="155"/>
      <c r="M1268" s="126"/>
      <c r="N1268" s="127"/>
      <c r="O1268" s="127"/>
      <c r="P1268" s="127"/>
      <c r="Q1268" s="126"/>
      <c r="R1268" s="128"/>
      <c r="S1268" s="128"/>
      <c r="T1268" s="128"/>
      <c r="U1268" s="128"/>
      <c r="V1268" s="129"/>
      <c r="W1268" s="129"/>
      <c r="X1268" s="129"/>
      <c r="Y1268" s="129"/>
      <c r="Z1268" s="145" t="b">
        <v>0</v>
      </c>
      <c r="AA1268" s="145"/>
      <c r="AB1268" s="129"/>
      <c r="AC1268" s="129"/>
      <c r="AD1268" s="129"/>
      <c r="AE1268" s="129"/>
      <c r="AF1268" s="132"/>
      <c r="AG1268" s="128" t="b">
        <v>0</v>
      </c>
      <c r="AH1268" s="128"/>
      <c r="AI1268" s="128"/>
      <c r="AJ1268" s="128"/>
      <c r="AK1268" s="128"/>
      <c r="AL1268" s="129"/>
      <c r="AM1268" s="129"/>
      <c r="AN1268" s="139"/>
    </row>
    <row r="1269">
      <c r="A1269" s="129"/>
      <c r="B1269" s="119"/>
      <c r="C1269" s="128"/>
      <c r="D1269" s="142"/>
      <c r="E1269" s="122"/>
      <c r="F1269" s="136"/>
      <c r="G1269" s="152"/>
      <c r="H1269" s="155"/>
      <c r="I1269" s="155"/>
      <c r="J1269" s="155"/>
      <c r="K1269" s="155"/>
      <c r="L1269" s="155"/>
      <c r="M1269" s="126"/>
      <c r="N1269" s="127"/>
      <c r="O1269" s="127"/>
      <c r="P1269" s="127"/>
      <c r="Q1269" s="126"/>
      <c r="R1269" s="128"/>
      <c r="S1269" s="128"/>
      <c r="T1269" s="128"/>
      <c r="U1269" s="128"/>
      <c r="V1269" s="129"/>
      <c r="W1269" s="129"/>
      <c r="X1269" s="129"/>
      <c r="Y1269" s="129"/>
      <c r="Z1269" s="145" t="b">
        <v>0</v>
      </c>
      <c r="AA1269" s="145"/>
      <c r="AB1269" s="129"/>
      <c r="AC1269" s="129"/>
      <c r="AD1269" s="129"/>
      <c r="AE1269" s="129"/>
      <c r="AF1269" s="132"/>
      <c r="AG1269" s="128" t="b">
        <v>0</v>
      </c>
      <c r="AH1269" s="128"/>
      <c r="AI1269" s="128"/>
      <c r="AJ1269" s="128"/>
      <c r="AK1269" s="128"/>
      <c r="AL1269" s="129"/>
      <c r="AM1269" s="129"/>
      <c r="AN1269" s="139"/>
    </row>
    <row r="1270">
      <c r="A1270" s="129"/>
      <c r="B1270" s="119"/>
      <c r="C1270" s="128"/>
      <c r="D1270" s="142"/>
      <c r="E1270" s="122"/>
      <c r="F1270" s="136"/>
      <c r="G1270" s="152"/>
      <c r="H1270" s="155"/>
      <c r="I1270" s="155"/>
      <c r="J1270" s="155"/>
      <c r="K1270" s="155"/>
      <c r="L1270" s="155"/>
      <c r="M1270" s="126"/>
      <c r="N1270" s="127"/>
      <c r="O1270" s="127"/>
      <c r="P1270" s="127"/>
      <c r="Q1270" s="126"/>
      <c r="R1270" s="128"/>
      <c r="S1270" s="128"/>
      <c r="T1270" s="128"/>
      <c r="U1270" s="128"/>
      <c r="V1270" s="129"/>
      <c r="W1270" s="129"/>
      <c r="X1270" s="129"/>
      <c r="Y1270" s="129"/>
      <c r="Z1270" s="145" t="b">
        <v>0</v>
      </c>
      <c r="AA1270" s="145"/>
      <c r="AB1270" s="129"/>
      <c r="AC1270" s="129"/>
      <c r="AD1270" s="129"/>
      <c r="AE1270" s="129"/>
      <c r="AF1270" s="132"/>
      <c r="AG1270" s="128" t="b">
        <v>0</v>
      </c>
      <c r="AH1270" s="128"/>
      <c r="AI1270" s="128"/>
      <c r="AJ1270" s="128"/>
      <c r="AK1270" s="128"/>
      <c r="AL1270" s="129"/>
      <c r="AM1270" s="129"/>
      <c r="AN1270" s="139"/>
    </row>
    <row r="1271">
      <c r="A1271" s="129"/>
      <c r="B1271" s="119"/>
      <c r="C1271" s="128"/>
      <c r="D1271" s="142"/>
      <c r="E1271" s="122"/>
      <c r="F1271" s="136"/>
      <c r="G1271" s="152"/>
      <c r="H1271" s="155"/>
      <c r="I1271" s="155"/>
      <c r="J1271" s="155"/>
      <c r="K1271" s="155"/>
      <c r="L1271" s="155"/>
      <c r="M1271" s="126"/>
      <c r="N1271" s="127"/>
      <c r="O1271" s="127"/>
      <c r="P1271" s="127"/>
      <c r="Q1271" s="126"/>
      <c r="R1271" s="128"/>
      <c r="S1271" s="128"/>
      <c r="T1271" s="128"/>
      <c r="U1271" s="128"/>
      <c r="V1271" s="129"/>
      <c r="W1271" s="129"/>
      <c r="X1271" s="129"/>
      <c r="Y1271" s="129"/>
      <c r="Z1271" s="145" t="b">
        <v>0</v>
      </c>
      <c r="AA1271" s="145"/>
      <c r="AB1271" s="129"/>
      <c r="AC1271" s="129"/>
      <c r="AD1271" s="129"/>
      <c r="AE1271" s="129"/>
      <c r="AF1271" s="132"/>
      <c r="AG1271" s="128" t="b">
        <v>0</v>
      </c>
      <c r="AH1271" s="128"/>
      <c r="AI1271" s="128"/>
      <c r="AJ1271" s="128"/>
      <c r="AK1271" s="128"/>
      <c r="AL1271" s="129"/>
      <c r="AM1271" s="129"/>
      <c r="AN1271" s="139"/>
    </row>
    <row r="1272">
      <c r="A1272" s="129"/>
      <c r="B1272" s="119"/>
      <c r="C1272" s="128"/>
      <c r="D1272" s="142"/>
      <c r="E1272" s="122"/>
      <c r="F1272" s="136"/>
      <c r="G1272" s="152"/>
      <c r="H1272" s="155"/>
      <c r="I1272" s="155"/>
      <c r="J1272" s="155"/>
      <c r="K1272" s="155"/>
      <c r="L1272" s="155"/>
      <c r="M1272" s="126"/>
      <c r="N1272" s="127"/>
      <c r="O1272" s="127"/>
      <c r="P1272" s="127"/>
      <c r="Q1272" s="126"/>
      <c r="R1272" s="128"/>
      <c r="S1272" s="128"/>
      <c r="T1272" s="128"/>
      <c r="U1272" s="128"/>
      <c r="V1272" s="129"/>
      <c r="W1272" s="129"/>
      <c r="X1272" s="129"/>
      <c r="Y1272" s="129"/>
      <c r="Z1272" s="145" t="b">
        <v>0</v>
      </c>
      <c r="AA1272" s="145"/>
      <c r="AB1272" s="129"/>
      <c r="AC1272" s="129"/>
      <c r="AD1272" s="129"/>
      <c r="AE1272" s="129"/>
      <c r="AF1272" s="132"/>
      <c r="AG1272" s="128" t="b">
        <v>0</v>
      </c>
      <c r="AH1272" s="128"/>
      <c r="AI1272" s="128"/>
      <c r="AJ1272" s="128"/>
      <c r="AK1272" s="128"/>
      <c r="AL1272" s="129"/>
      <c r="AM1272" s="129"/>
      <c r="AN1272" s="139"/>
    </row>
    <row r="1273">
      <c r="A1273" s="129"/>
      <c r="B1273" s="119"/>
      <c r="C1273" s="128"/>
      <c r="D1273" s="142"/>
      <c r="E1273" s="122"/>
      <c r="F1273" s="136"/>
      <c r="G1273" s="152"/>
      <c r="H1273" s="155"/>
      <c r="I1273" s="155"/>
      <c r="J1273" s="155"/>
      <c r="K1273" s="155"/>
      <c r="L1273" s="155"/>
      <c r="M1273" s="126"/>
      <c r="N1273" s="127"/>
      <c r="O1273" s="127"/>
      <c r="P1273" s="127"/>
      <c r="Q1273" s="126"/>
      <c r="R1273" s="128"/>
      <c r="S1273" s="128"/>
      <c r="T1273" s="128"/>
      <c r="U1273" s="128"/>
      <c r="V1273" s="129"/>
      <c r="W1273" s="129"/>
      <c r="X1273" s="129"/>
      <c r="Y1273" s="129"/>
      <c r="Z1273" s="145" t="b">
        <v>0</v>
      </c>
      <c r="AA1273" s="145"/>
      <c r="AB1273" s="129"/>
      <c r="AC1273" s="129"/>
      <c r="AD1273" s="129"/>
      <c r="AE1273" s="129"/>
      <c r="AF1273" s="132"/>
      <c r="AG1273" s="128" t="b">
        <v>0</v>
      </c>
      <c r="AH1273" s="128"/>
      <c r="AI1273" s="128"/>
      <c r="AJ1273" s="128"/>
      <c r="AK1273" s="128"/>
      <c r="AL1273" s="129"/>
      <c r="AM1273" s="129"/>
      <c r="AN1273" s="139"/>
    </row>
    <row r="1274">
      <c r="A1274" s="129"/>
      <c r="B1274" s="119"/>
      <c r="C1274" s="128"/>
      <c r="D1274" s="142"/>
      <c r="E1274" s="122"/>
      <c r="F1274" s="136"/>
      <c r="G1274" s="152"/>
      <c r="H1274" s="155"/>
      <c r="I1274" s="155"/>
      <c r="J1274" s="155"/>
      <c r="K1274" s="155"/>
      <c r="L1274" s="155"/>
      <c r="M1274" s="126"/>
      <c r="N1274" s="127"/>
      <c r="O1274" s="127"/>
      <c r="P1274" s="127"/>
      <c r="Q1274" s="126"/>
      <c r="R1274" s="128"/>
      <c r="S1274" s="128"/>
      <c r="T1274" s="128"/>
      <c r="U1274" s="128"/>
      <c r="V1274" s="129"/>
      <c r="W1274" s="129"/>
      <c r="X1274" s="129"/>
      <c r="Y1274" s="129"/>
      <c r="Z1274" s="145" t="b">
        <v>0</v>
      </c>
      <c r="AA1274" s="145"/>
      <c r="AB1274" s="129"/>
      <c r="AC1274" s="129"/>
      <c r="AD1274" s="129"/>
      <c r="AE1274" s="129"/>
      <c r="AF1274" s="132"/>
      <c r="AG1274" s="128" t="b">
        <v>0</v>
      </c>
      <c r="AH1274" s="128"/>
      <c r="AI1274" s="128"/>
      <c r="AJ1274" s="128"/>
      <c r="AK1274" s="128"/>
      <c r="AL1274" s="129"/>
      <c r="AM1274" s="129"/>
      <c r="AN1274" s="139"/>
    </row>
    <row r="1275">
      <c r="A1275" s="129"/>
      <c r="B1275" s="119"/>
      <c r="C1275" s="128"/>
      <c r="D1275" s="142"/>
      <c r="E1275" s="122"/>
      <c r="F1275" s="136"/>
      <c r="G1275" s="152"/>
      <c r="H1275" s="155"/>
      <c r="I1275" s="155"/>
      <c r="J1275" s="155"/>
      <c r="K1275" s="155"/>
      <c r="L1275" s="155"/>
      <c r="M1275" s="126"/>
      <c r="N1275" s="127"/>
      <c r="O1275" s="127"/>
      <c r="P1275" s="127"/>
      <c r="Q1275" s="126"/>
      <c r="R1275" s="128"/>
      <c r="S1275" s="128"/>
      <c r="T1275" s="128"/>
      <c r="U1275" s="128"/>
      <c r="V1275" s="129"/>
      <c r="W1275" s="129"/>
      <c r="X1275" s="129"/>
      <c r="Y1275" s="129"/>
      <c r="Z1275" s="145" t="b">
        <v>0</v>
      </c>
      <c r="AA1275" s="145"/>
      <c r="AB1275" s="129"/>
      <c r="AC1275" s="129"/>
      <c r="AD1275" s="129"/>
      <c r="AE1275" s="129"/>
      <c r="AF1275" s="132"/>
      <c r="AG1275" s="128" t="b">
        <v>0</v>
      </c>
      <c r="AH1275" s="128"/>
      <c r="AI1275" s="128"/>
      <c r="AJ1275" s="128"/>
      <c r="AK1275" s="128"/>
      <c r="AL1275" s="129"/>
      <c r="AM1275" s="129"/>
      <c r="AN1275" s="139"/>
    </row>
    <row r="1276">
      <c r="A1276" s="129"/>
      <c r="B1276" s="119"/>
      <c r="C1276" s="128"/>
      <c r="D1276" s="142"/>
      <c r="E1276" s="122"/>
      <c r="F1276" s="136"/>
      <c r="G1276" s="152"/>
      <c r="H1276" s="155"/>
      <c r="I1276" s="155"/>
      <c r="J1276" s="155"/>
      <c r="K1276" s="155"/>
      <c r="L1276" s="155"/>
      <c r="M1276" s="126"/>
      <c r="N1276" s="127"/>
      <c r="O1276" s="127"/>
      <c r="P1276" s="127"/>
      <c r="Q1276" s="126"/>
      <c r="R1276" s="128"/>
      <c r="S1276" s="128"/>
      <c r="T1276" s="128"/>
      <c r="U1276" s="128"/>
      <c r="V1276" s="129"/>
      <c r="W1276" s="129"/>
      <c r="X1276" s="129"/>
      <c r="Y1276" s="129"/>
      <c r="Z1276" s="145" t="b">
        <v>0</v>
      </c>
      <c r="AA1276" s="145"/>
      <c r="AB1276" s="129"/>
      <c r="AC1276" s="129"/>
      <c r="AD1276" s="129"/>
      <c r="AE1276" s="129"/>
      <c r="AF1276" s="132"/>
      <c r="AG1276" s="128" t="b">
        <v>0</v>
      </c>
      <c r="AH1276" s="128"/>
      <c r="AI1276" s="128"/>
      <c r="AJ1276" s="128"/>
      <c r="AK1276" s="128"/>
      <c r="AL1276" s="129"/>
      <c r="AM1276" s="129"/>
      <c r="AN1276" s="139"/>
    </row>
    <row r="1277">
      <c r="A1277" s="129"/>
      <c r="B1277" s="119"/>
      <c r="C1277" s="128"/>
      <c r="D1277" s="142"/>
      <c r="E1277" s="122"/>
      <c r="F1277" s="136"/>
      <c r="G1277" s="152"/>
      <c r="H1277" s="155"/>
      <c r="I1277" s="155"/>
      <c r="J1277" s="155"/>
      <c r="K1277" s="155"/>
      <c r="L1277" s="155"/>
      <c r="M1277" s="126"/>
      <c r="N1277" s="127"/>
      <c r="O1277" s="127"/>
      <c r="P1277" s="127"/>
      <c r="Q1277" s="126"/>
      <c r="R1277" s="128"/>
      <c r="S1277" s="128"/>
      <c r="T1277" s="128"/>
      <c r="U1277" s="128"/>
      <c r="V1277" s="129"/>
      <c r="W1277" s="129"/>
      <c r="X1277" s="129"/>
      <c r="Y1277" s="129"/>
      <c r="Z1277" s="145" t="b">
        <v>0</v>
      </c>
      <c r="AA1277" s="145"/>
      <c r="AB1277" s="129"/>
      <c r="AC1277" s="129"/>
      <c r="AD1277" s="129"/>
      <c r="AE1277" s="129"/>
      <c r="AF1277" s="132"/>
      <c r="AG1277" s="128" t="b">
        <v>0</v>
      </c>
      <c r="AH1277" s="128"/>
      <c r="AI1277" s="128"/>
      <c r="AJ1277" s="128"/>
      <c r="AK1277" s="128"/>
      <c r="AL1277" s="129"/>
      <c r="AM1277" s="129"/>
      <c r="AN1277" s="139"/>
    </row>
    <row r="1278">
      <c r="A1278" s="129"/>
      <c r="B1278" s="119"/>
      <c r="C1278" s="128"/>
      <c r="D1278" s="142"/>
      <c r="E1278" s="122"/>
      <c r="F1278" s="136"/>
      <c r="G1278" s="152"/>
      <c r="H1278" s="155"/>
      <c r="I1278" s="155"/>
      <c r="J1278" s="155"/>
      <c r="K1278" s="155"/>
      <c r="L1278" s="155"/>
      <c r="M1278" s="126"/>
      <c r="N1278" s="127"/>
      <c r="O1278" s="127"/>
      <c r="P1278" s="127"/>
      <c r="Q1278" s="126"/>
      <c r="R1278" s="128"/>
      <c r="S1278" s="128"/>
      <c r="T1278" s="128"/>
      <c r="U1278" s="128"/>
      <c r="V1278" s="129"/>
      <c r="W1278" s="129"/>
      <c r="X1278" s="129"/>
      <c r="Y1278" s="129"/>
      <c r="Z1278" s="145" t="b">
        <v>0</v>
      </c>
      <c r="AA1278" s="145"/>
      <c r="AB1278" s="129"/>
      <c r="AC1278" s="129"/>
      <c r="AD1278" s="129"/>
      <c r="AE1278" s="129"/>
      <c r="AF1278" s="132"/>
      <c r="AG1278" s="128" t="b">
        <v>0</v>
      </c>
      <c r="AH1278" s="128"/>
      <c r="AI1278" s="128"/>
      <c r="AJ1278" s="128"/>
      <c r="AK1278" s="128"/>
      <c r="AL1278" s="129"/>
      <c r="AM1278" s="129"/>
      <c r="AN1278" s="139"/>
    </row>
    <row r="1279">
      <c r="A1279" s="129"/>
      <c r="B1279" s="119"/>
      <c r="C1279" s="128"/>
      <c r="D1279" s="142"/>
      <c r="E1279" s="122"/>
      <c r="F1279" s="136"/>
      <c r="G1279" s="152"/>
      <c r="H1279" s="155"/>
      <c r="I1279" s="155"/>
      <c r="J1279" s="155"/>
      <c r="K1279" s="155"/>
      <c r="L1279" s="155"/>
      <c r="M1279" s="126"/>
      <c r="N1279" s="127"/>
      <c r="O1279" s="127"/>
      <c r="P1279" s="127"/>
      <c r="Q1279" s="126"/>
      <c r="R1279" s="128"/>
      <c r="S1279" s="128"/>
      <c r="T1279" s="128"/>
      <c r="U1279" s="128"/>
      <c r="V1279" s="129"/>
      <c r="W1279" s="129"/>
      <c r="X1279" s="129"/>
      <c r="Y1279" s="129"/>
      <c r="Z1279" s="145" t="b">
        <v>0</v>
      </c>
      <c r="AA1279" s="145"/>
      <c r="AB1279" s="129"/>
      <c r="AC1279" s="129"/>
      <c r="AD1279" s="129"/>
      <c r="AE1279" s="129"/>
      <c r="AF1279" s="132"/>
      <c r="AG1279" s="128" t="b">
        <v>0</v>
      </c>
      <c r="AH1279" s="128"/>
      <c r="AI1279" s="128"/>
      <c r="AJ1279" s="128"/>
      <c r="AK1279" s="128"/>
      <c r="AL1279" s="129"/>
      <c r="AM1279" s="129"/>
      <c r="AN1279" s="139"/>
    </row>
    <row r="1280">
      <c r="A1280" s="129"/>
      <c r="B1280" s="119"/>
      <c r="C1280" s="128"/>
      <c r="D1280" s="142"/>
      <c r="E1280" s="122"/>
      <c r="F1280" s="136"/>
      <c r="G1280" s="152"/>
      <c r="H1280" s="155"/>
      <c r="I1280" s="155"/>
      <c r="J1280" s="155"/>
      <c r="K1280" s="155"/>
      <c r="L1280" s="155"/>
      <c r="M1280" s="126"/>
      <c r="N1280" s="127"/>
      <c r="O1280" s="127"/>
      <c r="P1280" s="127"/>
      <c r="Q1280" s="126"/>
      <c r="R1280" s="128"/>
      <c r="S1280" s="128"/>
      <c r="T1280" s="128"/>
      <c r="U1280" s="128"/>
      <c r="V1280" s="129"/>
      <c r="W1280" s="129"/>
      <c r="X1280" s="129"/>
      <c r="Y1280" s="129"/>
      <c r="Z1280" s="145" t="b">
        <v>0</v>
      </c>
      <c r="AA1280" s="145"/>
      <c r="AB1280" s="129"/>
      <c r="AC1280" s="129"/>
      <c r="AD1280" s="129"/>
      <c r="AE1280" s="129"/>
      <c r="AF1280" s="132"/>
      <c r="AG1280" s="128" t="b">
        <v>0</v>
      </c>
      <c r="AH1280" s="128"/>
      <c r="AI1280" s="128"/>
      <c r="AJ1280" s="128"/>
      <c r="AK1280" s="128"/>
      <c r="AL1280" s="129"/>
      <c r="AM1280" s="129"/>
      <c r="AN1280" s="139"/>
    </row>
    <row r="1281">
      <c r="A1281" s="129"/>
      <c r="B1281" s="119"/>
      <c r="C1281" s="128"/>
      <c r="D1281" s="142"/>
      <c r="E1281" s="122"/>
      <c r="F1281" s="136"/>
      <c r="G1281" s="152"/>
      <c r="H1281" s="155"/>
      <c r="I1281" s="155"/>
      <c r="J1281" s="155"/>
      <c r="K1281" s="155"/>
      <c r="L1281" s="155"/>
      <c r="M1281" s="126"/>
      <c r="N1281" s="127"/>
      <c r="O1281" s="127"/>
      <c r="P1281" s="127"/>
      <c r="Q1281" s="126"/>
      <c r="R1281" s="128"/>
      <c r="S1281" s="128"/>
      <c r="T1281" s="128"/>
      <c r="U1281" s="128"/>
      <c r="V1281" s="129"/>
      <c r="W1281" s="129"/>
      <c r="X1281" s="129"/>
      <c r="Y1281" s="129"/>
      <c r="Z1281" s="145" t="b">
        <v>0</v>
      </c>
      <c r="AA1281" s="145"/>
      <c r="AB1281" s="129"/>
      <c r="AC1281" s="129"/>
      <c r="AD1281" s="129"/>
      <c r="AE1281" s="129"/>
      <c r="AF1281" s="132"/>
      <c r="AG1281" s="128" t="b">
        <v>0</v>
      </c>
      <c r="AH1281" s="128"/>
      <c r="AI1281" s="128"/>
      <c r="AJ1281" s="128"/>
      <c r="AK1281" s="128"/>
      <c r="AL1281" s="129"/>
      <c r="AM1281" s="129"/>
      <c r="AN1281" s="139"/>
    </row>
    <row r="1282">
      <c r="A1282" s="129"/>
      <c r="B1282" s="119"/>
      <c r="C1282" s="128"/>
      <c r="D1282" s="142"/>
      <c r="E1282" s="122"/>
      <c r="F1282" s="136"/>
      <c r="G1282" s="152"/>
      <c r="H1282" s="155"/>
      <c r="I1282" s="155"/>
      <c r="J1282" s="155"/>
      <c r="K1282" s="155"/>
      <c r="L1282" s="155"/>
      <c r="M1282" s="126"/>
      <c r="N1282" s="127"/>
      <c r="O1282" s="127"/>
      <c r="P1282" s="127"/>
      <c r="Q1282" s="126"/>
      <c r="R1282" s="128"/>
      <c r="S1282" s="128"/>
      <c r="T1282" s="128"/>
      <c r="U1282" s="128"/>
      <c r="V1282" s="129"/>
      <c r="W1282" s="129"/>
      <c r="X1282" s="129"/>
      <c r="Y1282" s="129"/>
      <c r="Z1282" s="145" t="b">
        <v>0</v>
      </c>
      <c r="AA1282" s="145"/>
      <c r="AB1282" s="129"/>
      <c r="AC1282" s="129"/>
      <c r="AD1282" s="129"/>
      <c r="AE1282" s="129"/>
      <c r="AF1282" s="132"/>
      <c r="AG1282" s="128" t="b">
        <v>0</v>
      </c>
      <c r="AH1282" s="128"/>
      <c r="AI1282" s="128"/>
      <c r="AJ1282" s="128"/>
      <c r="AK1282" s="128"/>
      <c r="AL1282" s="129"/>
      <c r="AM1282" s="129"/>
      <c r="AN1282" s="139"/>
    </row>
    <row r="1283">
      <c r="A1283" s="129"/>
      <c r="B1283" s="119"/>
      <c r="C1283" s="128"/>
      <c r="D1283" s="142"/>
      <c r="E1283" s="122"/>
      <c r="F1283" s="136"/>
      <c r="G1283" s="152"/>
      <c r="H1283" s="155"/>
      <c r="I1283" s="155"/>
      <c r="J1283" s="155"/>
      <c r="K1283" s="155"/>
      <c r="L1283" s="155"/>
      <c r="M1283" s="126"/>
      <c r="N1283" s="127"/>
      <c r="O1283" s="127"/>
      <c r="P1283" s="127"/>
      <c r="Q1283" s="126"/>
      <c r="R1283" s="128"/>
      <c r="S1283" s="128"/>
      <c r="T1283" s="128"/>
      <c r="U1283" s="128"/>
      <c r="V1283" s="129"/>
      <c r="W1283" s="129"/>
      <c r="X1283" s="129"/>
      <c r="Y1283" s="129"/>
      <c r="Z1283" s="145" t="b">
        <v>0</v>
      </c>
      <c r="AA1283" s="145"/>
      <c r="AB1283" s="129"/>
      <c r="AC1283" s="129"/>
      <c r="AD1283" s="129"/>
      <c r="AE1283" s="129"/>
      <c r="AF1283" s="132"/>
      <c r="AG1283" s="128" t="b">
        <v>0</v>
      </c>
      <c r="AH1283" s="128"/>
      <c r="AI1283" s="128"/>
      <c r="AJ1283" s="128"/>
      <c r="AK1283" s="128"/>
      <c r="AL1283" s="129"/>
      <c r="AM1283" s="129"/>
      <c r="AN1283" s="139"/>
    </row>
    <row r="1284">
      <c r="A1284" s="129"/>
      <c r="B1284" s="119"/>
      <c r="C1284" s="128"/>
      <c r="D1284" s="142"/>
      <c r="E1284" s="122"/>
      <c r="F1284" s="136"/>
      <c r="G1284" s="152"/>
      <c r="H1284" s="155"/>
      <c r="I1284" s="155"/>
      <c r="J1284" s="155"/>
      <c r="K1284" s="155"/>
      <c r="L1284" s="155"/>
      <c r="M1284" s="126"/>
      <c r="N1284" s="127"/>
      <c r="O1284" s="127"/>
      <c r="P1284" s="127"/>
      <c r="Q1284" s="126"/>
      <c r="R1284" s="128"/>
      <c r="S1284" s="128"/>
      <c r="T1284" s="128"/>
      <c r="U1284" s="128"/>
      <c r="V1284" s="129"/>
      <c r="W1284" s="129"/>
      <c r="X1284" s="129"/>
      <c r="Y1284" s="129"/>
      <c r="Z1284" s="145" t="b">
        <v>0</v>
      </c>
      <c r="AA1284" s="145"/>
      <c r="AB1284" s="129"/>
      <c r="AC1284" s="129"/>
      <c r="AD1284" s="129"/>
      <c r="AE1284" s="129"/>
      <c r="AF1284" s="132"/>
      <c r="AG1284" s="128" t="b">
        <v>0</v>
      </c>
      <c r="AH1284" s="128"/>
      <c r="AI1284" s="128"/>
      <c r="AJ1284" s="128"/>
      <c r="AK1284" s="128"/>
      <c r="AL1284" s="129"/>
      <c r="AM1284" s="129"/>
      <c r="AN1284" s="139"/>
    </row>
    <row r="1285">
      <c r="A1285" s="129"/>
      <c r="B1285" s="119"/>
      <c r="C1285" s="128"/>
      <c r="D1285" s="142"/>
      <c r="E1285" s="122"/>
      <c r="F1285" s="136"/>
      <c r="G1285" s="152"/>
      <c r="H1285" s="155"/>
      <c r="I1285" s="155"/>
      <c r="J1285" s="155"/>
      <c r="K1285" s="155"/>
      <c r="L1285" s="155"/>
      <c r="M1285" s="126"/>
      <c r="N1285" s="127"/>
      <c r="O1285" s="127"/>
      <c r="P1285" s="127"/>
      <c r="Q1285" s="126"/>
      <c r="R1285" s="128"/>
      <c r="S1285" s="128"/>
      <c r="T1285" s="128"/>
      <c r="U1285" s="128"/>
      <c r="V1285" s="129"/>
      <c r="W1285" s="129"/>
      <c r="X1285" s="129"/>
      <c r="Y1285" s="129"/>
      <c r="Z1285" s="145" t="b">
        <v>0</v>
      </c>
      <c r="AA1285" s="145"/>
      <c r="AB1285" s="129"/>
      <c r="AC1285" s="129"/>
      <c r="AD1285" s="129"/>
      <c r="AE1285" s="129"/>
      <c r="AF1285" s="132"/>
      <c r="AG1285" s="128" t="b">
        <v>0</v>
      </c>
      <c r="AH1285" s="128"/>
      <c r="AI1285" s="128"/>
      <c r="AJ1285" s="128"/>
      <c r="AK1285" s="128"/>
      <c r="AL1285" s="129"/>
      <c r="AM1285" s="129"/>
      <c r="AN1285" s="139"/>
    </row>
    <row r="1286">
      <c r="A1286" s="129"/>
      <c r="B1286" s="119"/>
      <c r="C1286" s="128"/>
      <c r="D1286" s="142"/>
      <c r="E1286" s="122"/>
      <c r="F1286" s="136"/>
      <c r="G1286" s="152"/>
      <c r="H1286" s="155"/>
      <c r="I1286" s="155"/>
      <c r="J1286" s="155"/>
      <c r="K1286" s="155"/>
      <c r="L1286" s="155"/>
      <c r="M1286" s="126"/>
      <c r="N1286" s="127"/>
      <c r="O1286" s="127"/>
      <c r="P1286" s="127"/>
      <c r="Q1286" s="126"/>
      <c r="R1286" s="128"/>
      <c r="S1286" s="128"/>
      <c r="T1286" s="128"/>
      <c r="U1286" s="128"/>
      <c r="V1286" s="129"/>
      <c r="W1286" s="129"/>
      <c r="X1286" s="129"/>
      <c r="Y1286" s="129"/>
      <c r="Z1286" s="145" t="b">
        <v>0</v>
      </c>
      <c r="AA1286" s="145"/>
      <c r="AB1286" s="129"/>
      <c r="AC1286" s="129"/>
      <c r="AD1286" s="129"/>
      <c r="AE1286" s="129"/>
      <c r="AF1286" s="132"/>
      <c r="AG1286" s="128" t="b">
        <v>0</v>
      </c>
      <c r="AH1286" s="128"/>
      <c r="AI1286" s="128"/>
      <c r="AJ1286" s="128"/>
      <c r="AK1286" s="128"/>
      <c r="AL1286" s="129"/>
      <c r="AM1286" s="129"/>
      <c r="AN1286" s="139"/>
    </row>
    <row r="1287">
      <c r="A1287" s="129"/>
      <c r="B1287" s="119"/>
      <c r="C1287" s="128"/>
      <c r="D1287" s="142"/>
      <c r="E1287" s="122"/>
      <c r="F1287" s="136"/>
      <c r="G1287" s="152"/>
      <c r="H1287" s="155"/>
      <c r="I1287" s="155"/>
      <c r="J1287" s="155"/>
      <c r="K1287" s="155"/>
      <c r="L1287" s="155"/>
      <c r="M1287" s="126"/>
      <c r="N1287" s="127"/>
      <c r="O1287" s="127"/>
      <c r="P1287" s="127"/>
      <c r="Q1287" s="126"/>
      <c r="R1287" s="128"/>
      <c r="S1287" s="128"/>
      <c r="T1287" s="128"/>
      <c r="U1287" s="128"/>
      <c r="V1287" s="129"/>
      <c r="W1287" s="129"/>
      <c r="X1287" s="129"/>
      <c r="Y1287" s="129"/>
      <c r="Z1287" s="145" t="b">
        <v>0</v>
      </c>
      <c r="AA1287" s="145"/>
      <c r="AB1287" s="129"/>
      <c r="AC1287" s="129"/>
      <c r="AD1287" s="129"/>
      <c r="AE1287" s="129"/>
      <c r="AF1287" s="132"/>
      <c r="AG1287" s="128" t="b">
        <v>0</v>
      </c>
      <c r="AH1287" s="128"/>
      <c r="AI1287" s="128"/>
      <c r="AJ1287" s="128"/>
      <c r="AK1287" s="128"/>
      <c r="AL1287" s="129"/>
      <c r="AM1287" s="129"/>
      <c r="AN1287" s="139"/>
    </row>
    <row r="1288">
      <c r="A1288" s="129"/>
      <c r="B1288" s="119"/>
      <c r="C1288" s="128"/>
      <c r="D1288" s="142"/>
      <c r="E1288" s="122"/>
      <c r="F1288" s="136"/>
      <c r="G1288" s="152"/>
      <c r="H1288" s="155"/>
      <c r="I1288" s="155"/>
      <c r="J1288" s="155"/>
      <c r="K1288" s="155"/>
      <c r="L1288" s="155"/>
      <c r="M1288" s="126"/>
      <c r="N1288" s="127"/>
      <c r="O1288" s="127"/>
      <c r="P1288" s="127"/>
      <c r="Q1288" s="126"/>
      <c r="R1288" s="128"/>
      <c r="S1288" s="128"/>
      <c r="T1288" s="128"/>
      <c r="U1288" s="128"/>
      <c r="V1288" s="129"/>
      <c r="W1288" s="129"/>
      <c r="X1288" s="129"/>
      <c r="Y1288" s="129"/>
      <c r="Z1288" s="145" t="b">
        <v>0</v>
      </c>
      <c r="AA1288" s="145"/>
      <c r="AB1288" s="129"/>
      <c r="AC1288" s="129"/>
      <c r="AD1288" s="129"/>
      <c r="AE1288" s="129"/>
      <c r="AF1288" s="132"/>
      <c r="AG1288" s="128" t="b">
        <v>0</v>
      </c>
      <c r="AH1288" s="128"/>
      <c r="AI1288" s="128"/>
      <c r="AJ1288" s="128"/>
      <c r="AK1288" s="128"/>
      <c r="AL1288" s="129"/>
      <c r="AM1288" s="129"/>
      <c r="AN1288" s="139"/>
    </row>
    <row r="1289">
      <c r="A1289" s="129"/>
      <c r="B1289" s="119"/>
      <c r="C1289" s="128"/>
      <c r="D1289" s="142"/>
      <c r="E1289" s="122"/>
      <c r="F1289" s="136"/>
      <c r="G1289" s="152"/>
      <c r="H1289" s="155"/>
      <c r="I1289" s="155"/>
      <c r="J1289" s="155"/>
      <c r="K1289" s="155"/>
      <c r="L1289" s="155"/>
      <c r="M1289" s="126"/>
      <c r="N1289" s="127"/>
      <c r="O1289" s="127"/>
      <c r="P1289" s="127"/>
      <c r="Q1289" s="126"/>
      <c r="R1289" s="128"/>
      <c r="S1289" s="128"/>
      <c r="T1289" s="128"/>
      <c r="U1289" s="128"/>
      <c r="V1289" s="129"/>
      <c r="W1289" s="129"/>
      <c r="X1289" s="129"/>
      <c r="Y1289" s="129"/>
      <c r="Z1289" s="145" t="b">
        <v>0</v>
      </c>
      <c r="AA1289" s="145"/>
      <c r="AB1289" s="129"/>
      <c r="AC1289" s="129"/>
      <c r="AD1289" s="129"/>
      <c r="AE1289" s="129"/>
      <c r="AF1289" s="132"/>
      <c r="AG1289" s="128" t="b">
        <v>0</v>
      </c>
      <c r="AH1289" s="128"/>
      <c r="AI1289" s="128"/>
      <c r="AJ1289" s="128"/>
      <c r="AK1289" s="128"/>
      <c r="AL1289" s="129"/>
      <c r="AM1289" s="129"/>
      <c r="AN1289" s="139"/>
    </row>
    <row r="1290">
      <c r="A1290" s="129"/>
      <c r="B1290" s="119"/>
      <c r="C1290" s="128"/>
      <c r="D1290" s="142"/>
      <c r="E1290" s="122"/>
      <c r="F1290" s="136"/>
      <c r="G1290" s="152"/>
      <c r="H1290" s="155"/>
      <c r="I1290" s="155"/>
      <c r="J1290" s="155"/>
      <c r="K1290" s="155"/>
      <c r="L1290" s="155"/>
      <c r="M1290" s="126"/>
      <c r="N1290" s="127"/>
      <c r="O1290" s="127"/>
      <c r="P1290" s="127"/>
      <c r="Q1290" s="126"/>
      <c r="R1290" s="128"/>
      <c r="S1290" s="128"/>
      <c r="T1290" s="128"/>
      <c r="U1290" s="128"/>
      <c r="V1290" s="129"/>
      <c r="W1290" s="129"/>
      <c r="X1290" s="129"/>
      <c r="Y1290" s="129"/>
      <c r="Z1290" s="145" t="b">
        <v>0</v>
      </c>
      <c r="AA1290" s="145"/>
      <c r="AB1290" s="129"/>
      <c r="AC1290" s="129"/>
      <c r="AD1290" s="129"/>
      <c r="AE1290" s="129"/>
      <c r="AF1290" s="132"/>
      <c r="AG1290" s="128" t="b">
        <v>0</v>
      </c>
      <c r="AH1290" s="128"/>
      <c r="AI1290" s="128"/>
      <c r="AJ1290" s="128"/>
      <c r="AK1290" s="128"/>
      <c r="AL1290" s="129"/>
      <c r="AM1290" s="129"/>
      <c r="AN1290" s="139"/>
    </row>
    <row r="1291">
      <c r="A1291" s="129"/>
      <c r="B1291" s="119"/>
      <c r="C1291" s="128"/>
      <c r="D1291" s="142"/>
      <c r="E1291" s="122"/>
      <c r="F1291" s="136"/>
      <c r="G1291" s="152"/>
      <c r="H1291" s="155"/>
      <c r="I1291" s="155"/>
      <c r="J1291" s="155"/>
      <c r="K1291" s="155"/>
      <c r="L1291" s="155"/>
      <c r="M1291" s="126"/>
      <c r="N1291" s="127"/>
      <c r="O1291" s="127"/>
      <c r="P1291" s="127"/>
      <c r="Q1291" s="126"/>
      <c r="R1291" s="128"/>
      <c r="S1291" s="128"/>
      <c r="T1291" s="128"/>
      <c r="U1291" s="128"/>
      <c r="V1291" s="129"/>
      <c r="W1291" s="129"/>
      <c r="X1291" s="129"/>
      <c r="Y1291" s="129"/>
      <c r="Z1291" s="145" t="b">
        <v>0</v>
      </c>
      <c r="AA1291" s="145"/>
      <c r="AB1291" s="129"/>
      <c r="AC1291" s="129"/>
      <c r="AD1291" s="129"/>
      <c r="AE1291" s="129"/>
      <c r="AF1291" s="132"/>
      <c r="AG1291" s="128" t="b">
        <v>0</v>
      </c>
      <c r="AH1291" s="128"/>
      <c r="AI1291" s="128"/>
      <c r="AJ1291" s="128"/>
      <c r="AK1291" s="128"/>
      <c r="AL1291" s="129"/>
      <c r="AM1291" s="129"/>
      <c r="AN1291" s="139"/>
    </row>
    <row r="1292">
      <c r="A1292" s="129"/>
      <c r="B1292" s="119"/>
      <c r="C1292" s="128"/>
      <c r="D1292" s="142"/>
      <c r="E1292" s="122"/>
      <c r="F1292" s="136"/>
      <c r="G1292" s="152"/>
      <c r="H1292" s="155"/>
      <c r="I1292" s="155"/>
      <c r="J1292" s="155"/>
      <c r="K1292" s="155"/>
      <c r="L1292" s="155"/>
      <c r="M1292" s="126"/>
      <c r="N1292" s="127"/>
      <c r="O1292" s="127"/>
      <c r="P1292" s="127"/>
      <c r="Q1292" s="126"/>
      <c r="R1292" s="128"/>
      <c r="S1292" s="128"/>
      <c r="T1292" s="128"/>
      <c r="U1292" s="128"/>
      <c r="V1292" s="129"/>
      <c r="W1292" s="129"/>
      <c r="X1292" s="129"/>
      <c r="Y1292" s="129"/>
      <c r="Z1292" s="145" t="b">
        <v>0</v>
      </c>
      <c r="AA1292" s="145"/>
      <c r="AB1292" s="129"/>
      <c r="AC1292" s="129"/>
      <c r="AD1292" s="129"/>
      <c r="AE1292" s="129"/>
      <c r="AF1292" s="132"/>
      <c r="AG1292" s="128" t="b">
        <v>0</v>
      </c>
      <c r="AH1292" s="128"/>
      <c r="AI1292" s="128"/>
      <c r="AJ1292" s="128"/>
      <c r="AK1292" s="128"/>
      <c r="AL1292" s="129"/>
      <c r="AM1292" s="129"/>
      <c r="AN1292" s="139"/>
    </row>
    <row r="1293">
      <c r="A1293" s="129"/>
      <c r="B1293" s="119"/>
      <c r="C1293" s="128"/>
      <c r="D1293" s="142"/>
      <c r="E1293" s="122"/>
      <c r="F1293" s="136"/>
      <c r="G1293" s="152"/>
      <c r="H1293" s="155"/>
      <c r="I1293" s="155"/>
      <c r="J1293" s="155"/>
      <c r="K1293" s="155"/>
      <c r="L1293" s="155"/>
      <c r="M1293" s="126"/>
      <c r="N1293" s="127"/>
      <c r="O1293" s="127"/>
      <c r="P1293" s="127"/>
      <c r="Q1293" s="126"/>
      <c r="R1293" s="128"/>
      <c r="S1293" s="128"/>
      <c r="T1293" s="128"/>
      <c r="U1293" s="128"/>
      <c r="V1293" s="129"/>
      <c r="W1293" s="129"/>
      <c r="X1293" s="129"/>
      <c r="Y1293" s="129"/>
      <c r="Z1293" s="145" t="b">
        <v>0</v>
      </c>
      <c r="AA1293" s="145"/>
      <c r="AB1293" s="129"/>
      <c r="AC1293" s="129"/>
      <c r="AD1293" s="129"/>
      <c r="AE1293" s="129"/>
      <c r="AF1293" s="132"/>
      <c r="AG1293" s="128" t="b">
        <v>0</v>
      </c>
      <c r="AH1293" s="128"/>
      <c r="AI1293" s="128"/>
      <c r="AJ1293" s="128"/>
      <c r="AK1293" s="128"/>
      <c r="AL1293" s="129"/>
      <c r="AM1293" s="129"/>
      <c r="AN1293" s="139"/>
    </row>
    <row r="1294">
      <c r="A1294" s="129"/>
      <c r="B1294" s="119"/>
      <c r="C1294" s="128"/>
      <c r="D1294" s="142"/>
      <c r="E1294" s="122"/>
      <c r="F1294" s="136"/>
      <c r="G1294" s="152"/>
      <c r="H1294" s="155"/>
      <c r="I1294" s="155"/>
      <c r="J1294" s="155"/>
      <c r="K1294" s="155"/>
      <c r="L1294" s="155"/>
      <c r="M1294" s="126"/>
      <c r="N1294" s="127"/>
      <c r="O1294" s="127"/>
      <c r="P1294" s="127"/>
      <c r="Q1294" s="126"/>
      <c r="R1294" s="128"/>
      <c r="S1294" s="128"/>
      <c r="T1294" s="128"/>
      <c r="U1294" s="128"/>
      <c r="V1294" s="129"/>
      <c r="W1294" s="129"/>
      <c r="X1294" s="129"/>
      <c r="Y1294" s="129"/>
      <c r="Z1294" s="145" t="b">
        <v>0</v>
      </c>
      <c r="AA1294" s="145"/>
      <c r="AB1294" s="129"/>
      <c r="AC1294" s="129"/>
      <c r="AD1294" s="129"/>
      <c r="AE1294" s="129"/>
      <c r="AF1294" s="132"/>
      <c r="AG1294" s="128" t="b">
        <v>0</v>
      </c>
      <c r="AH1294" s="128"/>
      <c r="AI1294" s="128"/>
      <c r="AJ1294" s="128"/>
      <c r="AK1294" s="128"/>
      <c r="AL1294" s="129"/>
      <c r="AM1294" s="129"/>
      <c r="AN1294" s="139"/>
    </row>
    <row r="1295">
      <c r="A1295" s="129"/>
      <c r="B1295" s="119"/>
      <c r="C1295" s="128"/>
      <c r="D1295" s="142"/>
      <c r="E1295" s="122"/>
      <c r="F1295" s="136"/>
      <c r="G1295" s="152"/>
      <c r="H1295" s="155"/>
      <c r="I1295" s="155"/>
      <c r="J1295" s="155"/>
      <c r="K1295" s="155"/>
      <c r="L1295" s="155"/>
      <c r="M1295" s="126"/>
      <c r="N1295" s="127"/>
      <c r="O1295" s="127"/>
      <c r="P1295" s="127"/>
      <c r="Q1295" s="126"/>
      <c r="R1295" s="128"/>
      <c r="S1295" s="128"/>
      <c r="T1295" s="128"/>
      <c r="U1295" s="128"/>
      <c r="V1295" s="129"/>
      <c r="W1295" s="129"/>
      <c r="X1295" s="129"/>
      <c r="Y1295" s="129"/>
      <c r="Z1295" s="145" t="b">
        <v>0</v>
      </c>
      <c r="AA1295" s="145"/>
      <c r="AB1295" s="129"/>
      <c r="AC1295" s="129"/>
      <c r="AD1295" s="129"/>
      <c r="AE1295" s="129"/>
      <c r="AF1295" s="132"/>
      <c r="AG1295" s="128" t="b">
        <v>0</v>
      </c>
      <c r="AH1295" s="128"/>
      <c r="AI1295" s="128"/>
      <c r="AJ1295" s="128"/>
      <c r="AK1295" s="128"/>
      <c r="AL1295" s="129"/>
      <c r="AM1295" s="129"/>
      <c r="AN1295" s="139"/>
    </row>
    <row r="1296">
      <c r="A1296" s="129"/>
      <c r="B1296" s="119"/>
      <c r="C1296" s="128"/>
      <c r="D1296" s="142"/>
      <c r="E1296" s="122"/>
      <c r="F1296" s="136"/>
      <c r="G1296" s="152"/>
      <c r="H1296" s="155"/>
      <c r="I1296" s="155"/>
      <c r="J1296" s="155"/>
      <c r="K1296" s="155"/>
      <c r="L1296" s="155"/>
      <c r="M1296" s="126"/>
      <c r="N1296" s="127"/>
      <c r="O1296" s="127"/>
      <c r="P1296" s="127"/>
      <c r="Q1296" s="126"/>
      <c r="R1296" s="128"/>
      <c r="S1296" s="128"/>
      <c r="T1296" s="128"/>
      <c r="U1296" s="128"/>
      <c r="V1296" s="129"/>
      <c r="W1296" s="129"/>
      <c r="X1296" s="129"/>
      <c r="Y1296" s="129"/>
      <c r="Z1296" s="145" t="b">
        <v>0</v>
      </c>
      <c r="AA1296" s="145"/>
      <c r="AB1296" s="129"/>
      <c r="AC1296" s="129"/>
      <c r="AD1296" s="129"/>
      <c r="AE1296" s="129"/>
      <c r="AF1296" s="132"/>
      <c r="AG1296" s="128" t="b">
        <v>0</v>
      </c>
      <c r="AH1296" s="128"/>
      <c r="AI1296" s="128"/>
      <c r="AJ1296" s="128"/>
      <c r="AK1296" s="128"/>
      <c r="AL1296" s="129"/>
      <c r="AM1296" s="129"/>
      <c r="AN1296" s="139"/>
    </row>
    <row r="1297">
      <c r="A1297" s="129"/>
      <c r="B1297" s="119"/>
      <c r="C1297" s="128"/>
      <c r="D1297" s="142"/>
      <c r="E1297" s="122"/>
      <c r="F1297" s="136"/>
      <c r="G1297" s="152"/>
      <c r="H1297" s="155"/>
      <c r="I1297" s="155"/>
      <c r="J1297" s="155"/>
      <c r="K1297" s="155"/>
      <c r="L1297" s="155"/>
      <c r="M1297" s="126"/>
      <c r="N1297" s="127"/>
      <c r="O1297" s="127"/>
      <c r="P1297" s="127"/>
      <c r="Q1297" s="126"/>
      <c r="R1297" s="128"/>
      <c r="S1297" s="128"/>
      <c r="T1297" s="128"/>
      <c r="U1297" s="128"/>
      <c r="V1297" s="129"/>
      <c r="W1297" s="129"/>
      <c r="X1297" s="129"/>
      <c r="Y1297" s="129"/>
      <c r="Z1297" s="145" t="b">
        <v>0</v>
      </c>
      <c r="AA1297" s="145"/>
      <c r="AB1297" s="129"/>
      <c r="AC1297" s="129"/>
      <c r="AD1297" s="129"/>
      <c r="AE1297" s="129"/>
      <c r="AF1297" s="132"/>
      <c r="AG1297" s="128" t="b">
        <v>0</v>
      </c>
      <c r="AH1297" s="128"/>
      <c r="AI1297" s="128"/>
      <c r="AJ1297" s="128"/>
      <c r="AK1297" s="128"/>
      <c r="AL1297" s="129"/>
      <c r="AM1297" s="129"/>
      <c r="AN1297" s="139"/>
    </row>
    <row r="1298">
      <c r="A1298" s="129"/>
      <c r="B1298" s="119"/>
      <c r="C1298" s="128"/>
      <c r="D1298" s="142"/>
      <c r="E1298" s="122"/>
      <c r="F1298" s="136"/>
      <c r="G1298" s="152"/>
      <c r="H1298" s="155"/>
      <c r="I1298" s="155"/>
      <c r="J1298" s="155"/>
      <c r="K1298" s="155"/>
      <c r="L1298" s="155"/>
      <c r="M1298" s="126"/>
      <c r="N1298" s="127"/>
      <c r="O1298" s="127"/>
      <c r="P1298" s="127"/>
      <c r="Q1298" s="126"/>
      <c r="R1298" s="128"/>
      <c r="S1298" s="128"/>
      <c r="T1298" s="128"/>
      <c r="U1298" s="128"/>
      <c r="V1298" s="129"/>
      <c r="W1298" s="129"/>
      <c r="X1298" s="129"/>
      <c r="Y1298" s="129"/>
      <c r="Z1298" s="145" t="b">
        <v>0</v>
      </c>
      <c r="AA1298" s="145"/>
      <c r="AB1298" s="129"/>
      <c r="AC1298" s="129"/>
      <c r="AD1298" s="129"/>
      <c r="AE1298" s="129"/>
      <c r="AF1298" s="132"/>
      <c r="AG1298" s="128" t="b">
        <v>0</v>
      </c>
      <c r="AH1298" s="128"/>
      <c r="AI1298" s="128"/>
      <c r="AJ1298" s="128"/>
      <c r="AK1298" s="128"/>
      <c r="AL1298" s="129"/>
      <c r="AM1298" s="129"/>
      <c r="AN1298" s="139"/>
    </row>
    <row r="1299">
      <c r="A1299" s="129"/>
      <c r="B1299" s="119"/>
      <c r="C1299" s="128"/>
      <c r="D1299" s="142"/>
      <c r="E1299" s="122"/>
      <c r="F1299" s="136"/>
      <c r="G1299" s="152"/>
      <c r="H1299" s="155"/>
      <c r="I1299" s="155"/>
      <c r="J1299" s="155"/>
      <c r="K1299" s="155"/>
      <c r="L1299" s="155"/>
      <c r="M1299" s="126"/>
      <c r="N1299" s="127"/>
      <c r="O1299" s="127"/>
      <c r="P1299" s="127"/>
      <c r="Q1299" s="126"/>
      <c r="R1299" s="128"/>
      <c r="S1299" s="128"/>
      <c r="T1299" s="128"/>
      <c r="U1299" s="128"/>
      <c r="V1299" s="129"/>
      <c r="W1299" s="129"/>
      <c r="X1299" s="129"/>
      <c r="Y1299" s="129"/>
      <c r="Z1299" s="145" t="b">
        <v>0</v>
      </c>
      <c r="AA1299" s="145"/>
      <c r="AB1299" s="129"/>
      <c r="AC1299" s="129"/>
      <c r="AD1299" s="129"/>
      <c r="AE1299" s="129"/>
      <c r="AF1299" s="132"/>
      <c r="AG1299" s="128" t="b">
        <v>0</v>
      </c>
      <c r="AH1299" s="128"/>
      <c r="AI1299" s="128"/>
      <c r="AJ1299" s="128"/>
      <c r="AK1299" s="128"/>
      <c r="AL1299" s="129"/>
      <c r="AM1299" s="129"/>
      <c r="AN1299" s="139"/>
    </row>
    <row r="1300">
      <c r="A1300" s="129"/>
      <c r="B1300" s="119"/>
      <c r="C1300" s="128"/>
      <c r="D1300" s="142"/>
      <c r="E1300" s="122"/>
      <c r="F1300" s="136"/>
      <c r="G1300" s="152"/>
      <c r="H1300" s="155"/>
      <c r="I1300" s="155"/>
      <c r="J1300" s="155"/>
      <c r="K1300" s="155"/>
      <c r="L1300" s="155"/>
      <c r="M1300" s="126"/>
      <c r="N1300" s="127"/>
      <c r="O1300" s="127"/>
      <c r="P1300" s="127"/>
      <c r="Q1300" s="126"/>
      <c r="R1300" s="128"/>
      <c r="S1300" s="128"/>
      <c r="T1300" s="128"/>
      <c r="U1300" s="128"/>
      <c r="V1300" s="129"/>
      <c r="W1300" s="129"/>
      <c r="X1300" s="129"/>
      <c r="Y1300" s="129"/>
      <c r="Z1300" s="145" t="b">
        <v>0</v>
      </c>
      <c r="AA1300" s="145"/>
      <c r="AB1300" s="129"/>
      <c r="AC1300" s="129"/>
      <c r="AD1300" s="129"/>
      <c r="AE1300" s="129"/>
      <c r="AF1300" s="132"/>
      <c r="AG1300" s="128" t="b">
        <v>0</v>
      </c>
      <c r="AH1300" s="128"/>
      <c r="AI1300" s="128"/>
      <c r="AJ1300" s="128"/>
      <c r="AK1300" s="128"/>
      <c r="AL1300" s="129"/>
      <c r="AM1300" s="129"/>
      <c r="AN1300" s="139"/>
    </row>
    <row r="1301">
      <c r="A1301" s="129"/>
      <c r="B1301" s="119"/>
      <c r="C1301" s="128"/>
      <c r="D1301" s="142"/>
      <c r="E1301" s="122"/>
      <c r="F1301" s="136"/>
      <c r="G1301" s="152"/>
      <c r="H1301" s="155"/>
      <c r="I1301" s="155"/>
      <c r="J1301" s="155"/>
      <c r="K1301" s="155"/>
      <c r="L1301" s="155"/>
      <c r="M1301" s="126"/>
      <c r="N1301" s="127"/>
      <c r="O1301" s="127"/>
      <c r="P1301" s="127"/>
      <c r="Q1301" s="126"/>
      <c r="R1301" s="128"/>
      <c r="S1301" s="128"/>
      <c r="T1301" s="128"/>
      <c r="U1301" s="128"/>
      <c r="V1301" s="129"/>
      <c r="W1301" s="129"/>
      <c r="X1301" s="129"/>
      <c r="Y1301" s="129"/>
      <c r="Z1301" s="145" t="b">
        <v>0</v>
      </c>
      <c r="AA1301" s="145"/>
      <c r="AB1301" s="129"/>
      <c r="AC1301" s="129"/>
      <c r="AD1301" s="129"/>
      <c r="AE1301" s="129"/>
      <c r="AF1301" s="132"/>
      <c r="AG1301" s="128" t="b">
        <v>0</v>
      </c>
      <c r="AH1301" s="128"/>
      <c r="AI1301" s="128"/>
      <c r="AJ1301" s="128"/>
      <c r="AK1301" s="128"/>
      <c r="AL1301" s="129"/>
      <c r="AM1301" s="129"/>
      <c r="AN1301" s="139"/>
    </row>
    <row r="1302">
      <c r="A1302" s="129"/>
      <c r="B1302" s="119"/>
      <c r="C1302" s="128"/>
      <c r="D1302" s="142"/>
      <c r="E1302" s="122"/>
      <c r="F1302" s="136"/>
      <c r="G1302" s="152"/>
      <c r="H1302" s="155"/>
      <c r="I1302" s="155"/>
      <c r="J1302" s="155"/>
      <c r="K1302" s="155"/>
      <c r="L1302" s="155"/>
      <c r="M1302" s="126"/>
      <c r="N1302" s="127"/>
      <c r="O1302" s="127"/>
      <c r="P1302" s="127"/>
      <c r="Q1302" s="126"/>
      <c r="R1302" s="128"/>
      <c r="S1302" s="128"/>
      <c r="T1302" s="128"/>
      <c r="U1302" s="128"/>
      <c r="V1302" s="129"/>
      <c r="W1302" s="129"/>
      <c r="X1302" s="129"/>
      <c r="Y1302" s="129"/>
      <c r="Z1302" s="145" t="b">
        <v>0</v>
      </c>
      <c r="AA1302" s="145"/>
      <c r="AB1302" s="129"/>
      <c r="AC1302" s="129"/>
      <c r="AD1302" s="129"/>
      <c r="AE1302" s="129"/>
      <c r="AF1302" s="132"/>
      <c r="AG1302" s="128" t="b">
        <v>0</v>
      </c>
      <c r="AH1302" s="128"/>
      <c r="AI1302" s="128"/>
      <c r="AJ1302" s="128"/>
      <c r="AK1302" s="128"/>
      <c r="AL1302" s="129"/>
      <c r="AM1302" s="129"/>
      <c r="AN1302" s="139"/>
    </row>
    <row r="1303">
      <c r="A1303" s="129"/>
      <c r="B1303" s="119"/>
      <c r="C1303" s="128"/>
      <c r="D1303" s="142"/>
      <c r="E1303" s="122"/>
      <c r="F1303" s="136"/>
      <c r="G1303" s="152"/>
      <c r="H1303" s="155"/>
      <c r="I1303" s="155"/>
      <c r="J1303" s="155"/>
      <c r="K1303" s="155"/>
      <c r="L1303" s="155"/>
      <c r="M1303" s="126"/>
      <c r="N1303" s="127"/>
      <c r="O1303" s="127"/>
      <c r="P1303" s="127"/>
      <c r="Q1303" s="126"/>
      <c r="R1303" s="128"/>
      <c r="S1303" s="128"/>
      <c r="T1303" s="128"/>
      <c r="U1303" s="128"/>
      <c r="V1303" s="129"/>
      <c r="W1303" s="129"/>
      <c r="X1303" s="129"/>
      <c r="Y1303" s="129"/>
      <c r="Z1303" s="145" t="b">
        <v>0</v>
      </c>
      <c r="AA1303" s="145"/>
      <c r="AB1303" s="129"/>
      <c r="AC1303" s="129"/>
      <c r="AD1303" s="129"/>
      <c r="AE1303" s="129"/>
      <c r="AF1303" s="132"/>
      <c r="AG1303" s="128" t="b">
        <v>0</v>
      </c>
      <c r="AH1303" s="128"/>
      <c r="AI1303" s="128"/>
      <c r="AJ1303" s="128"/>
      <c r="AK1303" s="128"/>
      <c r="AL1303" s="129"/>
      <c r="AM1303" s="129"/>
      <c r="AN1303" s="139"/>
    </row>
    <row r="1304">
      <c r="A1304" s="129"/>
      <c r="B1304" s="119"/>
      <c r="C1304" s="128"/>
      <c r="D1304" s="142"/>
      <c r="E1304" s="122"/>
      <c r="F1304" s="136"/>
      <c r="G1304" s="152"/>
      <c r="H1304" s="155"/>
      <c r="I1304" s="155"/>
      <c r="J1304" s="155"/>
      <c r="K1304" s="155"/>
      <c r="L1304" s="155"/>
      <c r="M1304" s="126"/>
      <c r="N1304" s="127"/>
      <c r="O1304" s="127"/>
      <c r="P1304" s="127"/>
      <c r="Q1304" s="126"/>
      <c r="R1304" s="128"/>
      <c r="S1304" s="128"/>
      <c r="T1304" s="128"/>
      <c r="U1304" s="128"/>
      <c r="V1304" s="129"/>
      <c r="W1304" s="129"/>
      <c r="X1304" s="129"/>
      <c r="Y1304" s="129"/>
      <c r="Z1304" s="145" t="b">
        <v>0</v>
      </c>
      <c r="AA1304" s="145"/>
      <c r="AB1304" s="129"/>
      <c r="AC1304" s="129"/>
      <c r="AD1304" s="129"/>
      <c r="AE1304" s="129"/>
      <c r="AF1304" s="132"/>
      <c r="AG1304" s="128" t="b">
        <v>0</v>
      </c>
      <c r="AH1304" s="128"/>
      <c r="AI1304" s="128"/>
      <c r="AJ1304" s="128"/>
      <c r="AK1304" s="128"/>
      <c r="AL1304" s="129"/>
      <c r="AM1304" s="129"/>
      <c r="AN1304" s="139"/>
    </row>
    <row r="1305">
      <c r="A1305" s="129"/>
      <c r="B1305" s="119"/>
      <c r="C1305" s="128"/>
      <c r="D1305" s="142"/>
      <c r="E1305" s="122"/>
      <c r="F1305" s="136"/>
      <c r="G1305" s="152"/>
      <c r="H1305" s="155"/>
      <c r="I1305" s="155"/>
      <c r="J1305" s="155"/>
      <c r="K1305" s="155"/>
      <c r="L1305" s="155"/>
      <c r="M1305" s="126"/>
      <c r="N1305" s="127"/>
      <c r="O1305" s="127"/>
      <c r="P1305" s="127"/>
      <c r="Q1305" s="126"/>
      <c r="R1305" s="128"/>
      <c r="S1305" s="128"/>
      <c r="T1305" s="128"/>
      <c r="U1305" s="128"/>
      <c r="V1305" s="129"/>
      <c r="W1305" s="129"/>
      <c r="X1305" s="129"/>
      <c r="Y1305" s="129"/>
      <c r="Z1305" s="145" t="b">
        <v>0</v>
      </c>
      <c r="AA1305" s="145"/>
      <c r="AB1305" s="129"/>
      <c r="AC1305" s="129"/>
      <c r="AD1305" s="129"/>
      <c r="AE1305" s="129"/>
      <c r="AF1305" s="132"/>
      <c r="AG1305" s="128" t="b">
        <v>0</v>
      </c>
      <c r="AH1305" s="128"/>
      <c r="AI1305" s="128"/>
      <c r="AJ1305" s="128"/>
      <c r="AK1305" s="128"/>
      <c r="AL1305" s="129"/>
      <c r="AM1305" s="129"/>
      <c r="AN1305" s="139"/>
    </row>
    <row r="1306">
      <c r="A1306" s="129"/>
      <c r="B1306" s="119"/>
      <c r="C1306" s="128"/>
      <c r="D1306" s="142"/>
      <c r="E1306" s="122"/>
      <c r="F1306" s="136"/>
      <c r="G1306" s="152"/>
      <c r="H1306" s="155"/>
      <c r="I1306" s="155"/>
      <c r="J1306" s="155"/>
      <c r="K1306" s="155"/>
      <c r="L1306" s="155"/>
      <c r="M1306" s="126"/>
      <c r="N1306" s="127"/>
      <c r="O1306" s="127"/>
      <c r="P1306" s="127"/>
      <c r="Q1306" s="126"/>
      <c r="R1306" s="128"/>
      <c r="S1306" s="128"/>
      <c r="T1306" s="128"/>
      <c r="U1306" s="128"/>
      <c r="V1306" s="129"/>
      <c r="W1306" s="129"/>
      <c r="X1306" s="129"/>
      <c r="Y1306" s="129"/>
      <c r="Z1306" s="145" t="b">
        <v>0</v>
      </c>
      <c r="AA1306" s="145"/>
      <c r="AB1306" s="129"/>
      <c r="AC1306" s="129"/>
      <c r="AD1306" s="129"/>
      <c r="AE1306" s="129"/>
      <c r="AF1306" s="132"/>
      <c r="AG1306" s="128" t="b">
        <v>0</v>
      </c>
      <c r="AH1306" s="128"/>
      <c r="AI1306" s="128"/>
      <c r="AJ1306" s="128"/>
      <c r="AK1306" s="128"/>
      <c r="AL1306" s="129"/>
      <c r="AM1306" s="129"/>
      <c r="AN1306" s="139"/>
    </row>
    <row r="1307">
      <c r="A1307" s="129"/>
      <c r="B1307" s="119"/>
      <c r="C1307" s="128"/>
      <c r="D1307" s="142"/>
      <c r="E1307" s="122"/>
      <c r="F1307" s="136"/>
      <c r="G1307" s="152"/>
      <c r="H1307" s="155"/>
      <c r="I1307" s="155"/>
      <c r="J1307" s="155"/>
      <c r="K1307" s="155"/>
      <c r="L1307" s="155"/>
      <c r="M1307" s="126"/>
      <c r="N1307" s="127"/>
      <c r="O1307" s="127"/>
      <c r="P1307" s="127"/>
      <c r="Q1307" s="126"/>
      <c r="R1307" s="128"/>
      <c r="S1307" s="128"/>
      <c r="T1307" s="128"/>
      <c r="U1307" s="128"/>
      <c r="V1307" s="129"/>
      <c r="W1307" s="129"/>
      <c r="X1307" s="129"/>
      <c r="Y1307" s="129"/>
      <c r="Z1307" s="145" t="b">
        <v>0</v>
      </c>
      <c r="AA1307" s="145"/>
      <c r="AB1307" s="129"/>
      <c r="AC1307" s="129"/>
      <c r="AD1307" s="129"/>
      <c r="AE1307" s="129"/>
      <c r="AF1307" s="132"/>
      <c r="AG1307" s="128" t="b">
        <v>0</v>
      </c>
      <c r="AH1307" s="128"/>
      <c r="AI1307" s="128"/>
      <c r="AJ1307" s="128"/>
      <c r="AK1307" s="128"/>
      <c r="AL1307" s="129"/>
      <c r="AM1307" s="129"/>
      <c r="AN1307" s="139"/>
    </row>
    <row r="1308">
      <c r="A1308" s="129"/>
      <c r="B1308" s="119"/>
      <c r="C1308" s="128"/>
      <c r="D1308" s="142"/>
      <c r="E1308" s="122"/>
      <c r="F1308" s="136"/>
      <c r="G1308" s="152"/>
      <c r="H1308" s="155"/>
      <c r="I1308" s="155"/>
      <c r="J1308" s="155"/>
      <c r="K1308" s="155"/>
      <c r="L1308" s="155"/>
      <c r="M1308" s="126"/>
      <c r="N1308" s="127"/>
      <c r="O1308" s="127"/>
      <c r="P1308" s="127"/>
      <c r="Q1308" s="126"/>
      <c r="R1308" s="128"/>
      <c r="S1308" s="128"/>
      <c r="T1308" s="128"/>
      <c r="U1308" s="128"/>
      <c r="V1308" s="129"/>
      <c r="W1308" s="129"/>
      <c r="X1308" s="129"/>
      <c r="Y1308" s="129"/>
      <c r="Z1308" s="145" t="b">
        <v>0</v>
      </c>
      <c r="AA1308" s="145"/>
      <c r="AB1308" s="129"/>
      <c r="AC1308" s="129"/>
      <c r="AD1308" s="129"/>
      <c r="AE1308" s="129"/>
      <c r="AF1308" s="132"/>
      <c r="AG1308" s="128" t="b">
        <v>0</v>
      </c>
      <c r="AH1308" s="128"/>
      <c r="AI1308" s="128"/>
      <c r="AJ1308" s="128"/>
      <c r="AK1308" s="128"/>
      <c r="AL1308" s="129"/>
      <c r="AM1308" s="129"/>
      <c r="AN1308" s="139"/>
    </row>
    <row r="1309">
      <c r="A1309" s="129"/>
      <c r="B1309" s="119"/>
      <c r="C1309" s="128"/>
      <c r="D1309" s="142"/>
      <c r="E1309" s="122"/>
      <c r="F1309" s="136"/>
      <c r="G1309" s="152"/>
      <c r="H1309" s="155"/>
      <c r="I1309" s="155"/>
      <c r="J1309" s="155"/>
      <c r="K1309" s="155"/>
      <c r="L1309" s="155"/>
      <c r="M1309" s="126"/>
      <c r="N1309" s="127"/>
      <c r="O1309" s="127"/>
      <c r="P1309" s="127"/>
      <c r="Q1309" s="126"/>
      <c r="R1309" s="128"/>
      <c r="S1309" s="128"/>
      <c r="T1309" s="128"/>
      <c r="U1309" s="128"/>
      <c r="V1309" s="129"/>
      <c r="W1309" s="129"/>
      <c r="X1309" s="129"/>
      <c r="Y1309" s="129"/>
      <c r="Z1309" s="145" t="b">
        <v>0</v>
      </c>
      <c r="AA1309" s="145"/>
      <c r="AB1309" s="129"/>
      <c r="AC1309" s="129"/>
      <c r="AD1309" s="129"/>
      <c r="AE1309" s="129"/>
      <c r="AF1309" s="132"/>
      <c r="AG1309" s="128" t="b">
        <v>0</v>
      </c>
      <c r="AH1309" s="128"/>
      <c r="AI1309" s="128"/>
      <c r="AJ1309" s="128"/>
      <c r="AK1309" s="128"/>
      <c r="AL1309" s="129"/>
      <c r="AM1309" s="129"/>
      <c r="AN1309" s="139"/>
    </row>
    <row r="1310">
      <c r="A1310" s="129"/>
      <c r="B1310" s="119"/>
      <c r="C1310" s="128"/>
      <c r="D1310" s="142"/>
      <c r="E1310" s="122"/>
      <c r="F1310" s="136"/>
      <c r="G1310" s="152"/>
      <c r="H1310" s="155"/>
      <c r="I1310" s="155"/>
      <c r="J1310" s="155"/>
      <c r="K1310" s="155"/>
      <c r="L1310" s="155"/>
      <c r="M1310" s="126"/>
      <c r="N1310" s="127"/>
      <c r="O1310" s="127"/>
      <c r="P1310" s="127"/>
      <c r="Q1310" s="126"/>
      <c r="R1310" s="128"/>
      <c r="S1310" s="128"/>
      <c r="T1310" s="128"/>
      <c r="U1310" s="128"/>
      <c r="V1310" s="129"/>
      <c r="W1310" s="129"/>
      <c r="X1310" s="129"/>
      <c r="Y1310" s="129"/>
      <c r="Z1310" s="145" t="b">
        <v>0</v>
      </c>
      <c r="AA1310" s="145"/>
      <c r="AB1310" s="129"/>
      <c r="AC1310" s="129"/>
      <c r="AD1310" s="129"/>
      <c r="AE1310" s="129"/>
      <c r="AF1310" s="132"/>
      <c r="AG1310" s="128" t="b">
        <v>0</v>
      </c>
      <c r="AH1310" s="128"/>
      <c r="AI1310" s="128"/>
      <c r="AJ1310" s="128"/>
      <c r="AK1310" s="128"/>
      <c r="AL1310" s="129"/>
      <c r="AM1310" s="129"/>
      <c r="AN1310" s="139"/>
    </row>
    <row r="1311">
      <c r="A1311" s="129"/>
      <c r="B1311" s="119"/>
      <c r="C1311" s="128"/>
      <c r="D1311" s="142"/>
      <c r="E1311" s="122"/>
      <c r="F1311" s="136"/>
      <c r="G1311" s="152"/>
      <c r="H1311" s="155"/>
      <c r="I1311" s="155"/>
      <c r="J1311" s="155"/>
      <c r="K1311" s="155"/>
      <c r="L1311" s="155"/>
      <c r="M1311" s="126"/>
      <c r="N1311" s="127"/>
      <c r="O1311" s="127"/>
      <c r="P1311" s="127"/>
      <c r="Q1311" s="126"/>
      <c r="R1311" s="128"/>
      <c r="S1311" s="128"/>
      <c r="T1311" s="128"/>
      <c r="U1311" s="128"/>
      <c r="V1311" s="129"/>
      <c r="W1311" s="129"/>
      <c r="X1311" s="129"/>
      <c r="Y1311" s="129"/>
      <c r="Z1311" s="145" t="b">
        <v>0</v>
      </c>
      <c r="AA1311" s="145"/>
      <c r="AB1311" s="129"/>
      <c r="AC1311" s="129"/>
      <c r="AD1311" s="129"/>
      <c r="AE1311" s="129"/>
      <c r="AF1311" s="132"/>
      <c r="AG1311" s="128" t="b">
        <v>0</v>
      </c>
      <c r="AH1311" s="128"/>
      <c r="AI1311" s="128"/>
      <c r="AJ1311" s="128"/>
      <c r="AK1311" s="128"/>
      <c r="AL1311" s="129"/>
      <c r="AM1311" s="129"/>
      <c r="AN1311" s="139"/>
    </row>
    <row r="1312">
      <c r="A1312" s="129"/>
      <c r="B1312" s="119"/>
      <c r="C1312" s="128"/>
      <c r="D1312" s="142"/>
      <c r="E1312" s="122"/>
      <c r="F1312" s="136"/>
      <c r="G1312" s="152"/>
      <c r="H1312" s="155"/>
      <c r="I1312" s="155"/>
      <c r="J1312" s="155"/>
      <c r="K1312" s="155"/>
      <c r="L1312" s="155"/>
      <c r="M1312" s="126"/>
      <c r="N1312" s="127"/>
      <c r="O1312" s="127"/>
      <c r="P1312" s="127"/>
      <c r="Q1312" s="126"/>
      <c r="R1312" s="128"/>
      <c r="S1312" s="128"/>
      <c r="T1312" s="128"/>
      <c r="U1312" s="128"/>
      <c r="V1312" s="129"/>
      <c r="W1312" s="129"/>
      <c r="X1312" s="129"/>
      <c r="Y1312" s="129"/>
      <c r="Z1312" s="145" t="b">
        <v>0</v>
      </c>
      <c r="AA1312" s="145"/>
      <c r="AB1312" s="129"/>
      <c r="AC1312" s="129"/>
      <c r="AD1312" s="129"/>
      <c r="AE1312" s="129"/>
      <c r="AF1312" s="132"/>
      <c r="AG1312" s="128" t="b">
        <v>0</v>
      </c>
      <c r="AH1312" s="128"/>
      <c r="AI1312" s="128"/>
      <c r="AJ1312" s="128"/>
      <c r="AK1312" s="128"/>
      <c r="AL1312" s="129"/>
      <c r="AM1312" s="129"/>
      <c r="AN1312" s="139"/>
    </row>
    <row r="1313">
      <c r="A1313" s="129"/>
      <c r="B1313" s="119"/>
      <c r="C1313" s="128"/>
      <c r="D1313" s="142"/>
      <c r="E1313" s="122"/>
      <c r="F1313" s="136"/>
      <c r="G1313" s="152"/>
      <c r="H1313" s="155"/>
      <c r="I1313" s="155"/>
      <c r="J1313" s="155"/>
      <c r="K1313" s="155"/>
      <c r="L1313" s="155"/>
      <c r="M1313" s="126"/>
      <c r="N1313" s="127"/>
      <c r="O1313" s="127"/>
      <c r="P1313" s="127"/>
      <c r="Q1313" s="126"/>
      <c r="R1313" s="128"/>
      <c r="S1313" s="128"/>
      <c r="T1313" s="128"/>
      <c r="U1313" s="128"/>
      <c r="V1313" s="129"/>
      <c r="W1313" s="129"/>
      <c r="X1313" s="129"/>
      <c r="Y1313" s="129"/>
      <c r="Z1313" s="145" t="b">
        <v>0</v>
      </c>
      <c r="AA1313" s="145"/>
      <c r="AB1313" s="129"/>
      <c r="AC1313" s="129"/>
      <c r="AD1313" s="129"/>
      <c r="AE1313" s="129"/>
      <c r="AF1313" s="132"/>
      <c r="AG1313" s="128" t="b">
        <v>0</v>
      </c>
      <c r="AH1313" s="128"/>
      <c r="AI1313" s="128"/>
      <c r="AJ1313" s="128"/>
      <c r="AK1313" s="128"/>
      <c r="AL1313" s="129"/>
      <c r="AM1313" s="129"/>
      <c r="AN1313" s="139"/>
    </row>
    <row r="1314">
      <c r="A1314" s="129"/>
      <c r="B1314" s="119"/>
      <c r="C1314" s="128"/>
      <c r="D1314" s="142"/>
      <c r="E1314" s="122"/>
      <c r="F1314" s="136"/>
      <c r="G1314" s="152"/>
      <c r="H1314" s="155"/>
      <c r="I1314" s="155"/>
      <c r="J1314" s="155"/>
      <c r="K1314" s="155"/>
      <c r="L1314" s="155"/>
      <c r="M1314" s="126"/>
      <c r="N1314" s="127"/>
      <c r="O1314" s="127"/>
      <c r="P1314" s="127"/>
      <c r="Q1314" s="126"/>
      <c r="R1314" s="128"/>
      <c r="S1314" s="128"/>
      <c r="T1314" s="128"/>
      <c r="U1314" s="128"/>
      <c r="V1314" s="129"/>
      <c r="W1314" s="129"/>
      <c r="X1314" s="129"/>
      <c r="Y1314" s="129"/>
      <c r="Z1314" s="145" t="b">
        <v>0</v>
      </c>
      <c r="AA1314" s="145"/>
      <c r="AB1314" s="129"/>
      <c r="AC1314" s="129"/>
      <c r="AD1314" s="129"/>
      <c r="AE1314" s="129"/>
      <c r="AF1314" s="132"/>
      <c r="AG1314" s="128" t="b">
        <v>0</v>
      </c>
      <c r="AH1314" s="128"/>
      <c r="AI1314" s="128"/>
      <c r="AJ1314" s="128"/>
      <c r="AK1314" s="128"/>
      <c r="AL1314" s="129"/>
      <c r="AM1314" s="129"/>
      <c r="AN1314" s="139"/>
    </row>
    <row r="1315">
      <c r="A1315" s="129"/>
      <c r="B1315" s="119"/>
      <c r="C1315" s="128"/>
      <c r="D1315" s="142"/>
      <c r="E1315" s="122"/>
      <c r="F1315" s="136"/>
      <c r="G1315" s="152"/>
      <c r="H1315" s="155"/>
      <c r="I1315" s="155"/>
      <c r="J1315" s="155"/>
      <c r="K1315" s="155"/>
      <c r="L1315" s="155"/>
      <c r="M1315" s="126"/>
      <c r="N1315" s="127"/>
      <c r="O1315" s="127"/>
      <c r="P1315" s="127"/>
      <c r="Q1315" s="126"/>
      <c r="R1315" s="128"/>
      <c r="S1315" s="128"/>
      <c r="T1315" s="128"/>
      <c r="U1315" s="128"/>
      <c r="V1315" s="129"/>
      <c r="W1315" s="129"/>
      <c r="X1315" s="129"/>
      <c r="Y1315" s="129"/>
      <c r="Z1315" s="145" t="b">
        <v>0</v>
      </c>
      <c r="AA1315" s="145"/>
      <c r="AB1315" s="129"/>
      <c r="AC1315" s="129"/>
      <c r="AD1315" s="129"/>
      <c r="AE1315" s="129"/>
      <c r="AF1315" s="132"/>
      <c r="AG1315" s="128" t="b">
        <v>0</v>
      </c>
      <c r="AH1315" s="128"/>
      <c r="AI1315" s="128"/>
      <c r="AJ1315" s="128"/>
      <c r="AK1315" s="128"/>
      <c r="AL1315" s="129"/>
      <c r="AM1315" s="129"/>
      <c r="AN1315" s="139"/>
    </row>
    <row r="1316">
      <c r="A1316" s="129"/>
      <c r="B1316" s="119"/>
      <c r="C1316" s="128"/>
      <c r="D1316" s="142"/>
      <c r="E1316" s="122"/>
      <c r="F1316" s="136"/>
      <c r="G1316" s="152"/>
      <c r="H1316" s="155"/>
      <c r="I1316" s="155"/>
      <c r="J1316" s="155"/>
      <c r="K1316" s="155"/>
      <c r="L1316" s="155"/>
      <c r="M1316" s="126"/>
      <c r="N1316" s="127"/>
      <c r="O1316" s="127"/>
      <c r="P1316" s="127"/>
      <c r="Q1316" s="126"/>
      <c r="R1316" s="128"/>
      <c r="S1316" s="128"/>
      <c r="T1316" s="128"/>
      <c r="U1316" s="128"/>
      <c r="V1316" s="129"/>
      <c r="W1316" s="129"/>
      <c r="X1316" s="129"/>
      <c r="Y1316" s="129"/>
      <c r="Z1316" s="145" t="b">
        <v>0</v>
      </c>
      <c r="AA1316" s="145"/>
      <c r="AB1316" s="129"/>
      <c r="AC1316" s="129"/>
      <c r="AD1316" s="129"/>
      <c r="AE1316" s="129"/>
      <c r="AF1316" s="132"/>
      <c r="AG1316" s="128" t="b">
        <v>0</v>
      </c>
      <c r="AH1316" s="128"/>
      <c r="AI1316" s="128"/>
      <c r="AJ1316" s="128"/>
      <c r="AK1316" s="128"/>
      <c r="AL1316" s="129"/>
      <c r="AM1316" s="129"/>
      <c r="AN1316" s="139"/>
    </row>
    <row r="1317">
      <c r="A1317" s="129"/>
      <c r="B1317" s="119"/>
      <c r="C1317" s="128"/>
      <c r="D1317" s="142"/>
      <c r="E1317" s="122"/>
      <c r="F1317" s="136"/>
      <c r="G1317" s="152"/>
      <c r="H1317" s="155"/>
      <c r="I1317" s="155"/>
      <c r="J1317" s="155"/>
      <c r="K1317" s="155"/>
      <c r="L1317" s="155"/>
      <c r="M1317" s="126"/>
      <c r="N1317" s="127"/>
      <c r="O1317" s="127"/>
      <c r="P1317" s="127"/>
      <c r="Q1317" s="126"/>
      <c r="R1317" s="128"/>
      <c r="S1317" s="128"/>
      <c r="T1317" s="128"/>
      <c r="U1317" s="128"/>
      <c r="V1317" s="129"/>
      <c r="W1317" s="129"/>
      <c r="X1317" s="129"/>
      <c r="Y1317" s="129"/>
      <c r="Z1317" s="145" t="b">
        <v>0</v>
      </c>
      <c r="AA1317" s="145"/>
      <c r="AB1317" s="129"/>
      <c r="AC1317" s="129"/>
      <c r="AD1317" s="129"/>
      <c r="AE1317" s="129"/>
      <c r="AF1317" s="132"/>
      <c r="AG1317" s="128" t="b">
        <v>0</v>
      </c>
      <c r="AH1317" s="128"/>
      <c r="AI1317" s="128"/>
      <c r="AJ1317" s="128"/>
      <c r="AK1317" s="128"/>
      <c r="AL1317" s="129"/>
      <c r="AM1317" s="129"/>
      <c r="AN1317" s="139"/>
    </row>
    <row r="1318">
      <c r="A1318" s="129"/>
      <c r="B1318" s="119"/>
      <c r="C1318" s="128"/>
      <c r="D1318" s="142"/>
      <c r="E1318" s="122"/>
      <c r="F1318" s="136"/>
      <c r="G1318" s="152"/>
      <c r="H1318" s="155"/>
      <c r="I1318" s="155"/>
      <c r="J1318" s="155"/>
      <c r="K1318" s="155"/>
      <c r="L1318" s="155"/>
      <c r="M1318" s="126"/>
      <c r="N1318" s="127"/>
      <c r="O1318" s="127"/>
      <c r="P1318" s="127"/>
      <c r="Q1318" s="126"/>
      <c r="R1318" s="128"/>
      <c r="S1318" s="128"/>
      <c r="T1318" s="128"/>
      <c r="U1318" s="128"/>
      <c r="V1318" s="129"/>
      <c r="W1318" s="129"/>
      <c r="X1318" s="129"/>
      <c r="Y1318" s="129"/>
      <c r="Z1318" s="145" t="b">
        <v>0</v>
      </c>
      <c r="AA1318" s="145"/>
      <c r="AB1318" s="129"/>
      <c r="AC1318" s="129"/>
      <c r="AD1318" s="129"/>
      <c r="AE1318" s="129"/>
      <c r="AF1318" s="132"/>
      <c r="AG1318" s="128" t="b">
        <v>0</v>
      </c>
      <c r="AH1318" s="128"/>
      <c r="AI1318" s="128"/>
      <c r="AJ1318" s="128"/>
      <c r="AK1318" s="128"/>
      <c r="AL1318" s="129"/>
      <c r="AM1318" s="129"/>
      <c r="AN1318" s="139"/>
    </row>
    <row r="1319">
      <c r="A1319" s="129"/>
      <c r="B1319" s="119"/>
      <c r="C1319" s="128"/>
      <c r="D1319" s="142"/>
      <c r="E1319" s="122"/>
      <c r="F1319" s="136"/>
      <c r="G1319" s="152"/>
      <c r="H1319" s="155"/>
      <c r="I1319" s="155"/>
      <c r="J1319" s="155"/>
      <c r="K1319" s="155"/>
      <c r="L1319" s="155"/>
      <c r="M1319" s="126"/>
      <c r="N1319" s="127"/>
      <c r="O1319" s="127"/>
      <c r="P1319" s="127"/>
      <c r="Q1319" s="126"/>
      <c r="R1319" s="128"/>
      <c r="S1319" s="128"/>
      <c r="T1319" s="128"/>
      <c r="U1319" s="128"/>
      <c r="V1319" s="129"/>
      <c r="W1319" s="129"/>
      <c r="X1319" s="129"/>
      <c r="Y1319" s="129"/>
      <c r="Z1319" s="145" t="b">
        <v>0</v>
      </c>
      <c r="AA1319" s="145"/>
      <c r="AB1319" s="129"/>
      <c r="AC1319" s="129"/>
      <c r="AD1319" s="129"/>
      <c r="AE1319" s="129"/>
      <c r="AF1319" s="132"/>
      <c r="AG1319" s="128" t="b">
        <v>0</v>
      </c>
      <c r="AH1319" s="128"/>
      <c r="AI1319" s="128"/>
      <c r="AJ1319" s="128"/>
      <c r="AK1319" s="128"/>
      <c r="AL1319" s="129"/>
      <c r="AM1319" s="129"/>
      <c r="AN1319" s="139"/>
    </row>
    <row r="1320">
      <c r="A1320" s="129"/>
      <c r="B1320" s="119"/>
      <c r="C1320" s="128"/>
      <c r="D1320" s="142"/>
      <c r="E1320" s="122"/>
      <c r="F1320" s="136"/>
      <c r="G1320" s="152"/>
      <c r="H1320" s="155"/>
      <c r="I1320" s="155"/>
      <c r="J1320" s="155"/>
      <c r="K1320" s="155"/>
      <c r="L1320" s="155"/>
      <c r="M1320" s="126"/>
      <c r="N1320" s="127"/>
      <c r="O1320" s="127"/>
      <c r="P1320" s="127"/>
      <c r="Q1320" s="126"/>
      <c r="R1320" s="128"/>
      <c r="S1320" s="128"/>
      <c r="T1320" s="128"/>
      <c r="U1320" s="128"/>
      <c r="V1320" s="129"/>
      <c r="W1320" s="129"/>
      <c r="X1320" s="129"/>
      <c r="Y1320" s="129"/>
      <c r="Z1320" s="145" t="b">
        <v>0</v>
      </c>
      <c r="AA1320" s="145"/>
      <c r="AB1320" s="129"/>
      <c r="AC1320" s="129"/>
      <c r="AD1320" s="129"/>
      <c r="AE1320" s="129"/>
      <c r="AF1320" s="132"/>
      <c r="AG1320" s="128" t="b">
        <v>0</v>
      </c>
      <c r="AH1320" s="128"/>
      <c r="AI1320" s="128"/>
      <c r="AJ1320" s="128"/>
      <c r="AK1320" s="128"/>
      <c r="AL1320" s="129"/>
      <c r="AM1320" s="129"/>
      <c r="AN1320" s="139"/>
    </row>
    <row r="1321">
      <c r="A1321" s="129"/>
      <c r="B1321" s="119"/>
      <c r="C1321" s="128"/>
      <c r="D1321" s="142"/>
      <c r="E1321" s="122"/>
      <c r="F1321" s="136"/>
      <c r="G1321" s="152"/>
      <c r="H1321" s="155"/>
      <c r="I1321" s="155"/>
      <c r="J1321" s="155"/>
      <c r="K1321" s="155"/>
      <c r="L1321" s="155"/>
      <c r="M1321" s="126"/>
      <c r="N1321" s="127"/>
      <c r="O1321" s="127"/>
      <c r="P1321" s="127"/>
      <c r="Q1321" s="126"/>
      <c r="R1321" s="128"/>
      <c r="S1321" s="128"/>
      <c r="T1321" s="128"/>
      <c r="U1321" s="128"/>
      <c r="V1321" s="129"/>
      <c r="W1321" s="129"/>
      <c r="X1321" s="129"/>
      <c r="Y1321" s="129"/>
      <c r="Z1321" s="145" t="b">
        <v>0</v>
      </c>
      <c r="AA1321" s="145"/>
      <c r="AB1321" s="129"/>
      <c r="AC1321" s="129"/>
      <c r="AD1321" s="129"/>
      <c r="AE1321" s="129"/>
      <c r="AF1321" s="132"/>
      <c r="AG1321" s="128" t="b">
        <v>0</v>
      </c>
      <c r="AH1321" s="128"/>
      <c r="AI1321" s="128"/>
      <c r="AJ1321" s="128"/>
      <c r="AK1321" s="128"/>
      <c r="AL1321" s="129"/>
      <c r="AM1321" s="129"/>
      <c r="AN1321" s="139"/>
    </row>
    <row r="1322">
      <c r="A1322" s="129"/>
      <c r="B1322" s="119"/>
      <c r="C1322" s="128"/>
      <c r="D1322" s="142"/>
      <c r="E1322" s="122"/>
      <c r="F1322" s="136"/>
      <c r="G1322" s="152"/>
      <c r="H1322" s="155"/>
      <c r="I1322" s="155"/>
      <c r="J1322" s="155"/>
      <c r="K1322" s="155"/>
      <c r="L1322" s="155"/>
      <c r="M1322" s="126"/>
      <c r="N1322" s="127"/>
      <c r="O1322" s="127"/>
      <c r="P1322" s="127"/>
      <c r="Q1322" s="126"/>
      <c r="R1322" s="128"/>
      <c r="S1322" s="128"/>
      <c r="T1322" s="128"/>
      <c r="U1322" s="128"/>
      <c r="V1322" s="129"/>
      <c r="W1322" s="129"/>
      <c r="X1322" s="129"/>
      <c r="Y1322" s="129"/>
      <c r="Z1322" s="145" t="b">
        <v>0</v>
      </c>
      <c r="AA1322" s="145"/>
      <c r="AB1322" s="129"/>
      <c r="AC1322" s="129"/>
      <c r="AD1322" s="129"/>
      <c r="AE1322" s="129"/>
      <c r="AF1322" s="132"/>
      <c r="AG1322" s="128" t="b">
        <v>0</v>
      </c>
      <c r="AH1322" s="128"/>
      <c r="AI1322" s="128"/>
      <c r="AJ1322" s="128"/>
      <c r="AK1322" s="128"/>
      <c r="AL1322" s="129"/>
      <c r="AM1322" s="129"/>
      <c r="AN1322" s="139"/>
    </row>
    <row r="1323">
      <c r="A1323" s="129"/>
      <c r="B1323" s="119"/>
      <c r="C1323" s="128"/>
      <c r="D1323" s="142"/>
      <c r="E1323" s="122"/>
      <c r="F1323" s="136"/>
      <c r="G1323" s="152"/>
      <c r="H1323" s="155"/>
      <c r="I1323" s="155"/>
      <c r="J1323" s="155"/>
      <c r="K1323" s="155"/>
      <c r="L1323" s="155"/>
      <c r="M1323" s="126"/>
      <c r="N1323" s="127"/>
      <c r="O1323" s="127"/>
      <c r="P1323" s="127"/>
      <c r="Q1323" s="126"/>
      <c r="R1323" s="128"/>
      <c r="S1323" s="128"/>
      <c r="T1323" s="128"/>
      <c r="U1323" s="128"/>
      <c r="V1323" s="129"/>
      <c r="W1323" s="129"/>
      <c r="X1323" s="129"/>
      <c r="Y1323" s="129"/>
      <c r="Z1323" s="145" t="b">
        <v>0</v>
      </c>
      <c r="AA1323" s="145"/>
      <c r="AB1323" s="129"/>
      <c r="AC1323" s="129"/>
      <c r="AD1323" s="129"/>
      <c r="AE1323" s="129"/>
      <c r="AF1323" s="132"/>
      <c r="AG1323" s="128" t="b">
        <v>0</v>
      </c>
      <c r="AH1323" s="128"/>
      <c r="AI1323" s="128"/>
      <c r="AJ1323" s="128"/>
      <c r="AK1323" s="128"/>
      <c r="AL1323" s="129"/>
      <c r="AM1323" s="129"/>
      <c r="AN1323" s="139"/>
    </row>
    <row r="1324">
      <c r="A1324" s="129"/>
      <c r="B1324" s="119"/>
      <c r="C1324" s="128"/>
      <c r="D1324" s="142"/>
      <c r="E1324" s="122"/>
      <c r="F1324" s="136"/>
      <c r="G1324" s="152"/>
      <c r="H1324" s="155"/>
      <c r="I1324" s="155"/>
      <c r="J1324" s="155"/>
      <c r="K1324" s="155"/>
      <c r="L1324" s="155"/>
      <c r="M1324" s="126"/>
      <c r="N1324" s="127"/>
      <c r="O1324" s="127"/>
      <c r="P1324" s="127"/>
      <c r="Q1324" s="126"/>
      <c r="R1324" s="128"/>
      <c r="S1324" s="128"/>
      <c r="T1324" s="128"/>
      <c r="U1324" s="128"/>
      <c r="V1324" s="129"/>
      <c r="W1324" s="129"/>
      <c r="X1324" s="129"/>
      <c r="Y1324" s="129"/>
      <c r="Z1324" s="145" t="b">
        <v>0</v>
      </c>
      <c r="AA1324" s="145"/>
      <c r="AB1324" s="129"/>
      <c r="AC1324" s="129"/>
      <c r="AD1324" s="129"/>
      <c r="AE1324" s="129"/>
      <c r="AF1324" s="132"/>
      <c r="AG1324" s="128" t="b">
        <v>0</v>
      </c>
      <c r="AH1324" s="128"/>
      <c r="AI1324" s="128"/>
      <c r="AJ1324" s="128"/>
      <c r="AK1324" s="128"/>
      <c r="AL1324" s="129"/>
      <c r="AM1324" s="129"/>
      <c r="AN1324" s="139"/>
    </row>
    <row r="1325">
      <c r="A1325" s="129"/>
      <c r="B1325" s="119"/>
      <c r="C1325" s="128"/>
      <c r="D1325" s="142"/>
      <c r="E1325" s="122"/>
      <c r="F1325" s="136"/>
      <c r="G1325" s="152"/>
      <c r="H1325" s="155"/>
      <c r="I1325" s="155"/>
      <c r="J1325" s="155"/>
      <c r="K1325" s="155"/>
      <c r="L1325" s="155"/>
      <c r="M1325" s="126"/>
      <c r="N1325" s="127"/>
      <c r="O1325" s="127"/>
      <c r="P1325" s="127"/>
      <c r="Q1325" s="126"/>
      <c r="R1325" s="128"/>
      <c r="S1325" s="128"/>
      <c r="T1325" s="128"/>
      <c r="U1325" s="128"/>
      <c r="V1325" s="129"/>
      <c r="W1325" s="129"/>
      <c r="X1325" s="129"/>
      <c r="Y1325" s="129"/>
      <c r="Z1325" s="145" t="b">
        <v>0</v>
      </c>
      <c r="AA1325" s="145"/>
      <c r="AB1325" s="129"/>
      <c r="AC1325" s="129"/>
      <c r="AD1325" s="129"/>
      <c r="AE1325" s="129"/>
      <c r="AF1325" s="132"/>
      <c r="AG1325" s="128" t="b">
        <v>0</v>
      </c>
      <c r="AH1325" s="128"/>
      <c r="AI1325" s="128"/>
      <c r="AJ1325" s="128"/>
      <c r="AK1325" s="128"/>
      <c r="AL1325" s="129"/>
      <c r="AM1325" s="129"/>
      <c r="AN1325" s="139"/>
    </row>
    <row r="1326">
      <c r="A1326" s="129"/>
      <c r="B1326" s="119"/>
      <c r="C1326" s="128"/>
      <c r="D1326" s="142"/>
      <c r="E1326" s="122"/>
      <c r="F1326" s="136"/>
      <c r="G1326" s="152"/>
      <c r="H1326" s="155"/>
      <c r="I1326" s="155"/>
      <c r="J1326" s="155"/>
      <c r="K1326" s="155"/>
      <c r="L1326" s="155"/>
      <c r="M1326" s="126"/>
      <c r="N1326" s="127"/>
      <c r="O1326" s="127"/>
      <c r="P1326" s="127"/>
      <c r="Q1326" s="126"/>
      <c r="R1326" s="128"/>
      <c r="S1326" s="128"/>
      <c r="T1326" s="128"/>
      <c r="U1326" s="128"/>
      <c r="V1326" s="129"/>
      <c r="W1326" s="129"/>
      <c r="X1326" s="129"/>
      <c r="Y1326" s="129"/>
      <c r="Z1326" s="145" t="b">
        <v>0</v>
      </c>
      <c r="AA1326" s="145"/>
      <c r="AB1326" s="129"/>
      <c r="AC1326" s="129"/>
      <c r="AD1326" s="129"/>
      <c r="AE1326" s="129"/>
      <c r="AF1326" s="132"/>
      <c r="AG1326" s="128" t="b">
        <v>0</v>
      </c>
      <c r="AH1326" s="128"/>
      <c r="AI1326" s="128"/>
      <c r="AJ1326" s="128"/>
      <c r="AK1326" s="128"/>
      <c r="AL1326" s="129"/>
      <c r="AM1326" s="129"/>
      <c r="AN1326" s="139"/>
    </row>
    <row r="1327">
      <c r="A1327" s="129"/>
      <c r="B1327" s="119"/>
      <c r="C1327" s="128"/>
      <c r="D1327" s="142"/>
      <c r="E1327" s="122"/>
      <c r="F1327" s="136"/>
      <c r="G1327" s="152"/>
      <c r="H1327" s="155"/>
      <c r="I1327" s="155"/>
      <c r="J1327" s="155"/>
      <c r="K1327" s="155"/>
      <c r="L1327" s="155"/>
      <c r="M1327" s="126"/>
      <c r="N1327" s="127"/>
      <c r="O1327" s="127"/>
      <c r="P1327" s="127"/>
      <c r="Q1327" s="126"/>
      <c r="R1327" s="128"/>
      <c r="S1327" s="128"/>
      <c r="T1327" s="128"/>
      <c r="U1327" s="128"/>
      <c r="V1327" s="129"/>
      <c r="W1327" s="129"/>
      <c r="X1327" s="129"/>
      <c r="Y1327" s="129"/>
      <c r="Z1327" s="145" t="b">
        <v>0</v>
      </c>
      <c r="AA1327" s="145"/>
      <c r="AB1327" s="129"/>
      <c r="AC1327" s="129"/>
      <c r="AD1327" s="129"/>
      <c r="AE1327" s="129"/>
      <c r="AF1327" s="132"/>
      <c r="AG1327" s="128" t="b">
        <v>0</v>
      </c>
      <c r="AH1327" s="128"/>
      <c r="AI1327" s="128"/>
      <c r="AJ1327" s="128"/>
      <c r="AK1327" s="128"/>
      <c r="AL1327" s="129"/>
      <c r="AM1327" s="129"/>
      <c r="AN1327" s="139"/>
    </row>
    <row r="1328">
      <c r="A1328" s="129"/>
      <c r="B1328" s="119"/>
      <c r="C1328" s="128"/>
      <c r="D1328" s="142"/>
      <c r="E1328" s="122"/>
      <c r="F1328" s="136"/>
      <c r="G1328" s="152"/>
      <c r="H1328" s="155"/>
      <c r="I1328" s="155"/>
      <c r="J1328" s="155"/>
      <c r="K1328" s="155"/>
      <c r="L1328" s="155"/>
      <c r="M1328" s="126"/>
      <c r="N1328" s="127"/>
      <c r="O1328" s="127"/>
      <c r="P1328" s="127"/>
      <c r="Q1328" s="126"/>
      <c r="R1328" s="128"/>
      <c r="S1328" s="128"/>
      <c r="T1328" s="128"/>
      <c r="U1328" s="128"/>
      <c r="V1328" s="129"/>
      <c r="W1328" s="129"/>
      <c r="X1328" s="129"/>
      <c r="Y1328" s="129"/>
      <c r="Z1328" s="145" t="b">
        <v>0</v>
      </c>
      <c r="AA1328" s="145"/>
      <c r="AB1328" s="129"/>
      <c r="AC1328" s="129"/>
      <c r="AD1328" s="129"/>
      <c r="AE1328" s="129"/>
      <c r="AF1328" s="132"/>
      <c r="AG1328" s="128" t="b">
        <v>0</v>
      </c>
      <c r="AH1328" s="128"/>
      <c r="AI1328" s="128"/>
      <c r="AJ1328" s="128"/>
      <c r="AK1328" s="128"/>
      <c r="AL1328" s="129"/>
      <c r="AM1328" s="129"/>
      <c r="AN1328" s="139"/>
    </row>
    <row r="1329">
      <c r="A1329" s="129"/>
      <c r="B1329" s="119"/>
      <c r="C1329" s="128"/>
      <c r="D1329" s="142"/>
      <c r="E1329" s="122"/>
      <c r="F1329" s="136"/>
      <c r="G1329" s="152"/>
      <c r="H1329" s="155"/>
      <c r="I1329" s="155"/>
      <c r="J1329" s="155"/>
      <c r="K1329" s="155"/>
      <c r="L1329" s="155"/>
      <c r="M1329" s="126"/>
      <c r="N1329" s="127"/>
      <c r="O1329" s="127"/>
      <c r="P1329" s="127"/>
      <c r="Q1329" s="126"/>
      <c r="R1329" s="128"/>
      <c r="S1329" s="128"/>
      <c r="T1329" s="128"/>
      <c r="U1329" s="128"/>
      <c r="V1329" s="129"/>
      <c r="W1329" s="129"/>
      <c r="X1329" s="129"/>
      <c r="Y1329" s="129"/>
      <c r="Z1329" s="145" t="b">
        <v>0</v>
      </c>
      <c r="AA1329" s="145"/>
      <c r="AB1329" s="129"/>
      <c r="AC1329" s="129"/>
      <c r="AD1329" s="129"/>
      <c r="AE1329" s="129"/>
      <c r="AF1329" s="132"/>
      <c r="AG1329" s="128" t="b">
        <v>0</v>
      </c>
      <c r="AH1329" s="128"/>
      <c r="AI1329" s="128"/>
      <c r="AJ1329" s="128"/>
      <c r="AK1329" s="128"/>
      <c r="AL1329" s="129"/>
      <c r="AM1329" s="129"/>
      <c r="AN1329" s="139"/>
    </row>
    <row r="1330">
      <c r="A1330" s="129"/>
      <c r="B1330" s="119"/>
      <c r="C1330" s="128"/>
      <c r="D1330" s="142"/>
      <c r="E1330" s="122"/>
      <c r="F1330" s="136"/>
      <c r="G1330" s="152"/>
      <c r="H1330" s="155"/>
      <c r="I1330" s="155"/>
      <c r="J1330" s="155"/>
      <c r="K1330" s="155"/>
      <c r="L1330" s="155"/>
      <c r="M1330" s="126"/>
      <c r="N1330" s="127"/>
      <c r="O1330" s="127"/>
      <c r="P1330" s="127"/>
      <c r="Q1330" s="126"/>
      <c r="R1330" s="128"/>
      <c r="S1330" s="128"/>
      <c r="T1330" s="128"/>
      <c r="U1330" s="128"/>
      <c r="V1330" s="129"/>
      <c r="W1330" s="129"/>
      <c r="X1330" s="129"/>
      <c r="Y1330" s="129"/>
      <c r="Z1330" s="145" t="b">
        <v>0</v>
      </c>
      <c r="AA1330" s="145"/>
      <c r="AB1330" s="129"/>
      <c r="AC1330" s="129"/>
      <c r="AD1330" s="129"/>
      <c r="AE1330" s="129"/>
      <c r="AF1330" s="132"/>
      <c r="AG1330" s="128" t="b">
        <v>0</v>
      </c>
      <c r="AH1330" s="128"/>
      <c r="AI1330" s="128"/>
      <c r="AJ1330" s="128"/>
      <c r="AK1330" s="128"/>
      <c r="AL1330" s="129"/>
      <c r="AM1330" s="129"/>
      <c r="AN1330" s="139"/>
    </row>
    <row r="1331">
      <c r="A1331" s="129"/>
      <c r="B1331" s="119"/>
      <c r="C1331" s="128"/>
      <c r="D1331" s="142"/>
      <c r="E1331" s="122"/>
      <c r="F1331" s="136"/>
      <c r="G1331" s="152"/>
      <c r="H1331" s="155"/>
      <c r="I1331" s="155"/>
      <c r="J1331" s="155"/>
      <c r="K1331" s="155"/>
      <c r="L1331" s="155"/>
      <c r="M1331" s="126"/>
      <c r="N1331" s="127"/>
      <c r="O1331" s="127"/>
      <c r="P1331" s="127"/>
      <c r="Q1331" s="126"/>
      <c r="R1331" s="128"/>
      <c r="S1331" s="128"/>
      <c r="T1331" s="128"/>
      <c r="U1331" s="128"/>
      <c r="V1331" s="129"/>
      <c r="W1331" s="129"/>
      <c r="X1331" s="129"/>
      <c r="Y1331" s="129"/>
      <c r="Z1331" s="145" t="b">
        <v>0</v>
      </c>
      <c r="AA1331" s="145"/>
      <c r="AB1331" s="129"/>
      <c r="AC1331" s="129"/>
      <c r="AD1331" s="129"/>
      <c r="AE1331" s="129"/>
      <c r="AF1331" s="132"/>
      <c r="AG1331" s="128" t="b">
        <v>0</v>
      </c>
      <c r="AH1331" s="128"/>
      <c r="AI1331" s="128"/>
      <c r="AJ1331" s="128"/>
      <c r="AK1331" s="128"/>
      <c r="AL1331" s="129"/>
      <c r="AM1331" s="129"/>
      <c r="AN1331" s="139"/>
    </row>
    <row r="1332">
      <c r="A1332" s="129"/>
      <c r="B1332" s="119"/>
      <c r="C1332" s="128"/>
      <c r="D1332" s="142"/>
      <c r="E1332" s="122"/>
      <c r="F1332" s="136"/>
      <c r="G1332" s="152"/>
      <c r="H1332" s="155"/>
      <c r="I1332" s="155"/>
      <c r="J1332" s="155"/>
      <c r="K1332" s="155"/>
      <c r="L1332" s="155"/>
      <c r="M1332" s="126"/>
      <c r="N1332" s="127"/>
      <c r="O1332" s="127"/>
      <c r="P1332" s="127"/>
      <c r="Q1332" s="126"/>
      <c r="R1332" s="128"/>
      <c r="S1332" s="128"/>
      <c r="T1332" s="128"/>
      <c r="U1332" s="128"/>
      <c r="V1332" s="129"/>
      <c r="W1332" s="129"/>
      <c r="X1332" s="129"/>
      <c r="Y1332" s="129"/>
      <c r="Z1332" s="145" t="b">
        <v>0</v>
      </c>
      <c r="AA1332" s="145"/>
      <c r="AB1332" s="129"/>
      <c r="AC1332" s="129"/>
      <c r="AD1332" s="129"/>
      <c r="AE1332" s="129"/>
      <c r="AF1332" s="132"/>
      <c r="AG1332" s="128" t="b">
        <v>0</v>
      </c>
      <c r="AH1332" s="128"/>
      <c r="AI1332" s="128"/>
      <c r="AJ1332" s="128"/>
      <c r="AK1332" s="128"/>
      <c r="AL1332" s="129"/>
      <c r="AM1332" s="129"/>
      <c r="AN1332" s="139"/>
    </row>
    <row r="1333">
      <c r="A1333" s="129"/>
      <c r="B1333" s="119"/>
      <c r="C1333" s="128"/>
      <c r="D1333" s="142"/>
      <c r="E1333" s="122"/>
      <c r="F1333" s="136"/>
      <c r="G1333" s="152"/>
      <c r="H1333" s="155"/>
      <c r="I1333" s="155"/>
      <c r="J1333" s="155"/>
      <c r="K1333" s="155"/>
      <c r="L1333" s="155"/>
      <c r="M1333" s="126"/>
      <c r="N1333" s="127"/>
      <c r="O1333" s="127"/>
      <c r="P1333" s="127"/>
      <c r="Q1333" s="126"/>
      <c r="R1333" s="128"/>
      <c r="S1333" s="128"/>
      <c r="T1333" s="128"/>
      <c r="U1333" s="128"/>
      <c r="V1333" s="129"/>
      <c r="W1333" s="129"/>
      <c r="X1333" s="129"/>
      <c r="Y1333" s="129"/>
      <c r="Z1333" s="145" t="b">
        <v>0</v>
      </c>
      <c r="AA1333" s="145"/>
      <c r="AB1333" s="129"/>
      <c r="AC1333" s="129"/>
      <c r="AD1333" s="129"/>
      <c r="AE1333" s="129"/>
      <c r="AF1333" s="132"/>
      <c r="AG1333" s="128" t="b">
        <v>0</v>
      </c>
      <c r="AH1333" s="128"/>
      <c r="AI1333" s="128"/>
      <c r="AJ1333" s="128"/>
      <c r="AK1333" s="128"/>
      <c r="AL1333" s="129"/>
      <c r="AM1333" s="129"/>
      <c r="AN1333" s="139"/>
    </row>
    <row r="1334">
      <c r="A1334" s="129"/>
      <c r="B1334" s="119"/>
      <c r="C1334" s="128"/>
      <c r="D1334" s="142"/>
      <c r="E1334" s="122"/>
      <c r="F1334" s="136"/>
      <c r="G1334" s="152"/>
      <c r="H1334" s="155"/>
      <c r="I1334" s="155"/>
      <c r="J1334" s="155"/>
      <c r="K1334" s="155"/>
      <c r="L1334" s="155"/>
      <c r="M1334" s="126"/>
      <c r="N1334" s="127"/>
      <c r="O1334" s="127"/>
      <c r="P1334" s="127"/>
      <c r="Q1334" s="126"/>
      <c r="R1334" s="128"/>
      <c r="S1334" s="128"/>
      <c r="T1334" s="128"/>
      <c r="U1334" s="128"/>
      <c r="V1334" s="129"/>
      <c r="W1334" s="129"/>
      <c r="X1334" s="129"/>
      <c r="Y1334" s="129"/>
      <c r="Z1334" s="145" t="b">
        <v>0</v>
      </c>
      <c r="AA1334" s="145"/>
      <c r="AB1334" s="129"/>
      <c r="AC1334" s="129"/>
      <c r="AD1334" s="129"/>
      <c r="AE1334" s="129"/>
      <c r="AF1334" s="132"/>
      <c r="AG1334" s="128" t="b">
        <v>0</v>
      </c>
      <c r="AH1334" s="128"/>
      <c r="AI1334" s="128"/>
      <c r="AJ1334" s="128"/>
      <c r="AK1334" s="128"/>
      <c r="AL1334" s="129"/>
      <c r="AM1334" s="129"/>
      <c r="AN1334" s="139"/>
    </row>
    <row r="1335">
      <c r="A1335" s="129"/>
      <c r="B1335" s="119"/>
      <c r="C1335" s="128"/>
      <c r="D1335" s="142"/>
      <c r="E1335" s="122"/>
      <c r="F1335" s="136"/>
      <c r="G1335" s="152"/>
      <c r="H1335" s="155"/>
      <c r="I1335" s="155"/>
      <c r="J1335" s="155"/>
      <c r="K1335" s="155"/>
      <c r="L1335" s="155"/>
      <c r="M1335" s="126"/>
      <c r="N1335" s="127"/>
      <c r="O1335" s="127"/>
      <c r="P1335" s="127"/>
      <c r="Q1335" s="126"/>
      <c r="R1335" s="128"/>
      <c r="S1335" s="128"/>
      <c r="T1335" s="128"/>
      <c r="U1335" s="128"/>
      <c r="V1335" s="129"/>
      <c r="W1335" s="129"/>
      <c r="X1335" s="129"/>
      <c r="Y1335" s="129"/>
      <c r="Z1335" s="145" t="b">
        <v>0</v>
      </c>
      <c r="AA1335" s="145"/>
      <c r="AB1335" s="129"/>
      <c r="AC1335" s="129"/>
      <c r="AD1335" s="129"/>
      <c r="AE1335" s="129"/>
      <c r="AF1335" s="132"/>
      <c r="AG1335" s="128" t="b">
        <v>0</v>
      </c>
      <c r="AH1335" s="128"/>
      <c r="AI1335" s="128"/>
      <c r="AJ1335" s="128"/>
      <c r="AK1335" s="128"/>
      <c r="AL1335" s="129"/>
      <c r="AM1335" s="129"/>
      <c r="AN1335" s="139"/>
    </row>
    <row r="1336">
      <c r="A1336" s="129"/>
      <c r="B1336" s="119"/>
      <c r="C1336" s="128"/>
      <c r="D1336" s="142"/>
      <c r="E1336" s="122"/>
      <c r="F1336" s="136"/>
      <c r="G1336" s="152"/>
      <c r="H1336" s="155"/>
      <c r="I1336" s="155"/>
      <c r="J1336" s="155"/>
      <c r="K1336" s="155"/>
      <c r="L1336" s="155"/>
      <c r="M1336" s="126"/>
      <c r="N1336" s="127"/>
      <c r="O1336" s="127"/>
      <c r="P1336" s="127"/>
      <c r="Q1336" s="126"/>
      <c r="R1336" s="128"/>
      <c r="S1336" s="128"/>
      <c r="T1336" s="128"/>
      <c r="U1336" s="128"/>
      <c r="V1336" s="129"/>
      <c r="W1336" s="129"/>
      <c r="X1336" s="129"/>
      <c r="Y1336" s="129"/>
      <c r="Z1336" s="145" t="b">
        <v>0</v>
      </c>
      <c r="AA1336" s="145"/>
      <c r="AB1336" s="129"/>
      <c r="AC1336" s="129"/>
      <c r="AD1336" s="129"/>
      <c r="AE1336" s="129"/>
      <c r="AF1336" s="132"/>
      <c r="AG1336" s="128" t="b">
        <v>0</v>
      </c>
      <c r="AH1336" s="128"/>
      <c r="AI1336" s="128"/>
      <c r="AJ1336" s="128"/>
      <c r="AK1336" s="128"/>
      <c r="AL1336" s="129"/>
      <c r="AM1336" s="129"/>
      <c r="AN1336" s="139"/>
    </row>
    <row r="1337">
      <c r="A1337" s="129"/>
      <c r="B1337" s="119"/>
      <c r="C1337" s="128"/>
      <c r="D1337" s="142"/>
      <c r="E1337" s="122"/>
      <c r="F1337" s="136"/>
      <c r="G1337" s="152"/>
      <c r="H1337" s="155"/>
      <c r="I1337" s="155"/>
      <c r="J1337" s="155"/>
      <c r="K1337" s="155"/>
      <c r="L1337" s="155"/>
      <c r="M1337" s="126"/>
      <c r="N1337" s="127"/>
      <c r="O1337" s="127"/>
      <c r="P1337" s="127"/>
      <c r="Q1337" s="126"/>
      <c r="R1337" s="128"/>
      <c r="S1337" s="128"/>
      <c r="T1337" s="128"/>
      <c r="U1337" s="128"/>
      <c r="V1337" s="129"/>
      <c r="W1337" s="129"/>
      <c r="X1337" s="129"/>
      <c r="Y1337" s="129"/>
      <c r="Z1337" s="145" t="b">
        <v>0</v>
      </c>
      <c r="AA1337" s="145"/>
      <c r="AB1337" s="129"/>
      <c r="AC1337" s="129"/>
      <c r="AD1337" s="129"/>
      <c r="AE1337" s="129"/>
      <c r="AF1337" s="132"/>
      <c r="AG1337" s="128" t="b">
        <v>0</v>
      </c>
      <c r="AH1337" s="128"/>
      <c r="AI1337" s="128"/>
      <c r="AJ1337" s="128"/>
      <c r="AK1337" s="128"/>
      <c r="AL1337" s="129"/>
      <c r="AM1337" s="129"/>
      <c r="AN1337" s="139"/>
    </row>
    <row r="1338">
      <c r="A1338" s="129"/>
      <c r="B1338" s="119"/>
      <c r="C1338" s="128"/>
      <c r="D1338" s="142"/>
      <c r="E1338" s="122"/>
      <c r="F1338" s="136"/>
      <c r="G1338" s="152"/>
      <c r="H1338" s="155"/>
      <c r="I1338" s="155"/>
      <c r="J1338" s="155"/>
      <c r="K1338" s="155"/>
      <c r="L1338" s="155"/>
      <c r="M1338" s="126"/>
      <c r="N1338" s="127"/>
      <c r="O1338" s="127"/>
      <c r="P1338" s="127"/>
      <c r="Q1338" s="126"/>
      <c r="R1338" s="128"/>
      <c r="S1338" s="128"/>
      <c r="T1338" s="128"/>
      <c r="U1338" s="128"/>
      <c r="V1338" s="129"/>
      <c r="W1338" s="129"/>
      <c r="X1338" s="129"/>
      <c r="Y1338" s="129"/>
      <c r="Z1338" s="145" t="b">
        <v>0</v>
      </c>
      <c r="AA1338" s="145"/>
      <c r="AB1338" s="129"/>
      <c r="AC1338" s="129"/>
      <c r="AD1338" s="129"/>
      <c r="AE1338" s="129"/>
      <c r="AF1338" s="132"/>
      <c r="AG1338" s="128" t="b">
        <v>0</v>
      </c>
      <c r="AH1338" s="128"/>
      <c r="AI1338" s="128"/>
      <c r="AJ1338" s="128"/>
      <c r="AK1338" s="128"/>
      <c r="AL1338" s="129"/>
      <c r="AM1338" s="129"/>
      <c r="AN1338" s="139"/>
    </row>
    <row r="1339">
      <c r="A1339" s="129"/>
      <c r="B1339" s="119"/>
      <c r="C1339" s="128"/>
      <c r="D1339" s="142"/>
      <c r="E1339" s="122"/>
      <c r="F1339" s="136"/>
      <c r="G1339" s="152"/>
      <c r="H1339" s="155"/>
      <c r="I1339" s="155"/>
      <c r="J1339" s="155"/>
      <c r="K1339" s="155"/>
      <c r="L1339" s="155"/>
      <c r="M1339" s="126"/>
      <c r="N1339" s="127"/>
      <c r="O1339" s="127"/>
      <c r="P1339" s="127"/>
      <c r="Q1339" s="126"/>
      <c r="R1339" s="128"/>
      <c r="S1339" s="128"/>
      <c r="T1339" s="128"/>
      <c r="U1339" s="128"/>
      <c r="V1339" s="129"/>
      <c r="W1339" s="129"/>
      <c r="X1339" s="129"/>
      <c r="Y1339" s="129"/>
      <c r="Z1339" s="145" t="b">
        <v>0</v>
      </c>
      <c r="AA1339" s="145"/>
      <c r="AB1339" s="129"/>
      <c r="AC1339" s="129"/>
      <c r="AD1339" s="129"/>
      <c r="AE1339" s="129"/>
      <c r="AF1339" s="132"/>
      <c r="AG1339" s="128" t="b">
        <v>0</v>
      </c>
      <c r="AH1339" s="128"/>
      <c r="AI1339" s="128"/>
      <c r="AJ1339" s="128"/>
      <c r="AK1339" s="128"/>
      <c r="AL1339" s="129"/>
      <c r="AM1339" s="129"/>
      <c r="AN1339" s="139"/>
    </row>
    <row r="1340">
      <c r="A1340" s="129"/>
      <c r="B1340" s="119"/>
      <c r="C1340" s="128"/>
      <c r="D1340" s="142"/>
      <c r="E1340" s="122"/>
      <c r="F1340" s="136"/>
      <c r="G1340" s="152"/>
      <c r="H1340" s="155"/>
      <c r="I1340" s="155"/>
      <c r="J1340" s="155"/>
      <c r="K1340" s="155"/>
      <c r="L1340" s="155"/>
      <c r="M1340" s="126"/>
      <c r="N1340" s="127"/>
      <c r="O1340" s="127"/>
      <c r="P1340" s="127"/>
      <c r="Q1340" s="126"/>
      <c r="R1340" s="128"/>
      <c r="S1340" s="128"/>
      <c r="T1340" s="128"/>
      <c r="U1340" s="128"/>
      <c r="V1340" s="129"/>
      <c r="W1340" s="129"/>
      <c r="X1340" s="129"/>
      <c r="Y1340" s="129"/>
      <c r="Z1340" s="145" t="b">
        <v>0</v>
      </c>
      <c r="AA1340" s="145"/>
      <c r="AB1340" s="129"/>
      <c r="AC1340" s="129"/>
      <c r="AD1340" s="129"/>
      <c r="AE1340" s="129"/>
      <c r="AF1340" s="132"/>
      <c r="AG1340" s="128" t="b">
        <v>0</v>
      </c>
      <c r="AH1340" s="128"/>
      <c r="AI1340" s="128"/>
      <c r="AJ1340" s="128"/>
      <c r="AK1340" s="128"/>
      <c r="AL1340" s="129"/>
      <c r="AM1340" s="129"/>
      <c r="AN1340" s="139"/>
    </row>
    <row r="1341">
      <c r="A1341" s="129"/>
      <c r="B1341" s="119"/>
      <c r="C1341" s="128"/>
      <c r="D1341" s="142"/>
      <c r="E1341" s="122"/>
      <c r="F1341" s="136"/>
      <c r="G1341" s="152"/>
      <c r="H1341" s="155"/>
      <c r="I1341" s="155"/>
      <c r="J1341" s="155"/>
      <c r="K1341" s="155"/>
      <c r="L1341" s="155"/>
      <c r="M1341" s="126"/>
      <c r="N1341" s="127"/>
      <c r="O1341" s="127"/>
      <c r="P1341" s="127"/>
      <c r="Q1341" s="126"/>
      <c r="R1341" s="128"/>
      <c r="S1341" s="128"/>
      <c r="T1341" s="128"/>
      <c r="U1341" s="128"/>
      <c r="V1341" s="129"/>
      <c r="W1341" s="129"/>
      <c r="X1341" s="129"/>
      <c r="Y1341" s="129"/>
      <c r="Z1341" s="145" t="b">
        <v>0</v>
      </c>
      <c r="AA1341" s="145"/>
      <c r="AB1341" s="129"/>
      <c r="AC1341" s="129"/>
      <c r="AD1341" s="129"/>
      <c r="AE1341" s="129"/>
      <c r="AF1341" s="132"/>
      <c r="AG1341" s="128" t="b">
        <v>0</v>
      </c>
      <c r="AH1341" s="128"/>
      <c r="AI1341" s="128"/>
      <c r="AJ1341" s="128"/>
      <c r="AK1341" s="128"/>
      <c r="AL1341" s="129"/>
      <c r="AM1341" s="129"/>
      <c r="AN1341" s="139"/>
    </row>
    <row r="1342">
      <c r="A1342" s="129"/>
      <c r="B1342" s="119"/>
      <c r="C1342" s="128"/>
      <c r="D1342" s="142"/>
      <c r="E1342" s="122"/>
      <c r="F1342" s="136"/>
      <c r="G1342" s="152"/>
      <c r="H1342" s="155"/>
      <c r="I1342" s="155"/>
      <c r="J1342" s="155"/>
      <c r="K1342" s="155"/>
      <c r="L1342" s="155"/>
      <c r="M1342" s="126"/>
      <c r="N1342" s="127"/>
      <c r="O1342" s="127"/>
      <c r="P1342" s="127"/>
      <c r="Q1342" s="126"/>
      <c r="R1342" s="128"/>
      <c r="S1342" s="128"/>
      <c r="T1342" s="128"/>
      <c r="U1342" s="128"/>
      <c r="V1342" s="129"/>
      <c r="W1342" s="129"/>
      <c r="X1342" s="129"/>
      <c r="Y1342" s="129"/>
      <c r="Z1342" s="145" t="b">
        <v>0</v>
      </c>
      <c r="AA1342" s="145"/>
      <c r="AB1342" s="129"/>
      <c r="AC1342" s="129"/>
      <c r="AD1342" s="129"/>
      <c r="AE1342" s="129"/>
      <c r="AF1342" s="132"/>
      <c r="AG1342" s="128" t="b">
        <v>0</v>
      </c>
      <c r="AH1342" s="128"/>
      <c r="AI1342" s="128"/>
      <c r="AJ1342" s="128"/>
      <c r="AK1342" s="128"/>
      <c r="AL1342" s="129"/>
      <c r="AM1342" s="129"/>
      <c r="AN1342" s="139"/>
    </row>
    <row r="1343">
      <c r="A1343" s="129"/>
      <c r="B1343" s="119"/>
      <c r="C1343" s="128"/>
      <c r="D1343" s="142"/>
      <c r="E1343" s="122"/>
      <c r="F1343" s="136"/>
      <c r="G1343" s="152"/>
      <c r="H1343" s="155"/>
      <c r="I1343" s="155"/>
      <c r="J1343" s="155"/>
      <c r="K1343" s="155"/>
      <c r="L1343" s="155"/>
      <c r="M1343" s="126"/>
      <c r="N1343" s="127"/>
      <c r="O1343" s="127"/>
      <c r="P1343" s="127"/>
      <c r="Q1343" s="126"/>
      <c r="R1343" s="128"/>
      <c r="S1343" s="128"/>
      <c r="T1343" s="128"/>
      <c r="U1343" s="128"/>
      <c r="V1343" s="129"/>
      <c r="W1343" s="129"/>
      <c r="X1343" s="129"/>
      <c r="Y1343" s="129"/>
      <c r="Z1343" s="145" t="b">
        <v>0</v>
      </c>
      <c r="AA1343" s="145"/>
      <c r="AB1343" s="129"/>
      <c r="AC1343" s="129"/>
      <c r="AD1343" s="129"/>
      <c r="AE1343" s="129"/>
      <c r="AF1343" s="132"/>
      <c r="AG1343" s="128" t="b">
        <v>0</v>
      </c>
      <c r="AH1343" s="128"/>
      <c r="AI1343" s="128"/>
      <c r="AJ1343" s="128"/>
      <c r="AK1343" s="128"/>
      <c r="AL1343" s="129"/>
      <c r="AM1343" s="129"/>
      <c r="AN1343" s="139"/>
    </row>
    <row r="1344">
      <c r="A1344" s="129"/>
      <c r="B1344" s="119"/>
      <c r="C1344" s="128"/>
      <c r="D1344" s="142"/>
      <c r="E1344" s="122"/>
      <c r="F1344" s="136"/>
      <c r="G1344" s="152"/>
      <c r="H1344" s="155"/>
      <c r="I1344" s="155"/>
      <c r="J1344" s="155"/>
      <c r="K1344" s="155"/>
      <c r="L1344" s="155"/>
      <c r="M1344" s="126"/>
      <c r="N1344" s="127"/>
      <c r="O1344" s="127"/>
      <c r="P1344" s="127"/>
      <c r="Q1344" s="126"/>
      <c r="R1344" s="128"/>
      <c r="S1344" s="128"/>
      <c r="T1344" s="128"/>
      <c r="U1344" s="128"/>
      <c r="V1344" s="129"/>
      <c r="W1344" s="129"/>
      <c r="X1344" s="129"/>
      <c r="Y1344" s="129"/>
      <c r="Z1344" s="145" t="b">
        <v>0</v>
      </c>
      <c r="AA1344" s="145"/>
      <c r="AB1344" s="129"/>
      <c r="AC1344" s="129"/>
      <c r="AD1344" s="129"/>
      <c r="AE1344" s="129"/>
      <c r="AF1344" s="132"/>
      <c r="AG1344" s="128" t="b">
        <v>0</v>
      </c>
      <c r="AH1344" s="128"/>
      <c r="AI1344" s="128"/>
      <c r="AJ1344" s="128"/>
      <c r="AK1344" s="128"/>
      <c r="AL1344" s="129"/>
      <c r="AM1344" s="129"/>
      <c r="AN1344" s="139"/>
    </row>
    <row r="1345">
      <c r="A1345" s="129"/>
      <c r="B1345" s="119"/>
      <c r="C1345" s="128"/>
      <c r="D1345" s="142"/>
      <c r="E1345" s="122"/>
      <c r="F1345" s="136"/>
      <c r="G1345" s="152"/>
      <c r="H1345" s="155"/>
      <c r="I1345" s="155"/>
      <c r="J1345" s="155"/>
      <c r="K1345" s="155"/>
      <c r="L1345" s="155"/>
      <c r="M1345" s="126"/>
      <c r="N1345" s="127"/>
      <c r="O1345" s="127"/>
      <c r="P1345" s="127"/>
      <c r="Q1345" s="126"/>
      <c r="R1345" s="128"/>
      <c r="S1345" s="128"/>
      <c r="T1345" s="128"/>
      <c r="U1345" s="128"/>
      <c r="V1345" s="129"/>
      <c r="W1345" s="129"/>
      <c r="X1345" s="129"/>
      <c r="Y1345" s="129"/>
      <c r="Z1345" s="145" t="b">
        <v>0</v>
      </c>
      <c r="AA1345" s="145"/>
      <c r="AB1345" s="129"/>
      <c r="AC1345" s="129"/>
      <c r="AD1345" s="129"/>
      <c r="AE1345" s="129"/>
      <c r="AF1345" s="132"/>
      <c r="AG1345" s="128" t="b">
        <v>0</v>
      </c>
      <c r="AH1345" s="128"/>
      <c r="AI1345" s="128"/>
      <c r="AJ1345" s="128"/>
      <c r="AK1345" s="128"/>
      <c r="AL1345" s="129"/>
      <c r="AM1345" s="129"/>
      <c r="AN1345" s="139"/>
    </row>
    <row r="1346">
      <c r="A1346" s="129"/>
      <c r="B1346" s="119"/>
      <c r="C1346" s="128"/>
      <c r="D1346" s="142"/>
      <c r="E1346" s="122"/>
      <c r="F1346" s="136"/>
      <c r="G1346" s="152"/>
      <c r="H1346" s="155"/>
      <c r="I1346" s="155"/>
      <c r="J1346" s="155"/>
      <c r="K1346" s="155"/>
      <c r="L1346" s="155"/>
      <c r="M1346" s="126"/>
      <c r="N1346" s="127"/>
      <c r="O1346" s="127"/>
      <c r="P1346" s="127"/>
      <c r="Q1346" s="126"/>
      <c r="R1346" s="128"/>
      <c r="S1346" s="128"/>
      <c r="T1346" s="128"/>
      <c r="U1346" s="128"/>
      <c r="V1346" s="129"/>
      <c r="W1346" s="129"/>
      <c r="X1346" s="129"/>
      <c r="Y1346" s="129"/>
      <c r="Z1346" s="145" t="b">
        <v>0</v>
      </c>
      <c r="AA1346" s="145"/>
      <c r="AB1346" s="129"/>
      <c r="AC1346" s="129"/>
      <c r="AD1346" s="129"/>
      <c r="AE1346" s="129"/>
      <c r="AF1346" s="132"/>
      <c r="AG1346" s="128" t="b">
        <v>0</v>
      </c>
      <c r="AH1346" s="128"/>
      <c r="AI1346" s="128"/>
      <c r="AJ1346" s="128"/>
      <c r="AK1346" s="128"/>
      <c r="AL1346" s="129"/>
      <c r="AM1346" s="129"/>
      <c r="AN1346" s="139"/>
    </row>
    <row r="1347">
      <c r="A1347" s="129"/>
      <c r="B1347" s="119"/>
      <c r="C1347" s="128"/>
      <c r="D1347" s="142"/>
      <c r="E1347" s="122"/>
      <c r="F1347" s="136"/>
      <c r="G1347" s="152"/>
      <c r="H1347" s="155"/>
      <c r="I1347" s="155"/>
      <c r="J1347" s="155"/>
      <c r="K1347" s="155"/>
      <c r="L1347" s="155"/>
      <c r="M1347" s="126"/>
      <c r="N1347" s="127"/>
      <c r="O1347" s="127"/>
      <c r="P1347" s="127"/>
      <c r="Q1347" s="126"/>
      <c r="R1347" s="128"/>
      <c r="S1347" s="128"/>
      <c r="T1347" s="128"/>
      <c r="U1347" s="128"/>
      <c r="V1347" s="129"/>
      <c r="W1347" s="129"/>
      <c r="X1347" s="129"/>
      <c r="Y1347" s="129"/>
      <c r="Z1347" s="145" t="b">
        <v>0</v>
      </c>
      <c r="AA1347" s="145"/>
      <c r="AB1347" s="129"/>
      <c r="AC1347" s="129"/>
      <c r="AD1347" s="129"/>
      <c r="AE1347" s="129"/>
      <c r="AF1347" s="132"/>
      <c r="AG1347" s="128" t="b">
        <v>0</v>
      </c>
      <c r="AH1347" s="128"/>
      <c r="AI1347" s="128"/>
      <c r="AJ1347" s="128"/>
      <c r="AK1347" s="128"/>
      <c r="AL1347" s="129"/>
      <c r="AM1347" s="129"/>
      <c r="AN1347" s="139"/>
    </row>
    <row r="1348">
      <c r="A1348" s="129"/>
      <c r="B1348" s="119"/>
      <c r="C1348" s="128"/>
      <c r="D1348" s="142"/>
      <c r="E1348" s="122"/>
      <c r="F1348" s="136"/>
      <c r="G1348" s="152"/>
      <c r="H1348" s="155"/>
      <c r="I1348" s="155"/>
      <c r="J1348" s="155"/>
      <c r="K1348" s="155"/>
      <c r="L1348" s="155"/>
      <c r="M1348" s="126"/>
      <c r="N1348" s="127"/>
      <c r="O1348" s="127"/>
      <c r="P1348" s="127"/>
      <c r="Q1348" s="126"/>
      <c r="R1348" s="128"/>
      <c r="S1348" s="128"/>
      <c r="T1348" s="128"/>
      <c r="U1348" s="128"/>
      <c r="V1348" s="129"/>
      <c r="W1348" s="129"/>
      <c r="X1348" s="129"/>
      <c r="Y1348" s="129"/>
      <c r="Z1348" s="145" t="b">
        <v>0</v>
      </c>
      <c r="AA1348" s="145"/>
      <c r="AB1348" s="129"/>
      <c r="AC1348" s="129"/>
      <c r="AD1348" s="129"/>
      <c r="AE1348" s="129"/>
      <c r="AF1348" s="132"/>
      <c r="AG1348" s="128" t="b">
        <v>0</v>
      </c>
      <c r="AH1348" s="128"/>
      <c r="AI1348" s="128"/>
      <c r="AJ1348" s="128"/>
      <c r="AK1348" s="128"/>
      <c r="AL1348" s="129"/>
      <c r="AM1348" s="129"/>
      <c r="AN1348" s="139"/>
    </row>
    <row r="1349">
      <c r="A1349" s="129"/>
      <c r="B1349" s="119"/>
      <c r="C1349" s="128"/>
      <c r="D1349" s="142"/>
      <c r="E1349" s="122"/>
      <c r="F1349" s="136"/>
      <c r="G1349" s="152"/>
      <c r="H1349" s="155"/>
      <c r="I1349" s="155"/>
      <c r="J1349" s="155"/>
      <c r="K1349" s="155"/>
      <c r="L1349" s="155"/>
      <c r="M1349" s="126"/>
      <c r="N1349" s="127"/>
      <c r="O1349" s="127"/>
      <c r="P1349" s="127"/>
      <c r="Q1349" s="126"/>
      <c r="R1349" s="128"/>
      <c r="S1349" s="128"/>
      <c r="T1349" s="128"/>
      <c r="U1349" s="128"/>
      <c r="V1349" s="129"/>
      <c r="W1349" s="129"/>
      <c r="X1349" s="129"/>
      <c r="Y1349" s="129"/>
      <c r="Z1349" s="145" t="b">
        <v>0</v>
      </c>
      <c r="AA1349" s="145"/>
      <c r="AB1349" s="129"/>
      <c r="AC1349" s="129"/>
      <c r="AD1349" s="129"/>
      <c r="AE1349" s="129"/>
      <c r="AF1349" s="132"/>
      <c r="AG1349" s="128" t="b">
        <v>0</v>
      </c>
      <c r="AH1349" s="128"/>
      <c r="AI1349" s="128"/>
      <c r="AJ1349" s="128"/>
      <c r="AK1349" s="128"/>
      <c r="AL1349" s="129"/>
      <c r="AM1349" s="129"/>
      <c r="AN1349" s="139"/>
    </row>
    <row r="1350">
      <c r="A1350" s="129"/>
      <c r="B1350" s="119"/>
      <c r="C1350" s="128"/>
      <c r="D1350" s="142"/>
      <c r="E1350" s="122"/>
      <c r="F1350" s="136"/>
      <c r="G1350" s="152"/>
      <c r="H1350" s="155"/>
      <c r="I1350" s="155"/>
      <c r="J1350" s="155"/>
      <c r="K1350" s="155"/>
      <c r="L1350" s="155"/>
      <c r="M1350" s="126"/>
      <c r="N1350" s="127"/>
      <c r="O1350" s="127"/>
      <c r="P1350" s="127"/>
      <c r="Q1350" s="126"/>
      <c r="R1350" s="128"/>
      <c r="S1350" s="128"/>
      <c r="T1350" s="128"/>
      <c r="U1350" s="128"/>
      <c r="V1350" s="129"/>
      <c r="W1350" s="129"/>
      <c r="X1350" s="129"/>
      <c r="Y1350" s="129"/>
      <c r="Z1350" s="145" t="b">
        <v>0</v>
      </c>
      <c r="AA1350" s="145"/>
      <c r="AB1350" s="129"/>
      <c r="AC1350" s="129"/>
      <c r="AD1350" s="129"/>
      <c r="AE1350" s="129"/>
      <c r="AF1350" s="132"/>
      <c r="AG1350" s="128" t="b">
        <v>0</v>
      </c>
      <c r="AH1350" s="128"/>
      <c r="AI1350" s="128"/>
      <c r="AJ1350" s="128"/>
      <c r="AK1350" s="128"/>
      <c r="AL1350" s="129"/>
      <c r="AM1350" s="129"/>
      <c r="AN1350" s="139"/>
    </row>
    <row r="1351">
      <c r="A1351" s="129"/>
      <c r="B1351" s="119"/>
      <c r="C1351" s="128"/>
      <c r="D1351" s="142"/>
      <c r="E1351" s="122"/>
      <c r="F1351" s="136"/>
      <c r="G1351" s="152"/>
      <c r="H1351" s="155"/>
      <c r="I1351" s="155"/>
      <c r="J1351" s="155"/>
      <c r="K1351" s="155"/>
      <c r="L1351" s="155"/>
      <c r="M1351" s="126"/>
      <c r="N1351" s="127"/>
      <c r="O1351" s="127"/>
      <c r="P1351" s="127"/>
      <c r="Q1351" s="126"/>
      <c r="R1351" s="128"/>
      <c r="S1351" s="128"/>
      <c r="T1351" s="128"/>
      <c r="U1351" s="128"/>
      <c r="V1351" s="129"/>
      <c r="W1351" s="129"/>
      <c r="X1351" s="129"/>
      <c r="Y1351" s="129"/>
      <c r="Z1351" s="145" t="b">
        <v>0</v>
      </c>
      <c r="AA1351" s="145"/>
      <c r="AB1351" s="129"/>
      <c r="AC1351" s="129"/>
      <c r="AD1351" s="129"/>
      <c r="AE1351" s="129"/>
      <c r="AF1351" s="132"/>
      <c r="AG1351" s="128" t="b">
        <v>0</v>
      </c>
      <c r="AH1351" s="128"/>
      <c r="AI1351" s="128"/>
      <c r="AJ1351" s="128"/>
      <c r="AK1351" s="128"/>
      <c r="AL1351" s="129"/>
      <c r="AM1351" s="129"/>
      <c r="AN1351" s="139"/>
    </row>
    <row r="1352">
      <c r="A1352" s="129"/>
      <c r="B1352" s="119"/>
      <c r="C1352" s="128"/>
      <c r="D1352" s="142"/>
      <c r="E1352" s="122"/>
      <c r="F1352" s="136"/>
      <c r="G1352" s="152"/>
      <c r="H1352" s="155"/>
      <c r="I1352" s="155"/>
      <c r="J1352" s="155"/>
      <c r="K1352" s="155"/>
      <c r="L1352" s="155"/>
      <c r="M1352" s="126"/>
      <c r="N1352" s="127"/>
      <c r="O1352" s="127"/>
      <c r="P1352" s="127"/>
      <c r="Q1352" s="126"/>
      <c r="R1352" s="128"/>
      <c r="S1352" s="128"/>
      <c r="T1352" s="128"/>
      <c r="U1352" s="128"/>
      <c r="V1352" s="129"/>
      <c r="W1352" s="129"/>
      <c r="X1352" s="129"/>
      <c r="Y1352" s="129"/>
      <c r="Z1352" s="145" t="b">
        <v>0</v>
      </c>
      <c r="AA1352" s="145"/>
      <c r="AB1352" s="129"/>
      <c r="AC1352" s="129"/>
      <c r="AD1352" s="129"/>
      <c r="AE1352" s="129"/>
      <c r="AF1352" s="132"/>
      <c r="AG1352" s="128" t="b">
        <v>0</v>
      </c>
      <c r="AH1352" s="128"/>
      <c r="AI1352" s="128"/>
      <c r="AJ1352" s="128"/>
      <c r="AK1352" s="128"/>
      <c r="AL1352" s="129"/>
      <c r="AM1352" s="129"/>
      <c r="AN1352" s="139"/>
    </row>
    <row r="1353">
      <c r="A1353" s="129"/>
      <c r="B1353" s="119"/>
      <c r="C1353" s="128"/>
      <c r="D1353" s="142"/>
      <c r="E1353" s="122"/>
      <c r="F1353" s="136"/>
      <c r="G1353" s="152"/>
      <c r="H1353" s="155"/>
      <c r="I1353" s="155"/>
      <c r="J1353" s="155"/>
      <c r="K1353" s="155"/>
      <c r="L1353" s="155"/>
      <c r="M1353" s="126"/>
      <c r="N1353" s="127"/>
      <c r="O1353" s="127"/>
      <c r="P1353" s="127"/>
      <c r="Q1353" s="126"/>
      <c r="R1353" s="128"/>
      <c r="S1353" s="128"/>
      <c r="T1353" s="128"/>
      <c r="U1353" s="128"/>
      <c r="V1353" s="129"/>
      <c r="W1353" s="129"/>
      <c r="X1353" s="129"/>
      <c r="Y1353" s="129"/>
      <c r="Z1353" s="145" t="b">
        <v>0</v>
      </c>
      <c r="AA1353" s="145"/>
      <c r="AB1353" s="129"/>
      <c r="AC1353" s="129"/>
      <c r="AD1353" s="129"/>
      <c r="AE1353" s="129"/>
      <c r="AF1353" s="132"/>
      <c r="AG1353" s="128" t="b">
        <v>0</v>
      </c>
      <c r="AH1353" s="128"/>
      <c r="AI1353" s="128"/>
      <c r="AJ1353" s="128"/>
      <c r="AK1353" s="128"/>
      <c r="AL1353" s="129"/>
      <c r="AM1353" s="129"/>
      <c r="AN1353" s="139"/>
    </row>
    <row r="1354">
      <c r="A1354" s="129"/>
      <c r="B1354" s="119"/>
      <c r="C1354" s="128"/>
      <c r="D1354" s="142"/>
      <c r="E1354" s="122"/>
      <c r="F1354" s="136"/>
      <c r="G1354" s="152"/>
      <c r="H1354" s="155"/>
      <c r="I1354" s="155"/>
      <c r="J1354" s="155"/>
      <c r="K1354" s="155"/>
      <c r="L1354" s="155"/>
      <c r="M1354" s="126"/>
      <c r="N1354" s="127"/>
      <c r="O1354" s="127"/>
      <c r="P1354" s="127"/>
      <c r="Q1354" s="126"/>
      <c r="R1354" s="128"/>
      <c r="S1354" s="128"/>
      <c r="T1354" s="128"/>
      <c r="U1354" s="128"/>
      <c r="V1354" s="129"/>
      <c r="W1354" s="129"/>
      <c r="X1354" s="129"/>
      <c r="Y1354" s="129"/>
      <c r="Z1354" s="145" t="b">
        <v>0</v>
      </c>
      <c r="AA1354" s="145"/>
      <c r="AB1354" s="129"/>
      <c r="AC1354" s="129"/>
      <c r="AD1354" s="129"/>
      <c r="AE1354" s="129"/>
      <c r="AF1354" s="132"/>
      <c r="AG1354" s="128" t="b">
        <v>0</v>
      </c>
      <c r="AH1354" s="128"/>
      <c r="AI1354" s="128"/>
      <c r="AJ1354" s="128"/>
      <c r="AK1354" s="128"/>
      <c r="AL1354" s="129"/>
      <c r="AM1354" s="129"/>
      <c r="AN1354" s="139"/>
    </row>
    <row r="1355">
      <c r="A1355" s="129"/>
      <c r="B1355" s="119"/>
      <c r="C1355" s="128"/>
      <c r="D1355" s="142"/>
      <c r="E1355" s="122"/>
      <c r="F1355" s="136"/>
      <c r="G1355" s="152"/>
      <c r="H1355" s="155"/>
      <c r="I1355" s="155"/>
      <c r="J1355" s="155"/>
      <c r="K1355" s="155"/>
      <c r="L1355" s="155"/>
      <c r="M1355" s="126"/>
      <c r="N1355" s="127"/>
      <c r="O1355" s="127"/>
      <c r="P1355" s="127"/>
      <c r="Q1355" s="126"/>
      <c r="R1355" s="128"/>
      <c r="S1355" s="128"/>
      <c r="T1355" s="128"/>
      <c r="U1355" s="128"/>
      <c r="V1355" s="129"/>
      <c r="W1355" s="129"/>
      <c r="X1355" s="129"/>
      <c r="Y1355" s="129"/>
      <c r="Z1355" s="145" t="b">
        <v>0</v>
      </c>
      <c r="AA1355" s="145"/>
      <c r="AB1355" s="129"/>
      <c r="AC1355" s="129"/>
      <c r="AD1355" s="129"/>
      <c r="AE1355" s="129"/>
      <c r="AF1355" s="132"/>
      <c r="AG1355" s="128" t="b">
        <v>0</v>
      </c>
      <c r="AH1355" s="128"/>
      <c r="AI1355" s="128"/>
      <c r="AJ1355" s="128"/>
      <c r="AK1355" s="128"/>
      <c r="AL1355" s="129"/>
      <c r="AM1355" s="129"/>
      <c r="AN1355" s="139"/>
    </row>
    <row r="1356">
      <c r="A1356" s="129"/>
      <c r="B1356" s="119"/>
      <c r="C1356" s="128"/>
      <c r="D1356" s="142"/>
      <c r="E1356" s="122"/>
      <c r="F1356" s="136"/>
      <c r="G1356" s="152"/>
      <c r="H1356" s="155"/>
      <c r="I1356" s="155"/>
      <c r="J1356" s="155"/>
      <c r="K1356" s="155"/>
      <c r="L1356" s="155"/>
      <c r="M1356" s="126"/>
      <c r="N1356" s="127"/>
      <c r="O1356" s="127"/>
      <c r="P1356" s="127"/>
      <c r="Q1356" s="126"/>
      <c r="R1356" s="128"/>
      <c r="S1356" s="128"/>
      <c r="T1356" s="128"/>
      <c r="U1356" s="128"/>
      <c r="V1356" s="129"/>
      <c r="W1356" s="129"/>
      <c r="X1356" s="129"/>
      <c r="Y1356" s="129"/>
      <c r="Z1356" s="145" t="b">
        <v>0</v>
      </c>
      <c r="AA1356" s="145"/>
      <c r="AB1356" s="129"/>
      <c r="AC1356" s="129"/>
      <c r="AD1356" s="129"/>
      <c r="AE1356" s="129"/>
      <c r="AF1356" s="132"/>
      <c r="AG1356" s="128" t="b">
        <v>0</v>
      </c>
      <c r="AH1356" s="128"/>
      <c r="AI1356" s="128"/>
      <c r="AJ1356" s="128"/>
      <c r="AK1356" s="128"/>
      <c r="AL1356" s="129"/>
      <c r="AM1356" s="129"/>
      <c r="AN1356" s="139"/>
    </row>
    <row r="1357">
      <c r="A1357" s="129"/>
      <c r="B1357" s="119"/>
      <c r="C1357" s="128"/>
      <c r="D1357" s="142"/>
      <c r="E1357" s="122"/>
      <c r="F1357" s="136"/>
      <c r="G1357" s="152"/>
      <c r="H1357" s="155"/>
      <c r="I1357" s="155"/>
      <c r="J1357" s="155"/>
      <c r="K1357" s="155"/>
      <c r="L1357" s="155"/>
      <c r="M1357" s="126"/>
      <c r="N1357" s="127"/>
      <c r="O1357" s="127"/>
      <c r="P1357" s="127"/>
      <c r="Q1357" s="126"/>
      <c r="R1357" s="128"/>
      <c r="S1357" s="128"/>
      <c r="T1357" s="128"/>
      <c r="U1357" s="128"/>
      <c r="V1357" s="129"/>
      <c r="W1357" s="129"/>
      <c r="X1357" s="129"/>
      <c r="Y1357" s="129"/>
      <c r="Z1357" s="145" t="b">
        <v>0</v>
      </c>
      <c r="AA1357" s="145"/>
      <c r="AB1357" s="129"/>
      <c r="AC1357" s="129"/>
      <c r="AD1357" s="129"/>
      <c r="AE1357" s="129"/>
      <c r="AF1357" s="132"/>
      <c r="AG1357" s="128" t="b">
        <v>0</v>
      </c>
      <c r="AH1357" s="128"/>
      <c r="AI1357" s="128"/>
      <c r="AJ1357" s="128"/>
      <c r="AK1357" s="128"/>
      <c r="AL1357" s="129"/>
      <c r="AM1357" s="129"/>
      <c r="AN1357" s="139"/>
    </row>
    <row r="1358">
      <c r="A1358" s="129"/>
      <c r="B1358" s="119"/>
      <c r="C1358" s="128"/>
      <c r="D1358" s="142"/>
      <c r="E1358" s="122"/>
      <c r="F1358" s="136"/>
      <c r="G1358" s="152"/>
      <c r="H1358" s="155"/>
      <c r="I1358" s="155"/>
      <c r="J1358" s="155"/>
      <c r="K1358" s="155"/>
      <c r="L1358" s="155"/>
      <c r="M1358" s="126"/>
      <c r="N1358" s="127"/>
      <c r="O1358" s="127"/>
      <c r="P1358" s="127"/>
      <c r="Q1358" s="126"/>
      <c r="R1358" s="128"/>
      <c r="S1358" s="128"/>
      <c r="T1358" s="128"/>
      <c r="U1358" s="128"/>
      <c r="V1358" s="129"/>
      <c r="W1358" s="129"/>
      <c r="X1358" s="129"/>
      <c r="Y1358" s="129"/>
      <c r="Z1358" s="145" t="b">
        <v>0</v>
      </c>
      <c r="AA1358" s="145"/>
      <c r="AB1358" s="129"/>
      <c r="AC1358" s="129"/>
      <c r="AD1358" s="129"/>
      <c r="AE1358" s="129"/>
      <c r="AF1358" s="132"/>
      <c r="AG1358" s="128" t="b">
        <v>0</v>
      </c>
      <c r="AH1358" s="128"/>
      <c r="AI1358" s="128"/>
      <c r="AJ1358" s="128"/>
      <c r="AK1358" s="128"/>
      <c r="AL1358" s="129"/>
      <c r="AM1358" s="129"/>
      <c r="AN1358" s="139"/>
    </row>
    <row r="1359">
      <c r="A1359" s="129"/>
      <c r="B1359" s="119"/>
      <c r="C1359" s="128"/>
      <c r="D1359" s="142"/>
      <c r="E1359" s="122"/>
      <c r="F1359" s="136"/>
      <c r="G1359" s="152"/>
      <c r="H1359" s="155"/>
      <c r="I1359" s="155"/>
      <c r="J1359" s="155"/>
      <c r="K1359" s="155"/>
      <c r="L1359" s="155"/>
      <c r="M1359" s="126"/>
      <c r="N1359" s="127"/>
      <c r="O1359" s="127"/>
      <c r="P1359" s="127"/>
      <c r="Q1359" s="126"/>
      <c r="R1359" s="128"/>
      <c r="S1359" s="128"/>
      <c r="T1359" s="128"/>
      <c r="U1359" s="128"/>
      <c r="V1359" s="129"/>
      <c r="W1359" s="129"/>
      <c r="X1359" s="129"/>
      <c r="Y1359" s="129"/>
      <c r="Z1359" s="145" t="b">
        <v>0</v>
      </c>
      <c r="AA1359" s="145"/>
      <c r="AB1359" s="129"/>
      <c r="AC1359" s="129"/>
      <c r="AD1359" s="129"/>
      <c r="AE1359" s="129"/>
      <c r="AF1359" s="132"/>
      <c r="AG1359" s="128" t="b">
        <v>0</v>
      </c>
      <c r="AH1359" s="128"/>
      <c r="AI1359" s="128"/>
      <c r="AJ1359" s="128"/>
      <c r="AK1359" s="128"/>
      <c r="AL1359" s="129"/>
      <c r="AM1359" s="129"/>
      <c r="AN1359" s="139"/>
    </row>
    <row r="1360">
      <c r="A1360" s="129"/>
      <c r="B1360" s="119"/>
      <c r="C1360" s="128"/>
      <c r="D1360" s="142"/>
      <c r="E1360" s="122"/>
      <c r="F1360" s="136"/>
      <c r="G1360" s="152"/>
      <c r="H1360" s="155"/>
      <c r="I1360" s="155"/>
      <c r="J1360" s="155"/>
      <c r="K1360" s="155"/>
      <c r="L1360" s="155"/>
      <c r="M1360" s="126"/>
      <c r="N1360" s="127"/>
      <c r="O1360" s="127"/>
      <c r="P1360" s="127"/>
      <c r="Q1360" s="126"/>
      <c r="R1360" s="128"/>
      <c r="S1360" s="128"/>
      <c r="T1360" s="128"/>
      <c r="U1360" s="128"/>
      <c r="V1360" s="129"/>
      <c r="W1360" s="129"/>
      <c r="X1360" s="129"/>
      <c r="Y1360" s="129"/>
      <c r="Z1360" s="145" t="b">
        <v>0</v>
      </c>
      <c r="AA1360" s="145"/>
      <c r="AB1360" s="129"/>
      <c r="AC1360" s="129"/>
      <c r="AD1360" s="129"/>
      <c r="AE1360" s="129"/>
      <c r="AF1360" s="132"/>
      <c r="AG1360" s="128" t="b">
        <v>0</v>
      </c>
      <c r="AH1360" s="128"/>
      <c r="AI1360" s="128"/>
      <c r="AJ1360" s="128"/>
      <c r="AK1360" s="128"/>
      <c r="AL1360" s="129"/>
      <c r="AM1360" s="129"/>
      <c r="AN1360" s="139"/>
    </row>
    <row r="1361">
      <c r="A1361" s="129"/>
      <c r="B1361" s="119"/>
      <c r="C1361" s="128"/>
      <c r="D1361" s="142"/>
      <c r="E1361" s="122"/>
      <c r="F1361" s="136"/>
      <c r="G1361" s="152"/>
      <c r="H1361" s="155"/>
      <c r="I1361" s="155"/>
      <c r="J1361" s="155"/>
      <c r="K1361" s="155"/>
      <c r="L1361" s="155"/>
      <c r="M1361" s="126"/>
      <c r="N1361" s="127"/>
      <c r="O1361" s="127"/>
      <c r="P1361" s="127"/>
      <c r="Q1361" s="126"/>
      <c r="R1361" s="128"/>
      <c r="S1361" s="128"/>
      <c r="T1361" s="128"/>
      <c r="U1361" s="128"/>
      <c r="V1361" s="129"/>
      <c r="W1361" s="129"/>
      <c r="X1361" s="129"/>
      <c r="Y1361" s="129"/>
      <c r="Z1361" s="145" t="b">
        <v>0</v>
      </c>
      <c r="AA1361" s="145"/>
      <c r="AB1361" s="129"/>
      <c r="AC1361" s="129"/>
      <c r="AD1361" s="129"/>
      <c r="AE1361" s="129"/>
      <c r="AF1361" s="132"/>
      <c r="AG1361" s="128" t="b">
        <v>0</v>
      </c>
      <c r="AH1361" s="128"/>
      <c r="AI1361" s="128"/>
      <c r="AJ1361" s="128"/>
      <c r="AK1361" s="128"/>
      <c r="AL1361" s="129"/>
      <c r="AM1361" s="129"/>
      <c r="AN1361" s="139"/>
    </row>
    <row r="1362">
      <c r="A1362" s="129"/>
      <c r="B1362" s="119"/>
      <c r="C1362" s="128"/>
      <c r="D1362" s="142"/>
      <c r="E1362" s="122"/>
      <c r="F1362" s="136"/>
      <c r="G1362" s="152"/>
      <c r="H1362" s="155"/>
      <c r="I1362" s="155"/>
      <c r="J1362" s="155"/>
      <c r="K1362" s="155"/>
      <c r="L1362" s="155"/>
      <c r="M1362" s="126"/>
      <c r="N1362" s="127"/>
      <c r="O1362" s="127"/>
      <c r="P1362" s="127"/>
      <c r="Q1362" s="126"/>
      <c r="R1362" s="128"/>
      <c r="S1362" s="128"/>
      <c r="T1362" s="128"/>
      <c r="U1362" s="128"/>
      <c r="V1362" s="129"/>
      <c r="W1362" s="129"/>
      <c r="X1362" s="129"/>
      <c r="Y1362" s="129"/>
      <c r="Z1362" s="145" t="b">
        <v>0</v>
      </c>
      <c r="AA1362" s="145"/>
      <c r="AB1362" s="129"/>
      <c r="AC1362" s="129"/>
      <c r="AD1362" s="129"/>
      <c r="AE1362" s="129"/>
      <c r="AF1362" s="132"/>
      <c r="AG1362" s="128" t="b">
        <v>0</v>
      </c>
      <c r="AH1362" s="128"/>
      <c r="AI1362" s="128"/>
      <c r="AJ1362" s="128"/>
      <c r="AK1362" s="128"/>
      <c r="AL1362" s="129"/>
      <c r="AM1362" s="129"/>
      <c r="AN1362" s="139"/>
    </row>
    <row r="1363">
      <c r="A1363" s="129"/>
      <c r="B1363" s="119"/>
      <c r="C1363" s="128"/>
      <c r="D1363" s="142"/>
      <c r="E1363" s="122"/>
      <c r="F1363" s="136"/>
      <c r="G1363" s="152"/>
      <c r="H1363" s="155"/>
      <c r="I1363" s="155"/>
      <c r="J1363" s="155"/>
      <c r="K1363" s="155"/>
      <c r="L1363" s="155"/>
      <c r="M1363" s="126"/>
      <c r="N1363" s="127"/>
      <c r="O1363" s="127"/>
      <c r="P1363" s="127"/>
      <c r="Q1363" s="126"/>
      <c r="R1363" s="128"/>
      <c r="S1363" s="128"/>
      <c r="T1363" s="128"/>
      <c r="U1363" s="128"/>
      <c r="V1363" s="129"/>
      <c r="W1363" s="129"/>
      <c r="X1363" s="129"/>
      <c r="Y1363" s="129"/>
      <c r="Z1363" s="145" t="b">
        <v>0</v>
      </c>
      <c r="AA1363" s="145"/>
      <c r="AB1363" s="129"/>
      <c r="AC1363" s="129"/>
      <c r="AD1363" s="129"/>
      <c r="AE1363" s="129"/>
      <c r="AF1363" s="132"/>
      <c r="AG1363" s="128" t="b">
        <v>0</v>
      </c>
      <c r="AH1363" s="128"/>
      <c r="AI1363" s="128"/>
      <c r="AJ1363" s="128"/>
      <c r="AK1363" s="128"/>
      <c r="AL1363" s="129"/>
      <c r="AM1363" s="129"/>
      <c r="AN1363" s="139"/>
    </row>
    <row r="1364">
      <c r="A1364" s="129"/>
      <c r="B1364" s="119"/>
      <c r="C1364" s="128"/>
      <c r="D1364" s="142"/>
      <c r="E1364" s="122"/>
      <c r="F1364" s="136"/>
      <c r="G1364" s="152"/>
      <c r="H1364" s="155"/>
      <c r="I1364" s="155"/>
      <c r="J1364" s="155"/>
      <c r="K1364" s="155"/>
      <c r="L1364" s="155"/>
      <c r="M1364" s="126"/>
      <c r="N1364" s="127"/>
      <c r="O1364" s="127"/>
      <c r="P1364" s="127"/>
      <c r="Q1364" s="126"/>
      <c r="R1364" s="128"/>
      <c r="S1364" s="128"/>
      <c r="T1364" s="128"/>
      <c r="U1364" s="128"/>
      <c r="V1364" s="129"/>
      <c r="W1364" s="129"/>
      <c r="X1364" s="129"/>
      <c r="Y1364" s="129"/>
      <c r="Z1364" s="145" t="b">
        <v>0</v>
      </c>
      <c r="AA1364" s="145"/>
      <c r="AB1364" s="129"/>
      <c r="AC1364" s="129"/>
      <c r="AD1364" s="129"/>
      <c r="AE1364" s="129"/>
      <c r="AF1364" s="132"/>
      <c r="AG1364" s="128" t="b">
        <v>0</v>
      </c>
      <c r="AH1364" s="128"/>
      <c r="AI1364" s="128"/>
      <c r="AJ1364" s="128"/>
      <c r="AK1364" s="128"/>
      <c r="AL1364" s="129"/>
      <c r="AM1364" s="129"/>
      <c r="AN1364" s="139"/>
    </row>
    <row r="1365">
      <c r="A1365" s="129"/>
      <c r="B1365" s="119"/>
      <c r="C1365" s="128"/>
      <c r="D1365" s="142"/>
      <c r="E1365" s="122"/>
      <c r="F1365" s="136"/>
      <c r="G1365" s="152"/>
      <c r="H1365" s="155"/>
      <c r="I1365" s="155"/>
      <c r="J1365" s="155"/>
      <c r="K1365" s="155"/>
      <c r="L1365" s="155"/>
      <c r="M1365" s="126"/>
      <c r="N1365" s="127"/>
      <c r="O1365" s="127"/>
      <c r="P1365" s="127"/>
      <c r="Q1365" s="126"/>
      <c r="R1365" s="128"/>
      <c r="S1365" s="128"/>
      <c r="T1365" s="128"/>
      <c r="U1365" s="128"/>
      <c r="V1365" s="129"/>
      <c r="W1365" s="129"/>
      <c r="X1365" s="129"/>
      <c r="Y1365" s="129"/>
      <c r="Z1365" s="145" t="b">
        <v>0</v>
      </c>
      <c r="AA1365" s="145"/>
      <c r="AB1365" s="129"/>
      <c r="AC1365" s="129"/>
      <c r="AD1365" s="129"/>
      <c r="AE1365" s="129"/>
      <c r="AF1365" s="132"/>
      <c r="AG1365" s="128" t="b">
        <v>0</v>
      </c>
      <c r="AH1365" s="128"/>
      <c r="AI1365" s="128"/>
      <c r="AJ1365" s="128"/>
      <c r="AK1365" s="128"/>
      <c r="AL1365" s="129"/>
      <c r="AM1365" s="129"/>
      <c r="AN1365" s="139"/>
    </row>
    <row r="1366">
      <c r="A1366" s="129"/>
      <c r="B1366" s="119"/>
      <c r="C1366" s="128"/>
      <c r="D1366" s="142"/>
      <c r="E1366" s="122"/>
      <c r="F1366" s="136"/>
      <c r="G1366" s="152"/>
      <c r="H1366" s="155"/>
      <c r="I1366" s="155"/>
      <c r="J1366" s="155"/>
      <c r="K1366" s="155"/>
      <c r="L1366" s="155"/>
      <c r="M1366" s="126"/>
      <c r="N1366" s="127"/>
      <c r="O1366" s="127"/>
      <c r="P1366" s="127"/>
      <c r="Q1366" s="126"/>
      <c r="R1366" s="128"/>
      <c r="S1366" s="128"/>
      <c r="T1366" s="128"/>
      <c r="U1366" s="128"/>
      <c r="V1366" s="129"/>
      <c r="W1366" s="129"/>
      <c r="X1366" s="129"/>
      <c r="Y1366" s="129"/>
      <c r="Z1366" s="145" t="b">
        <v>0</v>
      </c>
      <c r="AA1366" s="145"/>
      <c r="AB1366" s="129"/>
      <c r="AC1366" s="129"/>
      <c r="AD1366" s="129"/>
      <c r="AE1366" s="129"/>
      <c r="AF1366" s="132"/>
      <c r="AG1366" s="128" t="b">
        <v>0</v>
      </c>
      <c r="AH1366" s="128"/>
      <c r="AI1366" s="128"/>
      <c r="AJ1366" s="128"/>
      <c r="AK1366" s="128"/>
      <c r="AL1366" s="129"/>
      <c r="AM1366" s="129"/>
      <c r="AN1366" s="139"/>
    </row>
    <row r="1367">
      <c r="A1367" s="129"/>
      <c r="B1367" s="119"/>
      <c r="C1367" s="128"/>
      <c r="D1367" s="142"/>
      <c r="E1367" s="122"/>
      <c r="F1367" s="136"/>
      <c r="G1367" s="152"/>
      <c r="H1367" s="155"/>
      <c r="I1367" s="155"/>
      <c r="J1367" s="155"/>
      <c r="K1367" s="155"/>
      <c r="L1367" s="155"/>
      <c r="M1367" s="126"/>
      <c r="N1367" s="127"/>
      <c r="O1367" s="127"/>
      <c r="P1367" s="127"/>
      <c r="Q1367" s="126"/>
      <c r="R1367" s="128"/>
      <c r="S1367" s="128"/>
      <c r="T1367" s="128"/>
      <c r="U1367" s="128"/>
      <c r="V1367" s="129"/>
      <c r="W1367" s="129"/>
      <c r="X1367" s="129"/>
      <c r="Y1367" s="129"/>
      <c r="Z1367" s="145" t="b">
        <v>0</v>
      </c>
      <c r="AA1367" s="145"/>
      <c r="AB1367" s="129"/>
      <c r="AC1367" s="129"/>
      <c r="AD1367" s="129"/>
      <c r="AE1367" s="129"/>
      <c r="AF1367" s="132"/>
      <c r="AG1367" s="128" t="b">
        <v>0</v>
      </c>
      <c r="AH1367" s="128"/>
      <c r="AI1367" s="128"/>
      <c r="AJ1367" s="128"/>
      <c r="AK1367" s="128"/>
      <c r="AL1367" s="129"/>
      <c r="AM1367" s="129"/>
      <c r="AN1367" s="139"/>
    </row>
    <row r="1368">
      <c r="A1368" s="129"/>
      <c r="B1368" s="119"/>
      <c r="C1368" s="128"/>
      <c r="D1368" s="142"/>
      <c r="E1368" s="122"/>
      <c r="F1368" s="136"/>
      <c r="G1368" s="152"/>
      <c r="H1368" s="155"/>
      <c r="I1368" s="155"/>
      <c r="J1368" s="155"/>
      <c r="K1368" s="155"/>
      <c r="L1368" s="155"/>
      <c r="M1368" s="126"/>
      <c r="N1368" s="127"/>
      <c r="O1368" s="127"/>
      <c r="P1368" s="127"/>
      <c r="Q1368" s="126"/>
      <c r="R1368" s="128"/>
      <c r="S1368" s="128"/>
      <c r="T1368" s="128"/>
      <c r="U1368" s="128"/>
      <c r="V1368" s="129"/>
      <c r="W1368" s="129"/>
      <c r="X1368" s="129"/>
      <c r="Y1368" s="129"/>
      <c r="Z1368" s="145" t="b">
        <v>0</v>
      </c>
      <c r="AA1368" s="145"/>
      <c r="AB1368" s="129"/>
      <c r="AC1368" s="129"/>
      <c r="AD1368" s="129"/>
      <c r="AE1368" s="129"/>
      <c r="AF1368" s="132"/>
      <c r="AG1368" s="128" t="b">
        <v>0</v>
      </c>
      <c r="AH1368" s="128"/>
      <c r="AI1368" s="128"/>
      <c r="AJ1368" s="128"/>
      <c r="AK1368" s="128"/>
      <c r="AL1368" s="129"/>
      <c r="AM1368" s="129"/>
      <c r="AN1368" s="139"/>
    </row>
    <row r="1369">
      <c r="A1369" s="129"/>
      <c r="B1369" s="119"/>
      <c r="C1369" s="128"/>
      <c r="D1369" s="142"/>
      <c r="E1369" s="122"/>
      <c r="F1369" s="136"/>
      <c r="G1369" s="152"/>
      <c r="H1369" s="155"/>
      <c r="I1369" s="155"/>
      <c r="J1369" s="155"/>
      <c r="K1369" s="155"/>
      <c r="L1369" s="155"/>
      <c r="M1369" s="126"/>
      <c r="N1369" s="127"/>
      <c r="O1369" s="127"/>
      <c r="P1369" s="127"/>
      <c r="Q1369" s="126"/>
      <c r="R1369" s="128"/>
      <c r="S1369" s="128"/>
      <c r="T1369" s="128"/>
      <c r="U1369" s="128"/>
      <c r="V1369" s="129"/>
      <c r="W1369" s="129"/>
      <c r="X1369" s="129"/>
      <c r="Y1369" s="129"/>
      <c r="Z1369" s="145" t="b">
        <v>0</v>
      </c>
      <c r="AA1369" s="145"/>
      <c r="AB1369" s="129"/>
      <c r="AC1369" s="129"/>
      <c r="AD1369" s="129"/>
      <c r="AE1369" s="129"/>
      <c r="AF1369" s="132"/>
      <c r="AG1369" s="128" t="b">
        <v>0</v>
      </c>
      <c r="AH1369" s="128"/>
      <c r="AI1369" s="128"/>
      <c r="AJ1369" s="128"/>
      <c r="AK1369" s="128"/>
      <c r="AL1369" s="129"/>
      <c r="AM1369" s="129"/>
      <c r="AN1369" s="139"/>
    </row>
    <row r="1370">
      <c r="A1370" s="129"/>
      <c r="B1370" s="119"/>
      <c r="C1370" s="128"/>
      <c r="D1370" s="142"/>
      <c r="E1370" s="122"/>
      <c r="F1370" s="136"/>
      <c r="G1370" s="152"/>
      <c r="H1370" s="155"/>
      <c r="I1370" s="155"/>
      <c r="J1370" s="155"/>
      <c r="K1370" s="155"/>
      <c r="L1370" s="155"/>
      <c r="M1370" s="126"/>
      <c r="N1370" s="127"/>
      <c r="O1370" s="127"/>
      <c r="P1370" s="127"/>
      <c r="Q1370" s="126"/>
      <c r="R1370" s="128"/>
      <c r="S1370" s="128"/>
      <c r="T1370" s="128"/>
      <c r="U1370" s="128"/>
      <c r="V1370" s="129"/>
      <c r="W1370" s="129"/>
      <c r="X1370" s="129"/>
      <c r="Y1370" s="129"/>
      <c r="Z1370" s="145" t="b">
        <v>0</v>
      </c>
      <c r="AA1370" s="145"/>
      <c r="AB1370" s="129"/>
      <c r="AC1370" s="129"/>
      <c r="AD1370" s="129"/>
      <c r="AE1370" s="129"/>
      <c r="AF1370" s="132"/>
      <c r="AG1370" s="128" t="b">
        <v>0</v>
      </c>
      <c r="AH1370" s="128"/>
      <c r="AI1370" s="128"/>
      <c r="AJ1370" s="128"/>
      <c r="AK1370" s="128"/>
      <c r="AL1370" s="129"/>
      <c r="AM1370" s="129"/>
      <c r="AN1370" s="139"/>
    </row>
    <row r="1371">
      <c r="A1371" s="129"/>
      <c r="B1371" s="119"/>
      <c r="C1371" s="128"/>
      <c r="D1371" s="142"/>
      <c r="E1371" s="122"/>
      <c r="F1371" s="136"/>
      <c r="G1371" s="152"/>
      <c r="H1371" s="155"/>
      <c r="I1371" s="155"/>
      <c r="J1371" s="155"/>
      <c r="K1371" s="155"/>
      <c r="L1371" s="155"/>
      <c r="M1371" s="126"/>
      <c r="N1371" s="127"/>
      <c r="O1371" s="127"/>
      <c r="P1371" s="127"/>
      <c r="Q1371" s="126"/>
      <c r="R1371" s="128"/>
      <c r="S1371" s="128"/>
      <c r="T1371" s="128"/>
      <c r="U1371" s="128"/>
      <c r="V1371" s="129"/>
      <c r="W1371" s="129"/>
      <c r="X1371" s="129"/>
      <c r="Y1371" s="129"/>
      <c r="Z1371" s="145" t="b">
        <v>0</v>
      </c>
      <c r="AA1371" s="145"/>
      <c r="AB1371" s="129"/>
      <c r="AC1371" s="129"/>
      <c r="AD1371" s="129"/>
      <c r="AE1371" s="129"/>
      <c r="AF1371" s="132"/>
      <c r="AG1371" s="128" t="b">
        <v>0</v>
      </c>
      <c r="AH1371" s="128"/>
      <c r="AI1371" s="128"/>
      <c r="AJ1371" s="128"/>
      <c r="AK1371" s="128"/>
      <c r="AL1371" s="129"/>
      <c r="AM1371" s="129"/>
      <c r="AN1371" s="139"/>
    </row>
    <row r="1372">
      <c r="A1372" s="129"/>
      <c r="B1372" s="119"/>
      <c r="C1372" s="128"/>
      <c r="D1372" s="142"/>
      <c r="E1372" s="122"/>
      <c r="F1372" s="136"/>
      <c r="G1372" s="152"/>
      <c r="H1372" s="155"/>
      <c r="I1372" s="155"/>
      <c r="J1372" s="155"/>
      <c r="K1372" s="155"/>
      <c r="L1372" s="155"/>
      <c r="M1372" s="126"/>
      <c r="N1372" s="127"/>
      <c r="O1372" s="127"/>
      <c r="P1372" s="127"/>
      <c r="Q1372" s="126"/>
      <c r="R1372" s="128"/>
      <c r="S1372" s="128"/>
      <c r="T1372" s="128"/>
      <c r="U1372" s="128"/>
      <c r="V1372" s="129"/>
      <c r="W1372" s="129"/>
      <c r="X1372" s="129"/>
      <c r="Y1372" s="129"/>
      <c r="Z1372" s="145" t="b">
        <v>0</v>
      </c>
      <c r="AA1372" s="145"/>
      <c r="AB1372" s="129"/>
      <c r="AC1372" s="129"/>
      <c r="AD1372" s="129"/>
      <c r="AE1372" s="129"/>
      <c r="AF1372" s="132"/>
      <c r="AG1372" s="128" t="b">
        <v>0</v>
      </c>
      <c r="AH1372" s="128"/>
      <c r="AI1372" s="128"/>
      <c r="AJ1372" s="128"/>
      <c r="AK1372" s="128"/>
      <c r="AL1372" s="129"/>
      <c r="AM1372" s="129"/>
      <c r="AN1372" s="139"/>
    </row>
    <row r="1373">
      <c r="A1373" s="129"/>
      <c r="B1373" s="119"/>
      <c r="C1373" s="128"/>
      <c r="D1373" s="142"/>
      <c r="E1373" s="122"/>
      <c r="F1373" s="136"/>
      <c r="G1373" s="152"/>
      <c r="H1373" s="155"/>
      <c r="I1373" s="155"/>
      <c r="J1373" s="155"/>
      <c r="K1373" s="155"/>
      <c r="L1373" s="155"/>
      <c r="M1373" s="126"/>
      <c r="N1373" s="127"/>
      <c r="O1373" s="127"/>
      <c r="P1373" s="127"/>
      <c r="Q1373" s="126"/>
      <c r="R1373" s="128"/>
      <c r="S1373" s="128"/>
      <c r="T1373" s="128"/>
      <c r="U1373" s="128"/>
      <c r="V1373" s="129"/>
      <c r="W1373" s="129"/>
      <c r="X1373" s="129"/>
      <c r="Y1373" s="129"/>
      <c r="Z1373" s="145" t="b">
        <v>0</v>
      </c>
      <c r="AA1373" s="145"/>
      <c r="AB1373" s="129"/>
      <c r="AC1373" s="129"/>
      <c r="AD1373" s="129"/>
      <c r="AE1373" s="129"/>
      <c r="AF1373" s="132"/>
      <c r="AG1373" s="128" t="b">
        <v>0</v>
      </c>
      <c r="AH1373" s="128"/>
      <c r="AI1373" s="128"/>
      <c r="AJ1373" s="128"/>
      <c r="AK1373" s="128"/>
      <c r="AL1373" s="129"/>
      <c r="AM1373" s="129"/>
      <c r="AN1373" s="139"/>
    </row>
    <row r="1374">
      <c r="A1374" s="129"/>
      <c r="B1374" s="119"/>
      <c r="C1374" s="128"/>
      <c r="D1374" s="142"/>
      <c r="E1374" s="122"/>
      <c r="F1374" s="136"/>
      <c r="G1374" s="152"/>
      <c r="H1374" s="155"/>
      <c r="I1374" s="155"/>
      <c r="J1374" s="155"/>
      <c r="K1374" s="155"/>
      <c r="L1374" s="155"/>
      <c r="M1374" s="126"/>
      <c r="N1374" s="127"/>
      <c r="O1374" s="127"/>
      <c r="P1374" s="127"/>
      <c r="Q1374" s="126"/>
      <c r="R1374" s="128"/>
      <c r="S1374" s="128"/>
      <c r="T1374" s="128"/>
      <c r="U1374" s="128"/>
      <c r="V1374" s="129"/>
      <c r="W1374" s="129"/>
      <c r="X1374" s="129"/>
      <c r="Y1374" s="129"/>
      <c r="Z1374" s="145" t="b">
        <v>0</v>
      </c>
      <c r="AA1374" s="145"/>
      <c r="AB1374" s="129"/>
      <c r="AC1374" s="129"/>
      <c r="AD1374" s="129"/>
      <c r="AE1374" s="129"/>
      <c r="AF1374" s="132"/>
      <c r="AG1374" s="128" t="b">
        <v>0</v>
      </c>
      <c r="AH1374" s="128"/>
      <c r="AI1374" s="128"/>
      <c r="AJ1374" s="128"/>
      <c r="AK1374" s="128"/>
      <c r="AL1374" s="129"/>
      <c r="AM1374" s="129"/>
      <c r="AN1374" s="139"/>
    </row>
    <row r="1375">
      <c r="A1375" s="129"/>
      <c r="B1375" s="119"/>
      <c r="C1375" s="128"/>
      <c r="D1375" s="142"/>
      <c r="E1375" s="122"/>
      <c r="F1375" s="136"/>
      <c r="G1375" s="152"/>
      <c r="H1375" s="155"/>
      <c r="I1375" s="155"/>
      <c r="J1375" s="155"/>
      <c r="K1375" s="155"/>
      <c r="L1375" s="155"/>
      <c r="M1375" s="126"/>
      <c r="N1375" s="127"/>
      <c r="O1375" s="127"/>
      <c r="P1375" s="127"/>
      <c r="Q1375" s="126"/>
      <c r="R1375" s="128"/>
      <c r="S1375" s="128"/>
      <c r="T1375" s="128"/>
      <c r="U1375" s="128"/>
      <c r="V1375" s="129"/>
      <c r="W1375" s="129"/>
      <c r="X1375" s="129"/>
      <c r="Y1375" s="129"/>
      <c r="Z1375" s="145" t="b">
        <v>0</v>
      </c>
      <c r="AA1375" s="145"/>
      <c r="AB1375" s="129"/>
      <c r="AC1375" s="129"/>
      <c r="AD1375" s="129"/>
      <c r="AE1375" s="129"/>
      <c r="AF1375" s="132"/>
      <c r="AG1375" s="128" t="b">
        <v>0</v>
      </c>
      <c r="AH1375" s="128"/>
      <c r="AI1375" s="128"/>
      <c r="AJ1375" s="128"/>
      <c r="AK1375" s="128"/>
      <c r="AL1375" s="129"/>
      <c r="AM1375" s="129"/>
      <c r="AN1375" s="139"/>
    </row>
    <row r="1376">
      <c r="A1376" s="129"/>
      <c r="B1376" s="119"/>
      <c r="C1376" s="128"/>
      <c r="D1376" s="142"/>
      <c r="E1376" s="122"/>
      <c r="F1376" s="136"/>
      <c r="G1376" s="152"/>
      <c r="H1376" s="155"/>
      <c r="I1376" s="155"/>
      <c r="J1376" s="155"/>
      <c r="K1376" s="155"/>
      <c r="L1376" s="155"/>
      <c r="M1376" s="126"/>
      <c r="N1376" s="127"/>
      <c r="O1376" s="127"/>
      <c r="P1376" s="127"/>
      <c r="Q1376" s="126"/>
      <c r="R1376" s="128"/>
      <c r="S1376" s="128"/>
      <c r="T1376" s="128"/>
      <c r="U1376" s="128"/>
      <c r="V1376" s="129"/>
      <c r="W1376" s="129"/>
      <c r="X1376" s="129"/>
      <c r="Y1376" s="129"/>
      <c r="Z1376" s="145" t="b">
        <v>0</v>
      </c>
      <c r="AA1376" s="145"/>
      <c r="AB1376" s="129"/>
      <c r="AC1376" s="129"/>
      <c r="AD1376" s="129"/>
      <c r="AE1376" s="129"/>
      <c r="AF1376" s="132"/>
      <c r="AG1376" s="128" t="b">
        <v>0</v>
      </c>
      <c r="AH1376" s="128"/>
      <c r="AI1376" s="128"/>
      <c r="AJ1376" s="128"/>
      <c r="AK1376" s="128"/>
      <c r="AL1376" s="129"/>
      <c r="AM1376" s="129"/>
      <c r="AN1376" s="139"/>
    </row>
    <row r="1377">
      <c r="A1377" s="129"/>
      <c r="B1377" s="119"/>
      <c r="C1377" s="128"/>
      <c r="D1377" s="142"/>
      <c r="E1377" s="122"/>
      <c r="F1377" s="136"/>
      <c r="G1377" s="152"/>
      <c r="H1377" s="155"/>
      <c r="I1377" s="155"/>
      <c r="J1377" s="155"/>
      <c r="K1377" s="155"/>
      <c r="L1377" s="155"/>
      <c r="M1377" s="126"/>
      <c r="N1377" s="127"/>
      <c r="O1377" s="127"/>
      <c r="P1377" s="127"/>
      <c r="Q1377" s="126"/>
      <c r="R1377" s="128"/>
      <c r="S1377" s="128"/>
      <c r="T1377" s="128"/>
      <c r="U1377" s="128"/>
      <c r="V1377" s="129"/>
      <c r="W1377" s="129"/>
      <c r="X1377" s="129"/>
      <c r="Y1377" s="129"/>
      <c r="Z1377" s="145" t="b">
        <v>0</v>
      </c>
      <c r="AA1377" s="145"/>
      <c r="AB1377" s="129"/>
      <c r="AC1377" s="129"/>
      <c r="AD1377" s="129"/>
      <c r="AE1377" s="129"/>
      <c r="AF1377" s="132"/>
      <c r="AG1377" s="128" t="b">
        <v>0</v>
      </c>
      <c r="AH1377" s="128"/>
      <c r="AI1377" s="128"/>
      <c r="AJ1377" s="128"/>
      <c r="AK1377" s="128"/>
      <c r="AL1377" s="129"/>
      <c r="AM1377" s="129"/>
      <c r="AN1377" s="139"/>
    </row>
    <row r="1378">
      <c r="A1378" s="129"/>
      <c r="B1378" s="119"/>
      <c r="C1378" s="128"/>
      <c r="D1378" s="142"/>
      <c r="E1378" s="122"/>
      <c r="F1378" s="136"/>
      <c r="G1378" s="152"/>
      <c r="H1378" s="155"/>
      <c r="I1378" s="155"/>
      <c r="J1378" s="155"/>
      <c r="K1378" s="155"/>
      <c r="L1378" s="155"/>
      <c r="M1378" s="126"/>
      <c r="N1378" s="127"/>
      <c r="O1378" s="127"/>
      <c r="P1378" s="127"/>
      <c r="Q1378" s="126"/>
      <c r="R1378" s="128"/>
      <c r="S1378" s="128"/>
      <c r="T1378" s="128"/>
      <c r="U1378" s="128"/>
      <c r="V1378" s="129"/>
      <c r="W1378" s="129"/>
      <c r="X1378" s="129"/>
      <c r="Y1378" s="129"/>
      <c r="Z1378" s="145" t="b">
        <v>0</v>
      </c>
      <c r="AA1378" s="145"/>
      <c r="AB1378" s="129"/>
      <c r="AC1378" s="129"/>
      <c r="AD1378" s="129"/>
      <c r="AE1378" s="129"/>
      <c r="AF1378" s="132"/>
      <c r="AG1378" s="128" t="b">
        <v>0</v>
      </c>
      <c r="AH1378" s="128"/>
      <c r="AI1378" s="128"/>
      <c r="AJ1378" s="128"/>
      <c r="AK1378" s="128"/>
      <c r="AL1378" s="129"/>
      <c r="AM1378" s="129"/>
      <c r="AN1378" s="139"/>
    </row>
    <row r="1379">
      <c r="A1379" s="129"/>
      <c r="B1379" s="119"/>
      <c r="C1379" s="128"/>
      <c r="D1379" s="142"/>
      <c r="E1379" s="122"/>
      <c r="F1379" s="136"/>
      <c r="G1379" s="152"/>
      <c r="H1379" s="155"/>
      <c r="I1379" s="155"/>
      <c r="J1379" s="155"/>
      <c r="K1379" s="155"/>
      <c r="L1379" s="155"/>
      <c r="M1379" s="126"/>
      <c r="N1379" s="127"/>
      <c r="O1379" s="127"/>
      <c r="P1379" s="127"/>
      <c r="Q1379" s="126"/>
      <c r="R1379" s="128"/>
      <c r="S1379" s="128"/>
      <c r="T1379" s="128"/>
      <c r="U1379" s="128"/>
      <c r="V1379" s="129"/>
      <c r="W1379" s="129"/>
      <c r="X1379" s="129"/>
      <c r="Y1379" s="129"/>
      <c r="Z1379" s="145" t="b">
        <v>0</v>
      </c>
      <c r="AA1379" s="145"/>
      <c r="AB1379" s="129"/>
      <c r="AC1379" s="129"/>
      <c r="AD1379" s="129"/>
      <c r="AE1379" s="129"/>
      <c r="AF1379" s="132"/>
      <c r="AG1379" s="128" t="b">
        <v>0</v>
      </c>
      <c r="AH1379" s="128"/>
      <c r="AI1379" s="128"/>
      <c r="AJ1379" s="128"/>
      <c r="AK1379" s="128"/>
      <c r="AL1379" s="129"/>
      <c r="AM1379" s="129"/>
      <c r="AN1379" s="139"/>
    </row>
    <row r="1380">
      <c r="A1380" s="129"/>
      <c r="B1380" s="119"/>
      <c r="C1380" s="128"/>
      <c r="D1380" s="142"/>
      <c r="E1380" s="122"/>
      <c r="F1380" s="136"/>
      <c r="G1380" s="152"/>
      <c r="H1380" s="155"/>
      <c r="I1380" s="155"/>
      <c r="J1380" s="155"/>
      <c r="K1380" s="155"/>
      <c r="L1380" s="155"/>
      <c r="M1380" s="126"/>
      <c r="N1380" s="127"/>
      <c r="O1380" s="127"/>
      <c r="P1380" s="127"/>
      <c r="Q1380" s="126"/>
      <c r="R1380" s="128"/>
      <c r="S1380" s="128"/>
      <c r="T1380" s="128"/>
      <c r="U1380" s="128"/>
      <c r="V1380" s="129"/>
      <c r="W1380" s="129"/>
      <c r="X1380" s="129"/>
      <c r="Y1380" s="129"/>
      <c r="Z1380" s="145" t="b">
        <v>0</v>
      </c>
      <c r="AA1380" s="145"/>
      <c r="AB1380" s="129"/>
      <c r="AC1380" s="129"/>
      <c r="AD1380" s="129"/>
      <c r="AE1380" s="129"/>
      <c r="AF1380" s="132"/>
      <c r="AG1380" s="128" t="b">
        <v>0</v>
      </c>
      <c r="AH1380" s="128"/>
      <c r="AI1380" s="128"/>
      <c r="AJ1380" s="128"/>
      <c r="AK1380" s="128"/>
      <c r="AL1380" s="129"/>
      <c r="AM1380" s="129"/>
      <c r="AN1380" s="139"/>
    </row>
    <row r="1381">
      <c r="A1381" s="129"/>
      <c r="B1381" s="119"/>
      <c r="C1381" s="128"/>
      <c r="D1381" s="142"/>
      <c r="E1381" s="122"/>
      <c r="F1381" s="136"/>
      <c r="G1381" s="152"/>
      <c r="H1381" s="155"/>
      <c r="I1381" s="155"/>
      <c r="J1381" s="155"/>
      <c r="K1381" s="155"/>
      <c r="L1381" s="155"/>
      <c r="M1381" s="126"/>
      <c r="N1381" s="127"/>
      <c r="O1381" s="127"/>
      <c r="P1381" s="127"/>
      <c r="Q1381" s="126"/>
      <c r="R1381" s="128"/>
      <c r="S1381" s="128"/>
      <c r="T1381" s="128"/>
      <c r="U1381" s="128"/>
      <c r="V1381" s="129"/>
      <c r="W1381" s="129"/>
      <c r="X1381" s="129"/>
      <c r="Y1381" s="129"/>
      <c r="Z1381" s="145" t="b">
        <v>0</v>
      </c>
      <c r="AA1381" s="145"/>
      <c r="AB1381" s="129"/>
      <c r="AC1381" s="129"/>
      <c r="AD1381" s="129"/>
      <c r="AE1381" s="129"/>
      <c r="AF1381" s="132"/>
      <c r="AG1381" s="128" t="b">
        <v>0</v>
      </c>
      <c r="AH1381" s="128"/>
      <c r="AI1381" s="128"/>
      <c r="AJ1381" s="128"/>
      <c r="AK1381" s="128"/>
      <c r="AL1381" s="129"/>
      <c r="AM1381" s="129"/>
      <c r="AN1381" s="139"/>
    </row>
    <row r="1382">
      <c r="A1382" s="129"/>
      <c r="B1382" s="119"/>
      <c r="C1382" s="128"/>
      <c r="D1382" s="142"/>
      <c r="E1382" s="122"/>
      <c r="F1382" s="136"/>
      <c r="G1382" s="152"/>
      <c r="H1382" s="155"/>
      <c r="I1382" s="155"/>
      <c r="J1382" s="155"/>
      <c r="K1382" s="155"/>
      <c r="L1382" s="155"/>
      <c r="M1382" s="126"/>
      <c r="N1382" s="127"/>
      <c r="O1382" s="127"/>
      <c r="P1382" s="127"/>
      <c r="Q1382" s="126"/>
      <c r="R1382" s="128"/>
      <c r="S1382" s="128"/>
      <c r="T1382" s="128"/>
      <c r="U1382" s="128"/>
      <c r="V1382" s="129"/>
      <c r="W1382" s="129"/>
      <c r="X1382" s="129"/>
      <c r="Y1382" s="129"/>
      <c r="Z1382" s="145" t="b">
        <v>0</v>
      </c>
      <c r="AA1382" s="145"/>
      <c r="AB1382" s="129"/>
      <c r="AC1382" s="129"/>
      <c r="AD1382" s="129"/>
      <c r="AE1382" s="129"/>
      <c r="AF1382" s="132"/>
      <c r="AG1382" s="128" t="b">
        <v>0</v>
      </c>
      <c r="AH1382" s="128"/>
      <c r="AI1382" s="128"/>
      <c r="AJ1382" s="128"/>
      <c r="AK1382" s="128"/>
      <c r="AL1382" s="129"/>
      <c r="AM1382" s="129"/>
      <c r="AN1382" s="139"/>
    </row>
    <row r="1383">
      <c r="A1383" s="129"/>
      <c r="B1383" s="119"/>
      <c r="C1383" s="128"/>
      <c r="D1383" s="142"/>
      <c r="E1383" s="122"/>
      <c r="F1383" s="136"/>
      <c r="G1383" s="152"/>
      <c r="H1383" s="155"/>
      <c r="I1383" s="155"/>
      <c r="J1383" s="155"/>
      <c r="K1383" s="155"/>
      <c r="L1383" s="155"/>
      <c r="M1383" s="126"/>
      <c r="N1383" s="127"/>
      <c r="O1383" s="127"/>
      <c r="P1383" s="127"/>
      <c r="Q1383" s="126"/>
      <c r="R1383" s="128"/>
      <c r="S1383" s="128"/>
      <c r="T1383" s="128"/>
      <c r="U1383" s="128"/>
      <c r="V1383" s="129"/>
      <c r="W1383" s="129"/>
      <c r="X1383" s="129"/>
      <c r="Y1383" s="129"/>
      <c r="Z1383" s="145" t="b">
        <v>0</v>
      </c>
      <c r="AA1383" s="145"/>
      <c r="AB1383" s="129"/>
      <c r="AC1383" s="129"/>
      <c r="AD1383" s="129"/>
      <c r="AE1383" s="129"/>
      <c r="AF1383" s="132"/>
      <c r="AG1383" s="128" t="b">
        <v>0</v>
      </c>
      <c r="AH1383" s="128"/>
      <c r="AI1383" s="128"/>
      <c r="AJ1383" s="128"/>
      <c r="AK1383" s="128"/>
      <c r="AL1383" s="129"/>
      <c r="AM1383" s="129"/>
      <c r="AN1383" s="139"/>
    </row>
    <row r="1384">
      <c r="A1384" s="129"/>
      <c r="B1384" s="119"/>
      <c r="C1384" s="128"/>
      <c r="D1384" s="142"/>
      <c r="E1384" s="122"/>
      <c r="F1384" s="136"/>
      <c r="G1384" s="152"/>
      <c r="H1384" s="155"/>
      <c r="I1384" s="155"/>
      <c r="J1384" s="155"/>
      <c r="K1384" s="155"/>
      <c r="L1384" s="155"/>
      <c r="M1384" s="126"/>
      <c r="N1384" s="127"/>
      <c r="O1384" s="127"/>
      <c r="P1384" s="127"/>
      <c r="Q1384" s="126"/>
      <c r="R1384" s="128"/>
      <c r="S1384" s="128"/>
      <c r="T1384" s="128"/>
      <c r="U1384" s="128"/>
      <c r="V1384" s="129"/>
      <c r="W1384" s="129"/>
      <c r="X1384" s="129"/>
      <c r="Y1384" s="129"/>
      <c r="Z1384" s="145" t="b">
        <v>0</v>
      </c>
      <c r="AA1384" s="145"/>
      <c r="AB1384" s="129"/>
      <c r="AC1384" s="129"/>
      <c r="AD1384" s="129"/>
      <c r="AE1384" s="129"/>
      <c r="AF1384" s="132"/>
      <c r="AG1384" s="128" t="b">
        <v>0</v>
      </c>
      <c r="AH1384" s="128"/>
      <c r="AI1384" s="128"/>
      <c r="AJ1384" s="128"/>
      <c r="AK1384" s="128"/>
      <c r="AL1384" s="129"/>
      <c r="AM1384" s="129"/>
      <c r="AN1384" s="139"/>
    </row>
    <row r="1385">
      <c r="A1385" s="129"/>
      <c r="B1385" s="119"/>
      <c r="C1385" s="128"/>
      <c r="D1385" s="142"/>
      <c r="E1385" s="122"/>
      <c r="F1385" s="136"/>
      <c r="G1385" s="152"/>
      <c r="H1385" s="155"/>
      <c r="I1385" s="155"/>
      <c r="J1385" s="155"/>
      <c r="K1385" s="155"/>
      <c r="L1385" s="155"/>
      <c r="M1385" s="126"/>
      <c r="N1385" s="127"/>
      <c r="O1385" s="127"/>
      <c r="P1385" s="127"/>
      <c r="Q1385" s="126"/>
      <c r="R1385" s="128"/>
      <c r="S1385" s="128"/>
      <c r="T1385" s="128"/>
      <c r="U1385" s="128"/>
      <c r="V1385" s="129"/>
      <c r="W1385" s="129"/>
      <c r="X1385" s="129"/>
      <c r="Y1385" s="129"/>
      <c r="Z1385" s="145" t="b">
        <v>0</v>
      </c>
      <c r="AA1385" s="145"/>
      <c r="AB1385" s="129"/>
      <c r="AC1385" s="129"/>
      <c r="AD1385" s="129"/>
      <c r="AE1385" s="129"/>
      <c r="AF1385" s="132"/>
      <c r="AG1385" s="128" t="b">
        <v>0</v>
      </c>
      <c r="AH1385" s="128"/>
      <c r="AI1385" s="128"/>
      <c r="AJ1385" s="128"/>
      <c r="AK1385" s="128"/>
      <c r="AL1385" s="129"/>
      <c r="AM1385" s="129"/>
      <c r="AN1385" s="139"/>
    </row>
    <row r="1386">
      <c r="A1386" s="129"/>
      <c r="B1386" s="119"/>
      <c r="C1386" s="128"/>
      <c r="D1386" s="142"/>
      <c r="E1386" s="122"/>
      <c r="F1386" s="136"/>
      <c r="G1386" s="152"/>
      <c r="H1386" s="155"/>
      <c r="I1386" s="155"/>
      <c r="J1386" s="155"/>
      <c r="K1386" s="155"/>
      <c r="L1386" s="155"/>
      <c r="M1386" s="126"/>
      <c r="N1386" s="127"/>
      <c r="O1386" s="127"/>
      <c r="P1386" s="127"/>
      <c r="Q1386" s="126"/>
      <c r="R1386" s="128"/>
      <c r="S1386" s="128"/>
      <c r="T1386" s="128"/>
      <c r="U1386" s="128"/>
      <c r="V1386" s="129"/>
      <c r="W1386" s="129"/>
      <c r="X1386" s="129"/>
      <c r="Y1386" s="129"/>
      <c r="Z1386" s="145" t="b">
        <v>0</v>
      </c>
      <c r="AA1386" s="145"/>
      <c r="AB1386" s="129"/>
      <c r="AC1386" s="129"/>
      <c r="AD1386" s="129"/>
      <c r="AE1386" s="129"/>
      <c r="AF1386" s="132"/>
      <c r="AG1386" s="128" t="b">
        <v>0</v>
      </c>
      <c r="AH1386" s="128"/>
      <c r="AI1386" s="128"/>
      <c r="AJ1386" s="128"/>
      <c r="AK1386" s="128"/>
      <c r="AL1386" s="129"/>
      <c r="AM1386" s="129"/>
      <c r="AN1386" s="139"/>
    </row>
    <row r="1387">
      <c r="A1387" s="129"/>
      <c r="B1387" s="119"/>
      <c r="C1387" s="128"/>
      <c r="D1387" s="142"/>
      <c r="E1387" s="122"/>
      <c r="F1387" s="136"/>
      <c r="G1387" s="152"/>
      <c r="H1387" s="155"/>
      <c r="I1387" s="155"/>
      <c r="J1387" s="155"/>
      <c r="K1387" s="155"/>
      <c r="L1387" s="155"/>
      <c r="M1387" s="126"/>
      <c r="N1387" s="127"/>
      <c r="O1387" s="127"/>
      <c r="P1387" s="127"/>
      <c r="Q1387" s="126"/>
      <c r="R1387" s="128"/>
      <c r="S1387" s="128"/>
      <c r="T1387" s="128"/>
      <c r="U1387" s="128"/>
      <c r="V1387" s="129"/>
      <c r="W1387" s="129"/>
      <c r="X1387" s="129"/>
      <c r="Y1387" s="129"/>
      <c r="Z1387" s="145" t="b">
        <v>0</v>
      </c>
      <c r="AA1387" s="145"/>
      <c r="AB1387" s="129"/>
      <c r="AC1387" s="129"/>
      <c r="AD1387" s="129"/>
      <c r="AE1387" s="129"/>
      <c r="AF1387" s="132"/>
      <c r="AG1387" s="128" t="b">
        <v>0</v>
      </c>
      <c r="AH1387" s="128"/>
      <c r="AI1387" s="128"/>
      <c r="AJ1387" s="128"/>
      <c r="AK1387" s="128"/>
      <c r="AL1387" s="129"/>
      <c r="AM1387" s="129"/>
      <c r="AN1387" s="139"/>
    </row>
    <row r="1388">
      <c r="A1388" s="129"/>
      <c r="B1388" s="119"/>
      <c r="C1388" s="128"/>
      <c r="D1388" s="142"/>
      <c r="E1388" s="122"/>
      <c r="F1388" s="136"/>
      <c r="G1388" s="152"/>
      <c r="H1388" s="155"/>
      <c r="I1388" s="155"/>
      <c r="J1388" s="155"/>
      <c r="K1388" s="155"/>
      <c r="L1388" s="155"/>
      <c r="M1388" s="126"/>
      <c r="N1388" s="127"/>
      <c r="O1388" s="127"/>
      <c r="P1388" s="127"/>
      <c r="Q1388" s="126"/>
      <c r="R1388" s="128"/>
      <c r="S1388" s="128"/>
      <c r="T1388" s="128"/>
      <c r="U1388" s="128"/>
      <c r="V1388" s="129"/>
      <c r="W1388" s="129"/>
      <c r="X1388" s="129"/>
      <c r="Y1388" s="129"/>
      <c r="Z1388" s="145" t="b">
        <v>0</v>
      </c>
      <c r="AA1388" s="145"/>
      <c r="AB1388" s="129"/>
      <c r="AC1388" s="129"/>
      <c r="AD1388" s="129"/>
      <c r="AE1388" s="129"/>
      <c r="AF1388" s="132"/>
      <c r="AG1388" s="128" t="b">
        <v>0</v>
      </c>
      <c r="AH1388" s="128"/>
      <c r="AI1388" s="128"/>
      <c r="AJ1388" s="128"/>
      <c r="AK1388" s="128"/>
      <c r="AL1388" s="129"/>
      <c r="AM1388" s="129"/>
      <c r="AN1388" s="139"/>
    </row>
    <row r="1389">
      <c r="A1389" s="129"/>
      <c r="B1389" s="119"/>
      <c r="C1389" s="128"/>
      <c r="D1389" s="142"/>
      <c r="E1389" s="122"/>
      <c r="F1389" s="136"/>
      <c r="G1389" s="152"/>
      <c r="H1389" s="155"/>
      <c r="I1389" s="155"/>
      <c r="J1389" s="155"/>
      <c r="K1389" s="155"/>
      <c r="L1389" s="155"/>
      <c r="M1389" s="126"/>
      <c r="N1389" s="127"/>
      <c r="O1389" s="127"/>
      <c r="P1389" s="127"/>
      <c r="Q1389" s="126"/>
      <c r="R1389" s="128"/>
      <c r="S1389" s="128"/>
      <c r="T1389" s="128"/>
      <c r="U1389" s="128"/>
      <c r="V1389" s="129"/>
      <c r="W1389" s="129"/>
      <c r="X1389" s="129"/>
      <c r="Y1389" s="129"/>
      <c r="Z1389" s="145" t="b">
        <v>0</v>
      </c>
      <c r="AA1389" s="145"/>
      <c r="AB1389" s="129"/>
      <c r="AC1389" s="129"/>
      <c r="AD1389" s="129"/>
      <c r="AE1389" s="129"/>
      <c r="AF1389" s="132"/>
      <c r="AG1389" s="128" t="b">
        <v>0</v>
      </c>
      <c r="AH1389" s="128"/>
      <c r="AI1389" s="128"/>
      <c r="AJ1389" s="128"/>
      <c r="AK1389" s="128"/>
      <c r="AL1389" s="129"/>
      <c r="AM1389" s="129"/>
      <c r="AN1389" s="139"/>
    </row>
    <row r="1390">
      <c r="A1390" s="129"/>
      <c r="B1390" s="119"/>
      <c r="C1390" s="128"/>
      <c r="D1390" s="142"/>
      <c r="E1390" s="122"/>
      <c r="F1390" s="136"/>
      <c r="G1390" s="152"/>
      <c r="H1390" s="155"/>
      <c r="I1390" s="155"/>
      <c r="J1390" s="155"/>
      <c r="K1390" s="155"/>
      <c r="L1390" s="155"/>
      <c r="M1390" s="126"/>
      <c r="N1390" s="127"/>
      <c r="O1390" s="127"/>
      <c r="P1390" s="127"/>
      <c r="Q1390" s="126"/>
      <c r="R1390" s="128"/>
      <c r="S1390" s="128"/>
      <c r="T1390" s="128"/>
      <c r="U1390" s="128"/>
      <c r="V1390" s="129"/>
      <c r="W1390" s="129"/>
      <c r="X1390" s="129"/>
      <c r="Y1390" s="129"/>
      <c r="Z1390" s="145" t="b">
        <v>0</v>
      </c>
      <c r="AA1390" s="145"/>
      <c r="AB1390" s="129"/>
      <c r="AC1390" s="129"/>
      <c r="AD1390" s="129"/>
      <c r="AE1390" s="129"/>
      <c r="AF1390" s="132"/>
      <c r="AG1390" s="128" t="b">
        <v>0</v>
      </c>
      <c r="AH1390" s="128"/>
      <c r="AI1390" s="128"/>
      <c r="AJ1390" s="128"/>
      <c r="AK1390" s="128"/>
      <c r="AL1390" s="129"/>
      <c r="AM1390" s="129"/>
      <c r="AN1390" s="139"/>
    </row>
    <row r="1391">
      <c r="A1391" s="129"/>
      <c r="B1391" s="119"/>
      <c r="C1391" s="128"/>
      <c r="D1391" s="142"/>
      <c r="E1391" s="122"/>
      <c r="F1391" s="136"/>
      <c r="G1391" s="152"/>
      <c r="H1391" s="155"/>
      <c r="I1391" s="155"/>
      <c r="J1391" s="155"/>
      <c r="K1391" s="155"/>
      <c r="L1391" s="155"/>
      <c r="M1391" s="126"/>
      <c r="N1391" s="127"/>
      <c r="O1391" s="127"/>
      <c r="P1391" s="127"/>
      <c r="Q1391" s="126"/>
      <c r="R1391" s="128"/>
      <c r="S1391" s="128"/>
      <c r="T1391" s="128"/>
      <c r="U1391" s="128"/>
      <c r="V1391" s="129"/>
      <c r="W1391" s="129"/>
      <c r="X1391" s="129"/>
      <c r="Y1391" s="129"/>
      <c r="Z1391" s="145" t="b">
        <v>0</v>
      </c>
      <c r="AA1391" s="145"/>
      <c r="AB1391" s="129"/>
      <c r="AC1391" s="129"/>
      <c r="AD1391" s="129"/>
      <c r="AE1391" s="129"/>
      <c r="AF1391" s="132"/>
      <c r="AG1391" s="128" t="b">
        <v>0</v>
      </c>
      <c r="AH1391" s="128"/>
      <c r="AI1391" s="128"/>
      <c r="AJ1391" s="128"/>
      <c r="AK1391" s="128"/>
      <c r="AL1391" s="129"/>
      <c r="AM1391" s="129"/>
      <c r="AN1391" s="139"/>
    </row>
    <row r="1392">
      <c r="A1392" s="129"/>
      <c r="B1392" s="119"/>
      <c r="C1392" s="128"/>
      <c r="D1392" s="142"/>
      <c r="E1392" s="122"/>
      <c r="F1392" s="136"/>
      <c r="G1392" s="152"/>
      <c r="H1392" s="155"/>
      <c r="I1392" s="155"/>
      <c r="J1392" s="155"/>
      <c r="K1392" s="155"/>
      <c r="L1392" s="155"/>
      <c r="M1392" s="126"/>
      <c r="N1392" s="127"/>
      <c r="O1392" s="127"/>
      <c r="P1392" s="127"/>
      <c r="Q1392" s="126"/>
      <c r="R1392" s="128"/>
      <c r="S1392" s="128"/>
      <c r="T1392" s="128"/>
      <c r="U1392" s="128"/>
      <c r="V1392" s="129"/>
      <c r="W1392" s="129"/>
      <c r="X1392" s="129"/>
      <c r="Y1392" s="129"/>
      <c r="Z1392" s="145" t="b">
        <v>0</v>
      </c>
      <c r="AA1392" s="145"/>
      <c r="AB1392" s="129"/>
      <c r="AC1392" s="129"/>
      <c r="AD1392" s="129"/>
      <c r="AE1392" s="129"/>
      <c r="AF1392" s="132"/>
      <c r="AG1392" s="128" t="b">
        <v>0</v>
      </c>
      <c r="AH1392" s="128"/>
      <c r="AI1392" s="128"/>
      <c r="AJ1392" s="128"/>
      <c r="AK1392" s="128"/>
      <c r="AL1392" s="129"/>
      <c r="AM1392" s="129"/>
      <c r="AN1392" s="139"/>
    </row>
    <row r="1393">
      <c r="A1393" s="129"/>
      <c r="B1393" s="119"/>
      <c r="C1393" s="128"/>
      <c r="D1393" s="142"/>
      <c r="E1393" s="122"/>
      <c r="F1393" s="136"/>
      <c r="G1393" s="152"/>
      <c r="H1393" s="155"/>
      <c r="I1393" s="155"/>
      <c r="J1393" s="155"/>
      <c r="K1393" s="155"/>
      <c r="L1393" s="155"/>
      <c r="M1393" s="126"/>
      <c r="N1393" s="127"/>
      <c r="O1393" s="127"/>
      <c r="P1393" s="127"/>
      <c r="Q1393" s="126"/>
      <c r="R1393" s="128"/>
      <c r="S1393" s="128"/>
      <c r="T1393" s="128"/>
      <c r="U1393" s="128"/>
      <c r="V1393" s="129"/>
      <c r="W1393" s="129"/>
      <c r="X1393" s="129"/>
      <c r="Y1393" s="129"/>
      <c r="Z1393" s="145" t="b">
        <v>0</v>
      </c>
      <c r="AA1393" s="145"/>
      <c r="AB1393" s="129"/>
      <c r="AC1393" s="129"/>
      <c r="AD1393" s="129"/>
      <c r="AE1393" s="129"/>
      <c r="AF1393" s="132"/>
      <c r="AG1393" s="128" t="b">
        <v>0</v>
      </c>
      <c r="AH1393" s="128"/>
      <c r="AI1393" s="128"/>
      <c r="AJ1393" s="128"/>
      <c r="AK1393" s="128"/>
      <c r="AL1393" s="129"/>
      <c r="AM1393" s="129"/>
      <c r="AN1393" s="139"/>
    </row>
    <row r="1394">
      <c r="A1394" s="129"/>
      <c r="B1394" s="119"/>
      <c r="C1394" s="128"/>
      <c r="D1394" s="142"/>
      <c r="E1394" s="122"/>
      <c r="F1394" s="136"/>
      <c r="G1394" s="152"/>
      <c r="H1394" s="155"/>
      <c r="I1394" s="155"/>
      <c r="J1394" s="155"/>
      <c r="K1394" s="155"/>
      <c r="L1394" s="155"/>
      <c r="M1394" s="126"/>
      <c r="N1394" s="127"/>
      <c r="O1394" s="127"/>
      <c r="P1394" s="127"/>
      <c r="Q1394" s="126"/>
      <c r="R1394" s="128"/>
      <c r="S1394" s="128"/>
      <c r="T1394" s="128"/>
      <c r="U1394" s="128"/>
      <c r="V1394" s="129"/>
      <c r="W1394" s="129"/>
      <c r="X1394" s="129"/>
      <c r="Y1394" s="129"/>
      <c r="Z1394" s="145" t="b">
        <v>0</v>
      </c>
      <c r="AA1394" s="145"/>
      <c r="AB1394" s="129"/>
      <c r="AC1394" s="129"/>
      <c r="AD1394" s="129"/>
      <c r="AE1394" s="129"/>
      <c r="AF1394" s="132"/>
      <c r="AG1394" s="128" t="b">
        <v>0</v>
      </c>
      <c r="AH1394" s="128"/>
      <c r="AI1394" s="128"/>
      <c r="AJ1394" s="128"/>
      <c r="AK1394" s="128"/>
      <c r="AL1394" s="129"/>
      <c r="AM1394" s="129"/>
      <c r="AN1394" s="139"/>
    </row>
    <row r="1395">
      <c r="A1395" s="129"/>
      <c r="B1395" s="119"/>
      <c r="C1395" s="128"/>
      <c r="D1395" s="142"/>
      <c r="E1395" s="122"/>
      <c r="F1395" s="136"/>
      <c r="G1395" s="152"/>
      <c r="H1395" s="155"/>
      <c r="I1395" s="155"/>
      <c r="J1395" s="155"/>
      <c r="K1395" s="155"/>
      <c r="L1395" s="155"/>
      <c r="M1395" s="126"/>
      <c r="N1395" s="127"/>
      <c r="O1395" s="127"/>
      <c r="P1395" s="127"/>
      <c r="Q1395" s="126"/>
      <c r="R1395" s="128"/>
      <c r="S1395" s="128"/>
      <c r="T1395" s="128"/>
      <c r="U1395" s="128"/>
      <c r="V1395" s="129"/>
      <c r="W1395" s="129"/>
      <c r="X1395" s="129"/>
      <c r="Y1395" s="129"/>
      <c r="Z1395" s="145" t="b">
        <v>0</v>
      </c>
      <c r="AA1395" s="145"/>
      <c r="AB1395" s="129"/>
      <c r="AC1395" s="129"/>
      <c r="AD1395" s="129"/>
      <c r="AE1395" s="129"/>
      <c r="AF1395" s="132"/>
      <c r="AG1395" s="128" t="b">
        <v>0</v>
      </c>
      <c r="AH1395" s="128"/>
      <c r="AI1395" s="128"/>
      <c r="AJ1395" s="128"/>
      <c r="AK1395" s="128"/>
      <c r="AL1395" s="129"/>
      <c r="AM1395" s="129"/>
      <c r="AN1395" s="139"/>
    </row>
    <row r="1396">
      <c r="A1396" s="129"/>
      <c r="B1396" s="119"/>
      <c r="C1396" s="128"/>
      <c r="D1396" s="142"/>
      <c r="E1396" s="122"/>
      <c r="F1396" s="136"/>
      <c r="G1396" s="152"/>
      <c r="H1396" s="155"/>
      <c r="I1396" s="155"/>
      <c r="J1396" s="155"/>
      <c r="K1396" s="155"/>
      <c r="L1396" s="155"/>
      <c r="M1396" s="126"/>
      <c r="N1396" s="127"/>
      <c r="O1396" s="127"/>
      <c r="P1396" s="127"/>
      <c r="Q1396" s="126"/>
      <c r="R1396" s="128"/>
      <c r="S1396" s="128"/>
      <c r="T1396" s="128"/>
      <c r="U1396" s="128"/>
      <c r="V1396" s="129"/>
      <c r="W1396" s="129"/>
      <c r="X1396" s="129"/>
      <c r="Y1396" s="129"/>
      <c r="Z1396" s="145" t="b">
        <v>0</v>
      </c>
      <c r="AA1396" s="145"/>
      <c r="AB1396" s="129"/>
      <c r="AC1396" s="129"/>
      <c r="AD1396" s="129"/>
      <c r="AE1396" s="129"/>
      <c r="AF1396" s="132"/>
      <c r="AG1396" s="128" t="b">
        <v>0</v>
      </c>
      <c r="AH1396" s="128"/>
      <c r="AI1396" s="128"/>
      <c r="AJ1396" s="128"/>
      <c r="AK1396" s="128"/>
      <c r="AL1396" s="129"/>
      <c r="AM1396" s="129"/>
      <c r="AN1396" s="139"/>
    </row>
    <row r="1397">
      <c r="A1397" s="129"/>
      <c r="B1397" s="119"/>
      <c r="C1397" s="128"/>
      <c r="D1397" s="142"/>
      <c r="E1397" s="122"/>
      <c r="F1397" s="136"/>
      <c r="G1397" s="152"/>
      <c r="H1397" s="155"/>
      <c r="I1397" s="155"/>
      <c r="J1397" s="155"/>
      <c r="K1397" s="155"/>
      <c r="L1397" s="155"/>
      <c r="M1397" s="126"/>
      <c r="N1397" s="127"/>
      <c r="O1397" s="127"/>
      <c r="P1397" s="127"/>
      <c r="Q1397" s="126"/>
      <c r="R1397" s="128"/>
      <c r="S1397" s="128"/>
      <c r="T1397" s="128"/>
      <c r="U1397" s="128"/>
      <c r="V1397" s="129"/>
      <c r="W1397" s="129"/>
      <c r="X1397" s="129"/>
      <c r="Y1397" s="129"/>
      <c r="Z1397" s="145" t="b">
        <v>0</v>
      </c>
      <c r="AA1397" s="145"/>
      <c r="AB1397" s="129"/>
      <c r="AC1397" s="129"/>
      <c r="AD1397" s="129"/>
      <c r="AE1397" s="129"/>
      <c r="AF1397" s="132"/>
      <c r="AG1397" s="128" t="b">
        <v>0</v>
      </c>
      <c r="AH1397" s="128"/>
      <c r="AI1397" s="128"/>
      <c r="AJ1397" s="128"/>
      <c r="AK1397" s="128"/>
      <c r="AL1397" s="129"/>
      <c r="AM1397" s="129"/>
      <c r="AN1397" s="139"/>
    </row>
    <row r="1398">
      <c r="A1398" s="129"/>
      <c r="B1398" s="119"/>
      <c r="C1398" s="128"/>
      <c r="D1398" s="142"/>
      <c r="E1398" s="122"/>
      <c r="F1398" s="136"/>
      <c r="G1398" s="152"/>
      <c r="H1398" s="155"/>
      <c r="I1398" s="155"/>
      <c r="J1398" s="155"/>
      <c r="K1398" s="155"/>
      <c r="L1398" s="155"/>
      <c r="M1398" s="126"/>
      <c r="N1398" s="127"/>
      <c r="O1398" s="127"/>
      <c r="P1398" s="127"/>
      <c r="Q1398" s="126"/>
      <c r="R1398" s="128"/>
      <c r="S1398" s="128"/>
      <c r="T1398" s="128"/>
      <c r="U1398" s="128"/>
      <c r="V1398" s="129"/>
      <c r="W1398" s="129"/>
      <c r="X1398" s="129"/>
      <c r="Y1398" s="129"/>
      <c r="Z1398" s="145" t="b">
        <v>0</v>
      </c>
      <c r="AA1398" s="145"/>
      <c r="AB1398" s="129"/>
      <c r="AC1398" s="129"/>
      <c r="AD1398" s="129"/>
      <c r="AE1398" s="129"/>
      <c r="AF1398" s="132"/>
      <c r="AG1398" s="128" t="b">
        <v>0</v>
      </c>
      <c r="AH1398" s="128"/>
      <c r="AI1398" s="128"/>
      <c r="AJ1398" s="128"/>
      <c r="AK1398" s="128"/>
      <c r="AL1398" s="129"/>
      <c r="AM1398" s="129"/>
      <c r="AN1398" s="139"/>
    </row>
    <row r="1399">
      <c r="A1399" s="129"/>
      <c r="B1399" s="119"/>
      <c r="C1399" s="128"/>
      <c r="D1399" s="142"/>
      <c r="E1399" s="122"/>
      <c r="F1399" s="136"/>
      <c r="G1399" s="152"/>
      <c r="H1399" s="155"/>
      <c r="I1399" s="155"/>
      <c r="J1399" s="155"/>
      <c r="K1399" s="155"/>
      <c r="L1399" s="155"/>
      <c r="M1399" s="126"/>
      <c r="N1399" s="127"/>
      <c r="O1399" s="127"/>
      <c r="P1399" s="127"/>
      <c r="Q1399" s="126"/>
      <c r="R1399" s="128"/>
      <c r="S1399" s="128"/>
      <c r="T1399" s="128"/>
      <c r="U1399" s="128"/>
      <c r="V1399" s="129"/>
      <c r="W1399" s="129"/>
      <c r="X1399" s="129"/>
      <c r="Y1399" s="129"/>
      <c r="Z1399" s="145" t="b">
        <v>0</v>
      </c>
      <c r="AA1399" s="145"/>
      <c r="AB1399" s="129"/>
      <c r="AC1399" s="129"/>
      <c r="AD1399" s="129"/>
      <c r="AE1399" s="129"/>
      <c r="AF1399" s="132"/>
      <c r="AG1399" s="128" t="b">
        <v>0</v>
      </c>
      <c r="AH1399" s="128"/>
      <c r="AI1399" s="128"/>
      <c r="AJ1399" s="128"/>
      <c r="AK1399" s="128"/>
      <c r="AL1399" s="129"/>
      <c r="AM1399" s="129"/>
      <c r="AN1399" s="139"/>
    </row>
    <row r="1400">
      <c r="A1400" s="129"/>
      <c r="B1400" s="119"/>
      <c r="C1400" s="128"/>
      <c r="D1400" s="142"/>
      <c r="E1400" s="122"/>
      <c r="F1400" s="136"/>
      <c r="G1400" s="152"/>
      <c r="H1400" s="155"/>
      <c r="I1400" s="155"/>
      <c r="J1400" s="155"/>
      <c r="K1400" s="155"/>
      <c r="L1400" s="155"/>
      <c r="M1400" s="126"/>
      <c r="N1400" s="127"/>
      <c r="O1400" s="127"/>
      <c r="P1400" s="127"/>
      <c r="Q1400" s="126"/>
      <c r="R1400" s="128"/>
      <c r="S1400" s="128"/>
      <c r="T1400" s="128"/>
      <c r="U1400" s="128"/>
      <c r="V1400" s="129"/>
      <c r="W1400" s="129"/>
      <c r="X1400" s="129"/>
      <c r="Y1400" s="129"/>
      <c r="Z1400" s="145" t="b">
        <v>0</v>
      </c>
      <c r="AA1400" s="145"/>
      <c r="AB1400" s="129"/>
      <c r="AC1400" s="129"/>
      <c r="AD1400" s="129"/>
      <c r="AE1400" s="129"/>
      <c r="AF1400" s="132"/>
      <c r="AG1400" s="128" t="b">
        <v>0</v>
      </c>
      <c r="AH1400" s="128"/>
      <c r="AI1400" s="128"/>
      <c r="AJ1400" s="128"/>
      <c r="AK1400" s="128"/>
      <c r="AL1400" s="129"/>
      <c r="AM1400" s="129"/>
      <c r="AN1400" s="139"/>
    </row>
    <row r="1401">
      <c r="A1401" s="129"/>
      <c r="B1401" s="119"/>
      <c r="C1401" s="128"/>
      <c r="D1401" s="142"/>
      <c r="E1401" s="122"/>
      <c r="F1401" s="136"/>
      <c r="G1401" s="152"/>
      <c r="H1401" s="155"/>
      <c r="I1401" s="155"/>
      <c r="J1401" s="155"/>
      <c r="K1401" s="155"/>
      <c r="L1401" s="155"/>
      <c r="M1401" s="126"/>
      <c r="N1401" s="127"/>
      <c r="O1401" s="127"/>
      <c r="P1401" s="127"/>
      <c r="Q1401" s="126"/>
      <c r="R1401" s="128"/>
      <c r="S1401" s="128"/>
      <c r="T1401" s="128"/>
      <c r="U1401" s="128"/>
      <c r="V1401" s="129"/>
      <c r="W1401" s="129"/>
      <c r="X1401" s="129"/>
      <c r="Y1401" s="129"/>
      <c r="Z1401" s="145" t="b">
        <v>0</v>
      </c>
      <c r="AA1401" s="145"/>
      <c r="AB1401" s="129"/>
      <c r="AC1401" s="129"/>
      <c r="AD1401" s="129"/>
      <c r="AE1401" s="129"/>
      <c r="AF1401" s="132"/>
      <c r="AG1401" s="128" t="b">
        <v>0</v>
      </c>
      <c r="AH1401" s="128"/>
      <c r="AI1401" s="128"/>
      <c r="AJ1401" s="128"/>
      <c r="AK1401" s="128"/>
      <c r="AL1401" s="129"/>
      <c r="AM1401" s="129"/>
      <c r="AN1401" s="139"/>
    </row>
    <row r="1402">
      <c r="A1402" s="129"/>
      <c r="B1402" s="119"/>
      <c r="C1402" s="128"/>
      <c r="D1402" s="142"/>
      <c r="E1402" s="122"/>
      <c r="F1402" s="136"/>
      <c r="G1402" s="152"/>
      <c r="H1402" s="155"/>
      <c r="I1402" s="155"/>
      <c r="J1402" s="155"/>
      <c r="K1402" s="155"/>
      <c r="L1402" s="155"/>
      <c r="M1402" s="126"/>
      <c r="N1402" s="127"/>
      <c r="O1402" s="127"/>
      <c r="P1402" s="127"/>
      <c r="Q1402" s="126"/>
      <c r="R1402" s="128"/>
      <c r="S1402" s="128"/>
      <c r="T1402" s="128"/>
      <c r="U1402" s="128"/>
      <c r="V1402" s="129"/>
      <c r="W1402" s="129"/>
      <c r="X1402" s="129"/>
      <c r="Y1402" s="129"/>
      <c r="Z1402" s="145" t="b">
        <v>0</v>
      </c>
      <c r="AA1402" s="145"/>
      <c r="AB1402" s="129"/>
      <c r="AC1402" s="129"/>
      <c r="AD1402" s="129"/>
      <c r="AE1402" s="129"/>
      <c r="AF1402" s="132"/>
      <c r="AG1402" s="128" t="b">
        <v>0</v>
      </c>
      <c r="AH1402" s="128"/>
      <c r="AI1402" s="128"/>
      <c r="AJ1402" s="128"/>
      <c r="AK1402" s="128"/>
      <c r="AL1402" s="129"/>
      <c r="AM1402" s="129"/>
      <c r="AN1402" s="139"/>
    </row>
    <row r="1403">
      <c r="A1403" s="129"/>
      <c r="B1403" s="119"/>
      <c r="C1403" s="128"/>
      <c r="D1403" s="142"/>
      <c r="E1403" s="122"/>
      <c r="F1403" s="136"/>
      <c r="G1403" s="152"/>
      <c r="H1403" s="155"/>
      <c r="I1403" s="155"/>
      <c r="J1403" s="155"/>
      <c r="K1403" s="155"/>
      <c r="L1403" s="155"/>
      <c r="M1403" s="126"/>
      <c r="N1403" s="127"/>
      <c r="O1403" s="127"/>
      <c r="P1403" s="127"/>
      <c r="Q1403" s="126"/>
      <c r="R1403" s="128"/>
      <c r="S1403" s="128"/>
      <c r="T1403" s="128"/>
      <c r="U1403" s="128"/>
      <c r="V1403" s="129"/>
      <c r="W1403" s="129"/>
      <c r="X1403" s="129"/>
      <c r="Y1403" s="129"/>
      <c r="Z1403" s="145" t="b">
        <v>0</v>
      </c>
      <c r="AA1403" s="145"/>
      <c r="AB1403" s="129"/>
      <c r="AC1403" s="129"/>
      <c r="AD1403" s="129"/>
      <c r="AE1403" s="129"/>
      <c r="AF1403" s="132"/>
      <c r="AG1403" s="128" t="b">
        <v>0</v>
      </c>
      <c r="AH1403" s="128"/>
      <c r="AI1403" s="128"/>
      <c r="AJ1403" s="128"/>
      <c r="AK1403" s="128"/>
      <c r="AL1403" s="129"/>
      <c r="AM1403" s="129"/>
      <c r="AN1403" s="139"/>
    </row>
    <row r="1404">
      <c r="A1404" s="129"/>
      <c r="B1404" s="119"/>
      <c r="C1404" s="128"/>
      <c r="D1404" s="142"/>
      <c r="E1404" s="122"/>
      <c r="F1404" s="136"/>
      <c r="G1404" s="152"/>
      <c r="H1404" s="155"/>
      <c r="I1404" s="155"/>
      <c r="J1404" s="155"/>
      <c r="K1404" s="155"/>
      <c r="L1404" s="155"/>
      <c r="M1404" s="126"/>
      <c r="N1404" s="127"/>
      <c r="O1404" s="127"/>
      <c r="P1404" s="127"/>
      <c r="Q1404" s="126"/>
      <c r="R1404" s="128"/>
      <c r="S1404" s="128"/>
      <c r="T1404" s="128"/>
      <c r="U1404" s="128"/>
      <c r="V1404" s="129"/>
      <c r="W1404" s="129"/>
      <c r="X1404" s="129"/>
      <c r="Y1404" s="129"/>
      <c r="Z1404" s="145" t="b">
        <v>0</v>
      </c>
      <c r="AA1404" s="145"/>
      <c r="AB1404" s="129"/>
      <c r="AC1404" s="129"/>
      <c r="AD1404" s="129"/>
      <c r="AE1404" s="129"/>
      <c r="AF1404" s="132"/>
      <c r="AG1404" s="128" t="b">
        <v>0</v>
      </c>
      <c r="AH1404" s="128"/>
      <c r="AI1404" s="128"/>
      <c r="AJ1404" s="128"/>
      <c r="AK1404" s="128"/>
      <c r="AL1404" s="129"/>
      <c r="AM1404" s="129"/>
      <c r="AN1404" s="139"/>
    </row>
    <row r="1405">
      <c r="A1405" s="129"/>
      <c r="B1405" s="119"/>
      <c r="C1405" s="128"/>
      <c r="D1405" s="142"/>
      <c r="E1405" s="122"/>
      <c r="F1405" s="136"/>
      <c r="G1405" s="152"/>
      <c r="H1405" s="155"/>
      <c r="I1405" s="155"/>
      <c r="J1405" s="155"/>
      <c r="K1405" s="155"/>
      <c r="L1405" s="155"/>
      <c r="M1405" s="126"/>
      <c r="N1405" s="127"/>
      <c r="O1405" s="127"/>
      <c r="P1405" s="127"/>
      <c r="Q1405" s="126"/>
      <c r="R1405" s="128"/>
      <c r="S1405" s="128"/>
      <c r="T1405" s="128"/>
      <c r="U1405" s="128"/>
      <c r="V1405" s="129"/>
      <c r="W1405" s="129"/>
      <c r="X1405" s="129"/>
      <c r="Y1405" s="129"/>
      <c r="Z1405" s="145" t="b">
        <v>0</v>
      </c>
      <c r="AA1405" s="145"/>
      <c r="AB1405" s="129"/>
      <c r="AC1405" s="129"/>
      <c r="AD1405" s="129"/>
      <c r="AE1405" s="129"/>
      <c r="AF1405" s="132"/>
      <c r="AG1405" s="128" t="b">
        <v>0</v>
      </c>
      <c r="AH1405" s="128"/>
      <c r="AI1405" s="128"/>
      <c r="AJ1405" s="128"/>
      <c r="AK1405" s="128"/>
      <c r="AL1405" s="129"/>
      <c r="AM1405" s="129"/>
      <c r="AN1405" s="139"/>
    </row>
    <row r="1406">
      <c r="A1406" s="129"/>
      <c r="B1406" s="119"/>
      <c r="C1406" s="128"/>
      <c r="D1406" s="142"/>
      <c r="E1406" s="122"/>
      <c r="F1406" s="136"/>
      <c r="G1406" s="152"/>
      <c r="H1406" s="155"/>
      <c r="I1406" s="155"/>
      <c r="J1406" s="155"/>
      <c r="K1406" s="155"/>
      <c r="L1406" s="155"/>
      <c r="M1406" s="126"/>
      <c r="N1406" s="127"/>
      <c r="O1406" s="127"/>
      <c r="P1406" s="127"/>
      <c r="Q1406" s="126"/>
      <c r="R1406" s="128"/>
      <c r="S1406" s="128"/>
      <c r="T1406" s="128"/>
      <c r="U1406" s="128"/>
      <c r="V1406" s="129"/>
      <c r="W1406" s="129"/>
      <c r="X1406" s="129"/>
      <c r="Y1406" s="129"/>
      <c r="Z1406" s="145" t="b">
        <v>0</v>
      </c>
      <c r="AA1406" s="145"/>
      <c r="AB1406" s="129"/>
      <c r="AC1406" s="129"/>
      <c r="AD1406" s="129"/>
      <c r="AE1406" s="129"/>
      <c r="AF1406" s="132"/>
      <c r="AG1406" s="128" t="b">
        <v>0</v>
      </c>
      <c r="AH1406" s="128"/>
      <c r="AI1406" s="128"/>
      <c r="AJ1406" s="128"/>
      <c r="AK1406" s="128"/>
      <c r="AL1406" s="129"/>
      <c r="AM1406" s="129"/>
      <c r="AN1406" s="139"/>
    </row>
    <row r="1407">
      <c r="A1407" s="129"/>
      <c r="B1407" s="119"/>
      <c r="C1407" s="128"/>
      <c r="D1407" s="142"/>
      <c r="E1407" s="122"/>
      <c r="F1407" s="136"/>
      <c r="G1407" s="152"/>
      <c r="H1407" s="155"/>
      <c r="I1407" s="155"/>
      <c r="J1407" s="155"/>
      <c r="K1407" s="155"/>
      <c r="L1407" s="155"/>
      <c r="M1407" s="126"/>
      <c r="N1407" s="127"/>
      <c r="O1407" s="127"/>
      <c r="P1407" s="127"/>
      <c r="Q1407" s="126"/>
      <c r="R1407" s="128"/>
      <c r="S1407" s="128"/>
      <c r="T1407" s="128"/>
      <c r="U1407" s="128"/>
      <c r="V1407" s="129"/>
      <c r="W1407" s="129"/>
      <c r="X1407" s="129"/>
      <c r="Y1407" s="129"/>
      <c r="Z1407" s="145" t="b">
        <v>0</v>
      </c>
      <c r="AA1407" s="145"/>
      <c r="AB1407" s="129"/>
      <c r="AC1407" s="129"/>
      <c r="AD1407" s="129"/>
      <c r="AE1407" s="129"/>
      <c r="AF1407" s="132"/>
      <c r="AG1407" s="128" t="b">
        <v>0</v>
      </c>
      <c r="AH1407" s="128"/>
      <c r="AI1407" s="128"/>
      <c r="AJ1407" s="128"/>
      <c r="AK1407" s="128"/>
      <c r="AL1407" s="129"/>
      <c r="AM1407" s="129"/>
      <c r="AN1407" s="139"/>
    </row>
    <row r="1408">
      <c r="A1408" s="129"/>
      <c r="B1408" s="119"/>
      <c r="C1408" s="128"/>
      <c r="D1408" s="142"/>
      <c r="E1408" s="122"/>
      <c r="F1408" s="136"/>
      <c r="G1408" s="152"/>
      <c r="H1408" s="155"/>
      <c r="I1408" s="155"/>
      <c r="J1408" s="155"/>
      <c r="K1408" s="155"/>
      <c r="L1408" s="155"/>
      <c r="M1408" s="126"/>
      <c r="N1408" s="127"/>
      <c r="O1408" s="127"/>
      <c r="P1408" s="127"/>
      <c r="Q1408" s="126"/>
      <c r="R1408" s="128"/>
      <c r="S1408" s="128"/>
      <c r="T1408" s="128"/>
      <c r="U1408" s="128"/>
      <c r="V1408" s="129"/>
      <c r="W1408" s="129"/>
      <c r="X1408" s="129"/>
      <c r="Y1408" s="129"/>
      <c r="Z1408" s="145" t="b">
        <v>0</v>
      </c>
      <c r="AA1408" s="145"/>
      <c r="AB1408" s="129"/>
      <c r="AC1408" s="129"/>
      <c r="AD1408" s="129"/>
      <c r="AE1408" s="129"/>
      <c r="AF1408" s="132"/>
      <c r="AG1408" s="128" t="b">
        <v>0</v>
      </c>
      <c r="AH1408" s="128"/>
      <c r="AI1408" s="128"/>
      <c r="AJ1408" s="128"/>
      <c r="AK1408" s="128"/>
      <c r="AL1408" s="129"/>
      <c r="AM1408" s="129"/>
      <c r="AN1408" s="139"/>
    </row>
    <row r="1409">
      <c r="A1409" s="129"/>
      <c r="B1409" s="119"/>
      <c r="C1409" s="128"/>
      <c r="D1409" s="142"/>
      <c r="E1409" s="122"/>
      <c r="F1409" s="136"/>
      <c r="G1409" s="152"/>
      <c r="H1409" s="155"/>
      <c r="I1409" s="155"/>
      <c r="J1409" s="155"/>
      <c r="K1409" s="155"/>
      <c r="L1409" s="155"/>
      <c r="M1409" s="126"/>
      <c r="N1409" s="127"/>
      <c r="O1409" s="127"/>
      <c r="P1409" s="127"/>
      <c r="Q1409" s="126"/>
      <c r="R1409" s="128"/>
      <c r="S1409" s="128"/>
      <c r="T1409" s="128"/>
      <c r="U1409" s="128"/>
      <c r="V1409" s="129"/>
      <c r="W1409" s="129"/>
      <c r="X1409" s="129"/>
      <c r="Y1409" s="129"/>
      <c r="Z1409" s="145" t="b">
        <v>0</v>
      </c>
      <c r="AA1409" s="145"/>
      <c r="AB1409" s="129"/>
      <c r="AC1409" s="129"/>
      <c r="AD1409" s="129"/>
      <c r="AE1409" s="129"/>
      <c r="AF1409" s="132"/>
      <c r="AG1409" s="128" t="b">
        <v>0</v>
      </c>
      <c r="AH1409" s="128"/>
      <c r="AI1409" s="128"/>
      <c r="AJ1409" s="128"/>
      <c r="AK1409" s="128"/>
      <c r="AL1409" s="129"/>
      <c r="AM1409" s="129"/>
      <c r="AN1409" s="139"/>
    </row>
    <row r="1410">
      <c r="A1410" s="129"/>
      <c r="B1410" s="119"/>
      <c r="C1410" s="128"/>
      <c r="D1410" s="142"/>
      <c r="E1410" s="122"/>
      <c r="F1410" s="136"/>
      <c r="G1410" s="152"/>
      <c r="H1410" s="155"/>
      <c r="I1410" s="155"/>
      <c r="J1410" s="155"/>
      <c r="K1410" s="155"/>
      <c r="L1410" s="155"/>
      <c r="M1410" s="126"/>
      <c r="N1410" s="127"/>
      <c r="O1410" s="127"/>
      <c r="P1410" s="127"/>
      <c r="Q1410" s="126"/>
      <c r="R1410" s="128"/>
      <c r="S1410" s="128"/>
      <c r="T1410" s="128"/>
      <c r="U1410" s="128"/>
      <c r="V1410" s="129"/>
      <c r="W1410" s="129"/>
      <c r="X1410" s="129"/>
      <c r="Y1410" s="129"/>
      <c r="Z1410" s="145" t="b">
        <v>0</v>
      </c>
      <c r="AA1410" s="145"/>
      <c r="AB1410" s="129"/>
      <c r="AC1410" s="129"/>
      <c r="AD1410" s="129"/>
      <c r="AE1410" s="129"/>
      <c r="AF1410" s="132"/>
      <c r="AG1410" s="128" t="b">
        <v>0</v>
      </c>
      <c r="AH1410" s="128"/>
      <c r="AI1410" s="128"/>
      <c r="AJ1410" s="128"/>
      <c r="AK1410" s="128"/>
      <c r="AL1410" s="129"/>
      <c r="AM1410" s="129"/>
      <c r="AN1410" s="139"/>
    </row>
    <row r="1411">
      <c r="A1411" s="129"/>
      <c r="B1411" s="119"/>
      <c r="C1411" s="128"/>
      <c r="D1411" s="142"/>
      <c r="E1411" s="122"/>
      <c r="F1411" s="136"/>
      <c r="G1411" s="152"/>
      <c r="H1411" s="155"/>
      <c r="I1411" s="155"/>
      <c r="J1411" s="155"/>
      <c r="K1411" s="155"/>
      <c r="L1411" s="155"/>
      <c r="M1411" s="126"/>
      <c r="N1411" s="127"/>
      <c r="O1411" s="127"/>
      <c r="P1411" s="127"/>
      <c r="Q1411" s="126"/>
      <c r="R1411" s="128"/>
      <c r="S1411" s="128"/>
      <c r="T1411" s="128"/>
      <c r="U1411" s="128"/>
      <c r="V1411" s="129"/>
      <c r="W1411" s="129"/>
      <c r="X1411" s="129"/>
      <c r="Y1411" s="129"/>
      <c r="Z1411" s="145" t="b">
        <v>0</v>
      </c>
      <c r="AA1411" s="145"/>
      <c r="AB1411" s="129"/>
      <c r="AC1411" s="129"/>
      <c r="AD1411" s="129"/>
      <c r="AE1411" s="129"/>
      <c r="AF1411" s="132"/>
      <c r="AG1411" s="128" t="b">
        <v>0</v>
      </c>
      <c r="AH1411" s="128"/>
      <c r="AI1411" s="128"/>
      <c r="AJ1411" s="128"/>
      <c r="AK1411" s="128"/>
      <c r="AL1411" s="129"/>
      <c r="AM1411" s="129"/>
      <c r="AN1411" s="139"/>
    </row>
    <row r="1412">
      <c r="A1412" s="129"/>
      <c r="B1412" s="119"/>
      <c r="C1412" s="128"/>
      <c r="D1412" s="142"/>
      <c r="E1412" s="122"/>
      <c r="F1412" s="136"/>
      <c r="G1412" s="152"/>
      <c r="H1412" s="155"/>
      <c r="I1412" s="155"/>
      <c r="J1412" s="155"/>
      <c r="K1412" s="155"/>
      <c r="L1412" s="155"/>
      <c r="M1412" s="126"/>
      <c r="N1412" s="127"/>
      <c r="O1412" s="127"/>
      <c r="P1412" s="127"/>
      <c r="Q1412" s="126"/>
      <c r="R1412" s="128"/>
      <c r="S1412" s="128"/>
      <c r="T1412" s="128"/>
      <c r="U1412" s="128"/>
      <c r="V1412" s="129"/>
      <c r="W1412" s="129"/>
      <c r="X1412" s="129"/>
      <c r="Y1412" s="129"/>
      <c r="Z1412" s="145" t="b">
        <v>0</v>
      </c>
      <c r="AA1412" s="145"/>
      <c r="AB1412" s="129"/>
      <c r="AC1412" s="129"/>
      <c r="AD1412" s="129"/>
      <c r="AE1412" s="129"/>
      <c r="AF1412" s="132"/>
      <c r="AG1412" s="128" t="b">
        <v>0</v>
      </c>
      <c r="AH1412" s="128"/>
      <c r="AI1412" s="128"/>
      <c r="AJ1412" s="128"/>
      <c r="AK1412" s="128"/>
      <c r="AL1412" s="129"/>
      <c r="AM1412" s="129"/>
      <c r="AN1412" s="139"/>
    </row>
    <row r="1413">
      <c r="A1413" s="129"/>
      <c r="B1413" s="119"/>
      <c r="C1413" s="128"/>
      <c r="D1413" s="142"/>
      <c r="E1413" s="122"/>
      <c r="F1413" s="136"/>
      <c r="G1413" s="152"/>
      <c r="H1413" s="155"/>
      <c r="I1413" s="155"/>
      <c r="J1413" s="155"/>
      <c r="K1413" s="155"/>
      <c r="L1413" s="155"/>
      <c r="M1413" s="126"/>
      <c r="N1413" s="127"/>
      <c r="O1413" s="127"/>
      <c r="P1413" s="127"/>
      <c r="Q1413" s="126"/>
      <c r="R1413" s="128"/>
      <c r="S1413" s="128"/>
      <c r="T1413" s="128"/>
      <c r="U1413" s="128"/>
      <c r="V1413" s="129"/>
      <c r="W1413" s="129"/>
      <c r="X1413" s="129"/>
      <c r="Y1413" s="129"/>
      <c r="Z1413" s="145" t="b">
        <v>0</v>
      </c>
      <c r="AA1413" s="145"/>
      <c r="AB1413" s="129"/>
      <c r="AC1413" s="129"/>
      <c r="AD1413" s="129"/>
      <c r="AE1413" s="129"/>
      <c r="AF1413" s="132"/>
      <c r="AG1413" s="128" t="b">
        <v>0</v>
      </c>
      <c r="AH1413" s="128"/>
      <c r="AI1413" s="128"/>
      <c r="AJ1413" s="128"/>
      <c r="AK1413" s="128"/>
      <c r="AL1413" s="129"/>
      <c r="AM1413" s="129"/>
      <c r="AN1413" s="139"/>
    </row>
    <row r="1414">
      <c r="A1414" s="129"/>
      <c r="B1414" s="119"/>
      <c r="C1414" s="128"/>
      <c r="D1414" s="142"/>
      <c r="E1414" s="122"/>
      <c r="F1414" s="136"/>
      <c r="G1414" s="152"/>
      <c r="H1414" s="155"/>
      <c r="I1414" s="155"/>
      <c r="J1414" s="155"/>
      <c r="K1414" s="155"/>
      <c r="L1414" s="155"/>
      <c r="M1414" s="126"/>
      <c r="N1414" s="127"/>
      <c r="O1414" s="127"/>
      <c r="P1414" s="127"/>
      <c r="Q1414" s="126"/>
      <c r="R1414" s="128"/>
      <c r="S1414" s="128"/>
      <c r="T1414" s="128"/>
      <c r="U1414" s="128"/>
      <c r="V1414" s="129"/>
      <c r="W1414" s="129"/>
      <c r="X1414" s="129"/>
      <c r="Y1414" s="129"/>
      <c r="Z1414" s="145" t="b">
        <v>0</v>
      </c>
      <c r="AA1414" s="145"/>
      <c r="AB1414" s="129"/>
      <c r="AC1414" s="129"/>
      <c r="AD1414" s="129"/>
      <c r="AE1414" s="129"/>
      <c r="AF1414" s="132"/>
      <c r="AG1414" s="128" t="b">
        <v>0</v>
      </c>
      <c r="AH1414" s="128"/>
      <c r="AI1414" s="128"/>
      <c r="AJ1414" s="128"/>
      <c r="AK1414" s="128"/>
      <c r="AL1414" s="129"/>
      <c r="AM1414" s="129"/>
      <c r="AN1414" s="139"/>
    </row>
    <row r="1415">
      <c r="A1415" s="129"/>
      <c r="B1415" s="119"/>
      <c r="C1415" s="128"/>
      <c r="D1415" s="142"/>
      <c r="E1415" s="122"/>
      <c r="F1415" s="136"/>
      <c r="G1415" s="152"/>
      <c r="H1415" s="155"/>
      <c r="I1415" s="155"/>
      <c r="J1415" s="155"/>
      <c r="K1415" s="155"/>
      <c r="L1415" s="155"/>
      <c r="M1415" s="126"/>
      <c r="N1415" s="127"/>
      <c r="O1415" s="127"/>
      <c r="P1415" s="127"/>
      <c r="Q1415" s="126"/>
      <c r="R1415" s="128"/>
      <c r="S1415" s="128"/>
      <c r="T1415" s="128"/>
      <c r="U1415" s="128"/>
      <c r="V1415" s="129"/>
      <c r="W1415" s="129"/>
      <c r="X1415" s="129"/>
      <c r="Y1415" s="129"/>
      <c r="Z1415" s="145" t="b">
        <v>0</v>
      </c>
      <c r="AA1415" s="145"/>
      <c r="AB1415" s="129"/>
      <c r="AC1415" s="129"/>
      <c r="AD1415" s="129"/>
      <c r="AE1415" s="129"/>
      <c r="AF1415" s="132"/>
      <c r="AG1415" s="128" t="b">
        <v>0</v>
      </c>
      <c r="AH1415" s="128"/>
      <c r="AI1415" s="128"/>
      <c r="AJ1415" s="128"/>
      <c r="AK1415" s="128"/>
      <c r="AL1415" s="129"/>
      <c r="AM1415" s="129"/>
      <c r="AN1415" s="139"/>
    </row>
    <row r="1416">
      <c r="A1416" s="129"/>
      <c r="B1416" s="119"/>
      <c r="C1416" s="128"/>
      <c r="D1416" s="142"/>
      <c r="E1416" s="122"/>
      <c r="F1416" s="136"/>
      <c r="G1416" s="152"/>
      <c r="H1416" s="155"/>
      <c r="I1416" s="155"/>
      <c r="J1416" s="155"/>
      <c r="K1416" s="155"/>
      <c r="L1416" s="155"/>
      <c r="M1416" s="126"/>
      <c r="N1416" s="127"/>
      <c r="O1416" s="127"/>
      <c r="P1416" s="127"/>
      <c r="Q1416" s="126"/>
      <c r="R1416" s="128"/>
      <c r="S1416" s="128"/>
      <c r="T1416" s="128"/>
      <c r="U1416" s="128"/>
      <c r="V1416" s="129"/>
      <c r="W1416" s="129"/>
      <c r="X1416" s="129"/>
      <c r="Y1416" s="129"/>
      <c r="Z1416" s="145" t="b">
        <v>0</v>
      </c>
      <c r="AA1416" s="145"/>
      <c r="AB1416" s="129"/>
      <c r="AC1416" s="129"/>
      <c r="AD1416" s="129"/>
      <c r="AE1416" s="129"/>
      <c r="AF1416" s="132"/>
      <c r="AG1416" s="128" t="b">
        <v>0</v>
      </c>
      <c r="AH1416" s="128"/>
      <c r="AI1416" s="128"/>
      <c r="AJ1416" s="128"/>
      <c r="AK1416" s="128"/>
      <c r="AL1416" s="129"/>
      <c r="AM1416" s="129"/>
      <c r="AN1416" s="139"/>
    </row>
    <row r="1417">
      <c r="A1417" s="129"/>
      <c r="B1417" s="119"/>
      <c r="C1417" s="128"/>
      <c r="D1417" s="142"/>
      <c r="E1417" s="122"/>
      <c r="F1417" s="136"/>
      <c r="G1417" s="152"/>
      <c r="H1417" s="155"/>
      <c r="I1417" s="155"/>
      <c r="J1417" s="155"/>
      <c r="K1417" s="155"/>
      <c r="L1417" s="155"/>
      <c r="M1417" s="126"/>
      <c r="N1417" s="127"/>
      <c r="O1417" s="127"/>
      <c r="P1417" s="127"/>
      <c r="Q1417" s="126"/>
      <c r="R1417" s="128"/>
      <c r="S1417" s="128"/>
      <c r="T1417" s="128"/>
      <c r="U1417" s="128"/>
      <c r="V1417" s="129"/>
      <c r="W1417" s="129"/>
      <c r="X1417" s="129"/>
      <c r="Y1417" s="129"/>
      <c r="Z1417" s="145" t="b">
        <v>0</v>
      </c>
      <c r="AA1417" s="145"/>
      <c r="AB1417" s="129"/>
      <c r="AC1417" s="129"/>
      <c r="AD1417" s="129"/>
      <c r="AE1417" s="129"/>
      <c r="AF1417" s="132"/>
      <c r="AG1417" s="128" t="b">
        <v>0</v>
      </c>
      <c r="AH1417" s="128"/>
      <c r="AI1417" s="128"/>
      <c r="AJ1417" s="128"/>
      <c r="AK1417" s="128"/>
      <c r="AL1417" s="129"/>
      <c r="AM1417" s="129"/>
      <c r="AN1417" s="139"/>
    </row>
    <row r="1418">
      <c r="A1418" s="129"/>
      <c r="B1418" s="119"/>
      <c r="C1418" s="128"/>
      <c r="D1418" s="142"/>
      <c r="E1418" s="122"/>
      <c r="F1418" s="136"/>
      <c r="G1418" s="152"/>
      <c r="H1418" s="155"/>
      <c r="I1418" s="155"/>
      <c r="J1418" s="155"/>
      <c r="K1418" s="155"/>
      <c r="L1418" s="155"/>
      <c r="M1418" s="126"/>
      <c r="N1418" s="127"/>
      <c r="O1418" s="127"/>
      <c r="P1418" s="127"/>
      <c r="Q1418" s="126"/>
      <c r="R1418" s="128"/>
      <c r="S1418" s="128"/>
      <c r="T1418" s="128"/>
      <c r="U1418" s="128"/>
      <c r="V1418" s="129"/>
      <c r="W1418" s="129"/>
      <c r="X1418" s="129"/>
      <c r="Y1418" s="129"/>
      <c r="Z1418" s="145" t="b">
        <v>0</v>
      </c>
      <c r="AA1418" s="145"/>
      <c r="AB1418" s="129"/>
      <c r="AC1418" s="129"/>
      <c r="AD1418" s="129"/>
      <c r="AE1418" s="129"/>
      <c r="AF1418" s="132"/>
      <c r="AG1418" s="128" t="b">
        <v>0</v>
      </c>
      <c r="AH1418" s="128"/>
      <c r="AI1418" s="128"/>
      <c r="AJ1418" s="128"/>
      <c r="AK1418" s="128"/>
      <c r="AL1418" s="129"/>
      <c r="AM1418" s="129"/>
      <c r="AN1418" s="139"/>
    </row>
    <row r="1419">
      <c r="A1419" s="129"/>
      <c r="B1419" s="119"/>
      <c r="C1419" s="128"/>
      <c r="D1419" s="142"/>
      <c r="E1419" s="122"/>
      <c r="F1419" s="136"/>
      <c r="G1419" s="152"/>
      <c r="H1419" s="155"/>
      <c r="I1419" s="155"/>
      <c r="J1419" s="155"/>
      <c r="K1419" s="155"/>
      <c r="L1419" s="155"/>
      <c r="M1419" s="126"/>
      <c r="N1419" s="127"/>
      <c r="O1419" s="127"/>
      <c r="P1419" s="127"/>
      <c r="Q1419" s="126"/>
      <c r="R1419" s="128"/>
      <c r="S1419" s="128"/>
      <c r="T1419" s="128"/>
      <c r="U1419" s="128"/>
      <c r="V1419" s="129"/>
      <c r="W1419" s="129"/>
      <c r="X1419" s="129"/>
      <c r="Y1419" s="129"/>
      <c r="Z1419" s="145" t="b">
        <v>0</v>
      </c>
      <c r="AA1419" s="145"/>
      <c r="AB1419" s="129"/>
      <c r="AC1419" s="129"/>
      <c r="AD1419" s="129"/>
      <c r="AE1419" s="129"/>
      <c r="AF1419" s="132"/>
      <c r="AG1419" s="128" t="b">
        <v>0</v>
      </c>
      <c r="AH1419" s="128"/>
      <c r="AI1419" s="128"/>
      <c r="AJ1419" s="128"/>
      <c r="AK1419" s="128"/>
      <c r="AL1419" s="129"/>
      <c r="AM1419" s="129"/>
      <c r="AN1419" s="139"/>
    </row>
    <row r="1420">
      <c r="A1420" s="129"/>
      <c r="B1420" s="119"/>
      <c r="C1420" s="128"/>
      <c r="D1420" s="142"/>
      <c r="E1420" s="122"/>
      <c r="F1420" s="136"/>
      <c r="G1420" s="152"/>
      <c r="H1420" s="155"/>
      <c r="I1420" s="155"/>
      <c r="J1420" s="155"/>
      <c r="K1420" s="155"/>
      <c r="L1420" s="155"/>
      <c r="M1420" s="126"/>
      <c r="N1420" s="127"/>
      <c r="O1420" s="127"/>
      <c r="P1420" s="127"/>
      <c r="Q1420" s="126"/>
      <c r="R1420" s="128"/>
      <c r="S1420" s="128"/>
      <c r="T1420" s="128"/>
      <c r="U1420" s="128"/>
      <c r="V1420" s="129"/>
      <c r="W1420" s="129"/>
      <c r="X1420" s="129"/>
      <c r="Y1420" s="129"/>
      <c r="Z1420" s="145" t="b">
        <v>0</v>
      </c>
      <c r="AA1420" s="145"/>
      <c r="AB1420" s="129"/>
      <c r="AC1420" s="129"/>
      <c r="AD1420" s="129"/>
      <c r="AE1420" s="129"/>
      <c r="AF1420" s="132"/>
      <c r="AG1420" s="128" t="b">
        <v>0</v>
      </c>
      <c r="AH1420" s="128"/>
      <c r="AI1420" s="128"/>
      <c r="AJ1420" s="128"/>
      <c r="AK1420" s="128"/>
      <c r="AL1420" s="129"/>
      <c r="AM1420" s="129"/>
      <c r="AN1420" s="139"/>
    </row>
    <row r="1421">
      <c r="A1421" s="129"/>
      <c r="B1421" s="119"/>
      <c r="C1421" s="128"/>
      <c r="D1421" s="142"/>
      <c r="E1421" s="122"/>
      <c r="F1421" s="136"/>
      <c r="G1421" s="152"/>
      <c r="H1421" s="155"/>
      <c r="I1421" s="155"/>
      <c r="J1421" s="155"/>
      <c r="K1421" s="155"/>
      <c r="L1421" s="155"/>
      <c r="M1421" s="126"/>
      <c r="N1421" s="127"/>
      <c r="O1421" s="127"/>
      <c r="P1421" s="127"/>
      <c r="Q1421" s="126"/>
      <c r="R1421" s="128"/>
      <c r="S1421" s="128"/>
      <c r="T1421" s="128"/>
      <c r="U1421" s="128"/>
      <c r="V1421" s="129"/>
      <c r="W1421" s="129"/>
      <c r="X1421" s="129"/>
      <c r="Y1421" s="129"/>
      <c r="Z1421" s="145" t="b">
        <v>0</v>
      </c>
      <c r="AA1421" s="145"/>
      <c r="AB1421" s="129"/>
      <c r="AC1421" s="129"/>
      <c r="AD1421" s="129"/>
      <c r="AE1421" s="129"/>
      <c r="AF1421" s="132"/>
      <c r="AG1421" s="128" t="b">
        <v>0</v>
      </c>
      <c r="AH1421" s="128"/>
      <c r="AI1421" s="128"/>
      <c r="AJ1421" s="128"/>
      <c r="AK1421" s="128"/>
      <c r="AL1421" s="129"/>
      <c r="AM1421" s="129"/>
      <c r="AN1421" s="139"/>
    </row>
    <row r="1422">
      <c r="A1422" s="129"/>
      <c r="B1422" s="119"/>
      <c r="C1422" s="128"/>
      <c r="D1422" s="142"/>
      <c r="E1422" s="122"/>
      <c r="F1422" s="136"/>
      <c r="G1422" s="152"/>
      <c r="H1422" s="155"/>
      <c r="I1422" s="155"/>
      <c r="J1422" s="155"/>
      <c r="K1422" s="155"/>
      <c r="L1422" s="155"/>
      <c r="M1422" s="126"/>
      <c r="N1422" s="127"/>
      <c r="O1422" s="127"/>
      <c r="P1422" s="127"/>
      <c r="Q1422" s="126"/>
      <c r="R1422" s="128"/>
      <c r="S1422" s="128"/>
      <c r="T1422" s="128"/>
      <c r="U1422" s="128"/>
      <c r="V1422" s="129"/>
      <c r="W1422" s="129"/>
      <c r="X1422" s="129"/>
      <c r="Y1422" s="129"/>
      <c r="Z1422" s="145" t="b">
        <v>0</v>
      </c>
      <c r="AA1422" s="145"/>
      <c r="AB1422" s="129"/>
      <c r="AC1422" s="129"/>
      <c r="AD1422" s="129"/>
      <c r="AE1422" s="129"/>
      <c r="AF1422" s="132"/>
      <c r="AG1422" s="128" t="b">
        <v>0</v>
      </c>
      <c r="AH1422" s="128"/>
      <c r="AI1422" s="128"/>
      <c r="AJ1422" s="128"/>
      <c r="AK1422" s="128"/>
      <c r="AL1422" s="129"/>
      <c r="AM1422" s="129"/>
      <c r="AN1422" s="139"/>
    </row>
    <row r="1423">
      <c r="A1423" s="129"/>
      <c r="B1423" s="119"/>
      <c r="C1423" s="128"/>
      <c r="D1423" s="142"/>
      <c r="E1423" s="122"/>
      <c r="F1423" s="136"/>
      <c r="G1423" s="152"/>
      <c r="H1423" s="155"/>
      <c r="I1423" s="155"/>
      <c r="J1423" s="155"/>
      <c r="K1423" s="155"/>
      <c r="L1423" s="155"/>
      <c r="M1423" s="126"/>
      <c r="N1423" s="127"/>
      <c r="O1423" s="127"/>
      <c r="P1423" s="127"/>
      <c r="Q1423" s="126"/>
      <c r="R1423" s="128"/>
      <c r="S1423" s="128"/>
      <c r="T1423" s="128"/>
      <c r="U1423" s="128"/>
      <c r="V1423" s="129"/>
      <c r="W1423" s="129"/>
      <c r="X1423" s="129"/>
      <c r="Y1423" s="129"/>
      <c r="Z1423" s="145" t="b">
        <v>0</v>
      </c>
      <c r="AA1423" s="145"/>
      <c r="AB1423" s="129"/>
      <c r="AC1423" s="129"/>
      <c r="AD1423" s="129"/>
      <c r="AE1423" s="129"/>
      <c r="AF1423" s="132"/>
      <c r="AG1423" s="128" t="b">
        <v>0</v>
      </c>
      <c r="AH1423" s="128"/>
      <c r="AI1423" s="128"/>
      <c r="AJ1423" s="128"/>
      <c r="AK1423" s="128"/>
      <c r="AL1423" s="129"/>
      <c r="AM1423" s="129"/>
      <c r="AN1423" s="139"/>
    </row>
    <row r="1424">
      <c r="A1424" s="129"/>
      <c r="B1424" s="119"/>
      <c r="C1424" s="128"/>
      <c r="D1424" s="142"/>
      <c r="E1424" s="122"/>
      <c r="F1424" s="136"/>
      <c r="G1424" s="152"/>
      <c r="H1424" s="155"/>
      <c r="I1424" s="155"/>
      <c r="J1424" s="155"/>
      <c r="K1424" s="155"/>
      <c r="L1424" s="155"/>
      <c r="M1424" s="126"/>
      <c r="N1424" s="127"/>
      <c r="O1424" s="127"/>
      <c r="P1424" s="127"/>
      <c r="Q1424" s="126"/>
      <c r="R1424" s="128"/>
      <c r="S1424" s="128"/>
      <c r="T1424" s="128"/>
      <c r="U1424" s="128"/>
      <c r="V1424" s="129"/>
      <c r="W1424" s="129"/>
      <c r="X1424" s="129"/>
      <c r="Y1424" s="129"/>
      <c r="Z1424" s="145" t="b">
        <v>0</v>
      </c>
      <c r="AA1424" s="145"/>
      <c r="AB1424" s="129"/>
      <c r="AC1424" s="129"/>
      <c r="AD1424" s="129"/>
      <c r="AE1424" s="129"/>
      <c r="AF1424" s="132"/>
      <c r="AG1424" s="128" t="b">
        <v>0</v>
      </c>
      <c r="AH1424" s="128"/>
      <c r="AI1424" s="128"/>
      <c r="AJ1424" s="128"/>
      <c r="AK1424" s="128"/>
      <c r="AL1424" s="129"/>
      <c r="AM1424" s="129"/>
      <c r="AN1424" s="139"/>
    </row>
    <row r="1425">
      <c r="A1425" s="129"/>
      <c r="B1425" s="119"/>
      <c r="C1425" s="128"/>
      <c r="D1425" s="142"/>
      <c r="E1425" s="122"/>
      <c r="F1425" s="136"/>
      <c r="G1425" s="152"/>
      <c r="H1425" s="155"/>
      <c r="I1425" s="155"/>
      <c r="J1425" s="155"/>
      <c r="K1425" s="155"/>
      <c r="L1425" s="155"/>
      <c r="M1425" s="126"/>
      <c r="N1425" s="127"/>
      <c r="O1425" s="127"/>
      <c r="P1425" s="127"/>
      <c r="Q1425" s="126"/>
      <c r="R1425" s="128"/>
      <c r="S1425" s="128"/>
      <c r="T1425" s="128"/>
      <c r="U1425" s="128"/>
      <c r="V1425" s="129"/>
      <c r="W1425" s="129"/>
      <c r="X1425" s="129"/>
      <c r="Y1425" s="129"/>
      <c r="Z1425" s="145" t="b">
        <v>0</v>
      </c>
      <c r="AA1425" s="145"/>
      <c r="AB1425" s="129"/>
      <c r="AC1425" s="129"/>
      <c r="AD1425" s="129"/>
      <c r="AE1425" s="129"/>
      <c r="AF1425" s="132"/>
      <c r="AG1425" s="128" t="b">
        <v>0</v>
      </c>
      <c r="AH1425" s="128"/>
      <c r="AI1425" s="128"/>
      <c r="AJ1425" s="128"/>
      <c r="AK1425" s="128"/>
      <c r="AL1425" s="129"/>
      <c r="AM1425" s="129"/>
      <c r="AN1425" s="139"/>
    </row>
    <row r="1426">
      <c r="A1426" s="129"/>
      <c r="B1426" s="119"/>
      <c r="C1426" s="128"/>
      <c r="D1426" s="142"/>
      <c r="E1426" s="122"/>
      <c r="F1426" s="136"/>
      <c r="G1426" s="152"/>
      <c r="H1426" s="155"/>
      <c r="I1426" s="155"/>
      <c r="J1426" s="155"/>
      <c r="K1426" s="155"/>
      <c r="L1426" s="155"/>
      <c r="M1426" s="126"/>
      <c r="N1426" s="127"/>
      <c r="O1426" s="127"/>
      <c r="P1426" s="127"/>
      <c r="Q1426" s="126"/>
      <c r="R1426" s="128"/>
      <c r="S1426" s="128"/>
      <c r="T1426" s="128"/>
      <c r="U1426" s="128"/>
      <c r="V1426" s="129"/>
      <c r="W1426" s="129"/>
      <c r="X1426" s="129"/>
      <c r="Y1426" s="129"/>
      <c r="Z1426" s="145" t="b">
        <v>0</v>
      </c>
      <c r="AA1426" s="145"/>
      <c r="AB1426" s="129"/>
      <c r="AC1426" s="129"/>
      <c r="AD1426" s="129"/>
      <c r="AE1426" s="129"/>
      <c r="AF1426" s="132"/>
      <c r="AG1426" s="128" t="b">
        <v>0</v>
      </c>
      <c r="AH1426" s="128"/>
      <c r="AI1426" s="128"/>
      <c r="AJ1426" s="128"/>
      <c r="AK1426" s="128"/>
      <c r="AL1426" s="129"/>
      <c r="AM1426" s="129"/>
      <c r="AN1426" s="139"/>
    </row>
    <row r="1427">
      <c r="A1427" s="129"/>
      <c r="B1427" s="119"/>
      <c r="C1427" s="128"/>
      <c r="D1427" s="142"/>
      <c r="E1427" s="122"/>
      <c r="F1427" s="136"/>
      <c r="G1427" s="152"/>
      <c r="H1427" s="155"/>
      <c r="I1427" s="155"/>
      <c r="J1427" s="155"/>
      <c r="K1427" s="155"/>
      <c r="L1427" s="155"/>
      <c r="M1427" s="126"/>
      <c r="N1427" s="127"/>
      <c r="O1427" s="127"/>
      <c r="P1427" s="127"/>
      <c r="Q1427" s="126"/>
      <c r="R1427" s="128"/>
      <c r="S1427" s="128"/>
      <c r="T1427" s="128"/>
      <c r="U1427" s="128"/>
      <c r="V1427" s="129"/>
      <c r="W1427" s="129"/>
      <c r="X1427" s="129"/>
      <c r="Y1427" s="129"/>
      <c r="Z1427" s="145" t="b">
        <v>0</v>
      </c>
      <c r="AA1427" s="145"/>
      <c r="AB1427" s="129"/>
      <c r="AC1427" s="129"/>
      <c r="AD1427" s="129"/>
      <c r="AE1427" s="129"/>
      <c r="AF1427" s="132"/>
      <c r="AG1427" s="128" t="b">
        <v>0</v>
      </c>
      <c r="AH1427" s="128"/>
      <c r="AI1427" s="128"/>
      <c r="AJ1427" s="128"/>
      <c r="AK1427" s="128"/>
      <c r="AL1427" s="129"/>
      <c r="AM1427" s="129"/>
      <c r="AN1427" s="139"/>
    </row>
    <row r="1428">
      <c r="A1428" s="129"/>
      <c r="B1428" s="119"/>
      <c r="C1428" s="128"/>
      <c r="D1428" s="142"/>
      <c r="E1428" s="122"/>
      <c r="F1428" s="136"/>
      <c r="G1428" s="152"/>
      <c r="H1428" s="155"/>
      <c r="I1428" s="155"/>
      <c r="J1428" s="155"/>
      <c r="K1428" s="155"/>
      <c r="L1428" s="155"/>
      <c r="M1428" s="126"/>
      <c r="N1428" s="127"/>
      <c r="O1428" s="127"/>
      <c r="P1428" s="127"/>
      <c r="Q1428" s="126"/>
      <c r="R1428" s="128"/>
      <c r="S1428" s="128"/>
      <c r="T1428" s="128"/>
      <c r="U1428" s="128"/>
      <c r="V1428" s="129"/>
      <c r="W1428" s="129"/>
      <c r="X1428" s="129"/>
      <c r="Y1428" s="129"/>
      <c r="Z1428" s="145" t="b">
        <v>0</v>
      </c>
      <c r="AA1428" s="145"/>
      <c r="AB1428" s="129"/>
      <c r="AC1428" s="129"/>
      <c r="AD1428" s="129"/>
      <c r="AE1428" s="129"/>
      <c r="AF1428" s="132"/>
      <c r="AG1428" s="128" t="b">
        <v>0</v>
      </c>
      <c r="AH1428" s="128"/>
      <c r="AI1428" s="128"/>
      <c r="AJ1428" s="128"/>
      <c r="AK1428" s="128"/>
      <c r="AL1428" s="129"/>
      <c r="AM1428" s="129"/>
      <c r="AN1428" s="139"/>
    </row>
    <row r="1429">
      <c r="A1429" s="129"/>
      <c r="B1429" s="119"/>
      <c r="C1429" s="128"/>
      <c r="D1429" s="142"/>
      <c r="E1429" s="122"/>
      <c r="F1429" s="136"/>
      <c r="G1429" s="152"/>
      <c r="H1429" s="155"/>
      <c r="I1429" s="155"/>
      <c r="J1429" s="155"/>
      <c r="K1429" s="155"/>
      <c r="L1429" s="155"/>
      <c r="M1429" s="126"/>
      <c r="N1429" s="127"/>
      <c r="O1429" s="127"/>
      <c r="P1429" s="127"/>
      <c r="Q1429" s="126"/>
      <c r="R1429" s="128"/>
      <c r="S1429" s="128"/>
      <c r="T1429" s="128"/>
      <c r="U1429" s="128"/>
      <c r="V1429" s="129"/>
      <c r="W1429" s="129"/>
      <c r="X1429" s="129"/>
      <c r="Y1429" s="129"/>
      <c r="Z1429" s="145" t="b">
        <v>0</v>
      </c>
      <c r="AA1429" s="145"/>
      <c r="AB1429" s="129"/>
      <c r="AC1429" s="129"/>
      <c r="AD1429" s="129"/>
      <c r="AE1429" s="129"/>
      <c r="AF1429" s="132"/>
      <c r="AG1429" s="128" t="b">
        <v>0</v>
      </c>
      <c r="AH1429" s="128"/>
      <c r="AI1429" s="128"/>
      <c r="AJ1429" s="128"/>
      <c r="AK1429" s="128"/>
      <c r="AL1429" s="129"/>
      <c r="AM1429" s="129"/>
      <c r="AN1429" s="139"/>
    </row>
    <row r="1430">
      <c r="A1430" s="129"/>
      <c r="B1430" s="119"/>
      <c r="C1430" s="128"/>
      <c r="D1430" s="142"/>
      <c r="E1430" s="122"/>
      <c r="F1430" s="136"/>
      <c r="G1430" s="152"/>
      <c r="H1430" s="155"/>
      <c r="I1430" s="155"/>
      <c r="J1430" s="155"/>
      <c r="K1430" s="155"/>
      <c r="L1430" s="155"/>
      <c r="M1430" s="126"/>
      <c r="N1430" s="127"/>
      <c r="O1430" s="127"/>
      <c r="P1430" s="127"/>
      <c r="Q1430" s="126"/>
      <c r="R1430" s="128"/>
      <c r="S1430" s="128"/>
      <c r="T1430" s="128"/>
      <c r="U1430" s="128"/>
      <c r="V1430" s="129"/>
      <c r="W1430" s="129"/>
      <c r="X1430" s="129"/>
      <c r="Y1430" s="129"/>
      <c r="Z1430" s="145" t="b">
        <v>0</v>
      </c>
      <c r="AA1430" s="145"/>
      <c r="AB1430" s="129"/>
      <c r="AC1430" s="129"/>
      <c r="AD1430" s="129"/>
      <c r="AE1430" s="129"/>
      <c r="AF1430" s="132"/>
      <c r="AG1430" s="128" t="b">
        <v>0</v>
      </c>
      <c r="AH1430" s="128"/>
      <c r="AI1430" s="128"/>
      <c r="AJ1430" s="128"/>
      <c r="AK1430" s="128"/>
      <c r="AL1430" s="129"/>
      <c r="AM1430" s="129"/>
      <c r="AN1430" s="139"/>
    </row>
    <row r="1431">
      <c r="A1431" s="129"/>
      <c r="B1431" s="119"/>
      <c r="C1431" s="128"/>
      <c r="D1431" s="142"/>
      <c r="E1431" s="122"/>
      <c r="F1431" s="136"/>
      <c r="G1431" s="152"/>
      <c r="H1431" s="155"/>
      <c r="I1431" s="155"/>
      <c r="J1431" s="155"/>
      <c r="K1431" s="155"/>
      <c r="L1431" s="155"/>
      <c r="M1431" s="126"/>
      <c r="N1431" s="127"/>
      <c r="O1431" s="127"/>
      <c r="P1431" s="127"/>
      <c r="Q1431" s="126"/>
      <c r="R1431" s="128"/>
      <c r="S1431" s="128"/>
      <c r="T1431" s="128"/>
      <c r="U1431" s="128"/>
      <c r="V1431" s="129"/>
      <c r="W1431" s="129"/>
      <c r="X1431" s="129"/>
      <c r="Y1431" s="129"/>
      <c r="Z1431" s="145" t="b">
        <v>0</v>
      </c>
      <c r="AA1431" s="145"/>
      <c r="AB1431" s="129"/>
      <c r="AC1431" s="129"/>
      <c r="AD1431" s="129"/>
      <c r="AE1431" s="129"/>
      <c r="AF1431" s="132"/>
      <c r="AG1431" s="128" t="b">
        <v>0</v>
      </c>
      <c r="AH1431" s="128"/>
      <c r="AI1431" s="128"/>
      <c r="AJ1431" s="128"/>
      <c r="AK1431" s="128"/>
      <c r="AL1431" s="129"/>
      <c r="AM1431" s="129"/>
      <c r="AN1431" s="139"/>
    </row>
    <row r="1432">
      <c r="A1432" s="129"/>
      <c r="B1432" s="119"/>
      <c r="C1432" s="128"/>
      <c r="D1432" s="142"/>
      <c r="E1432" s="122"/>
      <c r="F1432" s="136"/>
      <c r="G1432" s="152"/>
      <c r="H1432" s="155"/>
      <c r="I1432" s="155"/>
      <c r="J1432" s="155"/>
      <c r="K1432" s="155"/>
      <c r="L1432" s="155"/>
      <c r="M1432" s="126"/>
      <c r="N1432" s="127"/>
      <c r="O1432" s="127"/>
      <c r="P1432" s="127"/>
      <c r="Q1432" s="126"/>
      <c r="R1432" s="128"/>
      <c r="S1432" s="128"/>
      <c r="T1432" s="128"/>
      <c r="U1432" s="128"/>
      <c r="V1432" s="129"/>
      <c r="W1432" s="129"/>
      <c r="X1432" s="129"/>
      <c r="Y1432" s="129"/>
      <c r="Z1432" s="145" t="b">
        <v>0</v>
      </c>
      <c r="AA1432" s="145"/>
      <c r="AB1432" s="129"/>
      <c r="AC1432" s="129"/>
      <c r="AD1432" s="129"/>
      <c r="AE1432" s="129"/>
      <c r="AF1432" s="132"/>
      <c r="AG1432" s="128" t="b">
        <v>0</v>
      </c>
      <c r="AH1432" s="128"/>
      <c r="AI1432" s="128"/>
      <c r="AJ1432" s="128"/>
      <c r="AK1432" s="128"/>
      <c r="AL1432" s="129"/>
      <c r="AM1432" s="129"/>
      <c r="AN1432" s="139"/>
    </row>
    <row r="1433">
      <c r="A1433" s="129"/>
      <c r="B1433" s="119"/>
      <c r="C1433" s="128"/>
      <c r="D1433" s="142"/>
      <c r="E1433" s="122"/>
      <c r="F1433" s="136"/>
      <c r="G1433" s="152"/>
      <c r="H1433" s="155"/>
      <c r="I1433" s="155"/>
      <c r="J1433" s="155"/>
      <c r="K1433" s="155"/>
      <c r="L1433" s="155"/>
      <c r="M1433" s="126"/>
      <c r="N1433" s="127"/>
      <c r="O1433" s="127"/>
      <c r="P1433" s="127"/>
      <c r="Q1433" s="126"/>
      <c r="R1433" s="128"/>
      <c r="S1433" s="128"/>
      <c r="T1433" s="128"/>
      <c r="U1433" s="128"/>
      <c r="V1433" s="129"/>
      <c r="W1433" s="129"/>
      <c r="X1433" s="129"/>
      <c r="Y1433" s="129"/>
      <c r="Z1433" s="145" t="b">
        <v>0</v>
      </c>
      <c r="AA1433" s="145"/>
      <c r="AB1433" s="129"/>
      <c r="AC1433" s="129"/>
      <c r="AD1433" s="129"/>
      <c r="AE1433" s="129"/>
      <c r="AF1433" s="132"/>
      <c r="AG1433" s="128" t="b">
        <v>0</v>
      </c>
      <c r="AH1433" s="128"/>
      <c r="AI1433" s="128"/>
      <c r="AJ1433" s="128"/>
      <c r="AK1433" s="128"/>
      <c r="AL1433" s="129"/>
      <c r="AM1433" s="129"/>
      <c r="AN1433" s="139"/>
    </row>
    <row r="1434">
      <c r="A1434" s="129"/>
      <c r="B1434" s="119"/>
      <c r="C1434" s="128"/>
      <c r="D1434" s="142"/>
      <c r="E1434" s="122"/>
      <c r="F1434" s="136"/>
      <c r="G1434" s="152"/>
      <c r="H1434" s="155"/>
      <c r="I1434" s="155"/>
      <c r="J1434" s="155"/>
      <c r="K1434" s="155"/>
      <c r="L1434" s="155"/>
      <c r="M1434" s="126"/>
      <c r="N1434" s="127"/>
      <c r="O1434" s="127"/>
      <c r="P1434" s="127"/>
      <c r="Q1434" s="126"/>
      <c r="R1434" s="128"/>
      <c r="S1434" s="128"/>
      <c r="T1434" s="128"/>
      <c r="U1434" s="128"/>
      <c r="V1434" s="129"/>
      <c r="W1434" s="129"/>
      <c r="X1434" s="129"/>
      <c r="Y1434" s="129"/>
      <c r="Z1434" s="145" t="b">
        <v>0</v>
      </c>
      <c r="AA1434" s="145"/>
      <c r="AB1434" s="129"/>
      <c r="AC1434" s="129"/>
      <c r="AD1434" s="129"/>
      <c r="AE1434" s="129"/>
      <c r="AF1434" s="132"/>
      <c r="AG1434" s="128" t="b">
        <v>0</v>
      </c>
      <c r="AH1434" s="128"/>
      <c r="AI1434" s="128"/>
      <c r="AJ1434" s="128"/>
      <c r="AK1434" s="128"/>
      <c r="AL1434" s="129"/>
      <c r="AM1434" s="129"/>
      <c r="AN1434" s="139"/>
    </row>
    <row r="1435">
      <c r="A1435" s="129"/>
      <c r="B1435" s="119"/>
      <c r="C1435" s="128"/>
      <c r="D1435" s="142"/>
      <c r="E1435" s="122"/>
      <c r="F1435" s="136"/>
      <c r="G1435" s="152"/>
      <c r="H1435" s="155"/>
      <c r="I1435" s="155"/>
      <c r="J1435" s="155"/>
      <c r="K1435" s="155"/>
      <c r="L1435" s="155"/>
      <c r="M1435" s="126"/>
      <c r="N1435" s="127"/>
      <c r="O1435" s="127"/>
      <c r="P1435" s="127"/>
      <c r="Q1435" s="126"/>
      <c r="R1435" s="128"/>
      <c r="S1435" s="128"/>
      <c r="T1435" s="128"/>
      <c r="U1435" s="128"/>
      <c r="V1435" s="129"/>
      <c r="W1435" s="129"/>
      <c r="X1435" s="129"/>
      <c r="Y1435" s="129"/>
      <c r="Z1435" s="145" t="b">
        <v>0</v>
      </c>
      <c r="AA1435" s="145"/>
      <c r="AB1435" s="129"/>
      <c r="AC1435" s="129"/>
      <c r="AD1435" s="129"/>
      <c r="AE1435" s="129"/>
      <c r="AF1435" s="132"/>
      <c r="AG1435" s="128" t="b">
        <v>0</v>
      </c>
      <c r="AH1435" s="128"/>
      <c r="AI1435" s="128"/>
      <c r="AJ1435" s="128"/>
      <c r="AK1435" s="128"/>
      <c r="AL1435" s="129"/>
      <c r="AM1435" s="129"/>
      <c r="AN1435" s="139"/>
    </row>
    <row r="1436">
      <c r="A1436" s="129"/>
      <c r="B1436" s="119"/>
      <c r="C1436" s="128"/>
      <c r="D1436" s="142"/>
      <c r="E1436" s="122"/>
      <c r="F1436" s="136"/>
      <c r="G1436" s="152"/>
      <c r="H1436" s="155"/>
      <c r="I1436" s="155"/>
      <c r="J1436" s="155"/>
      <c r="K1436" s="155"/>
      <c r="L1436" s="155"/>
      <c r="M1436" s="126"/>
      <c r="N1436" s="127"/>
      <c r="O1436" s="127"/>
      <c r="P1436" s="127"/>
      <c r="Q1436" s="126"/>
      <c r="R1436" s="128"/>
      <c r="S1436" s="128"/>
      <c r="T1436" s="128"/>
      <c r="U1436" s="128"/>
      <c r="V1436" s="129"/>
      <c r="W1436" s="129"/>
      <c r="X1436" s="129"/>
      <c r="Y1436" s="129"/>
      <c r="Z1436" s="145" t="b">
        <v>0</v>
      </c>
      <c r="AA1436" s="145"/>
      <c r="AB1436" s="129"/>
      <c r="AC1436" s="129"/>
      <c r="AD1436" s="129"/>
      <c r="AE1436" s="129"/>
      <c r="AF1436" s="132"/>
      <c r="AG1436" s="128" t="b">
        <v>0</v>
      </c>
      <c r="AH1436" s="128"/>
      <c r="AI1436" s="128"/>
      <c r="AJ1436" s="128"/>
      <c r="AK1436" s="128"/>
      <c r="AL1436" s="129"/>
      <c r="AM1436" s="129"/>
      <c r="AN1436" s="139"/>
    </row>
    <row r="1437">
      <c r="A1437" s="129"/>
      <c r="B1437" s="119"/>
      <c r="C1437" s="128"/>
      <c r="D1437" s="142"/>
      <c r="E1437" s="122"/>
      <c r="F1437" s="136"/>
      <c r="G1437" s="152"/>
      <c r="H1437" s="155"/>
      <c r="I1437" s="155"/>
      <c r="J1437" s="155"/>
      <c r="K1437" s="155"/>
      <c r="L1437" s="155"/>
      <c r="M1437" s="126"/>
      <c r="N1437" s="127"/>
      <c r="O1437" s="127"/>
      <c r="P1437" s="127"/>
      <c r="Q1437" s="126"/>
      <c r="R1437" s="128"/>
      <c r="S1437" s="128"/>
      <c r="T1437" s="128"/>
      <c r="U1437" s="128"/>
      <c r="V1437" s="129"/>
      <c r="W1437" s="129"/>
      <c r="X1437" s="129"/>
      <c r="Y1437" s="129"/>
      <c r="Z1437" s="145" t="b">
        <v>0</v>
      </c>
      <c r="AA1437" s="145"/>
      <c r="AB1437" s="129"/>
      <c r="AC1437" s="129"/>
      <c r="AD1437" s="129"/>
      <c r="AE1437" s="129"/>
      <c r="AF1437" s="132"/>
      <c r="AG1437" s="128" t="b">
        <v>0</v>
      </c>
      <c r="AH1437" s="128"/>
      <c r="AI1437" s="128"/>
      <c r="AJ1437" s="128"/>
      <c r="AK1437" s="128"/>
      <c r="AL1437" s="129"/>
      <c r="AM1437" s="129"/>
      <c r="AN1437" s="139"/>
    </row>
    <row r="1438">
      <c r="A1438" s="129"/>
      <c r="B1438" s="119"/>
      <c r="C1438" s="128"/>
      <c r="D1438" s="142"/>
      <c r="E1438" s="122"/>
      <c r="F1438" s="136"/>
      <c r="G1438" s="152"/>
      <c r="H1438" s="155"/>
      <c r="I1438" s="155"/>
      <c r="J1438" s="155"/>
      <c r="K1438" s="155"/>
      <c r="L1438" s="155"/>
      <c r="M1438" s="126"/>
      <c r="N1438" s="127"/>
      <c r="O1438" s="127"/>
      <c r="P1438" s="127"/>
      <c r="Q1438" s="126"/>
      <c r="R1438" s="128"/>
      <c r="S1438" s="128"/>
      <c r="T1438" s="128"/>
      <c r="U1438" s="128"/>
      <c r="V1438" s="129"/>
      <c r="W1438" s="129"/>
      <c r="X1438" s="129"/>
      <c r="Y1438" s="129"/>
      <c r="Z1438" s="145" t="b">
        <v>0</v>
      </c>
      <c r="AA1438" s="145"/>
      <c r="AB1438" s="129"/>
      <c r="AC1438" s="129"/>
      <c r="AD1438" s="129"/>
      <c r="AE1438" s="129"/>
      <c r="AF1438" s="132"/>
      <c r="AG1438" s="128" t="b">
        <v>0</v>
      </c>
      <c r="AH1438" s="128"/>
      <c r="AI1438" s="128"/>
      <c r="AJ1438" s="128"/>
      <c r="AK1438" s="128"/>
      <c r="AL1438" s="129"/>
      <c r="AM1438" s="129"/>
      <c r="AN1438" s="139"/>
    </row>
    <row r="1439">
      <c r="A1439" s="129"/>
      <c r="B1439" s="119"/>
      <c r="C1439" s="128"/>
      <c r="D1439" s="142"/>
      <c r="E1439" s="122"/>
      <c r="F1439" s="136"/>
      <c r="G1439" s="152"/>
      <c r="H1439" s="155"/>
      <c r="I1439" s="155"/>
      <c r="J1439" s="155"/>
      <c r="K1439" s="155"/>
      <c r="L1439" s="155"/>
      <c r="M1439" s="126"/>
      <c r="N1439" s="127"/>
      <c r="O1439" s="127"/>
      <c r="P1439" s="127"/>
      <c r="Q1439" s="126"/>
      <c r="R1439" s="128"/>
      <c r="S1439" s="128"/>
      <c r="T1439" s="128"/>
      <c r="U1439" s="128"/>
      <c r="V1439" s="129"/>
      <c r="W1439" s="129"/>
      <c r="X1439" s="129"/>
      <c r="Y1439" s="129"/>
      <c r="Z1439" s="145" t="b">
        <v>0</v>
      </c>
      <c r="AA1439" s="145"/>
      <c r="AB1439" s="129"/>
      <c r="AC1439" s="129"/>
      <c r="AD1439" s="129"/>
      <c r="AE1439" s="129"/>
      <c r="AF1439" s="132"/>
      <c r="AG1439" s="128" t="b">
        <v>0</v>
      </c>
      <c r="AH1439" s="128"/>
      <c r="AI1439" s="128"/>
      <c r="AJ1439" s="128"/>
      <c r="AK1439" s="128"/>
      <c r="AL1439" s="129"/>
      <c r="AM1439" s="129"/>
      <c r="AN1439" s="139"/>
    </row>
    <row r="1440">
      <c r="A1440" s="129"/>
      <c r="B1440" s="119"/>
      <c r="C1440" s="128"/>
      <c r="D1440" s="142"/>
      <c r="E1440" s="122"/>
      <c r="F1440" s="136"/>
      <c r="G1440" s="152"/>
      <c r="H1440" s="155"/>
      <c r="I1440" s="155"/>
      <c r="J1440" s="155"/>
      <c r="K1440" s="155"/>
      <c r="L1440" s="155"/>
      <c r="M1440" s="126"/>
      <c r="N1440" s="127"/>
      <c r="O1440" s="127"/>
      <c r="P1440" s="127"/>
      <c r="Q1440" s="126"/>
      <c r="R1440" s="128"/>
      <c r="S1440" s="128"/>
      <c r="T1440" s="128"/>
      <c r="U1440" s="128"/>
      <c r="V1440" s="129"/>
      <c r="W1440" s="129"/>
      <c r="X1440" s="129"/>
      <c r="Y1440" s="129"/>
      <c r="Z1440" s="145" t="b">
        <v>0</v>
      </c>
      <c r="AA1440" s="145"/>
      <c r="AB1440" s="129"/>
      <c r="AC1440" s="129"/>
      <c r="AD1440" s="129"/>
      <c r="AE1440" s="129"/>
      <c r="AF1440" s="132"/>
      <c r="AG1440" s="128" t="b">
        <v>0</v>
      </c>
      <c r="AH1440" s="128"/>
      <c r="AI1440" s="128"/>
      <c r="AJ1440" s="128"/>
      <c r="AK1440" s="128"/>
      <c r="AL1440" s="129"/>
      <c r="AM1440" s="129"/>
      <c r="AN1440" s="139"/>
    </row>
    <row r="1441">
      <c r="A1441" s="129"/>
      <c r="B1441" s="119"/>
      <c r="C1441" s="128"/>
      <c r="D1441" s="142"/>
      <c r="E1441" s="122"/>
      <c r="F1441" s="136"/>
      <c r="G1441" s="152"/>
      <c r="H1441" s="155"/>
      <c r="I1441" s="155"/>
      <c r="J1441" s="155"/>
      <c r="K1441" s="155"/>
      <c r="L1441" s="155"/>
      <c r="M1441" s="126"/>
      <c r="N1441" s="127"/>
      <c r="O1441" s="127"/>
      <c r="P1441" s="127"/>
      <c r="Q1441" s="126"/>
      <c r="R1441" s="128"/>
      <c r="S1441" s="128"/>
      <c r="T1441" s="128"/>
      <c r="U1441" s="128"/>
      <c r="V1441" s="129"/>
      <c r="W1441" s="129"/>
      <c r="X1441" s="129"/>
      <c r="Y1441" s="129"/>
      <c r="Z1441" s="145" t="b">
        <v>0</v>
      </c>
      <c r="AA1441" s="145"/>
      <c r="AB1441" s="129"/>
      <c r="AC1441" s="129"/>
      <c r="AD1441" s="129"/>
      <c r="AE1441" s="129"/>
      <c r="AF1441" s="132"/>
      <c r="AG1441" s="128" t="b">
        <v>0</v>
      </c>
      <c r="AH1441" s="128"/>
      <c r="AI1441" s="128"/>
      <c r="AJ1441" s="128"/>
      <c r="AK1441" s="128"/>
      <c r="AL1441" s="129"/>
      <c r="AM1441" s="129"/>
      <c r="AN1441" s="139"/>
    </row>
    <row r="1442">
      <c r="A1442" s="129"/>
      <c r="B1442" s="119"/>
      <c r="C1442" s="128"/>
      <c r="D1442" s="142"/>
      <c r="E1442" s="122"/>
      <c r="F1442" s="136"/>
      <c r="G1442" s="152"/>
      <c r="H1442" s="155"/>
      <c r="I1442" s="155"/>
      <c r="J1442" s="155"/>
      <c r="K1442" s="155"/>
      <c r="L1442" s="155"/>
      <c r="M1442" s="126"/>
      <c r="N1442" s="127"/>
      <c r="O1442" s="127"/>
      <c r="P1442" s="127"/>
      <c r="Q1442" s="126"/>
      <c r="R1442" s="128"/>
      <c r="S1442" s="128"/>
      <c r="T1442" s="128"/>
      <c r="U1442" s="128"/>
      <c r="V1442" s="129"/>
      <c r="W1442" s="129"/>
      <c r="X1442" s="129"/>
      <c r="Y1442" s="129"/>
      <c r="Z1442" s="145" t="b">
        <v>0</v>
      </c>
      <c r="AA1442" s="145"/>
      <c r="AB1442" s="129"/>
      <c r="AC1442" s="129"/>
      <c r="AD1442" s="129"/>
      <c r="AE1442" s="129"/>
      <c r="AF1442" s="132"/>
      <c r="AG1442" s="128" t="b">
        <v>0</v>
      </c>
      <c r="AH1442" s="128"/>
      <c r="AI1442" s="128"/>
      <c r="AJ1442" s="128"/>
      <c r="AK1442" s="128"/>
      <c r="AL1442" s="129"/>
      <c r="AM1442" s="129"/>
      <c r="AN1442" s="139"/>
    </row>
    <row r="1443">
      <c r="A1443" s="129"/>
      <c r="B1443" s="119"/>
      <c r="C1443" s="128"/>
      <c r="D1443" s="142"/>
      <c r="E1443" s="122"/>
      <c r="F1443" s="136"/>
      <c r="G1443" s="152"/>
      <c r="H1443" s="155"/>
      <c r="I1443" s="155"/>
      <c r="J1443" s="155"/>
      <c r="K1443" s="155"/>
      <c r="L1443" s="155"/>
      <c r="M1443" s="126"/>
      <c r="N1443" s="127"/>
      <c r="O1443" s="127"/>
      <c r="P1443" s="127"/>
      <c r="Q1443" s="126"/>
      <c r="R1443" s="128"/>
      <c r="S1443" s="128"/>
      <c r="T1443" s="128"/>
      <c r="U1443" s="128"/>
      <c r="V1443" s="129"/>
      <c r="W1443" s="129"/>
      <c r="X1443" s="129"/>
      <c r="Y1443" s="129"/>
      <c r="Z1443" s="145" t="b">
        <v>0</v>
      </c>
      <c r="AA1443" s="145"/>
      <c r="AB1443" s="129"/>
      <c r="AC1443" s="129"/>
      <c r="AD1443" s="129"/>
      <c r="AE1443" s="129"/>
      <c r="AF1443" s="132"/>
      <c r="AG1443" s="128" t="b">
        <v>0</v>
      </c>
      <c r="AH1443" s="128"/>
      <c r="AI1443" s="128"/>
      <c r="AJ1443" s="128"/>
      <c r="AK1443" s="128"/>
      <c r="AL1443" s="129"/>
      <c r="AM1443" s="129"/>
      <c r="AN1443" s="139"/>
    </row>
    <row r="1444">
      <c r="A1444" s="129"/>
      <c r="B1444" s="119"/>
      <c r="C1444" s="128"/>
      <c r="D1444" s="142"/>
      <c r="E1444" s="122"/>
      <c r="F1444" s="136"/>
      <c r="G1444" s="152"/>
      <c r="H1444" s="155"/>
      <c r="I1444" s="155"/>
      <c r="J1444" s="155"/>
      <c r="K1444" s="155"/>
      <c r="L1444" s="155"/>
      <c r="M1444" s="126"/>
      <c r="N1444" s="127"/>
      <c r="O1444" s="127"/>
      <c r="P1444" s="127"/>
      <c r="Q1444" s="126"/>
      <c r="R1444" s="128"/>
      <c r="S1444" s="128"/>
      <c r="T1444" s="128"/>
      <c r="U1444" s="128"/>
      <c r="V1444" s="129"/>
      <c r="W1444" s="129"/>
      <c r="X1444" s="129"/>
      <c r="Y1444" s="129"/>
      <c r="Z1444" s="145" t="b">
        <v>0</v>
      </c>
      <c r="AA1444" s="145"/>
      <c r="AB1444" s="129"/>
      <c r="AC1444" s="129"/>
      <c r="AD1444" s="129"/>
      <c r="AE1444" s="129"/>
      <c r="AF1444" s="132"/>
      <c r="AG1444" s="128" t="b">
        <v>0</v>
      </c>
      <c r="AH1444" s="128"/>
      <c r="AI1444" s="128"/>
      <c r="AJ1444" s="128"/>
      <c r="AK1444" s="128"/>
      <c r="AL1444" s="129"/>
      <c r="AM1444" s="129"/>
      <c r="AN1444" s="139"/>
    </row>
    <row r="1445">
      <c r="A1445" s="129"/>
      <c r="B1445" s="119"/>
      <c r="C1445" s="128"/>
      <c r="D1445" s="142"/>
      <c r="E1445" s="122"/>
      <c r="F1445" s="136"/>
      <c r="G1445" s="152"/>
      <c r="H1445" s="155"/>
      <c r="I1445" s="155"/>
      <c r="J1445" s="155"/>
      <c r="K1445" s="155"/>
      <c r="L1445" s="155"/>
      <c r="M1445" s="126"/>
      <c r="N1445" s="127"/>
      <c r="O1445" s="127"/>
      <c r="P1445" s="127"/>
      <c r="Q1445" s="126"/>
      <c r="R1445" s="128"/>
      <c r="S1445" s="128"/>
      <c r="T1445" s="128"/>
      <c r="U1445" s="128"/>
      <c r="V1445" s="129"/>
      <c r="W1445" s="129"/>
      <c r="X1445" s="129"/>
      <c r="Y1445" s="129"/>
      <c r="Z1445" s="145" t="b">
        <v>0</v>
      </c>
      <c r="AA1445" s="145"/>
      <c r="AB1445" s="129"/>
      <c r="AC1445" s="129"/>
      <c r="AD1445" s="129"/>
      <c r="AE1445" s="129"/>
      <c r="AF1445" s="132"/>
      <c r="AG1445" s="128" t="b">
        <v>0</v>
      </c>
      <c r="AH1445" s="128"/>
      <c r="AI1445" s="128"/>
      <c r="AJ1445" s="128"/>
      <c r="AK1445" s="128"/>
      <c r="AL1445" s="129"/>
      <c r="AM1445" s="129"/>
      <c r="AN1445" s="139"/>
    </row>
    <row r="1446">
      <c r="A1446" s="129"/>
      <c r="B1446" s="119"/>
      <c r="C1446" s="128"/>
      <c r="D1446" s="142"/>
      <c r="E1446" s="122"/>
      <c r="F1446" s="136"/>
      <c r="G1446" s="152"/>
      <c r="H1446" s="155"/>
      <c r="I1446" s="155"/>
      <c r="J1446" s="155"/>
      <c r="K1446" s="155"/>
      <c r="L1446" s="155"/>
      <c r="M1446" s="126"/>
      <c r="N1446" s="127"/>
      <c r="O1446" s="127"/>
      <c r="P1446" s="127"/>
      <c r="Q1446" s="126"/>
      <c r="R1446" s="128"/>
      <c r="S1446" s="128"/>
      <c r="T1446" s="128"/>
      <c r="U1446" s="128"/>
      <c r="V1446" s="129"/>
      <c r="W1446" s="129"/>
      <c r="X1446" s="129"/>
      <c r="Y1446" s="129"/>
      <c r="Z1446" s="145" t="b">
        <v>0</v>
      </c>
      <c r="AA1446" s="145"/>
      <c r="AB1446" s="129"/>
      <c r="AC1446" s="129"/>
      <c r="AD1446" s="129"/>
      <c r="AE1446" s="129"/>
      <c r="AF1446" s="132"/>
      <c r="AG1446" s="128" t="b">
        <v>0</v>
      </c>
      <c r="AH1446" s="128"/>
      <c r="AI1446" s="128"/>
      <c r="AJ1446" s="128"/>
      <c r="AK1446" s="128"/>
      <c r="AL1446" s="129"/>
      <c r="AM1446" s="129"/>
      <c r="AN1446" s="139"/>
    </row>
    <row r="1447">
      <c r="A1447" s="129"/>
      <c r="B1447" s="119"/>
      <c r="C1447" s="128"/>
      <c r="D1447" s="142"/>
      <c r="E1447" s="122"/>
      <c r="F1447" s="136"/>
      <c r="G1447" s="152"/>
      <c r="H1447" s="155"/>
      <c r="I1447" s="155"/>
      <c r="J1447" s="155"/>
      <c r="K1447" s="155"/>
      <c r="L1447" s="155"/>
      <c r="M1447" s="126"/>
      <c r="N1447" s="127"/>
      <c r="O1447" s="127"/>
      <c r="P1447" s="127"/>
      <c r="Q1447" s="126"/>
      <c r="R1447" s="128"/>
      <c r="S1447" s="128"/>
      <c r="T1447" s="128"/>
      <c r="U1447" s="128"/>
      <c r="V1447" s="129"/>
      <c r="W1447" s="129"/>
      <c r="X1447" s="129"/>
      <c r="Y1447" s="129"/>
      <c r="Z1447" s="145" t="b">
        <v>0</v>
      </c>
      <c r="AA1447" s="145"/>
      <c r="AB1447" s="129"/>
      <c r="AC1447" s="129"/>
      <c r="AD1447" s="129"/>
      <c r="AE1447" s="129"/>
      <c r="AF1447" s="132"/>
      <c r="AG1447" s="128" t="b">
        <v>0</v>
      </c>
      <c r="AH1447" s="128"/>
      <c r="AI1447" s="128"/>
      <c r="AJ1447" s="128"/>
      <c r="AK1447" s="128"/>
      <c r="AL1447" s="129"/>
      <c r="AM1447" s="129"/>
      <c r="AN1447" s="139"/>
    </row>
    <row r="1448">
      <c r="A1448" s="129"/>
      <c r="B1448" s="119"/>
      <c r="C1448" s="128"/>
      <c r="D1448" s="142"/>
      <c r="E1448" s="122"/>
      <c r="F1448" s="136"/>
      <c r="G1448" s="152"/>
      <c r="H1448" s="155"/>
      <c r="I1448" s="155"/>
      <c r="J1448" s="155"/>
      <c r="K1448" s="155"/>
      <c r="L1448" s="155"/>
      <c r="M1448" s="126"/>
      <c r="N1448" s="127"/>
      <c r="O1448" s="127"/>
      <c r="P1448" s="127"/>
      <c r="Q1448" s="126"/>
      <c r="R1448" s="128"/>
      <c r="S1448" s="128"/>
      <c r="T1448" s="128"/>
      <c r="U1448" s="128"/>
      <c r="V1448" s="129"/>
      <c r="W1448" s="129"/>
      <c r="X1448" s="129"/>
      <c r="Y1448" s="129"/>
      <c r="Z1448" s="145" t="b">
        <v>0</v>
      </c>
      <c r="AA1448" s="145"/>
      <c r="AB1448" s="129"/>
      <c r="AC1448" s="129"/>
      <c r="AD1448" s="129"/>
      <c r="AE1448" s="129"/>
      <c r="AF1448" s="132"/>
      <c r="AG1448" s="128" t="b">
        <v>0</v>
      </c>
      <c r="AH1448" s="128"/>
      <c r="AI1448" s="128"/>
      <c r="AJ1448" s="128"/>
      <c r="AK1448" s="128"/>
      <c r="AL1448" s="129"/>
      <c r="AM1448" s="129"/>
      <c r="AN1448" s="139"/>
    </row>
    <row r="1449">
      <c r="A1449" s="129"/>
      <c r="B1449" s="119"/>
      <c r="C1449" s="128"/>
      <c r="D1449" s="142"/>
      <c r="E1449" s="122"/>
      <c r="F1449" s="136"/>
      <c r="G1449" s="152"/>
      <c r="H1449" s="155"/>
      <c r="I1449" s="155"/>
      <c r="J1449" s="155"/>
      <c r="K1449" s="155"/>
      <c r="L1449" s="155"/>
      <c r="M1449" s="126"/>
      <c r="N1449" s="127"/>
      <c r="O1449" s="127"/>
      <c r="P1449" s="127"/>
      <c r="Q1449" s="126"/>
      <c r="R1449" s="128"/>
      <c r="S1449" s="128"/>
      <c r="T1449" s="128"/>
      <c r="U1449" s="128"/>
      <c r="V1449" s="129"/>
      <c r="W1449" s="129"/>
      <c r="X1449" s="129"/>
      <c r="Y1449" s="129"/>
      <c r="Z1449" s="145" t="b">
        <v>0</v>
      </c>
      <c r="AA1449" s="145"/>
      <c r="AB1449" s="129"/>
      <c r="AC1449" s="129"/>
      <c r="AD1449" s="129"/>
      <c r="AE1449" s="129"/>
      <c r="AF1449" s="132"/>
      <c r="AG1449" s="128" t="b">
        <v>0</v>
      </c>
      <c r="AH1449" s="128"/>
      <c r="AI1449" s="128"/>
      <c r="AJ1449" s="128"/>
      <c r="AK1449" s="128"/>
      <c r="AL1449" s="129"/>
      <c r="AM1449" s="129"/>
      <c r="AN1449" s="139"/>
    </row>
    <row r="1450">
      <c r="A1450" s="129"/>
      <c r="B1450" s="119"/>
      <c r="C1450" s="128"/>
      <c r="D1450" s="142"/>
      <c r="E1450" s="122"/>
      <c r="F1450" s="136"/>
      <c r="G1450" s="152"/>
      <c r="H1450" s="155"/>
      <c r="I1450" s="155"/>
      <c r="J1450" s="155"/>
      <c r="K1450" s="155"/>
      <c r="L1450" s="155"/>
      <c r="M1450" s="126"/>
      <c r="N1450" s="127"/>
      <c r="O1450" s="127"/>
      <c r="P1450" s="127"/>
      <c r="Q1450" s="126"/>
      <c r="R1450" s="128"/>
      <c r="S1450" s="128"/>
      <c r="T1450" s="128"/>
      <c r="U1450" s="128"/>
      <c r="V1450" s="129"/>
      <c r="W1450" s="129"/>
      <c r="X1450" s="129"/>
      <c r="Y1450" s="129"/>
      <c r="Z1450" s="145" t="b">
        <v>0</v>
      </c>
      <c r="AA1450" s="145"/>
      <c r="AB1450" s="129"/>
      <c r="AC1450" s="129"/>
      <c r="AD1450" s="129"/>
      <c r="AE1450" s="129"/>
      <c r="AF1450" s="132"/>
      <c r="AG1450" s="128" t="b">
        <v>0</v>
      </c>
      <c r="AH1450" s="128"/>
      <c r="AI1450" s="128"/>
      <c r="AJ1450" s="128"/>
      <c r="AK1450" s="128"/>
      <c r="AL1450" s="129"/>
      <c r="AM1450" s="129"/>
      <c r="AN1450" s="139"/>
    </row>
    <row r="1451">
      <c r="A1451" s="129"/>
      <c r="B1451" s="119"/>
      <c r="C1451" s="128"/>
      <c r="D1451" s="142"/>
      <c r="E1451" s="122"/>
      <c r="F1451" s="136"/>
      <c r="G1451" s="152"/>
      <c r="H1451" s="155"/>
      <c r="I1451" s="155"/>
      <c r="J1451" s="155"/>
      <c r="K1451" s="155"/>
      <c r="L1451" s="155"/>
      <c r="M1451" s="126"/>
      <c r="N1451" s="127"/>
      <c r="O1451" s="127"/>
      <c r="P1451" s="127"/>
      <c r="Q1451" s="126"/>
      <c r="R1451" s="128"/>
      <c r="S1451" s="128"/>
      <c r="T1451" s="128"/>
      <c r="U1451" s="128"/>
      <c r="V1451" s="129"/>
      <c r="W1451" s="129"/>
      <c r="X1451" s="129"/>
      <c r="Y1451" s="129"/>
      <c r="Z1451" s="145" t="b">
        <v>0</v>
      </c>
      <c r="AA1451" s="145"/>
      <c r="AB1451" s="129"/>
      <c r="AC1451" s="129"/>
      <c r="AD1451" s="129"/>
      <c r="AE1451" s="129"/>
      <c r="AF1451" s="132"/>
      <c r="AG1451" s="128" t="b">
        <v>0</v>
      </c>
      <c r="AH1451" s="128"/>
      <c r="AI1451" s="128"/>
      <c r="AJ1451" s="128"/>
      <c r="AK1451" s="128"/>
      <c r="AL1451" s="129"/>
      <c r="AM1451" s="129"/>
      <c r="AN1451" s="139"/>
    </row>
    <row r="1452">
      <c r="A1452" s="129"/>
      <c r="B1452" s="119"/>
      <c r="C1452" s="128"/>
      <c r="D1452" s="142"/>
      <c r="E1452" s="122"/>
      <c r="F1452" s="136"/>
      <c r="G1452" s="152"/>
      <c r="H1452" s="155"/>
      <c r="I1452" s="155"/>
      <c r="J1452" s="155"/>
      <c r="K1452" s="155"/>
      <c r="L1452" s="155"/>
      <c r="M1452" s="126"/>
      <c r="N1452" s="127"/>
      <c r="O1452" s="127"/>
      <c r="P1452" s="127"/>
      <c r="Q1452" s="126"/>
      <c r="R1452" s="128"/>
      <c r="S1452" s="128"/>
      <c r="T1452" s="128"/>
      <c r="U1452" s="128"/>
      <c r="V1452" s="129"/>
      <c r="W1452" s="129"/>
      <c r="X1452" s="129"/>
      <c r="Y1452" s="129"/>
      <c r="Z1452" s="145" t="b">
        <v>0</v>
      </c>
      <c r="AA1452" s="145"/>
      <c r="AB1452" s="129"/>
      <c r="AC1452" s="129"/>
      <c r="AD1452" s="129"/>
      <c r="AE1452" s="129"/>
      <c r="AF1452" s="132"/>
      <c r="AG1452" s="128" t="b">
        <v>0</v>
      </c>
      <c r="AH1452" s="128"/>
      <c r="AI1452" s="128"/>
      <c r="AJ1452" s="128"/>
      <c r="AK1452" s="128"/>
      <c r="AL1452" s="129"/>
      <c r="AM1452" s="129"/>
      <c r="AN1452" s="139"/>
    </row>
    <row r="1453">
      <c r="A1453" s="129"/>
      <c r="B1453" s="119"/>
      <c r="C1453" s="128"/>
      <c r="D1453" s="142"/>
      <c r="E1453" s="122"/>
      <c r="F1453" s="136"/>
      <c r="G1453" s="152"/>
      <c r="H1453" s="155"/>
      <c r="I1453" s="155"/>
      <c r="J1453" s="155"/>
      <c r="K1453" s="155"/>
      <c r="L1453" s="155"/>
      <c r="M1453" s="126"/>
      <c r="N1453" s="127"/>
      <c r="O1453" s="127"/>
      <c r="P1453" s="127"/>
      <c r="Q1453" s="126"/>
      <c r="R1453" s="128"/>
      <c r="S1453" s="128"/>
      <c r="T1453" s="128"/>
      <c r="U1453" s="128"/>
      <c r="V1453" s="129"/>
      <c r="W1453" s="129"/>
      <c r="X1453" s="129"/>
      <c r="Y1453" s="129"/>
      <c r="Z1453" s="145" t="b">
        <v>0</v>
      </c>
      <c r="AA1453" s="145"/>
      <c r="AB1453" s="129"/>
      <c r="AC1453" s="129"/>
      <c r="AD1453" s="129"/>
      <c r="AE1453" s="129"/>
      <c r="AF1453" s="132"/>
      <c r="AG1453" s="128" t="b">
        <v>0</v>
      </c>
      <c r="AH1453" s="128"/>
      <c r="AI1453" s="128"/>
      <c r="AJ1453" s="128"/>
      <c r="AK1453" s="128"/>
      <c r="AL1453" s="129"/>
      <c r="AM1453" s="129"/>
      <c r="AN1453" s="139"/>
    </row>
    <row r="1454">
      <c r="A1454" s="129"/>
      <c r="B1454" s="119"/>
      <c r="C1454" s="128"/>
      <c r="D1454" s="142"/>
      <c r="E1454" s="122"/>
      <c r="F1454" s="136"/>
      <c r="G1454" s="152"/>
      <c r="H1454" s="155"/>
      <c r="I1454" s="155"/>
      <c r="J1454" s="155"/>
      <c r="K1454" s="155"/>
      <c r="L1454" s="155"/>
      <c r="M1454" s="126"/>
      <c r="N1454" s="127"/>
      <c r="O1454" s="127"/>
      <c r="P1454" s="127"/>
      <c r="Q1454" s="126"/>
      <c r="R1454" s="128"/>
      <c r="S1454" s="128"/>
      <c r="T1454" s="128"/>
      <c r="U1454" s="128"/>
      <c r="V1454" s="129"/>
      <c r="W1454" s="129"/>
      <c r="X1454" s="129"/>
      <c r="Y1454" s="129"/>
      <c r="Z1454" s="145" t="b">
        <v>0</v>
      </c>
      <c r="AA1454" s="145"/>
      <c r="AB1454" s="129"/>
      <c r="AC1454" s="129"/>
      <c r="AD1454" s="129"/>
      <c r="AE1454" s="129"/>
      <c r="AF1454" s="132"/>
      <c r="AG1454" s="128" t="b">
        <v>0</v>
      </c>
      <c r="AH1454" s="128"/>
      <c r="AI1454" s="128"/>
      <c r="AJ1454" s="128"/>
      <c r="AK1454" s="128"/>
      <c r="AL1454" s="129"/>
      <c r="AM1454" s="129"/>
      <c r="AN1454" s="139"/>
    </row>
    <row r="1455">
      <c r="A1455" s="129"/>
      <c r="B1455" s="119"/>
      <c r="C1455" s="128"/>
      <c r="D1455" s="142"/>
      <c r="E1455" s="122"/>
      <c r="F1455" s="136"/>
      <c r="G1455" s="152"/>
      <c r="H1455" s="155"/>
      <c r="I1455" s="155"/>
      <c r="J1455" s="155"/>
      <c r="K1455" s="155"/>
      <c r="L1455" s="155"/>
      <c r="M1455" s="126"/>
      <c r="N1455" s="127"/>
      <c r="O1455" s="127"/>
      <c r="P1455" s="127"/>
      <c r="Q1455" s="126"/>
      <c r="R1455" s="128"/>
      <c r="S1455" s="128"/>
      <c r="T1455" s="128"/>
      <c r="U1455" s="128"/>
      <c r="V1455" s="129"/>
      <c r="W1455" s="129"/>
      <c r="X1455" s="129"/>
      <c r="Y1455" s="129"/>
      <c r="Z1455" s="145" t="b">
        <v>0</v>
      </c>
      <c r="AA1455" s="145"/>
      <c r="AB1455" s="129"/>
      <c r="AC1455" s="129"/>
      <c r="AD1455" s="129"/>
      <c r="AE1455" s="129"/>
      <c r="AF1455" s="132"/>
      <c r="AG1455" s="128" t="b">
        <v>0</v>
      </c>
      <c r="AH1455" s="128"/>
      <c r="AI1455" s="128"/>
      <c r="AJ1455" s="128"/>
      <c r="AK1455" s="128"/>
      <c r="AL1455" s="129"/>
      <c r="AM1455" s="129"/>
      <c r="AN1455" s="139"/>
    </row>
    <row r="1456">
      <c r="A1456" s="129"/>
      <c r="B1456" s="119"/>
      <c r="C1456" s="128"/>
      <c r="D1456" s="142"/>
      <c r="E1456" s="122"/>
      <c r="F1456" s="136"/>
      <c r="G1456" s="152"/>
      <c r="H1456" s="155"/>
      <c r="I1456" s="155"/>
      <c r="J1456" s="155"/>
      <c r="K1456" s="155"/>
      <c r="L1456" s="155"/>
      <c r="M1456" s="126"/>
      <c r="N1456" s="127"/>
      <c r="O1456" s="127"/>
      <c r="P1456" s="127"/>
      <c r="Q1456" s="126"/>
      <c r="R1456" s="128"/>
      <c r="S1456" s="128"/>
      <c r="T1456" s="128"/>
      <c r="U1456" s="128"/>
      <c r="V1456" s="129"/>
      <c r="W1456" s="129"/>
      <c r="X1456" s="129"/>
      <c r="Y1456" s="129"/>
      <c r="Z1456" s="145" t="b">
        <v>0</v>
      </c>
      <c r="AA1456" s="145"/>
      <c r="AB1456" s="129"/>
      <c r="AC1456" s="129"/>
      <c r="AD1456" s="129"/>
      <c r="AE1456" s="129"/>
      <c r="AF1456" s="132"/>
      <c r="AG1456" s="128" t="b">
        <v>0</v>
      </c>
      <c r="AH1456" s="128"/>
      <c r="AI1456" s="128"/>
      <c r="AJ1456" s="128"/>
      <c r="AK1456" s="128"/>
      <c r="AL1456" s="129"/>
      <c r="AM1456" s="129"/>
      <c r="AN1456" s="139"/>
    </row>
    <row r="1457">
      <c r="A1457" s="129"/>
      <c r="B1457" s="119"/>
      <c r="C1457" s="128"/>
      <c r="D1457" s="142"/>
      <c r="E1457" s="122"/>
      <c r="F1457" s="136"/>
      <c r="G1457" s="152"/>
      <c r="H1457" s="155"/>
      <c r="I1457" s="155"/>
      <c r="J1457" s="155"/>
      <c r="K1457" s="155"/>
      <c r="L1457" s="155"/>
      <c r="M1457" s="126"/>
      <c r="N1457" s="127"/>
      <c r="O1457" s="127"/>
      <c r="P1457" s="127"/>
      <c r="Q1457" s="126"/>
      <c r="R1457" s="128"/>
      <c r="S1457" s="128"/>
      <c r="T1457" s="128"/>
      <c r="U1457" s="128"/>
      <c r="V1457" s="129"/>
      <c r="W1457" s="129"/>
      <c r="X1457" s="129"/>
      <c r="Y1457" s="129"/>
      <c r="Z1457" s="145" t="b">
        <v>0</v>
      </c>
      <c r="AA1457" s="145"/>
      <c r="AB1457" s="129"/>
      <c r="AC1457" s="129"/>
      <c r="AD1457" s="129"/>
      <c r="AE1457" s="129"/>
      <c r="AF1457" s="132"/>
      <c r="AG1457" s="128" t="b">
        <v>0</v>
      </c>
      <c r="AH1457" s="128"/>
      <c r="AI1457" s="128"/>
      <c r="AJ1457" s="128"/>
      <c r="AK1457" s="128"/>
      <c r="AL1457" s="129"/>
      <c r="AM1457" s="129"/>
      <c r="AN1457" s="139"/>
    </row>
    <row r="1458">
      <c r="A1458" s="129"/>
      <c r="B1458" s="119"/>
      <c r="C1458" s="128"/>
      <c r="D1458" s="142"/>
      <c r="E1458" s="122"/>
      <c r="F1458" s="136"/>
      <c r="G1458" s="152"/>
      <c r="H1458" s="155"/>
      <c r="I1458" s="155"/>
      <c r="J1458" s="155"/>
      <c r="K1458" s="155"/>
      <c r="L1458" s="155"/>
      <c r="M1458" s="126"/>
      <c r="N1458" s="127"/>
      <c r="O1458" s="127"/>
      <c r="P1458" s="127"/>
      <c r="Q1458" s="126"/>
      <c r="R1458" s="128"/>
      <c r="S1458" s="128"/>
      <c r="T1458" s="128"/>
      <c r="U1458" s="128"/>
      <c r="V1458" s="129"/>
      <c r="W1458" s="129"/>
      <c r="X1458" s="129"/>
      <c r="Y1458" s="129"/>
      <c r="Z1458" s="145" t="b">
        <v>0</v>
      </c>
      <c r="AA1458" s="145"/>
      <c r="AB1458" s="129"/>
      <c r="AC1458" s="129"/>
      <c r="AD1458" s="129"/>
      <c r="AE1458" s="129"/>
      <c r="AF1458" s="132"/>
      <c r="AG1458" s="128" t="b">
        <v>0</v>
      </c>
      <c r="AH1458" s="128"/>
      <c r="AI1458" s="128"/>
      <c r="AJ1458" s="128"/>
      <c r="AK1458" s="128"/>
      <c r="AL1458" s="129"/>
      <c r="AM1458" s="129"/>
      <c r="AN1458" s="139"/>
    </row>
    <row r="1459">
      <c r="A1459" s="129"/>
      <c r="B1459" s="119"/>
      <c r="C1459" s="128"/>
      <c r="D1459" s="142"/>
      <c r="E1459" s="122"/>
      <c r="F1459" s="136"/>
      <c r="G1459" s="152"/>
      <c r="H1459" s="155"/>
      <c r="I1459" s="155"/>
      <c r="J1459" s="155"/>
      <c r="K1459" s="155"/>
      <c r="L1459" s="155"/>
      <c r="M1459" s="126"/>
      <c r="N1459" s="127"/>
      <c r="O1459" s="127"/>
      <c r="P1459" s="127"/>
      <c r="Q1459" s="126"/>
      <c r="R1459" s="128"/>
      <c r="S1459" s="128"/>
      <c r="T1459" s="128"/>
      <c r="U1459" s="128"/>
      <c r="V1459" s="129"/>
      <c r="W1459" s="129"/>
      <c r="X1459" s="129"/>
      <c r="Y1459" s="129"/>
      <c r="Z1459" s="145" t="b">
        <v>0</v>
      </c>
      <c r="AA1459" s="145"/>
      <c r="AB1459" s="129"/>
      <c r="AC1459" s="129"/>
      <c r="AD1459" s="129"/>
      <c r="AE1459" s="129"/>
      <c r="AF1459" s="132"/>
      <c r="AG1459" s="128" t="b">
        <v>0</v>
      </c>
      <c r="AH1459" s="128"/>
      <c r="AI1459" s="128"/>
      <c r="AJ1459" s="128"/>
      <c r="AK1459" s="128"/>
      <c r="AL1459" s="129"/>
      <c r="AM1459" s="129"/>
      <c r="AN1459" s="139"/>
    </row>
    <row r="1460">
      <c r="A1460" s="129"/>
      <c r="B1460" s="119"/>
      <c r="C1460" s="128"/>
      <c r="D1460" s="142"/>
      <c r="E1460" s="122"/>
      <c r="F1460" s="136"/>
      <c r="G1460" s="152"/>
      <c r="H1460" s="155"/>
      <c r="I1460" s="155"/>
      <c r="J1460" s="155"/>
      <c r="K1460" s="155"/>
      <c r="L1460" s="155"/>
      <c r="M1460" s="126"/>
      <c r="N1460" s="127"/>
      <c r="O1460" s="127"/>
      <c r="P1460" s="127"/>
      <c r="Q1460" s="126"/>
      <c r="R1460" s="128"/>
      <c r="S1460" s="128"/>
      <c r="T1460" s="128"/>
      <c r="U1460" s="128"/>
      <c r="V1460" s="129"/>
      <c r="W1460" s="129"/>
      <c r="X1460" s="129"/>
      <c r="Y1460" s="129"/>
      <c r="Z1460" s="145" t="b">
        <v>0</v>
      </c>
      <c r="AA1460" s="145"/>
      <c r="AB1460" s="129"/>
      <c r="AC1460" s="129"/>
      <c r="AD1460" s="129"/>
      <c r="AE1460" s="129"/>
      <c r="AF1460" s="132"/>
      <c r="AG1460" s="128" t="b">
        <v>0</v>
      </c>
      <c r="AH1460" s="128"/>
      <c r="AI1460" s="128"/>
      <c r="AJ1460" s="128"/>
      <c r="AK1460" s="128"/>
      <c r="AL1460" s="129"/>
      <c r="AM1460" s="129"/>
      <c r="AN1460" s="139"/>
    </row>
    <row r="1461">
      <c r="A1461" s="129"/>
      <c r="B1461" s="119"/>
      <c r="C1461" s="128"/>
      <c r="D1461" s="142"/>
      <c r="E1461" s="122"/>
      <c r="F1461" s="136"/>
      <c r="G1461" s="152"/>
      <c r="H1461" s="155"/>
      <c r="I1461" s="155"/>
      <c r="J1461" s="155"/>
      <c r="K1461" s="155"/>
      <c r="L1461" s="155"/>
      <c r="M1461" s="126"/>
      <c r="N1461" s="127"/>
      <c r="O1461" s="127"/>
      <c r="P1461" s="127"/>
      <c r="Q1461" s="126"/>
      <c r="R1461" s="128"/>
      <c r="S1461" s="128"/>
      <c r="T1461" s="128"/>
      <c r="U1461" s="128"/>
      <c r="V1461" s="129"/>
      <c r="W1461" s="129"/>
      <c r="X1461" s="129"/>
      <c r="Y1461" s="129"/>
      <c r="Z1461" s="145" t="b">
        <v>0</v>
      </c>
      <c r="AA1461" s="145"/>
      <c r="AB1461" s="129"/>
      <c r="AC1461" s="129"/>
      <c r="AD1461" s="129"/>
      <c r="AE1461" s="129"/>
      <c r="AF1461" s="132"/>
      <c r="AG1461" s="128" t="b">
        <v>0</v>
      </c>
      <c r="AH1461" s="128"/>
      <c r="AI1461" s="128"/>
      <c r="AJ1461" s="128"/>
      <c r="AK1461" s="128"/>
      <c r="AL1461" s="129"/>
      <c r="AM1461" s="129"/>
      <c r="AN1461" s="139"/>
    </row>
    <row r="1462">
      <c r="A1462" s="129"/>
      <c r="B1462" s="119"/>
      <c r="C1462" s="128"/>
      <c r="D1462" s="142"/>
      <c r="E1462" s="122"/>
      <c r="F1462" s="136"/>
      <c r="G1462" s="152"/>
      <c r="H1462" s="155"/>
      <c r="I1462" s="155"/>
      <c r="J1462" s="155"/>
      <c r="K1462" s="155"/>
      <c r="L1462" s="155"/>
      <c r="M1462" s="126"/>
      <c r="N1462" s="127"/>
      <c r="O1462" s="127"/>
      <c r="P1462" s="127"/>
      <c r="Q1462" s="126"/>
      <c r="R1462" s="128"/>
      <c r="S1462" s="128"/>
      <c r="T1462" s="128"/>
      <c r="U1462" s="128"/>
      <c r="V1462" s="129"/>
      <c r="W1462" s="129"/>
      <c r="X1462" s="129"/>
      <c r="Y1462" s="129"/>
      <c r="Z1462" s="145" t="b">
        <v>0</v>
      </c>
      <c r="AA1462" s="145"/>
      <c r="AB1462" s="129"/>
      <c r="AC1462" s="129"/>
      <c r="AD1462" s="129"/>
      <c r="AE1462" s="129"/>
      <c r="AF1462" s="132"/>
      <c r="AG1462" s="128" t="b">
        <v>0</v>
      </c>
      <c r="AH1462" s="128"/>
      <c r="AI1462" s="128"/>
      <c r="AJ1462" s="128"/>
      <c r="AK1462" s="128"/>
      <c r="AL1462" s="129"/>
      <c r="AM1462" s="129"/>
      <c r="AN1462" s="139"/>
    </row>
    <row r="1463">
      <c r="A1463" s="129"/>
      <c r="B1463" s="119"/>
      <c r="C1463" s="128"/>
      <c r="D1463" s="142"/>
      <c r="E1463" s="122"/>
      <c r="F1463" s="136"/>
      <c r="G1463" s="152"/>
      <c r="H1463" s="155"/>
      <c r="I1463" s="155"/>
      <c r="J1463" s="155"/>
      <c r="K1463" s="155"/>
      <c r="L1463" s="155"/>
      <c r="M1463" s="126"/>
      <c r="N1463" s="127"/>
      <c r="O1463" s="127"/>
      <c r="P1463" s="127"/>
      <c r="Q1463" s="126"/>
      <c r="R1463" s="128"/>
      <c r="S1463" s="128"/>
      <c r="T1463" s="128"/>
      <c r="U1463" s="128"/>
      <c r="V1463" s="129"/>
      <c r="W1463" s="129"/>
      <c r="X1463" s="129"/>
      <c r="Y1463" s="129"/>
      <c r="Z1463" s="145" t="b">
        <v>0</v>
      </c>
      <c r="AA1463" s="145"/>
      <c r="AB1463" s="129"/>
      <c r="AC1463" s="129"/>
      <c r="AD1463" s="129"/>
      <c r="AE1463" s="129"/>
      <c r="AF1463" s="132"/>
      <c r="AG1463" s="128" t="b">
        <v>0</v>
      </c>
      <c r="AH1463" s="128"/>
      <c r="AI1463" s="128"/>
      <c r="AJ1463" s="128"/>
      <c r="AK1463" s="128"/>
      <c r="AL1463" s="129"/>
      <c r="AM1463" s="129"/>
      <c r="AN1463" s="139"/>
    </row>
    <row r="1464">
      <c r="A1464" s="129"/>
      <c r="B1464" s="119"/>
      <c r="C1464" s="128"/>
      <c r="D1464" s="142"/>
      <c r="E1464" s="122"/>
      <c r="F1464" s="136"/>
      <c r="G1464" s="152"/>
      <c r="H1464" s="155"/>
      <c r="I1464" s="155"/>
      <c r="J1464" s="155"/>
      <c r="K1464" s="155"/>
      <c r="L1464" s="155"/>
      <c r="M1464" s="126"/>
      <c r="N1464" s="127"/>
      <c r="O1464" s="127"/>
      <c r="P1464" s="127"/>
      <c r="Q1464" s="126"/>
      <c r="R1464" s="128"/>
      <c r="S1464" s="128"/>
      <c r="T1464" s="128"/>
      <c r="U1464" s="128"/>
      <c r="V1464" s="129"/>
      <c r="W1464" s="129"/>
      <c r="X1464" s="129"/>
      <c r="Y1464" s="129"/>
      <c r="Z1464" s="145" t="b">
        <v>0</v>
      </c>
      <c r="AA1464" s="145"/>
      <c r="AB1464" s="129"/>
      <c r="AC1464" s="129"/>
      <c r="AD1464" s="129"/>
      <c r="AE1464" s="129"/>
      <c r="AF1464" s="132"/>
      <c r="AG1464" s="128" t="b">
        <v>0</v>
      </c>
      <c r="AH1464" s="128"/>
      <c r="AI1464" s="128"/>
      <c r="AJ1464" s="128"/>
      <c r="AK1464" s="128"/>
      <c r="AL1464" s="129"/>
      <c r="AM1464" s="129"/>
      <c r="AN1464" s="139"/>
    </row>
    <row r="1465">
      <c r="A1465" s="129"/>
      <c r="B1465" s="119"/>
      <c r="C1465" s="128"/>
      <c r="D1465" s="142"/>
      <c r="E1465" s="122"/>
      <c r="F1465" s="136"/>
      <c r="G1465" s="152"/>
      <c r="H1465" s="155"/>
      <c r="I1465" s="155"/>
      <c r="J1465" s="155"/>
      <c r="K1465" s="155"/>
      <c r="L1465" s="155"/>
      <c r="M1465" s="126"/>
      <c r="N1465" s="127"/>
      <c r="O1465" s="127"/>
      <c r="P1465" s="127"/>
      <c r="Q1465" s="126"/>
      <c r="R1465" s="128"/>
      <c r="S1465" s="128"/>
      <c r="T1465" s="128"/>
      <c r="U1465" s="128"/>
      <c r="V1465" s="129"/>
      <c r="W1465" s="129"/>
      <c r="X1465" s="129"/>
      <c r="Y1465" s="129"/>
      <c r="Z1465" s="145" t="b">
        <v>0</v>
      </c>
      <c r="AA1465" s="145"/>
      <c r="AB1465" s="129"/>
      <c r="AC1465" s="129"/>
      <c r="AD1465" s="129"/>
      <c r="AE1465" s="129"/>
      <c r="AF1465" s="132"/>
      <c r="AG1465" s="128" t="b">
        <v>0</v>
      </c>
      <c r="AH1465" s="128"/>
      <c r="AI1465" s="128"/>
      <c r="AJ1465" s="128"/>
      <c r="AK1465" s="128"/>
      <c r="AL1465" s="129"/>
      <c r="AM1465" s="129"/>
      <c r="AN1465" s="139"/>
    </row>
    <row r="1466">
      <c r="A1466" s="129"/>
      <c r="B1466" s="119"/>
      <c r="C1466" s="128"/>
      <c r="D1466" s="142"/>
      <c r="E1466" s="122"/>
      <c r="F1466" s="136"/>
      <c r="G1466" s="152"/>
      <c r="H1466" s="155"/>
      <c r="I1466" s="155"/>
      <c r="J1466" s="155"/>
      <c r="K1466" s="155"/>
      <c r="L1466" s="155"/>
      <c r="M1466" s="126"/>
      <c r="N1466" s="127"/>
      <c r="O1466" s="127"/>
      <c r="P1466" s="127"/>
      <c r="Q1466" s="126"/>
      <c r="R1466" s="128"/>
      <c r="S1466" s="128"/>
      <c r="T1466" s="128"/>
      <c r="U1466" s="128"/>
      <c r="V1466" s="129"/>
      <c r="W1466" s="129"/>
      <c r="X1466" s="129"/>
      <c r="Y1466" s="129"/>
      <c r="Z1466" s="145" t="b">
        <v>0</v>
      </c>
      <c r="AA1466" s="145"/>
      <c r="AB1466" s="129"/>
      <c r="AC1466" s="129"/>
      <c r="AD1466" s="129"/>
      <c r="AE1466" s="129"/>
      <c r="AF1466" s="132"/>
      <c r="AG1466" s="128" t="b">
        <v>0</v>
      </c>
      <c r="AH1466" s="128"/>
      <c r="AI1466" s="128"/>
      <c r="AJ1466" s="128"/>
      <c r="AK1466" s="128"/>
      <c r="AL1466" s="129"/>
      <c r="AM1466" s="129"/>
      <c r="AN1466" s="139"/>
    </row>
    <row r="1467">
      <c r="A1467" s="129"/>
      <c r="B1467" s="119"/>
      <c r="C1467" s="128"/>
      <c r="D1467" s="142"/>
      <c r="E1467" s="122"/>
      <c r="F1467" s="136"/>
      <c r="G1467" s="152"/>
      <c r="H1467" s="155"/>
      <c r="I1467" s="155"/>
      <c r="J1467" s="155"/>
      <c r="K1467" s="155"/>
      <c r="L1467" s="155"/>
      <c r="M1467" s="126"/>
      <c r="N1467" s="127"/>
      <c r="O1467" s="127"/>
      <c r="P1467" s="127"/>
      <c r="Q1467" s="126"/>
      <c r="R1467" s="128"/>
      <c r="S1467" s="128"/>
      <c r="T1467" s="128"/>
      <c r="U1467" s="128"/>
      <c r="V1467" s="129"/>
      <c r="W1467" s="129"/>
      <c r="X1467" s="129"/>
      <c r="Y1467" s="129"/>
      <c r="Z1467" s="145" t="b">
        <v>0</v>
      </c>
      <c r="AA1467" s="145"/>
      <c r="AB1467" s="129"/>
      <c r="AC1467" s="129"/>
      <c r="AD1467" s="129"/>
      <c r="AE1467" s="129"/>
      <c r="AF1467" s="132"/>
      <c r="AG1467" s="128" t="b">
        <v>0</v>
      </c>
      <c r="AH1467" s="128"/>
      <c r="AI1467" s="128"/>
      <c r="AJ1467" s="128"/>
      <c r="AK1467" s="128"/>
      <c r="AL1467" s="129"/>
      <c r="AM1467" s="129"/>
      <c r="AN1467" s="139"/>
    </row>
    <row r="1468">
      <c r="A1468" s="129"/>
      <c r="B1468" s="119"/>
      <c r="C1468" s="128"/>
      <c r="D1468" s="142"/>
      <c r="E1468" s="122"/>
      <c r="F1468" s="136"/>
      <c r="G1468" s="152"/>
      <c r="H1468" s="155"/>
      <c r="I1468" s="155"/>
      <c r="J1468" s="155"/>
      <c r="K1468" s="155"/>
      <c r="L1468" s="155"/>
      <c r="M1468" s="126"/>
      <c r="N1468" s="127"/>
      <c r="O1468" s="127"/>
      <c r="P1468" s="127"/>
      <c r="Q1468" s="126"/>
      <c r="R1468" s="128"/>
      <c r="S1468" s="128"/>
      <c r="T1468" s="128"/>
      <c r="U1468" s="128"/>
      <c r="V1468" s="129"/>
      <c r="W1468" s="129"/>
      <c r="X1468" s="129"/>
      <c r="Y1468" s="129"/>
      <c r="Z1468" s="145" t="b">
        <v>0</v>
      </c>
      <c r="AA1468" s="145"/>
      <c r="AB1468" s="129"/>
      <c r="AC1468" s="129"/>
      <c r="AD1468" s="129"/>
      <c r="AE1468" s="129"/>
      <c r="AF1468" s="132"/>
      <c r="AG1468" s="128" t="b">
        <v>0</v>
      </c>
      <c r="AH1468" s="128"/>
      <c r="AI1468" s="128"/>
      <c r="AJ1468" s="128"/>
      <c r="AK1468" s="128"/>
      <c r="AL1468" s="129"/>
      <c r="AM1468" s="129"/>
      <c r="AN1468" s="139"/>
    </row>
    <row r="1469">
      <c r="A1469" s="129"/>
      <c r="B1469" s="119"/>
      <c r="C1469" s="128"/>
      <c r="D1469" s="142"/>
      <c r="E1469" s="122"/>
      <c r="F1469" s="136"/>
      <c r="G1469" s="152"/>
      <c r="H1469" s="155"/>
      <c r="I1469" s="155"/>
      <c r="J1469" s="155"/>
      <c r="K1469" s="155"/>
      <c r="L1469" s="155"/>
      <c r="M1469" s="126"/>
      <c r="N1469" s="127"/>
      <c r="O1469" s="127"/>
      <c r="P1469" s="127"/>
      <c r="Q1469" s="126"/>
      <c r="R1469" s="128"/>
      <c r="S1469" s="128"/>
      <c r="T1469" s="128"/>
      <c r="U1469" s="128"/>
      <c r="V1469" s="129"/>
      <c r="W1469" s="129"/>
      <c r="X1469" s="129"/>
      <c r="Y1469" s="129"/>
      <c r="Z1469" s="145" t="b">
        <v>0</v>
      </c>
      <c r="AA1469" s="145"/>
      <c r="AB1469" s="129"/>
      <c r="AC1469" s="129"/>
      <c r="AD1469" s="129"/>
      <c r="AE1469" s="129"/>
      <c r="AF1469" s="132"/>
      <c r="AG1469" s="128" t="b">
        <v>0</v>
      </c>
      <c r="AH1469" s="128"/>
      <c r="AI1469" s="128"/>
      <c r="AJ1469" s="128"/>
      <c r="AK1469" s="128"/>
      <c r="AL1469" s="129"/>
      <c r="AM1469" s="129"/>
      <c r="AN1469" s="139"/>
    </row>
    <row r="1470">
      <c r="A1470" s="129"/>
      <c r="B1470" s="119"/>
      <c r="C1470" s="128"/>
      <c r="D1470" s="142"/>
      <c r="E1470" s="122"/>
      <c r="F1470" s="136"/>
      <c r="G1470" s="152"/>
      <c r="H1470" s="155"/>
      <c r="I1470" s="155"/>
      <c r="J1470" s="155"/>
      <c r="K1470" s="155"/>
      <c r="L1470" s="155"/>
      <c r="M1470" s="126"/>
      <c r="N1470" s="127"/>
      <c r="O1470" s="127"/>
      <c r="P1470" s="127"/>
      <c r="Q1470" s="126"/>
      <c r="R1470" s="128"/>
      <c r="S1470" s="128"/>
      <c r="T1470" s="128"/>
      <c r="U1470" s="128"/>
      <c r="V1470" s="129"/>
      <c r="W1470" s="129"/>
      <c r="X1470" s="129"/>
      <c r="Y1470" s="129"/>
      <c r="Z1470" s="145" t="b">
        <v>0</v>
      </c>
      <c r="AA1470" s="145"/>
      <c r="AB1470" s="129"/>
      <c r="AC1470" s="129"/>
      <c r="AD1470" s="129"/>
      <c r="AE1470" s="129"/>
      <c r="AF1470" s="132"/>
      <c r="AG1470" s="128" t="b">
        <v>0</v>
      </c>
      <c r="AH1470" s="128"/>
      <c r="AI1470" s="128"/>
      <c r="AJ1470" s="128"/>
      <c r="AK1470" s="128"/>
      <c r="AL1470" s="129"/>
      <c r="AM1470" s="129"/>
      <c r="AN1470" s="139"/>
    </row>
    <row r="1471">
      <c r="A1471" s="129"/>
      <c r="B1471" s="119"/>
      <c r="C1471" s="128"/>
      <c r="D1471" s="142"/>
      <c r="E1471" s="122"/>
      <c r="F1471" s="136"/>
      <c r="G1471" s="152"/>
      <c r="H1471" s="155"/>
      <c r="I1471" s="155"/>
      <c r="J1471" s="155"/>
      <c r="K1471" s="155"/>
      <c r="L1471" s="155"/>
      <c r="M1471" s="126"/>
      <c r="N1471" s="127"/>
      <c r="O1471" s="127"/>
      <c r="P1471" s="127"/>
      <c r="Q1471" s="126"/>
      <c r="R1471" s="128"/>
      <c r="S1471" s="128"/>
      <c r="T1471" s="128"/>
      <c r="U1471" s="128"/>
      <c r="V1471" s="129"/>
      <c r="W1471" s="129"/>
      <c r="X1471" s="129"/>
      <c r="Y1471" s="129"/>
      <c r="Z1471" s="145" t="b">
        <v>0</v>
      </c>
      <c r="AA1471" s="145"/>
      <c r="AB1471" s="129"/>
      <c r="AC1471" s="129"/>
      <c r="AD1471" s="129"/>
      <c r="AE1471" s="129"/>
      <c r="AF1471" s="132"/>
      <c r="AG1471" s="128" t="b">
        <v>0</v>
      </c>
      <c r="AH1471" s="128"/>
      <c r="AI1471" s="128"/>
      <c r="AJ1471" s="128"/>
      <c r="AK1471" s="128"/>
      <c r="AL1471" s="129"/>
      <c r="AM1471" s="129"/>
      <c r="AN1471" s="139"/>
    </row>
    <row r="1472">
      <c r="A1472" s="129"/>
      <c r="B1472" s="119"/>
      <c r="C1472" s="128"/>
      <c r="D1472" s="142"/>
      <c r="E1472" s="122"/>
      <c r="F1472" s="136"/>
      <c r="G1472" s="152"/>
      <c r="H1472" s="155"/>
      <c r="I1472" s="155"/>
      <c r="J1472" s="155"/>
      <c r="K1472" s="155"/>
      <c r="L1472" s="155"/>
      <c r="M1472" s="126"/>
      <c r="N1472" s="127"/>
      <c r="O1472" s="127"/>
      <c r="P1472" s="127"/>
      <c r="Q1472" s="126"/>
      <c r="R1472" s="128"/>
      <c r="S1472" s="128"/>
      <c r="T1472" s="128"/>
      <c r="U1472" s="128"/>
      <c r="V1472" s="129"/>
      <c r="W1472" s="129"/>
      <c r="X1472" s="129"/>
      <c r="Y1472" s="129"/>
      <c r="Z1472" s="145" t="b">
        <v>0</v>
      </c>
      <c r="AA1472" s="145"/>
      <c r="AB1472" s="129"/>
      <c r="AC1472" s="129"/>
      <c r="AD1472" s="129"/>
      <c r="AE1472" s="129"/>
      <c r="AF1472" s="132"/>
      <c r="AG1472" s="128" t="b">
        <v>0</v>
      </c>
      <c r="AH1472" s="128"/>
      <c r="AI1472" s="128"/>
      <c r="AJ1472" s="128"/>
      <c r="AK1472" s="128"/>
      <c r="AL1472" s="129"/>
      <c r="AM1472" s="129"/>
      <c r="AN1472" s="139"/>
    </row>
    <row r="1473">
      <c r="A1473" s="129"/>
      <c r="B1473" s="119"/>
      <c r="C1473" s="128"/>
      <c r="D1473" s="142"/>
      <c r="E1473" s="122"/>
      <c r="F1473" s="136"/>
      <c r="G1473" s="152"/>
      <c r="H1473" s="155"/>
      <c r="I1473" s="155"/>
      <c r="J1473" s="155"/>
      <c r="K1473" s="155"/>
      <c r="L1473" s="155"/>
      <c r="M1473" s="126"/>
      <c r="N1473" s="127"/>
      <c r="O1473" s="127"/>
      <c r="P1473" s="127"/>
      <c r="Q1473" s="126"/>
      <c r="R1473" s="128"/>
      <c r="S1473" s="128"/>
      <c r="T1473" s="128"/>
      <c r="U1473" s="128"/>
      <c r="V1473" s="129"/>
      <c r="W1473" s="129"/>
      <c r="X1473" s="129"/>
      <c r="Y1473" s="129"/>
      <c r="Z1473" s="145" t="b">
        <v>0</v>
      </c>
      <c r="AA1473" s="145"/>
      <c r="AB1473" s="129"/>
      <c r="AC1473" s="129"/>
      <c r="AD1473" s="129"/>
      <c r="AE1473" s="129"/>
      <c r="AF1473" s="132"/>
      <c r="AG1473" s="128" t="b">
        <v>0</v>
      </c>
      <c r="AH1473" s="128"/>
      <c r="AI1473" s="128"/>
      <c r="AJ1473" s="128"/>
      <c r="AK1473" s="128"/>
      <c r="AL1473" s="129"/>
      <c r="AM1473" s="129"/>
      <c r="AN1473" s="139"/>
    </row>
    <row r="1474">
      <c r="A1474" s="129"/>
      <c r="B1474" s="119"/>
      <c r="C1474" s="128"/>
      <c r="D1474" s="142"/>
      <c r="E1474" s="122"/>
      <c r="F1474" s="136"/>
      <c r="G1474" s="152"/>
      <c r="H1474" s="155"/>
      <c r="I1474" s="155"/>
      <c r="J1474" s="155"/>
      <c r="K1474" s="155"/>
      <c r="L1474" s="155"/>
      <c r="M1474" s="126"/>
      <c r="N1474" s="127"/>
      <c r="O1474" s="127"/>
      <c r="P1474" s="127"/>
      <c r="Q1474" s="126"/>
      <c r="R1474" s="128"/>
      <c r="S1474" s="128"/>
      <c r="T1474" s="128"/>
      <c r="U1474" s="128"/>
      <c r="V1474" s="129"/>
      <c r="W1474" s="129"/>
      <c r="X1474" s="129"/>
      <c r="Y1474" s="129"/>
      <c r="Z1474" s="145" t="b">
        <v>0</v>
      </c>
      <c r="AA1474" s="145"/>
      <c r="AB1474" s="129"/>
      <c r="AC1474" s="129"/>
      <c r="AD1474" s="129"/>
      <c r="AE1474" s="129"/>
      <c r="AF1474" s="132"/>
      <c r="AG1474" s="128" t="b">
        <v>0</v>
      </c>
      <c r="AH1474" s="128"/>
      <c r="AI1474" s="128"/>
      <c r="AJ1474" s="128"/>
      <c r="AK1474" s="128"/>
      <c r="AL1474" s="129"/>
      <c r="AM1474" s="129"/>
      <c r="AN1474" s="139"/>
    </row>
    <row r="1475">
      <c r="A1475" s="129"/>
      <c r="B1475" s="119"/>
      <c r="C1475" s="128"/>
      <c r="D1475" s="142"/>
      <c r="E1475" s="122"/>
      <c r="F1475" s="136"/>
      <c r="G1475" s="152"/>
      <c r="H1475" s="155"/>
      <c r="I1475" s="155"/>
      <c r="J1475" s="155"/>
      <c r="K1475" s="155"/>
      <c r="L1475" s="155"/>
      <c r="M1475" s="126"/>
      <c r="N1475" s="127"/>
      <c r="O1475" s="127"/>
      <c r="P1475" s="127"/>
      <c r="Q1475" s="126"/>
      <c r="R1475" s="128"/>
      <c r="S1475" s="128"/>
      <c r="T1475" s="128"/>
      <c r="U1475" s="128"/>
      <c r="V1475" s="129"/>
      <c r="W1475" s="129"/>
      <c r="X1475" s="129"/>
      <c r="Y1475" s="129"/>
      <c r="Z1475" s="145" t="b">
        <v>0</v>
      </c>
      <c r="AA1475" s="145"/>
      <c r="AB1475" s="129"/>
      <c r="AC1475" s="129"/>
      <c r="AD1475" s="129"/>
      <c r="AE1475" s="129"/>
      <c r="AF1475" s="132"/>
      <c r="AG1475" s="128" t="b">
        <v>0</v>
      </c>
      <c r="AH1475" s="128"/>
      <c r="AI1475" s="128"/>
      <c r="AJ1475" s="128"/>
      <c r="AK1475" s="128"/>
      <c r="AL1475" s="129"/>
      <c r="AM1475" s="129"/>
      <c r="AN1475" s="139"/>
    </row>
    <row r="1476">
      <c r="A1476" s="129"/>
      <c r="B1476" s="119"/>
      <c r="C1476" s="128"/>
      <c r="D1476" s="142"/>
      <c r="E1476" s="122"/>
      <c r="F1476" s="136"/>
      <c r="G1476" s="152"/>
      <c r="H1476" s="155"/>
      <c r="I1476" s="155"/>
      <c r="J1476" s="155"/>
      <c r="K1476" s="155"/>
      <c r="L1476" s="155"/>
      <c r="M1476" s="126"/>
      <c r="N1476" s="127"/>
      <c r="O1476" s="127"/>
      <c r="P1476" s="127"/>
      <c r="Q1476" s="126"/>
      <c r="R1476" s="128"/>
      <c r="S1476" s="128"/>
      <c r="T1476" s="128"/>
      <c r="U1476" s="128"/>
      <c r="V1476" s="129"/>
      <c r="W1476" s="129"/>
      <c r="X1476" s="129"/>
      <c r="Y1476" s="129"/>
      <c r="Z1476" s="145" t="b">
        <v>0</v>
      </c>
      <c r="AA1476" s="145"/>
      <c r="AB1476" s="129"/>
      <c r="AC1476" s="129"/>
      <c r="AD1476" s="129"/>
      <c r="AE1476" s="129"/>
      <c r="AF1476" s="132"/>
      <c r="AG1476" s="128" t="b">
        <v>0</v>
      </c>
      <c r="AH1476" s="128"/>
      <c r="AI1476" s="128"/>
      <c r="AJ1476" s="128"/>
      <c r="AK1476" s="128"/>
      <c r="AL1476" s="129"/>
      <c r="AM1476" s="129"/>
      <c r="AN1476" s="139"/>
    </row>
    <row r="1477">
      <c r="A1477" s="129"/>
      <c r="B1477" s="119"/>
      <c r="C1477" s="128"/>
      <c r="D1477" s="142"/>
      <c r="E1477" s="122"/>
      <c r="F1477" s="136"/>
      <c r="G1477" s="152"/>
      <c r="H1477" s="155"/>
      <c r="I1477" s="155"/>
      <c r="J1477" s="155"/>
      <c r="K1477" s="155"/>
      <c r="L1477" s="155"/>
      <c r="M1477" s="126"/>
      <c r="N1477" s="127"/>
      <c r="O1477" s="127"/>
      <c r="P1477" s="127"/>
      <c r="Q1477" s="126"/>
      <c r="R1477" s="128"/>
      <c r="S1477" s="128"/>
      <c r="T1477" s="128"/>
      <c r="U1477" s="128"/>
      <c r="V1477" s="129"/>
      <c r="W1477" s="129"/>
      <c r="X1477" s="129"/>
      <c r="Y1477" s="129"/>
      <c r="Z1477" s="145" t="b">
        <v>0</v>
      </c>
      <c r="AA1477" s="145"/>
      <c r="AB1477" s="129"/>
      <c r="AC1477" s="129"/>
      <c r="AD1477" s="129"/>
      <c r="AE1477" s="129"/>
      <c r="AF1477" s="132"/>
      <c r="AG1477" s="128" t="b">
        <v>0</v>
      </c>
      <c r="AH1477" s="128"/>
      <c r="AI1477" s="128"/>
      <c r="AJ1477" s="128"/>
      <c r="AK1477" s="128"/>
      <c r="AL1477" s="129"/>
      <c r="AM1477" s="129"/>
      <c r="AN1477" s="139"/>
    </row>
    <row r="1478">
      <c r="A1478" s="129"/>
      <c r="B1478" s="119"/>
      <c r="C1478" s="128"/>
      <c r="D1478" s="142"/>
      <c r="E1478" s="122"/>
      <c r="F1478" s="136"/>
      <c r="G1478" s="152"/>
      <c r="H1478" s="155"/>
      <c r="I1478" s="155"/>
      <c r="J1478" s="155"/>
      <c r="K1478" s="155"/>
      <c r="L1478" s="155"/>
      <c r="M1478" s="126"/>
      <c r="N1478" s="127"/>
      <c r="O1478" s="127"/>
      <c r="P1478" s="127"/>
      <c r="Q1478" s="126"/>
      <c r="R1478" s="128"/>
      <c r="S1478" s="128"/>
      <c r="T1478" s="128"/>
      <c r="U1478" s="128"/>
      <c r="V1478" s="129"/>
      <c r="W1478" s="129"/>
      <c r="X1478" s="129"/>
      <c r="Y1478" s="129"/>
      <c r="Z1478" s="145" t="b">
        <v>0</v>
      </c>
      <c r="AA1478" s="145"/>
      <c r="AB1478" s="129"/>
      <c r="AC1478" s="129"/>
      <c r="AD1478" s="129"/>
      <c r="AE1478" s="129"/>
      <c r="AF1478" s="132"/>
      <c r="AG1478" s="128" t="b">
        <v>0</v>
      </c>
      <c r="AH1478" s="128"/>
      <c r="AI1478" s="128"/>
      <c r="AJ1478" s="128"/>
      <c r="AK1478" s="128"/>
      <c r="AL1478" s="129"/>
      <c r="AM1478" s="129"/>
      <c r="AN1478" s="139"/>
    </row>
    <row r="1479">
      <c r="A1479" s="129"/>
      <c r="B1479" s="119"/>
      <c r="C1479" s="128"/>
      <c r="D1479" s="142"/>
      <c r="E1479" s="122"/>
      <c r="F1479" s="136"/>
      <c r="G1479" s="152"/>
      <c r="H1479" s="155"/>
      <c r="I1479" s="155"/>
      <c r="J1479" s="155"/>
      <c r="K1479" s="155"/>
      <c r="L1479" s="155"/>
      <c r="M1479" s="126"/>
      <c r="N1479" s="127"/>
      <c r="O1479" s="127"/>
      <c r="P1479" s="127"/>
      <c r="Q1479" s="126"/>
      <c r="R1479" s="128"/>
      <c r="S1479" s="128"/>
      <c r="T1479" s="128"/>
      <c r="U1479" s="128"/>
      <c r="V1479" s="129"/>
      <c r="W1479" s="129"/>
      <c r="X1479" s="129"/>
      <c r="Y1479" s="129"/>
      <c r="Z1479" s="145" t="b">
        <v>0</v>
      </c>
      <c r="AA1479" s="145"/>
      <c r="AB1479" s="129"/>
      <c r="AC1479" s="129"/>
      <c r="AD1479" s="129"/>
      <c r="AE1479" s="129"/>
      <c r="AF1479" s="132"/>
      <c r="AG1479" s="128" t="b">
        <v>0</v>
      </c>
      <c r="AH1479" s="128"/>
      <c r="AI1479" s="128"/>
      <c r="AJ1479" s="128"/>
      <c r="AK1479" s="128"/>
      <c r="AL1479" s="129"/>
      <c r="AM1479" s="129"/>
      <c r="AN1479" s="139"/>
    </row>
    <row r="1480">
      <c r="A1480" s="129"/>
      <c r="B1480" s="119"/>
      <c r="C1480" s="128"/>
      <c r="D1480" s="142"/>
      <c r="E1480" s="122"/>
      <c r="F1480" s="136"/>
      <c r="G1480" s="152"/>
      <c r="H1480" s="155"/>
      <c r="I1480" s="155"/>
      <c r="J1480" s="155"/>
      <c r="K1480" s="155"/>
      <c r="L1480" s="155"/>
      <c r="M1480" s="126"/>
      <c r="N1480" s="127"/>
      <c r="O1480" s="127"/>
      <c r="P1480" s="127"/>
      <c r="Q1480" s="126"/>
      <c r="R1480" s="128"/>
      <c r="S1480" s="128"/>
      <c r="T1480" s="128"/>
      <c r="U1480" s="128"/>
      <c r="V1480" s="129"/>
      <c r="W1480" s="129"/>
      <c r="X1480" s="129"/>
      <c r="Y1480" s="129"/>
      <c r="Z1480" s="145" t="b">
        <v>0</v>
      </c>
      <c r="AA1480" s="145"/>
      <c r="AB1480" s="129"/>
      <c r="AC1480" s="129"/>
      <c r="AD1480" s="129"/>
      <c r="AE1480" s="129"/>
      <c r="AF1480" s="132"/>
      <c r="AG1480" s="128" t="b">
        <v>0</v>
      </c>
      <c r="AH1480" s="128"/>
      <c r="AI1480" s="128"/>
      <c r="AJ1480" s="128"/>
      <c r="AK1480" s="128"/>
      <c r="AL1480" s="129"/>
      <c r="AM1480" s="129"/>
      <c r="AN1480" s="139"/>
    </row>
    <row r="1481">
      <c r="A1481" s="129"/>
      <c r="B1481" s="119"/>
      <c r="C1481" s="128"/>
      <c r="D1481" s="142"/>
      <c r="E1481" s="122"/>
      <c r="F1481" s="136"/>
      <c r="G1481" s="152"/>
      <c r="H1481" s="155"/>
      <c r="I1481" s="155"/>
      <c r="J1481" s="155"/>
      <c r="K1481" s="155"/>
      <c r="L1481" s="155"/>
      <c r="M1481" s="126"/>
      <c r="N1481" s="127"/>
      <c r="O1481" s="127"/>
      <c r="P1481" s="127"/>
      <c r="Q1481" s="126"/>
      <c r="R1481" s="128"/>
      <c r="S1481" s="128"/>
      <c r="T1481" s="128"/>
      <c r="U1481" s="128"/>
      <c r="V1481" s="129"/>
      <c r="W1481" s="129"/>
      <c r="X1481" s="129"/>
      <c r="Y1481" s="129"/>
      <c r="Z1481" s="145" t="b">
        <v>0</v>
      </c>
      <c r="AA1481" s="145"/>
      <c r="AB1481" s="129"/>
      <c r="AC1481" s="129"/>
      <c r="AD1481" s="129"/>
      <c r="AE1481" s="129"/>
      <c r="AF1481" s="132"/>
      <c r="AG1481" s="128" t="b">
        <v>0</v>
      </c>
      <c r="AH1481" s="128"/>
      <c r="AI1481" s="128"/>
      <c r="AJ1481" s="128"/>
      <c r="AK1481" s="128"/>
      <c r="AL1481" s="129"/>
      <c r="AM1481" s="129"/>
      <c r="AN1481" s="139"/>
    </row>
    <row r="1482">
      <c r="A1482" s="129"/>
      <c r="B1482" s="119"/>
      <c r="C1482" s="128"/>
      <c r="D1482" s="142"/>
      <c r="E1482" s="122"/>
      <c r="F1482" s="136"/>
      <c r="G1482" s="152"/>
      <c r="H1482" s="155"/>
      <c r="I1482" s="155"/>
      <c r="J1482" s="155"/>
      <c r="K1482" s="155"/>
      <c r="L1482" s="155"/>
      <c r="M1482" s="126"/>
      <c r="N1482" s="127"/>
      <c r="O1482" s="127"/>
      <c r="P1482" s="127"/>
      <c r="Q1482" s="126"/>
      <c r="R1482" s="128"/>
      <c r="S1482" s="128"/>
      <c r="T1482" s="128"/>
      <c r="U1482" s="128"/>
      <c r="V1482" s="129"/>
      <c r="W1482" s="129"/>
      <c r="X1482" s="129"/>
      <c r="Y1482" s="129"/>
      <c r="Z1482" s="145" t="b">
        <v>0</v>
      </c>
      <c r="AA1482" s="145"/>
      <c r="AB1482" s="129"/>
      <c r="AC1482" s="129"/>
      <c r="AD1482" s="129"/>
      <c r="AE1482" s="129"/>
      <c r="AF1482" s="132"/>
      <c r="AG1482" s="128" t="b">
        <v>0</v>
      </c>
      <c r="AH1482" s="128"/>
      <c r="AI1482" s="128"/>
      <c r="AJ1482" s="128"/>
      <c r="AK1482" s="128"/>
      <c r="AL1482" s="129"/>
      <c r="AM1482" s="129"/>
      <c r="AN1482" s="139"/>
    </row>
    <row r="1483">
      <c r="A1483" s="129"/>
      <c r="B1483" s="119"/>
      <c r="C1483" s="128"/>
      <c r="D1483" s="142"/>
      <c r="E1483" s="122"/>
      <c r="F1483" s="136"/>
      <c r="G1483" s="152"/>
      <c r="H1483" s="155"/>
      <c r="I1483" s="155"/>
      <c r="J1483" s="155"/>
      <c r="K1483" s="155"/>
      <c r="L1483" s="155"/>
      <c r="M1483" s="126"/>
      <c r="N1483" s="127"/>
      <c r="O1483" s="127"/>
      <c r="P1483" s="127"/>
      <c r="Q1483" s="126"/>
      <c r="R1483" s="128"/>
      <c r="S1483" s="128"/>
      <c r="T1483" s="128"/>
      <c r="U1483" s="128"/>
      <c r="V1483" s="129"/>
      <c r="W1483" s="129"/>
      <c r="X1483" s="129"/>
      <c r="Y1483" s="129"/>
      <c r="Z1483" s="145" t="b">
        <v>0</v>
      </c>
      <c r="AA1483" s="145"/>
      <c r="AB1483" s="129"/>
      <c r="AC1483" s="129"/>
      <c r="AD1483" s="129"/>
      <c r="AE1483" s="129"/>
      <c r="AF1483" s="132"/>
      <c r="AG1483" s="128" t="b">
        <v>0</v>
      </c>
      <c r="AH1483" s="128"/>
      <c r="AI1483" s="128"/>
      <c r="AJ1483" s="128"/>
      <c r="AK1483" s="128"/>
      <c r="AL1483" s="129"/>
      <c r="AM1483" s="129"/>
      <c r="AN1483" s="139"/>
    </row>
    <row r="1484">
      <c r="A1484" s="129"/>
      <c r="B1484" s="119"/>
      <c r="C1484" s="128"/>
      <c r="D1484" s="142"/>
      <c r="E1484" s="122"/>
      <c r="F1484" s="136"/>
      <c r="G1484" s="152"/>
      <c r="H1484" s="155"/>
      <c r="I1484" s="155"/>
      <c r="J1484" s="155"/>
      <c r="K1484" s="155"/>
      <c r="L1484" s="155"/>
      <c r="M1484" s="126"/>
      <c r="N1484" s="127"/>
      <c r="O1484" s="127"/>
      <c r="P1484" s="127"/>
      <c r="Q1484" s="126"/>
      <c r="R1484" s="128"/>
      <c r="S1484" s="128"/>
      <c r="T1484" s="128"/>
      <c r="U1484" s="128"/>
      <c r="V1484" s="129"/>
      <c r="W1484" s="129"/>
      <c r="X1484" s="129"/>
      <c r="Y1484" s="129"/>
      <c r="Z1484" s="145" t="b">
        <v>0</v>
      </c>
      <c r="AA1484" s="145"/>
      <c r="AB1484" s="129"/>
      <c r="AC1484" s="129"/>
      <c r="AD1484" s="129"/>
      <c r="AE1484" s="129"/>
      <c r="AF1484" s="132"/>
      <c r="AG1484" s="128" t="b">
        <v>0</v>
      </c>
      <c r="AH1484" s="128"/>
      <c r="AI1484" s="128"/>
      <c r="AJ1484" s="128"/>
      <c r="AK1484" s="128"/>
      <c r="AL1484" s="129"/>
      <c r="AM1484" s="129"/>
      <c r="AN1484" s="139"/>
    </row>
    <row r="1485">
      <c r="A1485" s="129"/>
      <c r="B1485" s="119"/>
      <c r="C1485" s="128"/>
      <c r="D1485" s="142"/>
      <c r="E1485" s="122"/>
      <c r="F1485" s="136"/>
      <c r="G1485" s="152"/>
      <c r="H1485" s="155"/>
      <c r="I1485" s="155"/>
      <c r="J1485" s="155"/>
      <c r="K1485" s="155"/>
      <c r="L1485" s="155"/>
      <c r="M1485" s="126"/>
      <c r="N1485" s="127"/>
      <c r="O1485" s="127"/>
      <c r="P1485" s="127"/>
      <c r="Q1485" s="126"/>
      <c r="R1485" s="128"/>
      <c r="S1485" s="128"/>
      <c r="T1485" s="128"/>
      <c r="U1485" s="128"/>
      <c r="V1485" s="129"/>
      <c r="W1485" s="129"/>
      <c r="X1485" s="129"/>
      <c r="Y1485" s="129"/>
      <c r="Z1485" s="145" t="b">
        <v>0</v>
      </c>
      <c r="AA1485" s="145"/>
      <c r="AB1485" s="129"/>
      <c r="AC1485" s="129"/>
      <c r="AD1485" s="129"/>
      <c r="AE1485" s="129"/>
      <c r="AF1485" s="132"/>
      <c r="AG1485" s="128" t="b">
        <v>0</v>
      </c>
      <c r="AH1485" s="128"/>
      <c r="AI1485" s="128"/>
      <c r="AJ1485" s="128"/>
      <c r="AK1485" s="128"/>
      <c r="AL1485" s="129"/>
      <c r="AM1485" s="129"/>
      <c r="AN1485" s="139"/>
    </row>
    <row r="1486">
      <c r="A1486" s="129"/>
      <c r="B1486" s="119"/>
      <c r="C1486" s="128"/>
      <c r="D1486" s="142"/>
      <c r="E1486" s="122"/>
      <c r="F1486" s="136"/>
      <c r="G1486" s="152"/>
      <c r="H1486" s="155"/>
      <c r="I1486" s="155"/>
      <c r="J1486" s="155"/>
      <c r="K1486" s="155"/>
      <c r="L1486" s="155"/>
      <c r="M1486" s="126"/>
      <c r="N1486" s="127"/>
      <c r="O1486" s="127"/>
      <c r="P1486" s="127"/>
      <c r="Q1486" s="126"/>
      <c r="R1486" s="128"/>
      <c r="S1486" s="128"/>
      <c r="T1486" s="128"/>
      <c r="U1486" s="128"/>
      <c r="V1486" s="129"/>
      <c r="W1486" s="129"/>
      <c r="X1486" s="129"/>
      <c r="Y1486" s="129"/>
      <c r="Z1486" s="145" t="b">
        <v>0</v>
      </c>
      <c r="AA1486" s="145"/>
      <c r="AB1486" s="129"/>
      <c r="AC1486" s="129"/>
      <c r="AD1486" s="129"/>
      <c r="AE1486" s="129"/>
      <c r="AF1486" s="132"/>
      <c r="AG1486" s="128" t="b">
        <v>0</v>
      </c>
      <c r="AH1486" s="128"/>
      <c r="AI1486" s="128"/>
      <c r="AJ1486" s="128"/>
      <c r="AK1486" s="128"/>
      <c r="AL1486" s="129"/>
      <c r="AM1486" s="129"/>
      <c r="AN1486" s="139"/>
    </row>
    <row r="1487">
      <c r="A1487" s="129"/>
      <c r="B1487" s="119"/>
      <c r="C1487" s="128"/>
      <c r="D1487" s="142"/>
      <c r="E1487" s="122"/>
      <c r="F1487" s="136"/>
      <c r="G1487" s="152"/>
      <c r="H1487" s="155"/>
      <c r="I1487" s="155"/>
      <c r="J1487" s="155"/>
      <c r="K1487" s="155"/>
      <c r="L1487" s="155"/>
      <c r="M1487" s="126"/>
      <c r="N1487" s="127"/>
      <c r="O1487" s="127"/>
      <c r="P1487" s="127"/>
      <c r="Q1487" s="126"/>
      <c r="R1487" s="128"/>
      <c r="S1487" s="128"/>
      <c r="T1487" s="128"/>
      <c r="U1487" s="128"/>
      <c r="V1487" s="129"/>
      <c r="W1487" s="129"/>
      <c r="X1487" s="129"/>
      <c r="Y1487" s="129"/>
      <c r="Z1487" s="145" t="b">
        <v>0</v>
      </c>
      <c r="AA1487" s="145"/>
      <c r="AB1487" s="129"/>
      <c r="AC1487" s="129"/>
      <c r="AD1487" s="129"/>
      <c r="AE1487" s="129"/>
      <c r="AF1487" s="132"/>
      <c r="AG1487" s="128" t="b">
        <v>0</v>
      </c>
      <c r="AH1487" s="128"/>
      <c r="AI1487" s="128"/>
      <c r="AJ1487" s="128"/>
      <c r="AK1487" s="128"/>
      <c r="AL1487" s="129"/>
      <c r="AM1487" s="129"/>
      <c r="AN1487" s="139"/>
    </row>
    <row r="1488">
      <c r="A1488" s="129"/>
      <c r="B1488" s="119"/>
      <c r="C1488" s="128"/>
      <c r="D1488" s="142"/>
      <c r="E1488" s="122"/>
      <c r="F1488" s="136"/>
      <c r="G1488" s="152"/>
      <c r="H1488" s="155"/>
      <c r="I1488" s="155"/>
      <c r="J1488" s="155"/>
      <c r="K1488" s="155"/>
      <c r="L1488" s="155"/>
      <c r="M1488" s="126"/>
      <c r="N1488" s="127"/>
      <c r="O1488" s="127"/>
      <c r="P1488" s="127"/>
      <c r="Q1488" s="126"/>
      <c r="R1488" s="128"/>
      <c r="S1488" s="128"/>
      <c r="T1488" s="128"/>
      <c r="U1488" s="128"/>
      <c r="V1488" s="129"/>
      <c r="W1488" s="129"/>
      <c r="X1488" s="129"/>
      <c r="Y1488" s="129"/>
      <c r="Z1488" s="145" t="b">
        <v>0</v>
      </c>
      <c r="AA1488" s="145"/>
      <c r="AB1488" s="129"/>
      <c r="AC1488" s="129"/>
      <c r="AD1488" s="129"/>
      <c r="AE1488" s="129"/>
      <c r="AF1488" s="132"/>
      <c r="AG1488" s="128" t="b">
        <v>0</v>
      </c>
      <c r="AH1488" s="128"/>
      <c r="AI1488" s="128"/>
      <c r="AJ1488" s="128"/>
      <c r="AK1488" s="128"/>
      <c r="AL1488" s="129"/>
      <c r="AM1488" s="129"/>
      <c r="AN1488" s="139"/>
    </row>
    <row r="1489">
      <c r="A1489" s="129"/>
      <c r="B1489" s="119"/>
      <c r="C1489" s="128"/>
      <c r="D1489" s="142"/>
      <c r="E1489" s="122"/>
      <c r="F1489" s="136"/>
      <c r="G1489" s="152"/>
      <c r="H1489" s="155"/>
      <c r="I1489" s="155"/>
      <c r="J1489" s="155"/>
      <c r="K1489" s="155"/>
      <c r="L1489" s="155"/>
      <c r="M1489" s="126"/>
      <c r="N1489" s="127"/>
      <c r="O1489" s="127"/>
      <c r="P1489" s="127"/>
      <c r="Q1489" s="126"/>
      <c r="R1489" s="128"/>
      <c r="S1489" s="128"/>
      <c r="T1489" s="128"/>
      <c r="U1489" s="128"/>
      <c r="V1489" s="129"/>
      <c r="W1489" s="129"/>
      <c r="X1489" s="129"/>
      <c r="Y1489" s="129"/>
      <c r="Z1489" s="145" t="b">
        <v>0</v>
      </c>
      <c r="AA1489" s="145"/>
      <c r="AB1489" s="129"/>
      <c r="AC1489" s="129"/>
      <c r="AD1489" s="129"/>
      <c r="AE1489" s="129"/>
      <c r="AF1489" s="132"/>
      <c r="AG1489" s="128" t="b">
        <v>0</v>
      </c>
      <c r="AH1489" s="128"/>
      <c r="AI1489" s="128"/>
      <c r="AJ1489" s="128"/>
      <c r="AK1489" s="128"/>
      <c r="AL1489" s="129"/>
      <c r="AM1489" s="129"/>
      <c r="AN1489" s="139"/>
    </row>
    <row r="1490">
      <c r="A1490" s="129"/>
      <c r="B1490" s="119"/>
      <c r="C1490" s="128"/>
      <c r="D1490" s="142"/>
      <c r="E1490" s="122"/>
      <c r="F1490" s="136"/>
      <c r="G1490" s="152"/>
      <c r="H1490" s="155"/>
      <c r="I1490" s="155"/>
      <c r="J1490" s="155"/>
      <c r="K1490" s="155"/>
      <c r="L1490" s="155"/>
      <c r="M1490" s="126"/>
      <c r="N1490" s="127"/>
      <c r="O1490" s="127"/>
      <c r="P1490" s="127"/>
      <c r="Q1490" s="126"/>
      <c r="R1490" s="128"/>
      <c r="S1490" s="128"/>
      <c r="T1490" s="128"/>
      <c r="U1490" s="128"/>
      <c r="V1490" s="129"/>
      <c r="W1490" s="129"/>
      <c r="X1490" s="129"/>
      <c r="Y1490" s="129"/>
      <c r="Z1490" s="145" t="b">
        <v>0</v>
      </c>
      <c r="AA1490" s="145"/>
      <c r="AB1490" s="129"/>
      <c r="AC1490" s="129"/>
      <c r="AD1490" s="129"/>
      <c r="AE1490" s="129"/>
      <c r="AF1490" s="132"/>
      <c r="AG1490" s="128" t="b">
        <v>0</v>
      </c>
      <c r="AH1490" s="128"/>
      <c r="AI1490" s="128"/>
      <c r="AJ1490" s="128"/>
      <c r="AK1490" s="128"/>
      <c r="AL1490" s="129"/>
      <c r="AM1490" s="129"/>
      <c r="AN1490" s="139"/>
    </row>
    <row r="1491">
      <c r="A1491" s="129"/>
      <c r="B1491" s="119"/>
      <c r="C1491" s="128"/>
      <c r="D1491" s="142"/>
      <c r="E1491" s="122"/>
      <c r="F1491" s="136"/>
      <c r="G1491" s="152"/>
      <c r="H1491" s="155"/>
      <c r="I1491" s="155"/>
      <c r="J1491" s="155"/>
      <c r="K1491" s="155"/>
      <c r="L1491" s="155"/>
      <c r="M1491" s="126"/>
      <c r="N1491" s="127"/>
      <c r="O1491" s="127"/>
      <c r="P1491" s="127"/>
      <c r="Q1491" s="126"/>
      <c r="R1491" s="128"/>
      <c r="S1491" s="128"/>
      <c r="T1491" s="128"/>
      <c r="U1491" s="128"/>
      <c r="V1491" s="129"/>
      <c r="W1491" s="129"/>
      <c r="X1491" s="129"/>
      <c r="Y1491" s="129"/>
      <c r="Z1491" s="145" t="b">
        <v>0</v>
      </c>
      <c r="AA1491" s="145"/>
      <c r="AB1491" s="129"/>
      <c r="AC1491" s="129"/>
      <c r="AD1491" s="129"/>
      <c r="AE1491" s="129"/>
      <c r="AF1491" s="132"/>
      <c r="AG1491" s="128" t="b">
        <v>0</v>
      </c>
      <c r="AH1491" s="128"/>
      <c r="AI1491" s="128"/>
      <c r="AJ1491" s="128"/>
      <c r="AK1491" s="128"/>
      <c r="AL1491" s="129"/>
      <c r="AM1491" s="129"/>
      <c r="AN1491" s="139"/>
    </row>
    <row r="1492">
      <c r="A1492" s="129"/>
      <c r="B1492" s="119"/>
      <c r="C1492" s="128"/>
      <c r="D1492" s="142"/>
      <c r="E1492" s="122"/>
      <c r="F1492" s="136"/>
      <c r="G1492" s="152"/>
      <c r="H1492" s="155"/>
      <c r="I1492" s="155"/>
      <c r="J1492" s="155"/>
      <c r="K1492" s="155"/>
      <c r="L1492" s="155"/>
      <c r="M1492" s="126"/>
      <c r="N1492" s="127"/>
      <c r="O1492" s="127"/>
      <c r="P1492" s="127"/>
      <c r="Q1492" s="126"/>
      <c r="R1492" s="128"/>
      <c r="S1492" s="128"/>
      <c r="T1492" s="128"/>
      <c r="U1492" s="128"/>
      <c r="V1492" s="129"/>
      <c r="W1492" s="129"/>
      <c r="X1492" s="129"/>
      <c r="Y1492" s="129"/>
      <c r="Z1492" s="145" t="b">
        <v>0</v>
      </c>
      <c r="AA1492" s="145"/>
      <c r="AB1492" s="129"/>
      <c r="AC1492" s="129"/>
      <c r="AD1492" s="129"/>
      <c r="AE1492" s="129"/>
      <c r="AF1492" s="132"/>
      <c r="AG1492" s="128" t="b">
        <v>0</v>
      </c>
      <c r="AH1492" s="128"/>
      <c r="AI1492" s="128"/>
      <c r="AJ1492" s="128"/>
      <c r="AK1492" s="128"/>
      <c r="AL1492" s="129"/>
      <c r="AM1492" s="129"/>
      <c r="AN1492" s="139"/>
    </row>
    <row r="1493">
      <c r="A1493" s="129"/>
      <c r="B1493" s="119"/>
      <c r="C1493" s="128"/>
      <c r="D1493" s="142"/>
      <c r="E1493" s="122"/>
      <c r="F1493" s="136"/>
      <c r="G1493" s="152"/>
      <c r="H1493" s="155"/>
      <c r="I1493" s="155"/>
      <c r="J1493" s="155"/>
      <c r="K1493" s="155"/>
      <c r="L1493" s="155"/>
      <c r="M1493" s="126"/>
      <c r="N1493" s="127"/>
      <c r="O1493" s="127"/>
      <c r="P1493" s="127"/>
      <c r="Q1493" s="126"/>
      <c r="R1493" s="128"/>
      <c r="S1493" s="128"/>
      <c r="T1493" s="128"/>
      <c r="U1493" s="128"/>
      <c r="V1493" s="129"/>
      <c r="W1493" s="129"/>
      <c r="X1493" s="129"/>
      <c r="Y1493" s="129"/>
      <c r="Z1493" s="145" t="b">
        <v>0</v>
      </c>
      <c r="AA1493" s="145"/>
      <c r="AB1493" s="129"/>
      <c r="AC1493" s="129"/>
      <c r="AD1493" s="129"/>
      <c r="AE1493" s="129"/>
      <c r="AF1493" s="132"/>
      <c r="AG1493" s="128" t="b">
        <v>0</v>
      </c>
      <c r="AH1493" s="128"/>
      <c r="AI1493" s="128"/>
      <c r="AJ1493" s="128"/>
      <c r="AK1493" s="128"/>
      <c r="AL1493" s="129"/>
      <c r="AM1493" s="129"/>
      <c r="AN1493" s="139"/>
    </row>
    <row r="1494">
      <c r="A1494" s="129"/>
      <c r="B1494" s="119"/>
      <c r="C1494" s="128"/>
      <c r="D1494" s="142"/>
      <c r="E1494" s="122"/>
      <c r="F1494" s="136"/>
      <c r="G1494" s="152"/>
      <c r="H1494" s="155"/>
      <c r="I1494" s="155"/>
      <c r="J1494" s="155"/>
      <c r="K1494" s="155"/>
      <c r="L1494" s="155"/>
      <c r="M1494" s="126"/>
      <c r="N1494" s="127"/>
      <c r="O1494" s="127"/>
      <c r="P1494" s="127"/>
      <c r="Q1494" s="126"/>
      <c r="R1494" s="128"/>
      <c r="S1494" s="128"/>
      <c r="T1494" s="128"/>
      <c r="U1494" s="128"/>
      <c r="V1494" s="129"/>
      <c r="W1494" s="129"/>
      <c r="X1494" s="129"/>
      <c r="Y1494" s="129"/>
      <c r="Z1494" s="145" t="b">
        <v>0</v>
      </c>
      <c r="AA1494" s="145"/>
      <c r="AB1494" s="129"/>
      <c r="AC1494" s="129"/>
      <c r="AD1494" s="129"/>
      <c r="AE1494" s="129"/>
      <c r="AF1494" s="132"/>
      <c r="AG1494" s="128" t="b">
        <v>0</v>
      </c>
      <c r="AH1494" s="128"/>
      <c r="AI1494" s="128"/>
      <c r="AJ1494" s="128"/>
      <c r="AK1494" s="128"/>
      <c r="AL1494" s="129"/>
      <c r="AM1494" s="129"/>
      <c r="AN1494" s="139"/>
    </row>
    <row r="1495">
      <c r="A1495" s="129"/>
      <c r="B1495" s="119"/>
      <c r="C1495" s="128"/>
      <c r="D1495" s="142"/>
      <c r="E1495" s="122"/>
      <c r="F1495" s="136"/>
      <c r="G1495" s="152"/>
      <c r="H1495" s="155"/>
      <c r="I1495" s="155"/>
      <c r="J1495" s="155"/>
      <c r="K1495" s="155"/>
      <c r="L1495" s="155"/>
      <c r="M1495" s="126"/>
      <c r="N1495" s="127"/>
      <c r="O1495" s="127"/>
      <c r="P1495" s="127"/>
      <c r="Q1495" s="126"/>
      <c r="R1495" s="128"/>
      <c r="S1495" s="128"/>
      <c r="T1495" s="128"/>
      <c r="U1495" s="128"/>
      <c r="V1495" s="129"/>
      <c r="W1495" s="129"/>
      <c r="X1495" s="129"/>
      <c r="Y1495" s="129"/>
      <c r="Z1495" s="145" t="b">
        <v>0</v>
      </c>
      <c r="AA1495" s="145"/>
      <c r="AB1495" s="129"/>
      <c r="AC1495" s="129"/>
      <c r="AD1495" s="129"/>
      <c r="AE1495" s="129"/>
      <c r="AF1495" s="132"/>
      <c r="AG1495" s="128" t="b">
        <v>0</v>
      </c>
      <c r="AH1495" s="128"/>
      <c r="AI1495" s="128"/>
      <c r="AJ1495" s="128"/>
      <c r="AK1495" s="128"/>
      <c r="AL1495" s="129"/>
      <c r="AM1495" s="129"/>
      <c r="AN1495" s="139"/>
    </row>
    <row r="1496">
      <c r="A1496" s="129"/>
      <c r="B1496" s="119"/>
      <c r="C1496" s="128"/>
      <c r="D1496" s="142"/>
      <c r="E1496" s="122"/>
      <c r="F1496" s="136"/>
      <c r="G1496" s="152"/>
      <c r="H1496" s="155"/>
      <c r="I1496" s="155"/>
      <c r="J1496" s="155"/>
      <c r="K1496" s="155"/>
      <c r="L1496" s="155"/>
      <c r="M1496" s="126"/>
      <c r="N1496" s="127"/>
      <c r="O1496" s="127"/>
      <c r="P1496" s="127"/>
      <c r="Q1496" s="126"/>
      <c r="R1496" s="128"/>
      <c r="S1496" s="128"/>
      <c r="T1496" s="128"/>
      <c r="U1496" s="128"/>
      <c r="V1496" s="129"/>
      <c r="W1496" s="129"/>
      <c r="X1496" s="129"/>
      <c r="Y1496" s="129"/>
      <c r="Z1496" s="145" t="b">
        <v>0</v>
      </c>
      <c r="AA1496" s="145"/>
      <c r="AB1496" s="129"/>
      <c r="AC1496" s="129"/>
      <c r="AD1496" s="129"/>
      <c r="AE1496" s="129"/>
      <c r="AF1496" s="132"/>
      <c r="AG1496" s="128" t="b">
        <v>0</v>
      </c>
      <c r="AH1496" s="128"/>
      <c r="AI1496" s="128"/>
      <c r="AJ1496" s="128"/>
      <c r="AK1496" s="128"/>
      <c r="AL1496" s="129"/>
      <c r="AM1496" s="129"/>
      <c r="AN1496" s="139"/>
    </row>
    <row r="1497">
      <c r="A1497" s="129"/>
      <c r="B1497" s="119"/>
      <c r="C1497" s="128"/>
      <c r="D1497" s="142"/>
      <c r="E1497" s="122"/>
      <c r="F1497" s="136"/>
      <c r="G1497" s="152"/>
      <c r="H1497" s="155"/>
      <c r="I1497" s="155"/>
      <c r="J1497" s="155"/>
      <c r="K1497" s="155"/>
      <c r="L1497" s="155"/>
      <c r="M1497" s="126"/>
      <c r="N1497" s="127"/>
      <c r="O1497" s="127"/>
      <c r="P1497" s="127"/>
      <c r="Q1497" s="126"/>
      <c r="R1497" s="128"/>
      <c r="S1497" s="128"/>
      <c r="T1497" s="128"/>
      <c r="U1497" s="128"/>
      <c r="V1497" s="129"/>
      <c r="W1497" s="129"/>
      <c r="X1497" s="129"/>
      <c r="Y1497" s="129"/>
      <c r="Z1497" s="145" t="b">
        <v>0</v>
      </c>
      <c r="AA1497" s="145"/>
      <c r="AB1497" s="129"/>
      <c r="AC1497" s="129"/>
      <c r="AD1497" s="129"/>
      <c r="AE1497" s="129"/>
      <c r="AF1497" s="132"/>
      <c r="AG1497" s="128" t="b">
        <v>0</v>
      </c>
      <c r="AH1497" s="128"/>
      <c r="AI1497" s="128"/>
      <c r="AJ1497" s="128"/>
      <c r="AK1497" s="128"/>
      <c r="AL1497" s="129"/>
      <c r="AM1497" s="129"/>
      <c r="AN1497" s="139"/>
    </row>
    <row r="1498">
      <c r="A1498" s="129"/>
      <c r="B1498" s="119"/>
      <c r="C1498" s="128"/>
      <c r="D1498" s="142"/>
      <c r="E1498" s="122"/>
      <c r="F1498" s="136"/>
      <c r="G1498" s="152"/>
      <c r="H1498" s="155"/>
      <c r="I1498" s="155"/>
      <c r="J1498" s="155"/>
      <c r="K1498" s="155"/>
      <c r="L1498" s="155"/>
      <c r="M1498" s="126"/>
      <c r="N1498" s="127"/>
      <c r="O1498" s="127"/>
      <c r="P1498" s="127"/>
      <c r="Q1498" s="126"/>
      <c r="R1498" s="128"/>
      <c r="S1498" s="128"/>
      <c r="T1498" s="128"/>
      <c r="U1498" s="128"/>
      <c r="V1498" s="129"/>
      <c r="W1498" s="129"/>
      <c r="X1498" s="129"/>
      <c r="Y1498" s="129"/>
      <c r="Z1498" s="145" t="b">
        <v>0</v>
      </c>
      <c r="AA1498" s="145"/>
      <c r="AB1498" s="129"/>
      <c r="AC1498" s="129"/>
      <c r="AD1498" s="129"/>
      <c r="AE1498" s="129"/>
      <c r="AF1498" s="132"/>
      <c r="AG1498" s="128" t="b">
        <v>0</v>
      </c>
      <c r="AH1498" s="128"/>
      <c r="AI1498" s="128"/>
      <c r="AJ1498" s="128"/>
      <c r="AK1498" s="128"/>
      <c r="AL1498" s="129"/>
      <c r="AM1498" s="129"/>
      <c r="AN1498" s="139"/>
    </row>
    <row r="1499">
      <c r="A1499" s="129"/>
      <c r="B1499" s="119"/>
      <c r="C1499" s="128"/>
      <c r="D1499" s="142"/>
      <c r="E1499" s="122"/>
      <c r="F1499" s="136"/>
      <c r="G1499" s="152"/>
      <c r="H1499" s="155"/>
      <c r="I1499" s="155"/>
      <c r="J1499" s="155"/>
      <c r="K1499" s="155"/>
      <c r="L1499" s="155"/>
      <c r="M1499" s="126"/>
      <c r="N1499" s="127"/>
      <c r="O1499" s="127"/>
      <c r="P1499" s="127"/>
      <c r="Q1499" s="126"/>
      <c r="R1499" s="128"/>
      <c r="S1499" s="128"/>
      <c r="T1499" s="128"/>
      <c r="U1499" s="128"/>
      <c r="V1499" s="129"/>
      <c r="W1499" s="129"/>
      <c r="X1499" s="129"/>
      <c r="Y1499" s="129"/>
      <c r="Z1499" s="145" t="b">
        <v>0</v>
      </c>
      <c r="AA1499" s="145"/>
      <c r="AB1499" s="129"/>
      <c r="AC1499" s="129"/>
      <c r="AD1499" s="129"/>
      <c r="AE1499" s="129"/>
      <c r="AF1499" s="132"/>
      <c r="AG1499" s="128" t="b">
        <v>0</v>
      </c>
      <c r="AH1499" s="128"/>
      <c r="AI1499" s="128"/>
      <c r="AJ1499" s="128"/>
      <c r="AK1499" s="128"/>
      <c r="AL1499" s="129"/>
      <c r="AM1499" s="129"/>
      <c r="AN1499" s="139"/>
    </row>
    <row r="1500">
      <c r="A1500" s="129"/>
      <c r="B1500" s="119"/>
      <c r="C1500" s="128"/>
      <c r="D1500" s="142"/>
      <c r="E1500" s="122"/>
      <c r="F1500" s="136"/>
      <c r="G1500" s="152"/>
      <c r="H1500" s="155"/>
      <c r="I1500" s="155"/>
      <c r="J1500" s="155"/>
      <c r="K1500" s="155"/>
      <c r="L1500" s="155"/>
      <c r="M1500" s="126"/>
      <c r="N1500" s="127"/>
      <c r="O1500" s="127"/>
      <c r="P1500" s="127"/>
      <c r="Q1500" s="126"/>
      <c r="R1500" s="128"/>
      <c r="S1500" s="128"/>
      <c r="T1500" s="128"/>
      <c r="U1500" s="128"/>
      <c r="V1500" s="129"/>
      <c r="W1500" s="129"/>
      <c r="X1500" s="129"/>
      <c r="Y1500" s="129"/>
      <c r="Z1500" s="145" t="b">
        <v>0</v>
      </c>
      <c r="AA1500" s="145"/>
      <c r="AB1500" s="129"/>
      <c r="AC1500" s="129"/>
      <c r="AD1500" s="129"/>
      <c r="AE1500" s="129"/>
      <c r="AF1500" s="132"/>
      <c r="AG1500" s="128" t="b">
        <v>0</v>
      </c>
      <c r="AH1500" s="128"/>
      <c r="AI1500" s="128"/>
      <c r="AJ1500" s="128"/>
      <c r="AK1500" s="128"/>
      <c r="AL1500" s="129"/>
      <c r="AM1500" s="129"/>
      <c r="AN1500" s="139"/>
    </row>
    <row r="1501">
      <c r="A1501" s="129"/>
      <c r="B1501" s="119"/>
      <c r="C1501" s="128"/>
      <c r="D1501" s="142"/>
      <c r="E1501" s="122"/>
      <c r="F1501" s="136"/>
      <c r="G1501" s="152"/>
      <c r="H1501" s="155"/>
      <c r="I1501" s="155"/>
      <c r="J1501" s="155"/>
      <c r="K1501" s="155"/>
      <c r="L1501" s="155"/>
      <c r="M1501" s="126"/>
      <c r="N1501" s="127"/>
      <c r="O1501" s="127"/>
      <c r="P1501" s="127"/>
      <c r="Q1501" s="126"/>
      <c r="R1501" s="128"/>
      <c r="S1501" s="128"/>
      <c r="T1501" s="128"/>
      <c r="U1501" s="128"/>
      <c r="V1501" s="129"/>
      <c r="W1501" s="129"/>
      <c r="X1501" s="129"/>
      <c r="Y1501" s="129"/>
      <c r="Z1501" s="145" t="b">
        <v>0</v>
      </c>
      <c r="AA1501" s="145"/>
      <c r="AB1501" s="129"/>
      <c r="AC1501" s="129"/>
      <c r="AD1501" s="129"/>
      <c r="AE1501" s="129"/>
      <c r="AF1501" s="132"/>
      <c r="AG1501" s="128" t="b">
        <v>0</v>
      </c>
      <c r="AH1501" s="128"/>
      <c r="AI1501" s="128"/>
      <c r="AJ1501" s="128"/>
      <c r="AK1501" s="128"/>
      <c r="AL1501" s="129"/>
      <c r="AM1501" s="129"/>
      <c r="AN1501" s="139"/>
    </row>
    <row r="1502">
      <c r="A1502" s="129"/>
      <c r="B1502" s="119"/>
      <c r="C1502" s="128"/>
      <c r="D1502" s="142"/>
      <c r="E1502" s="122"/>
      <c r="F1502" s="136"/>
      <c r="G1502" s="152"/>
      <c r="H1502" s="155"/>
      <c r="I1502" s="155"/>
      <c r="J1502" s="155"/>
      <c r="K1502" s="155"/>
      <c r="L1502" s="155"/>
      <c r="M1502" s="126"/>
      <c r="N1502" s="127"/>
      <c r="O1502" s="127"/>
      <c r="P1502" s="127"/>
      <c r="Q1502" s="126"/>
      <c r="R1502" s="128"/>
      <c r="S1502" s="128"/>
      <c r="T1502" s="128"/>
      <c r="U1502" s="128"/>
      <c r="V1502" s="129"/>
      <c r="W1502" s="129"/>
      <c r="X1502" s="129"/>
      <c r="Y1502" s="129"/>
      <c r="Z1502" s="145" t="b">
        <v>0</v>
      </c>
      <c r="AA1502" s="145"/>
      <c r="AB1502" s="129"/>
      <c r="AC1502" s="129"/>
      <c r="AD1502" s="129"/>
      <c r="AE1502" s="129"/>
      <c r="AF1502" s="132"/>
      <c r="AG1502" s="128" t="b">
        <v>0</v>
      </c>
      <c r="AH1502" s="128"/>
      <c r="AI1502" s="128"/>
      <c r="AJ1502" s="128"/>
      <c r="AK1502" s="128"/>
      <c r="AL1502" s="129"/>
      <c r="AM1502" s="129"/>
      <c r="AN1502" s="139"/>
    </row>
    <row r="1503">
      <c r="A1503" s="129"/>
      <c r="B1503" s="119"/>
      <c r="C1503" s="128"/>
      <c r="D1503" s="142"/>
      <c r="E1503" s="122"/>
      <c r="F1503" s="136"/>
      <c r="G1503" s="152"/>
      <c r="H1503" s="155"/>
      <c r="I1503" s="155"/>
      <c r="J1503" s="155"/>
      <c r="K1503" s="155"/>
      <c r="L1503" s="155"/>
      <c r="M1503" s="126"/>
      <c r="N1503" s="127"/>
      <c r="O1503" s="127"/>
      <c r="P1503" s="127"/>
      <c r="Q1503" s="126"/>
      <c r="R1503" s="128"/>
      <c r="S1503" s="128"/>
      <c r="T1503" s="128"/>
      <c r="U1503" s="128"/>
      <c r="V1503" s="129"/>
      <c r="W1503" s="129"/>
      <c r="X1503" s="129"/>
      <c r="Y1503" s="129"/>
      <c r="Z1503" s="145" t="b">
        <v>0</v>
      </c>
      <c r="AA1503" s="145"/>
      <c r="AB1503" s="129"/>
      <c r="AC1503" s="129"/>
      <c r="AD1503" s="129"/>
      <c r="AE1503" s="129"/>
      <c r="AF1503" s="132"/>
      <c r="AG1503" s="128" t="b">
        <v>0</v>
      </c>
      <c r="AH1503" s="128"/>
      <c r="AI1503" s="128"/>
      <c r="AJ1503" s="128"/>
      <c r="AK1503" s="128"/>
      <c r="AL1503" s="129"/>
      <c r="AM1503" s="129"/>
      <c r="AN1503" s="139"/>
    </row>
    <row r="1504">
      <c r="A1504" s="129"/>
      <c r="B1504" s="119"/>
      <c r="C1504" s="128"/>
      <c r="D1504" s="142"/>
      <c r="E1504" s="122"/>
      <c r="F1504" s="136"/>
      <c r="G1504" s="152"/>
      <c r="H1504" s="155"/>
      <c r="I1504" s="155"/>
      <c r="J1504" s="155"/>
      <c r="K1504" s="155"/>
      <c r="L1504" s="155"/>
      <c r="M1504" s="126"/>
      <c r="N1504" s="127"/>
      <c r="O1504" s="127"/>
      <c r="P1504" s="127"/>
      <c r="Q1504" s="126"/>
      <c r="R1504" s="128"/>
      <c r="S1504" s="128"/>
      <c r="T1504" s="128"/>
      <c r="U1504" s="128"/>
      <c r="V1504" s="129"/>
      <c r="W1504" s="129"/>
      <c r="X1504" s="129"/>
      <c r="Y1504" s="129"/>
      <c r="Z1504" s="145" t="b">
        <v>0</v>
      </c>
      <c r="AA1504" s="145"/>
      <c r="AB1504" s="129"/>
      <c r="AC1504" s="129"/>
      <c r="AD1504" s="129"/>
      <c r="AE1504" s="129"/>
      <c r="AF1504" s="132"/>
      <c r="AG1504" s="128" t="b">
        <v>0</v>
      </c>
      <c r="AH1504" s="128"/>
      <c r="AI1504" s="128"/>
      <c r="AJ1504" s="128"/>
      <c r="AK1504" s="128"/>
      <c r="AL1504" s="129"/>
      <c r="AM1504" s="129"/>
      <c r="AN1504" s="139"/>
    </row>
    <row r="1505">
      <c r="A1505" s="129"/>
      <c r="B1505" s="119"/>
      <c r="C1505" s="128"/>
      <c r="D1505" s="142"/>
      <c r="E1505" s="122"/>
      <c r="F1505" s="136"/>
      <c r="G1505" s="152"/>
      <c r="H1505" s="155"/>
      <c r="I1505" s="155"/>
      <c r="J1505" s="155"/>
      <c r="K1505" s="155"/>
      <c r="L1505" s="155"/>
      <c r="M1505" s="126"/>
      <c r="N1505" s="127"/>
      <c r="O1505" s="127"/>
      <c r="P1505" s="127"/>
      <c r="Q1505" s="126"/>
      <c r="R1505" s="128"/>
      <c r="S1505" s="128"/>
      <c r="T1505" s="128"/>
      <c r="U1505" s="128"/>
      <c r="V1505" s="129"/>
      <c r="W1505" s="129"/>
      <c r="X1505" s="129"/>
      <c r="Y1505" s="129"/>
      <c r="Z1505" s="145" t="b">
        <v>0</v>
      </c>
      <c r="AA1505" s="145"/>
      <c r="AB1505" s="129"/>
      <c r="AC1505" s="129"/>
      <c r="AD1505" s="129"/>
      <c r="AE1505" s="129"/>
      <c r="AF1505" s="132"/>
      <c r="AG1505" s="128" t="b">
        <v>0</v>
      </c>
      <c r="AH1505" s="128"/>
      <c r="AI1505" s="128"/>
      <c r="AJ1505" s="128"/>
      <c r="AK1505" s="128"/>
      <c r="AL1505" s="129"/>
      <c r="AM1505" s="129"/>
      <c r="AN1505" s="139"/>
    </row>
    <row r="1506">
      <c r="A1506" s="129"/>
      <c r="B1506" s="119"/>
      <c r="C1506" s="128"/>
      <c r="D1506" s="142"/>
      <c r="E1506" s="122"/>
      <c r="F1506" s="136"/>
      <c r="G1506" s="152"/>
      <c r="H1506" s="155"/>
      <c r="I1506" s="155"/>
      <c r="J1506" s="155"/>
      <c r="K1506" s="155"/>
      <c r="L1506" s="155"/>
      <c r="M1506" s="126"/>
      <c r="N1506" s="127"/>
      <c r="O1506" s="127"/>
      <c r="P1506" s="127"/>
      <c r="Q1506" s="126"/>
      <c r="R1506" s="128"/>
      <c r="S1506" s="128"/>
      <c r="T1506" s="128"/>
      <c r="U1506" s="128"/>
      <c r="V1506" s="129"/>
      <c r="W1506" s="129"/>
      <c r="X1506" s="129"/>
      <c r="Y1506" s="129"/>
      <c r="Z1506" s="145" t="b">
        <v>0</v>
      </c>
      <c r="AA1506" s="145"/>
      <c r="AB1506" s="129"/>
      <c r="AC1506" s="129"/>
      <c r="AD1506" s="129"/>
      <c r="AE1506" s="129"/>
      <c r="AF1506" s="132"/>
      <c r="AG1506" s="128" t="b">
        <v>0</v>
      </c>
      <c r="AH1506" s="128"/>
      <c r="AI1506" s="128"/>
      <c r="AJ1506" s="128"/>
      <c r="AK1506" s="128"/>
      <c r="AL1506" s="129"/>
      <c r="AM1506" s="129"/>
      <c r="AN1506" s="139"/>
    </row>
    <row r="1507">
      <c r="A1507" s="129"/>
      <c r="B1507" s="119"/>
      <c r="C1507" s="128"/>
      <c r="D1507" s="142"/>
      <c r="E1507" s="122"/>
      <c r="F1507" s="136"/>
      <c r="G1507" s="152"/>
      <c r="H1507" s="155"/>
      <c r="I1507" s="155"/>
      <c r="J1507" s="155"/>
      <c r="K1507" s="155"/>
      <c r="L1507" s="155"/>
      <c r="M1507" s="126"/>
      <c r="N1507" s="127"/>
      <c r="O1507" s="127"/>
      <c r="P1507" s="127"/>
      <c r="Q1507" s="126"/>
      <c r="R1507" s="128"/>
      <c r="S1507" s="128"/>
      <c r="T1507" s="128"/>
      <c r="U1507" s="128"/>
      <c r="V1507" s="129"/>
      <c r="W1507" s="129"/>
      <c r="X1507" s="129"/>
      <c r="Y1507" s="129"/>
      <c r="Z1507" s="145" t="b">
        <v>0</v>
      </c>
      <c r="AA1507" s="145"/>
      <c r="AB1507" s="129"/>
      <c r="AC1507" s="129"/>
      <c r="AD1507" s="129"/>
      <c r="AE1507" s="129"/>
      <c r="AF1507" s="132"/>
      <c r="AG1507" s="128" t="b">
        <v>0</v>
      </c>
      <c r="AH1507" s="128"/>
      <c r="AI1507" s="128"/>
      <c r="AJ1507" s="128"/>
      <c r="AK1507" s="128"/>
      <c r="AL1507" s="129"/>
      <c r="AM1507" s="129"/>
      <c r="AN1507" s="139"/>
    </row>
    <row r="1508">
      <c r="A1508" s="129"/>
      <c r="B1508" s="119"/>
      <c r="C1508" s="128"/>
      <c r="D1508" s="142"/>
      <c r="E1508" s="122"/>
      <c r="F1508" s="136"/>
      <c r="G1508" s="152"/>
      <c r="H1508" s="155"/>
      <c r="I1508" s="155"/>
      <c r="J1508" s="155"/>
      <c r="K1508" s="155"/>
      <c r="L1508" s="155"/>
      <c r="M1508" s="126"/>
      <c r="N1508" s="127"/>
      <c r="O1508" s="127"/>
      <c r="P1508" s="127"/>
      <c r="Q1508" s="126"/>
      <c r="R1508" s="128"/>
      <c r="S1508" s="128"/>
      <c r="T1508" s="128"/>
      <c r="U1508" s="128"/>
      <c r="V1508" s="129"/>
      <c r="W1508" s="129"/>
      <c r="X1508" s="129"/>
      <c r="Y1508" s="129"/>
      <c r="Z1508" s="145" t="b">
        <v>0</v>
      </c>
      <c r="AA1508" s="145"/>
      <c r="AB1508" s="129"/>
      <c r="AC1508" s="129"/>
      <c r="AD1508" s="129"/>
      <c r="AE1508" s="129"/>
      <c r="AF1508" s="132"/>
      <c r="AG1508" s="128" t="b">
        <v>0</v>
      </c>
      <c r="AH1508" s="128"/>
      <c r="AI1508" s="128"/>
      <c r="AJ1508" s="128"/>
      <c r="AK1508" s="128"/>
      <c r="AL1508" s="129"/>
      <c r="AM1508" s="129"/>
      <c r="AN1508" s="139"/>
    </row>
    <row r="1509">
      <c r="A1509" s="129"/>
      <c r="B1509" s="119"/>
      <c r="C1509" s="128"/>
      <c r="D1509" s="142"/>
      <c r="E1509" s="122"/>
      <c r="F1509" s="136"/>
      <c r="G1509" s="152"/>
      <c r="H1509" s="155"/>
      <c r="I1509" s="155"/>
      <c r="J1509" s="155"/>
      <c r="K1509" s="155"/>
      <c r="L1509" s="155"/>
      <c r="M1509" s="126"/>
      <c r="N1509" s="127"/>
      <c r="O1509" s="127"/>
      <c r="P1509" s="127"/>
      <c r="Q1509" s="126"/>
      <c r="R1509" s="128"/>
      <c r="S1509" s="128"/>
      <c r="T1509" s="128"/>
      <c r="U1509" s="128"/>
      <c r="V1509" s="129"/>
      <c r="W1509" s="129"/>
      <c r="X1509" s="129"/>
      <c r="Y1509" s="129"/>
      <c r="Z1509" s="145" t="b">
        <v>0</v>
      </c>
      <c r="AA1509" s="145"/>
      <c r="AB1509" s="129"/>
      <c r="AC1509" s="129"/>
      <c r="AD1509" s="129"/>
      <c r="AE1509" s="129"/>
      <c r="AF1509" s="132"/>
      <c r="AG1509" s="128" t="b">
        <v>0</v>
      </c>
      <c r="AH1509" s="128"/>
      <c r="AI1509" s="128"/>
      <c r="AJ1509" s="128"/>
      <c r="AK1509" s="128"/>
      <c r="AL1509" s="129"/>
      <c r="AM1509" s="129"/>
      <c r="AN1509" s="139"/>
    </row>
    <row r="1510">
      <c r="A1510" s="129"/>
      <c r="B1510" s="119"/>
      <c r="C1510" s="128"/>
      <c r="D1510" s="142"/>
      <c r="E1510" s="122"/>
      <c r="F1510" s="136"/>
      <c r="G1510" s="152"/>
      <c r="H1510" s="155"/>
      <c r="I1510" s="155"/>
      <c r="J1510" s="155"/>
      <c r="K1510" s="155"/>
      <c r="L1510" s="155"/>
      <c r="M1510" s="126"/>
      <c r="N1510" s="127"/>
      <c r="O1510" s="127"/>
      <c r="P1510" s="127"/>
      <c r="Q1510" s="126"/>
      <c r="R1510" s="128"/>
      <c r="S1510" s="128"/>
      <c r="T1510" s="128"/>
      <c r="U1510" s="128"/>
      <c r="V1510" s="129"/>
      <c r="W1510" s="129"/>
      <c r="X1510" s="129"/>
      <c r="Y1510" s="129"/>
      <c r="Z1510" s="145" t="b">
        <v>0</v>
      </c>
      <c r="AA1510" s="145"/>
      <c r="AB1510" s="129"/>
      <c r="AC1510" s="129"/>
      <c r="AD1510" s="129"/>
      <c r="AE1510" s="129"/>
      <c r="AF1510" s="132"/>
      <c r="AG1510" s="128" t="b">
        <v>0</v>
      </c>
      <c r="AH1510" s="128"/>
      <c r="AI1510" s="128"/>
      <c r="AJ1510" s="128"/>
      <c r="AK1510" s="128"/>
      <c r="AL1510" s="129"/>
      <c r="AM1510" s="129"/>
      <c r="AN1510" s="139"/>
    </row>
    <row r="1511">
      <c r="A1511" s="129"/>
      <c r="B1511" s="119"/>
      <c r="C1511" s="128"/>
      <c r="D1511" s="142"/>
      <c r="E1511" s="122"/>
      <c r="F1511" s="136"/>
      <c r="G1511" s="152"/>
      <c r="H1511" s="155"/>
      <c r="I1511" s="155"/>
      <c r="J1511" s="155"/>
      <c r="K1511" s="155"/>
      <c r="L1511" s="155"/>
      <c r="M1511" s="126"/>
      <c r="N1511" s="127"/>
      <c r="O1511" s="127"/>
      <c r="P1511" s="127"/>
      <c r="Q1511" s="126"/>
      <c r="R1511" s="128"/>
      <c r="S1511" s="128"/>
      <c r="T1511" s="128"/>
      <c r="U1511" s="128"/>
      <c r="V1511" s="129"/>
      <c r="W1511" s="129"/>
      <c r="X1511" s="129"/>
      <c r="Y1511" s="129"/>
      <c r="Z1511" s="145" t="b">
        <v>0</v>
      </c>
      <c r="AA1511" s="145"/>
      <c r="AB1511" s="129"/>
      <c r="AC1511" s="129"/>
      <c r="AD1511" s="129"/>
      <c r="AE1511" s="129"/>
      <c r="AF1511" s="132"/>
      <c r="AG1511" s="128" t="b">
        <v>0</v>
      </c>
      <c r="AH1511" s="128"/>
      <c r="AI1511" s="128"/>
      <c r="AJ1511" s="128"/>
      <c r="AK1511" s="128"/>
      <c r="AL1511" s="129"/>
      <c r="AM1511" s="129"/>
      <c r="AN1511" s="139"/>
    </row>
    <row r="1512">
      <c r="A1512" s="129"/>
      <c r="B1512" s="119"/>
      <c r="C1512" s="128"/>
      <c r="D1512" s="142"/>
      <c r="E1512" s="122"/>
      <c r="F1512" s="136"/>
      <c r="G1512" s="152"/>
      <c r="H1512" s="155"/>
      <c r="I1512" s="155"/>
      <c r="J1512" s="155"/>
      <c r="K1512" s="155"/>
      <c r="L1512" s="155"/>
      <c r="M1512" s="126"/>
      <c r="N1512" s="127"/>
      <c r="O1512" s="127"/>
      <c r="P1512" s="127"/>
      <c r="Q1512" s="126"/>
      <c r="R1512" s="128"/>
      <c r="S1512" s="128"/>
      <c r="T1512" s="128"/>
      <c r="U1512" s="128"/>
      <c r="V1512" s="129"/>
      <c r="W1512" s="129"/>
      <c r="X1512" s="129"/>
      <c r="Y1512" s="129"/>
      <c r="Z1512" s="145" t="b">
        <v>0</v>
      </c>
      <c r="AA1512" s="145"/>
      <c r="AB1512" s="129"/>
      <c r="AC1512" s="129"/>
      <c r="AD1512" s="129"/>
      <c r="AE1512" s="129"/>
      <c r="AF1512" s="132"/>
      <c r="AG1512" s="128" t="b">
        <v>0</v>
      </c>
      <c r="AH1512" s="128"/>
      <c r="AI1512" s="128"/>
      <c r="AJ1512" s="128"/>
      <c r="AK1512" s="128"/>
      <c r="AL1512" s="129"/>
      <c r="AM1512" s="129"/>
      <c r="AN1512" s="139"/>
    </row>
    <row r="1513">
      <c r="A1513" s="129"/>
      <c r="B1513" s="119"/>
      <c r="C1513" s="128"/>
      <c r="D1513" s="142"/>
      <c r="E1513" s="122"/>
      <c r="F1513" s="136"/>
      <c r="G1513" s="152"/>
      <c r="H1513" s="155"/>
      <c r="I1513" s="155"/>
      <c r="J1513" s="155"/>
      <c r="K1513" s="155"/>
      <c r="L1513" s="155"/>
      <c r="M1513" s="126"/>
      <c r="N1513" s="127"/>
      <c r="O1513" s="127"/>
      <c r="P1513" s="127"/>
      <c r="Q1513" s="126"/>
      <c r="R1513" s="128"/>
      <c r="S1513" s="128"/>
      <c r="T1513" s="128"/>
      <c r="U1513" s="128"/>
      <c r="V1513" s="129"/>
      <c r="W1513" s="129"/>
      <c r="X1513" s="129"/>
      <c r="Y1513" s="129"/>
      <c r="Z1513" s="145" t="b">
        <v>0</v>
      </c>
      <c r="AA1513" s="145"/>
      <c r="AB1513" s="129"/>
      <c r="AC1513" s="129"/>
      <c r="AD1513" s="129"/>
      <c r="AE1513" s="129"/>
      <c r="AF1513" s="132"/>
      <c r="AG1513" s="128" t="b">
        <v>0</v>
      </c>
      <c r="AH1513" s="128"/>
      <c r="AI1513" s="128"/>
      <c r="AJ1513" s="128"/>
      <c r="AK1513" s="128"/>
      <c r="AL1513" s="129"/>
      <c r="AM1513" s="129"/>
      <c r="AN1513" s="139"/>
    </row>
    <row r="1514">
      <c r="A1514" s="129"/>
      <c r="B1514" s="119"/>
      <c r="C1514" s="128"/>
      <c r="D1514" s="142"/>
      <c r="E1514" s="122"/>
      <c r="F1514" s="136"/>
      <c r="G1514" s="152"/>
      <c r="H1514" s="155"/>
      <c r="I1514" s="155"/>
      <c r="J1514" s="155"/>
      <c r="K1514" s="155"/>
      <c r="L1514" s="155"/>
      <c r="M1514" s="126"/>
      <c r="N1514" s="127"/>
      <c r="O1514" s="127"/>
      <c r="P1514" s="127"/>
      <c r="Q1514" s="126"/>
      <c r="R1514" s="128"/>
      <c r="S1514" s="128"/>
      <c r="T1514" s="128"/>
      <c r="U1514" s="128"/>
      <c r="V1514" s="129"/>
      <c r="W1514" s="129"/>
      <c r="X1514" s="129"/>
      <c r="Y1514" s="129"/>
      <c r="Z1514" s="145" t="b">
        <v>0</v>
      </c>
      <c r="AA1514" s="145"/>
      <c r="AB1514" s="129"/>
      <c r="AC1514" s="129"/>
      <c r="AD1514" s="129"/>
      <c r="AE1514" s="129"/>
      <c r="AF1514" s="132"/>
      <c r="AG1514" s="128" t="b">
        <v>0</v>
      </c>
      <c r="AH1514" s="128"/>
      <c r="AI1514" s="128"/>
      <c r="AJ1514" s="128"/>
      <c r="AK1514" s="128"/>
      <c r="AL1514" s="129"/>
      <c r="AM1514" s="129"/>
      <c r="AN1514" s="139"/>
    </row>
    <row r="1515">
      <c r="A1515" s="129"/>
      <c r="B1515" s="119"/>
      <c r="C1515" s="128"/>
      <c r="D1515" s="142"/>
      <c r="E1515" s="122"/>
      <c r="F1515" s="136"/>
      <c r="G1515" s="152"/>
      <c r="H1515" s="155"/>
      <c r="I1515" s="155"/>
      <c r="J1515" s="155"/>
      <c r="K1515" s="155"/>
      <c r="L1515" s="155"/>
      <c r="M1515" s="126"/>
      <c r="N1515" s="127"/>
      <c r="O1515" s="127"/>
      <c r="P1515" s="127"/>
      <c r="Q1515" s="126"/>
      <c r="R1515" s="128"/>
      <c r="S1515" s="128"/>
      <c r="T1515" s="128"/>
      <c r="U1515" s="128"/>
      <c r="V1515" s="129"/>
      <c r="W1515" s="129"/>
      <c r="X1515" s="129"/>
      <c r="Y1515" s="129"/>
      <c r="Z1515" s="145" t="b">
        <v>0</v>
      </c>
      <c r="AA1515" s="145"/>
      <c r="AB1515" s="129"/>
      <c r="AC1515" s="129"/>
      <c r="AD1515" s="129"/>
      <c r="AE1515" s="129"/>
      <c r="AF1515" s="132"/>
      <c r="AG1515" s="128" t="b">
        <v>0</v>
      </c>
      <c r="AH1515" s="128"/>
      <c r="AI1515" s="128"/>
      <c r="AJ1515" s="128"/>
      <c r="AK1515" s="128"/>
      <c r="AL1515" s="129"/>
      <c r="AM1515" s="129"/>
      <c r="AN1515" s="139"/>
    </row>
    <row r="1516">
      <c r="A1516" s="129"/>
      <c r="B1516" s="119"/>
      <c r="C1516" s="128"/>
      <c r="D1516" s="142"/>
      <c r="E1516" s="122"/>
      <c r="F1516" s="136"/>
      <c r="G1516" s="152"/>
      <c r="H1516" s="155"/>
      <c r="I1516" s="155"/>
      <c r="J1516" s="155"/>
      <c r="K1516" s="155"/>
      <c r="L1516" s="155"/>
      <c r="M1516" s="126"/>
      <c r="N1516" s="127"/>
      <c r="O1516" s="127"/>
      <c r="P1516" s="127"/>
      <c r="Q1516" s="126"/>
      <c r="R1516" s="128"/>
      <c r="S1516" s="128"/>
      <c r="T1516" s="128"/>
      <c r="U1516" s="128"/>
      <c r="V1516" s="129"/>
      <c r="W1516" s="129"/>
      <c r="X1516" s="129"/>
      <c r="Y1516" s="129"/>
      <c r="Z1516" s="145" t="b">
        <v>0</v>
      </c>
      <c r="AA1516" s="145"/>
      <c r="AB1516" s="129"/>
      <c r="AC1516" s="129"/>
      <c r="AD1516" s="129"/>
      <c r="AE1516" s="129"/>
      <c r="AF1516" s="132"/>
      <c r="AG1516" s="128" t="b">
        <v>0</v>
      </c>
      <c r="AH1516" s="128"/>
      <c r="AI1516" s="128"/>
      <c r="AJ1516" s="128"/>
      <c r="AK1516" s="128"/>
      <c r="AL1516" s="129"/>
      <c r="AM1516" s="129"/>
      <c r="AN1516" s="139"/>
    </row>
    <row r="1517">
      <c r="A1517" s="129"/>
      <c r="B1517" s="119"/>
      <c r="C1517" s="128"/>
      <c r="D1517" s="142"/>
      <c r="E1517" s="122"/>
      <c r="F1517" s="136"/>
      <c r="G1517" s="152"/>
      <c r="H1517" s="155"/>
      <c r="I1517" s="155"/>
      <c r="J1517" s="155"/>
      <c r="K1517" s="155"/>
      <c r="L1517" s="155"/>
      <c r="M1517" s="126"/>
      <c r="N1517" s="127"/>
      <c r="O1517" s="127"/>
      <c r="P1517" s="127"/>
      <c r="Q1517" s="126"/>
      <c r="R1517" s="128"/>
      <c r="S1517" s="128"/>
      <c r="T1517" s="128"/>
      <c r="U1517" s="128"/>
      <c r="V1517" s="129"/>
      <c r="W1517" s="129"/>
      <c r="X1517" s="129"/>
      <c r="Y1517" s="129"/>
      <c r="Z1517" s="145" t="b">
        <v>0</v>
      </c>
      <c r="AA1517" s="145"/>
      <c r="AB1517" s="129"/>
      <c r="AC1517" s="129"/>
      <c r="AD1517" s="129"/>
      <c r="AE1517" s="129"/>
      <c r="AF1517" s="132"/>
      <c r="AG1517" s="128" t="b">
        <v>0</v>
      </c>
      <c r="AH1517" s="128"/>
      <c r="AI1517" s="128"/>
      <c r="AJ1517" s="128"/>
      <c r="AK1517" s="128"/>
      <c r="AL1517" s="129"/>
      <c r="AM1517" s="129"/>
      <c r="AN1517" s="139"/>
    </row>
    <row r="1518">
      <c r="A1518" s="129"/>
      <c r="B1518" s="119"/>
      <c r="C1518" s="128"/>
      <c r="D1518" s="142"/>
      <c r="E1518" s="122"/>
      <c r="F1518" s="136"/>
      <c r="G1518" s="152"/>
      <c r="H1518" s="155"/>
      <c r="I1518" s="155"/>
      <c r="J1518" s="155"/>
      <c r="K1518" s="155"/>
      <c r="L1518" s="155"/>
      <c r="M1518" s="126"/>
      <c r="N1518" s="127"/>
      <c r="O1518" s="127"/>
      <c r="P1518" s="127"/>
      <c r="Q1518" s="126"/>
      <c r="R1518" s="128"/>
      <c r="S1518" s="128"/>
      <c r="T1518" s="128"/>
      <c r="U1518" s="128"/>
      <c r="V1518" s="129"/>
      <c r="W1518" s="129"/>
      <c r="X1518" s="129"/>
      <c r="Y1518" s="129"/>
      <c r="Z1518" s="145" t="b">
        <v>0</v>
      </c>
      <c r="AA1518" s="145"/>
      <c r="AB1518" s="129"/>
      <c r="AC1518" s="129"/>
      <c r="AD1518" s="129"/>
      <c r="AE1518" s="129"/>
      <c r="AF1518" s="132"/>
      <c r="AG1518" s="128" t="b">
        <v>0</v>
      </c>
      <c r="AH1518" s="128"/>
      <c r="AI1518" s="128"/>
      <c r="AJ1518" s="128"/>
      <c r="AK1518" s="128"/>
      <c r="AL1518" s="129"/>
      <c r="AM1518" s="129"/>
      <c r="AN1518" s="139"/>
    </row>
    <row r="1519">
      <c r="A1519" s="129"/>
      <c r="B1519" s="119"/>
      <c r="C1519" s="128"/>
      <c r="D1519" s="142"/>
      <c r="E1519" s="122"/>
      <c r="F1519" s="136"/>
      <c r="G1519" s="152"/>
      <c r="H1519" s="155"/>
      <c r="I1519" s="155"/>
      <c r="J1519" s="155"/>
      <c r="K1519" s="155"/>
      <c r="L1519" s="155"/>
      <c r="M1519" s="126"/>
      <c r="N1519" s="127"/>
      <c r="O1519" s="127"/>
      <c r="P1519" s="127"/>
      <c r="Q1519" s="126"/>
      <c r="R1519" s="128"/>
      <c r="S1519" s="128"/>
      <c r="T1519" s="128"/>
      <c r="U1519" s="128"/>
      <c r="V1519" s="129"/>
      <c r="W1519" s="129"/>
      <c r="X1519" s="129"/>
      <c r="Y1519" s="129"/>
      <c r="Z1519" s="145" t="b">
        <v>0</v>
      </c>
      <c r="AA1519" s="145"/>
      <c r="AB1519" s="129"/>
      <c r="AC1519" s="129"/>
      <c r="AD1519" s="129"/>
      <c r="AE1519" s="129"/>
      <c r="AF1519" s="132"/>
      <c r="AG1519" s="128" t="b">
        <v>0</v>
      </c>
      <c r="AH1519" s="128"/>
      <c r="AI1519" s="128"/>
      <c r="AJ1519" s="128"/>
      <c r="AK1519" s="128"/>
      <c r="AL1519" s="129"/>
      <c r="AM1519" s="129"/>
      <c r="AN1519" s="139"/>
    </row>
    <row r="1520">
      <c r="A1520" s="129"/>
      <c r="B1520" s="119"/>
      <c r="C1520" s="128"/>
      <c r="D1520" s="142"/>
      <c r="E1520" s="122"/>
      <c r="F1520" s="136"/>
      <c r="G1520" s="152"/>
      <c r="H1520" s="155"/>
      <c r="I1520" s="155"/>
      <c r="J1520" s="155"/>
      <c r="K1520" s="155"/>
      <c r="L1520" s="155"/>
      <c r="M1520" s="126"/>
      <c r="N1520" s="127"/>
      <c r="O1520" s="127"/>
      <c r="P1520" s="127"/>
      <c r="Q1520" s="126"/>
      <c r="R1520" s="128"/>
      <c r="S1520" s="128"/>
      <c r="T1520" s="128"/>
      <c r="U1520" s="128"/>
      <c r="V1520" s="129"/>
      <c r="W1520" s="129"/>
      <c r="X1520" s="129"/>
      <c r="Y1520" s="129"/>
      <c r="Z1520" s="145" t="b">
        <v>0</v>
      </c>
      <c r="AA1520" s="145"/>
      <c r="AB1520" s="129"/>
      <c r="AC1520" s="129"/>
      <c r="AD1520" s="129"/>
      <c r="AE1520" s="129"/>
      <c r="AF1520" s="132"/>
      <c r="AG1520" s="128" t="b">
        <v>0</v>
      </c>
      <c r="AH1520" s="128"/>
      <c r="AI1520" s="128"/>
      <c r="AJ1520" s="128"/>
      <c r="AK1520" s="128"/>
      <c r="AL1520" s="129"/>
      <c r="AM1520" s="129"/>
      <c r="AN1520" s="139"/>
    </row>
    <row r="1521">
      <c r="A1521" s="129"/>
      <c r="B1521" s="119"/>
      <c r="C1521" s="128"/>
      <c r="D1521" s="142"/>
      <c r="E1521" s="122"/>
      <c r="F1521" s="136"/>
      <c r="G1521" s="152"/>
      <c r="H1521" s="155"/>
      <c r="I1521" s="155"/>
      <c r="J1521" s="155"/>
      <c r="K1521" s="155"/>
      <c r="L1521" s="155"/>
      <c r="M1521" s="126"/>
      <c r="N1521" s="127"/>
      <c r="O1521" s="127"/>
      <c r="P1521" s="127"/>
      <c r="Q1521" s="126"/>
      <c r="R1521" s="128"/>
      <c r="S1521" s="128"/>
      <c r="T1521" s="128"/>
      <c r="U1521" s="128"/>
      <c r="V1521" s="129"/>
      <c r="W1521" s="129"/>
      <c r="X1521" s="129"/>
      <c r="Y1521" s="129"/>
      <c r="Z1521" s="145" t="b">
        <v>0</v>
      </c>
      <c r="AA1521" s="145"/>
      <c r="AB1521" s="129"/>
      <c r="AC1521" s="129"/>
      <c r="AD1521" s="129"/>
      <c r="AE1521" s="129"/>
      <c r="AF1521" s="132"/>
      <c r="AG1521" s="128" t="b">
        <v>0</v>
      </c>
      <c r="AH1521" s="128"/>
      <c r="AI1521" s="128"/>
      <c r="AJ1521" s="128"/>
      <c r="AK1521" s="128"/>
      <c r="AL1521" s="129"/>
      <c r="AM1521" s="129"/>
      <c r="AN1521" s="139"/>
    </row>
    <row r="1522">
      <c r="A1522" s="129"/>
      <c r="B1522" s="119"/>
      <c r="C1522" s="128"/>
      <c r="D1522" s="142"/>
      <c r="E1522" s="122"/>
      <c r="F1522" s="136"/>
      <c r="G1522" s="152"/>
      <c r="H1522" s="155"/>
      <c r="I1522" s="155"/>
      <c r="J1522" s="155"/>
      <c r="K1522" s="155"/>
      <c r="L1522" s="155"/>
      <c r="M1522" s="126"/>
      <c r="N1522" s="127"/>
      <c r="O1522" s="127"/>
      <c r="P1522" s="127"/>
      <c r="Q1522" s="126"/>
      <c r="R1522" s="128"/>
      <c r="S1522" s="128"/>
      <c r="T1522" s="128"/>
      <c r="U1522" s="128"/>
      <c r="V1522" s="129"/>
      <c r="W1522" s="129"/>
      <c r="X1522" s="129"/>
      <c r="Y1522" s="129"/>
      <c r="Z1522" s="145" t="b">
        <v>0</v>
      </c>
      <c r="AA1522" s="145"/>
      <c r="AB1522" s="129"/>
      <c r="AC1522" s="129"/>
      <c r="AD1522" s="129"/>
      <c r="AE1522" s="129"/>
      <c r="AF1522" s="132"/>
      <c r="AG1522" s="128" t="b">
        <v>0</v>
      </c>
      <c r="AH1522" s="128"/>
      <c r="AI1522" s="128"/>
      <c r="AJ1522" s="128"/>
      <c r="AK1522" s="128"/>
      <c r="AL1522" s="129"/>
      <c r="AM1522" s="129"/>
      <c r="AN1522" s="139"/>
    </row>
    <row r="1523">
      <c r="A1523" s="129"/>
      <c r="B1523" s="119"/>
      <c r="C1523" s="128"/>
      <c r="D1523" s="142"/>
      <c r="E1523" s="122"/>
      <c r="F1523" s="136"/>
      <c r="G1523" s="152"/>
      <c r="H1523" s="155"/>
      <c r="I1523" s="155"/>
      <c r="J1523" s="155"/>
      <c r="K1523" s="155"/>
      <c r="L1523" s="155"/>
      <c r="M1523" s="126"/>
      <c r="N1523" s="127"/>
      <c r="O1523" s="127"/>
      <c r="P1523" s="127"/>
      <c r="Q1523" s="126"/>
      <c r="R1523" s="128"/>
      <c r="S1523" s="128"/>
      <c r="T1523" s="128"/>
      <c r="U1523" s="128"/>
      <c r="V1523" s="129"/>
      <c r="W1523" s="129"/>
      <c r="X1523" s="129"/>
      <c r="Y1523" s="129"/>
      <c r="Z1523" s="145" t="b">
        <v>0</v>
      </c>
      <c r="AA1523" s="145"/>
      <c r="AB1523" s="129"/>
      <c r="AC1523" s="129"/>
      <c r="AD1523" s="129"/>
      <c r="AE1523" s="129"/>
      <c r="AF1523" s="132"/>
      <c r="AG1523" s="128" t="b">
        <v>0</v>
      </c>
      <c r="AH1523" s="128"/>
      <c r="AI1523" s="128"/>
      <c r="AJ1523" s="128"/>
      <c r="AK1523" s="128"/>
      <c r="AL1523" s="129"/>
      <c r="AM1523" s="129"/>
      <c r="AN1523" s="139"/>
    </row>
    <row r="1524">
      <c r="A1524" s="129"/>
      <c r="B1524" s="119"/>
      <c r="C1524" s="128"/>
      <c r="D1524" s="142"/>
      <c r="E1524" s="122"/>
      <c r="F1524" s="136"/>
      <c r="G1524" s="152"/>
      <c r="H1524" s="155"/>
      <c r="I1524" s="155"/>
      <c r="J1524" s="155"/>
      <c r="K1524" s="155"/>
      <c r="L1524" s="155"/>
      <c r="M1524" s="126"/>
      <c r="N1524" s="127"/>
      <c r="O1524" s="127"/>
      <c r="P1524" s="127"/>
      <c r="Q1524" s="126"/>
      <c r="R1524" s="128"/>
      <c r="S1524" s="128"/>
      <c r="T1524" s="128"/>
      <c r="U1524" s="128"/>
      <c r="V1524" s="129"/>
      <c r="W1524" s="129"/>
      <c r="X1524" s="129"/>
      <c r="Y1524" s="129"/>
      <c r="Z1524" s="145" t="b">
        <v>0</v>
      </c>
      <c r="AA1524" s="145"/>
      <c r="AB1524" s="129"/>
      <c r="AC1524" s="129"/>
      <c r="AD1524" s="129"/>
      <c r="AE1524" s="129"/>
      <c r="AF1524" s="132"/>
      <c r="AG1524" s="128" t="b">
        <v>0</v>
      </c>
      <c r="AH1524" s="128"/>
      <c r="AI1524" s="128"/>
      <c r="AJ1524" s="128"/>
      <c r="AK1524" s="128"/>
      <c r="AL1524" s="129"/>
      <c r="AM1524" s="129"/>
      <c r="AN1524" s="139"/>
    </row>
    <row r="1525">
      <c r="A1525" s="129"/>
      <c r="B1525" s="119"/>
      <c r="C1525" s="128"/>
      <c r="D1525" s="142"/>
      <c r="E1525" s="122"/>
      <c r="F1525" s="136"/>
      <c r="G1525" s="152"/>
      <c r="H1525" s="155"/>
      <c r="I1525" s="155"/>
      <c r="J1525" s="155"/>
      <c r="K1525" s="155"/>
      <c r="L1525" s="155"/>
      <c r="M1525" s="126"/>
      <c r="N1525" s="127"/>
      <c r="O1525" s="127"/>
      <c r="P1525" s="127"/>
      <c r="Q1525" s="126"/>
      <c r="R1525" s="128"/>
      <c r="S1525" s="128"/>
      <c r="T1525" s="128"/>
      <c r="U1525" s="128"/>
      <c r="V1525" s="129"/>
      <c r="W1525" s="129"/>
      <c r="X1525" s="129"/>
      <c r="Y1525" s="129"/>
      <c r="Z1525" s="145" t="b">
        <v>0</v>
      </c>
      <c r="AA1525" s="145"/>
      <c r="AB1525" s="129"/>
      <c r="AC1525" s="129"/>
      <c r="AD1525" s="129"/>
      <c r="AE1525" s="129"/>
      <c r="AF1525" s="132"/>
      <c r="AG1525" s="128" t="b">
        <v>0</v>
      </c>
      <c r="AH1525" s="128"/>
      <c r="AI1525" s="128"/>
      <c r="AJ1525" s="128"/>
      <c r="AK1525" s="128"/>
      <c r="AL1525" s="129"/>
      <c r="AM1525" s="129"/>
      <c r="AN1525" s="139"/>
    </row>
    <row r="1526">
      <c r="A1526" s="129"/>
      <c r="B1526" s="119"/>
      <c r="C1526" s="128"/>
      <c r="D1526" s="142"/>
      <c r="E1526" s="122"/>
      <c r="F1526" s="136"/>
      <c r="G1526" s="152"/>
      <c r="H1526" s="155"/>
      <c r="I1526" s="155"/>
      <c r="J1526" s="155"/>
      <c r="K1526" s="155"/>
      <c r="L1526" s="155"/>
      <c r="M1526" s="126"/>
      <c r="N1526" s="127"/>
      <c r="O1526" s="127"/>
      <c r="P1526" s="127"/>
      <c r="Q1526" s="126"/>
      <c r="R1526" s="128"/>
      <c r="S1526" s="128"/>
      <c r="T1526" s="128"/>
      <c r="U1526" s="128"/>
      <c r="V1526" s="129"/>
      <c r="W1526" s="129"/>
      <c r="X1526" s="129"/>
      <c r="Y1526" s="129"/>
      <c r="Z1526" s="145" t="b">
        <v>0</v>
      </c>
      <c r="AA1526" s="145"/>
      <c r="AB1526" s="129"/>
      <c r="AC1526" s="129"/>
      <c r="AD1526" s="129"/>
      <c r="AE1526" s="129"/>
      <c r="AF1526" s="132"/>
      <c r="AG1526" s="128" t="b">
        <v>0</v>
      </c>
      <c r="AH1526" s="128"/>
      <c r="AI1526" s="128"/>
      <c r="AJ1526" s="128"/>
      <c r="AK1526" s="128"/>
      <c r="AL1526" s="129"/>
      <c r="AM1526" s="129"/>
      <c r="AN1526" s="139"/>
    </row>
    <row r="1527">
      <c r="A1527" s="129"/>
      <c r="B1527" s="119"/>
      <c r="C1527" s="128"/>
      <c r="D1527" s="142"/>
      <c r="E1527" s="122"/>
      <c r="F1527" s="136"/>
      <c r="G1527" s="152"/>
      <c r="H1527" s="155"/>
      <c r="I1527" s="155"/>
      <c r="J1527" s="155"/>
      <c r="K1527" s="155"/>
      <c r="L1527" s="155"/>
      <c r="M1527" s="126"/>
      <c r="N1527" s="127"/>
      <c r="O1527" s="127"/>
      <c r="P1527" s="127"/>
      <c r="Q1527" s="126"/>
      <c r="R1527" s="128"/>
      <c r="S1527" s="128"/>
      <c r="T1527" s="128"/>
      <c r="U1527" s="128"/>
      <c r="V1527" s="129"/>
      <c r="W1527" s="129"/>
      <c r="X1527" s="129"/>
      <c r="Y1527" s="129"/>
      <c r="Z1527" s="145" t="b">
        <v>0</v>
      </c>
      <c r="AA1527" s="145"/>
      <c r="AB1527" s="129"/>
      <c r="AC1527" s="129"/>
      <c r="AD1527" s="129"/>
      <c r="AE1527" s="129"/>
      <c r="AF1527" s="132"/>
      <c r="AG1527" s="128" t="b">
        <v>0</v>
      </c>
      <c r="AH1527" s="128"/>
      <c r="AI1527" s="128"/>
      <c r="AJ1527" s="128"/>
      <c r="AK1527" s="128"/>
      <c r="AL1527" s="129"/>
      <c r="AM1527" s="129"/>
      <c r="AN1527" s="139"/>
    </row>
    <row r="1528">
      <c r="A1528" s="129"/>
      <c r="B1528" s="119"/>
      <c r="C1528" s="128"/>
      <c r="D1528" s="142"/>
      <c r="E1528" s="122"/>
      <c r="F1528" s="136"/>
      <c r="G1528" s="152"/>
      <c r="H1528" s="155"/>
      <c r="I1528" s="155"/>
      <c r="J1528" s="155"/>
      <c r="K1528" s="155"/>
      <c r="L1528" s="155"/>
      <c r="M1528" s="126"/>
      <c r="N1528" s="127"/>
      <c r="O1528" s="127"/>
      <c r="P1528" s="127"/>
      <c r="Q1528" s="126"/>
      <c r="R1528" s="128"/>
      <c r="S1528" s="128"/>
      <c r="T1528" s="128"/>
      <c r="U1528" s="128"/>
      <c r="V1528" s="129"/>
      <c r="W1528" s="129"/>
      <c r="X1528" s="129"/>
      <c r="Y1528" s="129"/>
      <c r="Z1528" s="145" t="b">
        <v>0</v>
      </c>
      <c r="AA1528" s="145"/>
      <c r="AB1528" s="129"/>
      <c r="AC1528" s="129"/>
      <c r="AD1528" s="129"/>
      <c r="AE1528" s="129"/>
      <c r="AF1528" s="132"/>
      <c r="AG1528" s="128" t="b">
        <v>0</v>
      </c>
      <c r="AH1528" s="128"/>
      <c r="AI1528" s="128"/>
      <c r="AJ1528" s="128"/>
      <c r="AK1528" s="128"/>
      <c r="AL1528" s="129"/>
      <c r="AM1528" s="129"/>
      <c r="AN1528" s="139"/>
    </row>
    <row r="1529">
      <c r="A1529" s="129"/>
      <c r="B1529" s="119"/>
      <c r="C1529" s="128"/>
      <c r="D1529" s="142"/>
      <c r="E1529" s="122"/>
      <c r="F1529" s="136"/>
      <c r="G1529" s="152"/>
      <c r="H1529" s="155"/>
      <c r="I1529" s="155"/>
      <c r="J1529" s="155"/>
      <c r="K1529" s="155"/>
      <c r="L1529" s="155"/>
      <c r="M1529" s="126"/>
      <c r="N1529" s="127"/>
      <c r="O1529" s="127"/>
      <c r="P1529" s="127"/>
      <c r="Q1529" s="126"/>
      <c r="R1529" s="128"/>
      <c r="S1529" s="128"/>
      <c r="T1529" s="128"/>
      <c r="U1529" s="128"/>
      <c r="V1529" s="129"/>
      <c r="W1529" s="129"/>
      <c r="X1529" s="129"/>
      <c r="Y1529" s="129"/>
      <c r="Z1529" s="145" t="b">
        <v>0</v>
      </c>
      <c r="AA1529" s="145"/>
      <c r="AB1529" s="129"/>
      <c r="AC1529" s="129"/>
      <c r="AD1529" s="129"/>
      <c r="AE1529" s="129"/>
      <c r="AF1529" s="132"/>
      <c r="AG1529" s="128" t="b">
        <v>0</v>
      </c>
      <c r="AH1529" s="128"/>
      <c r="AI1529" s="128"/>
      <c r="AJ1529" s="128"/>
      <c r="AK1529" s="128"/>
      <c r="AL1529" s="129"/>
      <c r="AM1529" s="129"/>
      <c r="AN1529" s="139"/>
    </row>
    <row r="1530">
      <c r="A1530" s="129"/>
      <c r="B1530" s="119"/>
      <c r="C1530" s="128"/>
      <c r="D1530" s="142"/>
      <c r="E1530" s="122"/>
      <c r="F1530" s="136"/>
      <c r="G1530" s="152"/>
      <c r="H1530" s="155"/>
      <c r="I1530" s="155"/>
      <c r="J1530" s="155"/>
      <c r="K1530" s="155"/>
      <c r="L1530" s="155"/>
      <c r="M1530" s="126"/>
      <c r="N1530" s="127"/>
      <c r="O1530" s="127"/>
      <c r="P1530" s="127"/>
      <c r="Q1530" s="126"/>
      <c r="R1530" s="128"/>
      <c r="S1530" s="128"/>
      <c r="T1530" s="128"/>
      <c r="U1530" s="128"/>
      <c r="V1530" s="129"/>
      <c r="W1530" s="129"/>
      <c r="X1530" s="129"/>
      <c r="Y1530" s="129"/>
      <c r="Z1530" s="145" t="b">
        <v>0</v>
      </c>
      <c r="AA1530" s="145"/>
      <c r="AB1530" s="129"/>
      <c r="AC1530" s="129"/>
      <c r="AD1530" s="129"/>
      <c r="AE1530" s="129"/>
      <c r="AF1530" s="132"/>
      <c r="AG1530" s="128" t="b">
        <v>0</v>
      </c>
      <c r="AH1530" s="128"/>
      <c r="AI1530" s="128"/>
      <c r="AJ1530" s="128"/>
      <c r="AK1530" s="128"/>
      <c r="AL1530" s="129"/>
      <c r="AM1530" s="129"/>
      <c r="AN1530" s="139"/>
    </row>
    <row r="1531">
      <c r="A1531" s="129"/>
      <c r="B1531" s="119"/>
      <c r="C1531" s="128"/>
      <c r="D1531" s="142"/>
      <c r="E1531" s="122"/>
      <c r="F1531" s="136"/>
      <c r="G1531" s="152"/>
      <c r="H1531" s="155"/>
      <c r="I1531" s="155"/>
      <c r="J1531" s="155"/>
      <c r="K1531" s="155"/>
      <c r="L1531" s="155"/>
      <c r="M1531" s="126"/>
      <c r="N1531" s="127"/>
      <c r="O1531" s="127"/>
      <c r="P1531" s="127"/>
      <c r="Q1531" s="126"/>
      <c r="R1531" s="128"/>
      <c r="S1531" s="128"/>
      <c r="T1531" s="128"/>
      <c r="U1531" s="128"/>
      <c r="V1531" s="129"/>
      <c r="W1531" s="129"/>
      <c r="X1531" s="129"/>
      <c r="Y1531" s="129"/>
      <c r="Z1531" s="145" t="b">
        <v>0</v>
      </c>
      <c r="AA1531" s="145"/>
      <c r="AB1531" s="129"/>
      <c r="AC1531" s="129"/>
      <c r="AD1531" s="129"/>
      <c r="AE1531" s="129"/>
      <c r="AF1531" s="132"/>
      <c r="AG1531" s="128" t="b">
        <v>0</v>
      </c>
      <c r="AH1531" s="128"/>
      <c r="AI1531" s="128"/>
      <c r="AJ1531" s="128"/>
      <c r="AK1531" s="128"/>
      <c r="AL1531" s="129"/>
      <c r="AM1531" s="129"/>
      <c r="AN1531" s="139"/>
    </row>
    <row r="1532">
      <c r="A1532" s="129"/>
      <c r="B1532" s="119"/>
      <c r="C1532" s="128"/>
      <c r="D1532" s="142"/>
      <c r="E1532" s="122"/>
      <c r="F1532" s="136"/>
      <c r="G1532" s="152"/>
      <c r="H1532" s="155"/>
      <c r="I1532" s="155"/>
      <c r="J1532" s="155"/>
      <c r="K1532" s="155"/>
      <c r="L1532" s="155"/>
      <c r="M1532" s="126"/>
      <c r="N1532" s="127"/>
      <c r="O1532" s="127"/>
      <c r="P1532" s="127"/>
      <c r="Q1532" s="126"/>
      <c r="R1532" s="128"/>
      <c r="S1532" s="128"/>
      <c r="T1532" s="128"/>
      <c r="U1532" s="128"/>
      <c r="V1532" s="129"/>
      <c r="W1532" s="129"/>
      <c r="X1532" s="129"/>
      <c r="Y1532" s="129"/>
      <c r="Z1532" s="145" t="b">
        <v>0</v>
      </c>
      <c r="AA1532" s="145"/>
      <c r="AB1532" s="129"/>
      <c r="AC1532" s="129"/>
      <c r="AD1532" s="129"/>
      <c r="AE1532" s="129"/>
      <c r="AF1532" s="132"/>
      <c r="AG1532" s="128" t="b">
        <v>0</v>
      </c>
      <c r="AH1532" s="128"/>
      <c r="AI1532" s="128"/>
      <c r="AJ1532" s="128"/>
      <c r="AK1532" s="128"/>
      <c r="AL1532" s="129"/>
      <c r="AM1532" s="129"/>
      <c r="AN1532" s="139"/>
    </row>
    <row r="1533">
      <c r="A1533" s="129"/>
      <c r="B1533" s="119"/>
      <c r="C1533" s="128"/>
      <c r="D1533" s="142"/>
      <c r="E1533" s="122"/>
      <c r="F1533" s="136"/>
      <c r="G1533" s="152"/>
      <c r="H1533" s="155"/>
      <c r="I1533" s="155"/>
      <c r="J1533" s="155"/>
      <c r="K1533" s="155"/>
      <c r="L1533" s="155"/>
      <c r="M1533" s="126"/>
      <c r="N1533" s="127"/>
      <c r="O1533" s="127"/>
      <c r="P1533" s="127"/>
      <c r="Q1533" s="126"/>
      <c r="R1533" s="128"/>
      <c r="S1533" s="128"/>
      <c r="T1533" s="128"/>
      <c r="U1533" s="128"/>
      <c r="V1533" s="129"/>
      <c r="W1533" s="129"/>
      <c r="X1533" s="129"/>
      <c r="Y1533" s="129"/>
      <c r="Z1533" s="145" t="b">
        <v>0</v>
      </c>
      <c r="AA1533" s="145"/>
      <c r="AB1533" s="129"/>
      <c r="AC1533" s="129"/>
      <c r="AD1533" s="129"/>
      <c r="AE1533" s="129"/>
      <c r="AF1533" s="132"/>
      <c r="AG1533" s="128" t="b">
        <v>0</v>
      </c>
      <c r="AH1533" s="128"/>
      <c r="AI1533" s="128"/>
      <c r="AJ1533" s="128"/>
      <c r="AK1533" s="128"/>
      <c r="AL1533" s="129"/>
      <c r="AM1533" s="129"/>
      <c r="AN1533" s="139"/>
    </row>
    <row r="1534">
      <c r="A1534" s="129"/>
      <c r="B1534" s="119"/>
      <c r="C1534" s="128"/>
      <c r="D1534" s="142"/>
      <c r="E1534" s="122"/>
      <c r="F1534" s="136"/>
      <c r="G1534" s="152"/>
      <c r="H1534" s="155"/>
      <c r="I1534" s="155"/>
      <c r="J1534" s="155"/>
      <c r="K1534" s="155"/>
      <c r="L1534" s="155"/>
      <c r="M1534" s="126"/>
      <c r="N1534" s="127"/>
      <c r="O1534" s="127"/>
      <c r="P1534" s="127"/>
      <c r="Q1534" s="126"/>
      <c r="R1534" s="128"/>
      <c r="S1534" s="128"/>
      <c r="T1534" s="128"/>
      <c r="U1534" s="128"/>
      <c r="V1534" s="129"/>
      <c r="W1534" s="129"/>
      <c r="X1534" s="129"/>
      <c r="Y1534" s="129"/>
      <c r="Z1534" s="145" t="b">
        <v>0</v>
      </c>
      <c r="AA1534" s="145"/>
      <c r="AB1534" s="129"/>
      <c r="AC1534" s="129"/>
      <c r="AD1534" s="129"/>
      <c r="AE1534" s="129"/>
      <c r="AF1534" s="132"/>
      <c r="AG1534" s="128" t="b">
        <v>0</v>
      </c>
      <c r="AH1534" s="128"/>
      <c r="AI1534" s="128"/>
      <c r="AJ1534" s="128"/>
      <c r="AK1534" s="128"/>
      <c r="AL1534" s="129"/>
      <c r="AM1534" s="129"/>
      <c r="AN1534" s="139"/>
    </row>
    <row r="1535">
      <c r="A1535" s="129"/>
      <c r="B1535" s="119"/>
      <c r="C1535" s="128"/>
      <c r="D1535" s="142"/>
      <c r="E1535" s="122"/>
      <c r="F1535" s="136"/>
      <c r="G1535" s="152"/>
      <c r="H1535" s="155"/>
      <c r="I1535" s="155"/>
      <c r="J1535" s="155"/>
      <c r="K1535" s="155"/>
      <c r="L1535" s="155"/>
      <c r="M1535" s="126"/>
      <c r="N1535" s="127"/>
      <c r="O1535" s="127"/>
      <c r="P1535" s="127"/>
      <c r="Q1535" s="126"/>
      <c r="R1535" s="128"/>
      <c r="S1535" s="128"/>
      <c r="T1535" s="128"/>
      <c r="U1535" s="128"/>
      <c r="V1535" s="129"/>
      <c r="W1535" s="129"/>
      <c r="X1535" s="129"/>
      <c r="Y1535" s="129"/>
      <c r="Z1535" s="145" t="b">
        <v>0</v>
      </c>
      <c r="AA1535" s="145"/>
      <c r="AB1535" s="129"/>
      <c r="AC1535" s="129"/>
      <c r="AD1535" s="129"/>
      <c r="AE1535" s="129"/>
      <c r="AF1535" s="132"/>
      <c r="AG1535" s="128" t="b">
        <v>0</v>
      </c>
      <c r="AH1535" s="128"/>
      <c r="AI1535" s="128"/>
      <c r="AJ1535" s="128"/>
      <c r="AK1535" s="128"/>
      <c r="AL1535" s="129"/>
      <c r="AM1535" s="129"/>
      <c r="AN1535" s="139"/>
    </row>
    <row r="1536">
      <c r="A1536" s="129"/>
      <c r="B1536" s="119"/>
      <c r="C1536" s="128"/>
      <c r="D1536" s="142"/>
      <c r="E1536" s="122"/>
      <c r="F1536" s="136"/>
      <c r="G1536" s="152"/>
      <c r="H1536" s="155"/>
      <c r="I1536" s="155"/>
      <c r="J1536" s="155"/>
      <c r="K1536" s="155"/>
      <c r="L1536" s="155"/>
      <c r="M1536" s="126"/>
      <c r="N1536" s="127"/>
      <c r="O1536" s="127"/>
      <c r="P1536" s="127"/>
      <c r="Q1536" s="126"/>
      <c r="R1536" s="128"/>
      <c r="S1536" s="128"/>
      <c r="T1536" s="128"/>
      <c r="U1536" s="128"/>
      <c r="V1536" s="129"/>
      <c r="W1536" s="129"/>
      <c r="X1536" s="129"/>
      <c r="Y1536" s="129"/>
      <c r="Z1536" s="145" t="b">
        <v>0</v>
      </c>
      <c r="AA1536" s="145"/>
      <c r="AB1536" s="129"/>
      <c r="AC1536" s="129"/>
      <c r="AD1536" s="129"/>
      <c r="AE1536" s="129"/>
      <c r="AF1536" s="132"/>
      <c r="AG1536" s="128" t="b">
        <v>0</v>
      </c>
      <c r="AH1536" s="128"/>
      <c r="AI1536" s="128"/>
      <c r="AJ1536" s="128"/>
      <c r="AK1536" s="128"/>
      <c r="AL1536" s="129"/>
      <c r="AM1536" s="129"/>
      <c r="AN1536" s="139"/>
    </row>
    <row r="1537">
      <c r="A1537" s="129"/>
      <c r="B1537" s="119"/>
      <c r="C1537" s="128"/>
      <c r="D1537" s="142"/>
      <c r="E1537" s="122"/>
      <c r="F1537" s="136"/>
      <c r="G1537" s="152"/>
      <c r="H1537" s="155"/>
      <c r="I1537" s="155"/>
      <c r="J1537" s="155"/>
      <c r="K1537" s="155"/>
      <c r="L1537" s="155"/>
      <c r="M1537" s="126"/>
      <c r="N1537" s="127"/>
      <c r="O1537" s="127"/>
      <c r="P1537" s="127"/>
      <c r="Q1537" s="126"/>
      <c r="R1537" s="128"/>
      <c r="S1537" s="128"/>
      <c r="T1537" s="128"/>
      <c r="U1537" s="128"/>
      <c r="V1537" s="129"/>
      <c r="W1537" s="129"/>
      <c r="X1537" s="129"/>
      <c r="Y1537" s="129"/>
      <c r="Z1537" s="145" t="b">
        <v>0</v>
      </c>
      <c r="AA1537" s="145"/>
      <c r="AB1537" s="129"/>
      <c r="AC1537" s="129"/>
      <c r="AD1537" s="129"/>
      <c r="AE1537" s="129"/>
      <c r="AF1537" s="132"/>
      <c r="AG1537" s="128" t="b">
        <v>0</v>
      </c>
      <c r="AH1537" s="128"/>
      <c r="AI1537" s="128"/>
      <c r="AJ1537" s="128"/>
      <c r="AK1537" s="128"/>
      <c r="AL1537" s="129"/>
      <c r="AM1537" s="129"/>
      <c r="AN1537" s="139"/>
    </row>
    <row r="1538">
      <c r="A1538" s="129"/>
      <c r="B1538" s="119"/>
      <c r="C1538" s="128"/>
      <c r="D1538" s="142"/>
      <c r="E1538" s="122"/>
      <c r="F1538" s="136"/>
      <c r="G1538" s="152"/>
      <c r="H1538" s="155"/>
      <c r="I1538" s="155"/>
      <c r="J1538" s="155"/>
      <c r="K1538" s="155"/>
      <c r="L1538" s="155"/>
      <c r="M1538" s="126"/>
      <c r="N1538" s="127"/>
      <c r="O1538" s="127"/>
      <c r="P1538" s="127"/>
      <c r="Q1538" s="126"/>
      <c r="R1538" s="128"/>
      <c r="S1538" s="128"/>
      <c r="T1538" s="128"/>
      <c r="U1538" s="128"/>
      <c r="V1538" s="129"/>
      <c r="W1538" s="129"/>
      <c r="X1538" s="129"/>
      <c r="Y1538" s="129"/>
      <c r="Z1538" s="145" t="b">
        <v>0</v>
      </c>
      <c r="AA1538" s="145"/>
      <c r="AB1538" s="129"/>
      <c r="AC1538" s="129"/>
      <c r="AD1538" s="129"/>
      <c r="AE1538" s="129"/>
      <c r="AF1538" s="132"/>
      <c r="AG1538" s="128" t="b">
        <v>0</v>
      </c>
      <c r="AH1538" s="128"/>
      <c r="AI1538" s="128"/>
      <c r="AJ1538" s="128"/>
      <c r="AK1538" s="128"/>
      <c r="AL1538" s="129"/>
      <c r="AM1538" s="129"/>
      <c r="AN1538" s="139"/>
    </row>
    <row r="1539">
      <c r="A1539" s="129"/>
      <c r="B1539" s="119"/>
      <c r="C1539" s="128"/>
      <c r="D1539" s="142"/>
      <c r="E1539" s="122"/>
      <c r="F1539" s="136"/>
      <c r="G1539" s="152"/>
      <c r="H1539" s="155"/>
      <c r="I1539" s="155"/>
      <c r="J1539" s="155"/>
      <c r="K1539" s="155"/>
      <c r="L1539" s="155"/>
      <c r="M1539" s="126"/>
      <c r="N1539" s="127"/>
      <c r="O1539" s="127"/>
      <c r="P1539" s="127"/>
      <c r="Q1539" s="126"/>
      <c r="R1539" s="128"/>
      <c r="S1539" s="128"/>
      <c r="T1539" s="128"/>
      <c r="U1539" s="128"/>
      <c r="V1539" s="129"/>
      <c r="W1539" s="129"/>
      <c r="X1539" s="129"/>
      <c r="Y1539" s="129"/>
      <c r="Z1539" s="145" t="b">
        <v>0</v>
      </c>
      <c r="AA1539" s="145"/>
      <c r="AB1539" s="129"/>
      <c r="AC1539" s="129"/>
      <c r="AD1539" s="129"/>
      <c r="AE1539" s="129"/>
      <c r="AF1539" s="132"/>
      <c r="AG1539" s="128" t="b">
        <v>0</v>
      </c>
      <c r="AH1539" s="128"/>
      <c r="AI1539" s="128"/>
      <c r="AJ1539" s="128"/>
      <c r="AK1539" s="128"/>
      <c r="AL1539" s="129"/>
      <c r="AM1539" s="129"/>
      <c r="AN1539" s="139"/>
    </row>
    <row r="1540">
      <c r="A1540" s="129"/>
      <c r="B1540" s="119"/>
      <c r="C1540" s="128"/>
      <c r="D1540" s="142"/>
      <c r="E1540" s="122"/>
      <c r="F1540" s="136"/>
      <c r="G1540" s="152"/>
      <c r="H1540" s="155"/>
      <c r="I1540" s="155"/>
      <c r="J1540" s="155"/>
      <c r="K1540" s="155"/>
      <c r="L1540" s="155"/>
      <c r="M1540" s="126"/>
      <c r="N1540" s="127"/>
      <c r="O1540" s="127"/>
      <c r="P1540" s="127"/>
      <c r="Q1540" s="126"/>
      <c r="R1540" s="128"/>
      <c r="S1540" s="128"/>
      <c r="T1540" s="128"/>
      <c r="U1540" s="128"/>
      <c r="V1540" s="129"/>
      <c r="W1540" s="129"/>
      <c r="X1540" s="129"/>
      <c r="Y1540" s="129"/>
      <c r="Z1540" s="145" t="b">
        <v>0</v>
      </c>
      <c r="AA1540" s="145"/>
      <c r="AB1540" s="129"/>
      <c r="AC1540" s="129"/>
      <c r="AD1540" s="129"/>
      <c r="AE1540" s="129"/>
      <c r="AF1540" s="132"/>
      <c r="AG1540" s="128" t="b">
        <v>0</v>
      </c>
      <c r="AH1540" s="128"/>
      <c r="AI1540" s="128"/>
      <c r="AJ1540" s="128"/>
      <c r="AK1540" s="128"/>
      <c r="AL1540" s="129"/>
      <c r="AM1540" s="129"/>
      <c r="AN1540" s="139"/>
    </row>
    <row r="1541">
      <c r="A1541" s="129"/>
      <c r="B1541" s="119"/>
      <c r="C1541" s="128"/>
      <c r="D1541" s="142"/>
      <c r="E1541" s="122"/>
      <c r="F1541" s="136"/>
      <c r="G1541" s="152"/>
      <c r="H1541" s="155"/>
      <c r="I1541" s="155"/>
      <c r="J1541" s="155"/>
      <c r="K1541" s="155"/>
      <c r="L1541" s="155"/>
      <c r="M1541" s="126"/>
      <c r="N1541" s="127"/>
      <c r="O1541" s="127"/>
      <c r="P1541" s="127"/>
      <c r="Q1541" s="126"/>
      <c r="R1541" s="128"/>
      <c r="S1541" s="128"/>
      <c r="T1541" s="128"/>
      <c r="U1541" s="128"/>
      <c r="V1541" s="129"/>
      <c r="W1541" s="129"/>
      <c r="X1541" s="129"/>
      <c r="Y1541" s="129"/>
      <c r="Z1541" s="145" t="b">
        <v>0</v>
      </c>
      <c r="AA1541" s="145"/>
      <c r="AB1541" s="129"/>
      <c r="AC1541" s="129"/>
      <c r="AD1541" s="129"/>
      <c r="AE1541" s="129"/>
      <c r="AF1541" s="132"/>
      <c r="AG1541" s="128" t="b">
        <v>0</v>
      </c>
      <c r="AH1541" s="128"/>
      <c r="AI1541" s="128"/>
      <c r="AJ1541" s="128"/>
      <c r="AK1541" s="128"/>
      <c r="AL1541" s="129"/>
      <c r="AM1541" s="129"/>
      <c r="AN1541" s="139"/>
    </row>
    <row r="1542">
      <c r="A1542" s="129"/>
      <c r="B1542" s="119"/>
      <c r="C1542" s="128"/>
      <c r="D1542" s="142"/>
      <c r="E1542" s="122"/>
      <c r="F1542" s="136"/>
      <c r="G1542" s="152"/>
      <c r="H1542" s="155"/>
      <c r="I1542" s="155"/>
      <c r="J1542" s="155"/>
      <c r="K1542" s="155"/>
      <c r="L1542" s="155"/>
      <c r="M1542" s="126"/>
      <c r="N1542" s="127"/>
      <c r="O1542" s="127"/>
      <c r="P1542" s="127"/>
      <c r="Q1542" s="126"/>
      <c r="R1542" s="128"/>
      <c r="S1542" s="128"/>
      <c r="T1542" s="128"/>
      <c r="U1542" s="128"/>
      <c r="V1542" s="129"/>
      <c r="W1542" s="129"/>
      <c r="X1542" s="129"/>
      <c r="Y1542" s="129"/>
      <c r="Z1542" s="145" t="b">
        <v>0</v>
      </c>
      <c r="AA1542" s="145"/>
      <c r="AB1542" s="129"/>
      <c r="AC1542" s="129"/>
      <c r="AD1542" s="129"/>
      <c r="AE1542" s="129"/>
      <c r="AF1542" s="132"/>
      <c r="AG1542" s="128" t="b">
        <v>0</v>
      </c>
      <c r="AH1542" s="128"/>
      <c r="AI1542" s="128"/>
      <c r="AJ1542" s="128"/>
      <c r="AK1542" s="128"/>
      <c r="AL1542" s="129"/>
      <c r="AM1542" s="129"/>
      <c r="AN1542" s="139"/>
    </row>
    <row r="1543">
      <c r="A1543" s="129"/>
      <c r="B1543" s="119"/>
      <c r="C1543" s="128"/>
      <c r="D1543" s="142"/>
      <c r="E1543" s="122"/>
      <c r="F1543" s="136"/>
      <c r="G1543" s="152"/>
      <c r="H1543" s="155"/>
      <c r="I1543" s="155"/>
      <c r="J1543" s="155"/>
      <c r="K1543" s="155"/>
      <c r="L1543" s="155"/>
      <c r="M1543" s="126"/>
      <c r="N1543" s="127"/>
      <c r="O1543" s="127"/>
      <c r="P1543" s="127"/>
      <c r="Q1543" s="126"/>
      <c r="R1543" s="128"/>
      <c r="S1543" s="128"/>
      <c r="T1543" s="128"/>
      <c r="U1543" s="128"/>
      <c r="V1543" s="129"/>
      <c r="W1543" s="129"/>
      <c r="X1543" s="129"/>
      <c r="Y1543" s="129"/>
      <c r="Z1543" s="145" t="b">
        <v>0</v>
      </c>
      <c r="AA1543" s="145"/>
      <c r="AB1543" s="129"/>
      <c r="AC1543" s="129"/>
      <c r="AD1543" s="129"/>
      <c r="AE1543" s="129"/>
      <c r="AF1543" s="132"/>
      <c r="AG1543" s="128" t="b">
        <v>0</v>
      </c>
      <c r="AH1543" s="128"/>
      <c r="AI1543" s="128"/>
      <c r="AJ1543" s="128"/>
      <c r="AK1543" s="128"/>
      <c r="AL1543" s="129"/>
      <c r="AM1543" s="129"/>
      <c r="AN1543" s="139"/>
    </row>
    <row r="1544">
      <c r="A1544" s="129"/>
      <c r="B1544" s="119"/>
      <c r="C1544" s="128"/>
      <c r="D1544" s="142"/>
      <c r="E1544" s="122"/>
      <c r="F1544" s="136"/>
      <c r="G1544" s="152"/>
      <c r="H1544" s="155"/>
      <c r="I1544" s="155"/>
      <c r="J1544" s="155"/>
      <c r="K1544" s="155"/>
      <c r="L1544" s="155"/>
      <c r="M1544" s="126"/>
      <c r="N1544" s="127"/>
      <c r="O1544" s="127"/>
      <c r="P1544" s="127"/>
      <c r="Q1544" s="126"/>
      <c r="R1544" s="128"/>
      <c r="S1544" s="128"/>
      <c r="T1544" s="128"/>
      <c r="U1544" s="128"/>
      <c r="V1544" s="129"/>
      <c r="W1544" s="129"/>
      <c r="X1544" s="129"/>
      <c r="Y1544" s="129"/>
      <c r="Z1544" s="145" t="b">
        <v>0</v>
      </c>
      <c r="AA1544" s="145"/>
      <c r="AB1544" s="129"/>
      <c r="AC1544" s="129"/>
      <c r="AD1544" s="129"/>
      <c r="AE1544" s="129"/>
      <c r="AF1544" s="132"/>
      <c r="AG1544" s="128" t="b">
        <v>0</v>
      </c>
      <c r="AH1544" s="128"/>
      <c r="AI1544" s="128"/>
      <c r="AJ1544" s="128"/>
      <c r="AK1544" s="128"/>
      <c r="AL1544" s="129"/>
      <c r="AM1544" s="129"/>
      <c r="AN1544" s="139"/>
    </row>
    <row r="1545">
      <c r="A1545" s="129"/>
      <c r="B1545" s="119"/>
      <c r="C1545" s="128"/>
      <c r="D1545" s="142"/>
      <c r="E1545" s="122"/>
      <c r="F1545" s="136"/>
      <c r="G1545" s="152"/>
      <c r="H1545" s="155"/>
      <c r="I1545" s="155"/>
      <c r="J1545" s="155"/>
      <c r="K1545" s="155"/>
      <c r="L1545" s="155"/>
      <c r="M1545" s="126"/>
      <c r="N1545" s="127"/>
      <c r="O1545" s="127"/>
      <c r="P1545" s="127"/>
      <c r="Q1545" s="126"/>
      <c r="R1545" s="128"/>
      <c r="S1545" s="128"/>
      <c r="T1545" s="128"/>
      <c r="U1545" s="128"/>
      <c r="V1545" s="129"/>
      <c r="W1545" s="129"/>
      <c r="X1545" s="129"/>
      <c r="Y1545" s="129"/>
      <c r="Z1545" s="145" t="b">
        <v>0</v>
      </c>
      <c r="AA1545" s="145"/>
      <c r="AB1545" s="129"/>
      <c r="AC1545" s="129"/>
      <c r="AD1545" s="129"/>
      <c r="AE1545" s="129"/>
      <c r="AF1545" s="132"/>
      <c r="AG1545" s="128" t="b">
        <v>0</v>
      </c>
      <c r="AH1545" s="128"/>
      <c r="AI1545" s="128"/>
      <c r="AJ1545" s="128"/>
      <c r="AK1545" s="128"/>
      <c r="AL1545" s="129"/>
      <c r="AM1545" s="129"/>
      <c r="AN1545" s="139"/>
    </row>
    <row r="1546">
      <c r="A1546" s="129"/>
      <c r="B1546" s="119"/>
      <c r="C1546" s="128"/>
      <c r="D1546" s="142"/>
      <c r="E1546" s="122"/>
      <c r="F1546" s="136"/>
      <c r="G1546" s="152"/>
      <c r="H1546" s="155"/>
      <c r="I1546" s="155"/>
      <c r="J1546" s="155"/>
      <c r="K1546" s="155"/>
      <c r="L1546" s="155"/>
      <c r="M1546" s="126"/>
      <c r="N1546" s="127"/>
      <c r="O1546" s="127"/>
      <c r="P1546" s="127"/>
      <c r="Q1546" s="126"/>
      <c r="R1546" s="128"/>
      <c r="S1546" s="128"/>
      <c r="T1546" s="128"/>
      <c r="U1546" s="128"/>
      <c r="V1546" s="129"/>
      <c r="W1546" s="129"/>
      <c r="X1546" s="129"/>
      <c r="Y1546" s="129"/>
      <c r="Z1546" s="145" t="b">
        <v>0</v>
      </c>
      <c r="AA1546" s="145"/>
      <c r="AB1546" s="129"/>
      <c r="AC1546" s="129"/>
      <c r="AD1546" s="129"/>
      <c r="AE1546" s="129"/>
      <c r="AF1546" s="132"/>
      <c r="AG1546" s="128" t="b">
        <v>0</v>
      </c>
      <c r="AH1546" s="128"/>
      <c r="AI1546" s="128"/>
      <c r="AJ1546" s="128"/>
      <c r="AK1546" s="128"/>
      <c r="AL1546" s="129"/>
      <c r="AM1546" s="129"/>
      <c r="AN1546" s="139"/>
    </row>
    <row r="1547">
      <c r="A1547" s="129"/>
      <c r="B1547" s="119"/>
      <c r="C1547" s="128"/>
      <c r="D1547" s="142"/>
      <c r="E1547" s="122"/>
      <c r="F1547" s="136"/>
      <c r="G1547" s="152"/>
      <c r="H1547" s="155"/>
      <c r="I1547" s="155"/>
      <c r="J1547" s="155"/>
      <c r="K1547" s="155"/>
      <c r="L1547" s="155"/>
      <c r="M1547" s="126"/>
      <c r="N1547" s="127"/>
      <c r="O1547" s="127"/>
      <c r="P1547" s="127"/>
      <c r="Q1547" s="126"/>
      <c r="R1547" s="128"/>
      <c r="S1547" s="128"/>
      <c r="T1547" s="128"/>
      <c r="U1547" s="128"/>
      <c r="V1547" s="129"/>
      <c r="W1547" s="129"/>
      <c r="X1547" s="129"/>
      <c r="Y1547" s="129"/>
      <c r="Z1547" s="145" t="b">
        <v>0</v>
      </c>
      <c r="AA1547" s="145"/>
      <c r="AB1547" s="129"/>
      <c r="AC1547" s="129"/>
      <c r="AD1547" s="129"/>
      <c r="AE1547" s="129"/>
      <c r="AF1547" s="132"/>
      <c r="AG1547" s="128" t="b">
        <v>0</v>
      </c>
      <c r="AH1547" s="128"/>
      <c r="AI1547" s="128"/>
      <c r="AJ1547" s="128"/>
      <c r="AK1547" s="128"/>
      <c r="AL1547" s="129"/>
      <c r="AM1547" s="129"/>
      <c r="AN1547" s="139"/>
    </row>
    <row r="1548">
      <c r="A1548" s="129"/>
      <c r="B1548" s="119"/>
      <c r="C1548" s="128"/>
      <c r="D1548" s="142"/>
      <c r="E1548" s="122"/>
      <c r="F1548" s="136"/>
      <c r="G1548" s="152"/>
      <c r="H1548" s="155"/>
      <c r="I1548" s="155"/>
      <c r="J1548" s="155"/>
      <c r="K1548" s="155"/>
      <c r="L1548" s="155"/>
      <c r="M1548" s="126"/>
      <c r="N1548" s="127"/>
      <c r="O1548" s="127"/>
      <c r="P1548" s="127"/>
      <c r="Q1548" s="126"/>
      <c r="R1548" s="128"/>
      <c r="S1548" s="128"/>
      <c r="T1548" s="128"/>
      <c r="U1548" s="128"/>
      <c r="V1548" s="129"/>
      <c r="W1548" s="129"/>
      <c r="X1548" s="129"/>
      <c r="Y1548" s="129"/>
      <c r="Z1548" s="145" t="b">
        <v>0</v>
      </c>
      <c r="AA1548" s="145"/>
      <c r="AB1548" s="129"/>
      <c r="AC1548" s="129"/>
      <c r="AD1548" s="129"/>
      <c r="AE1548" s="129"/>
      <c r="AF1548" s="132"/>
      <c r="AG1548" s="128" t="b">
        <v>0</v>
      </c>
      <c r="AH1548" s="128"/>
      <c r="AI1548" s="128"/>
      <c r="AJ1548" s="128"/>
      <c r="AK1548" s="128"/>
      <c r="AL1548" s="129"/>
      <c r="AM1548" s="129"/>
      <c r="AN1548" s="139"/>
    </row>
    <row r="1549">
      <c r="A1549" s="129"/>
      <c r="B1549" s="119"/>
      <c r="C1549" s="128"/>
      <c r="D1549" s="142"/>
      <c r="E1549" s="122"/>
      <c r="F1549" s="136"/>
      <c r="G1549" s="152"/>
      <c r="H1549" s="155"/>
      <c r="I1549" s="155"/>
      <c r="J1549" s="155"/>
      <c r="K1549" s="155"/>
      <c r="L1549" s="155"/>
      <c r="M1549" s="126"/>
      <c r="N1549" s="127"/>
      <c r="O1549" s="127"/>
      <c r="P1549" s="127"/>
      <c r="Q1549" s="126"/>
      <c r="R1549" s="128"/>
      <c r="S1549" s="128"/>
      <c r="T1549" s="128"/>
      <c r="U1549" s="128"/>
      <c r="V1549" s="129"/>
      <c r="W1549" s="129"/>
      <c r="X1549" s="129"/>
      <c r="Y1549" s="129"/>
      <c r="Z1549" s="145" t="b">
        <v>0</v>
      </c>
      <c r="AA1549" s="145"/>
      <c r="AB1549" s="129"/>
      <c r="AC1549" s="129"/>
      <c r="AD1549" s="129"/>
      <c r="AE1549" s="129"/>
      <c r="AF1549" s="132"/>
      <c r="AG1549" s="128" t="b">
        <v>0</v>
      </c>
      <c r="AH1549" s="128"/>
      <c r="AI1549" s="128"/>
      <c r="AJ1549" s="128"/>
      <c r="AK1549" s="128"/>
      <c r="AL1549" s="129"/>
      <c r="AM1549" s="129"/>
      <c r="AN1549" s="139"/>
    </row>
    <row r="1550">
      <c r="A1550" s="129"/>
      <c r="B1550" s="119"/>
      <c r="C1550" s="128"/>
      <c r="D1550" s="142"/>
      <c r="E1550" s="122"/>
      <c r="F1550" s="136"/>
      <c r="G1550" s="152"/>
      <c r="H1550" s="155"/>
      <c r="I1550" s="155"/>
      <c r="J1550" s="155"/>
      <c r="K1550" s="155"/>
      <c r="L1550" s="155"/>
      <c r="M1550" s="126"/>
      <c r="N1550" s="127"/>
      <c r="O1550" s="127"/>
      <c r="P1550" s="127"/>
      <c r="Q1550" s="126"/>
      <c r="R1550" s="128"/>
      <c r="S1550" s="128"/>
      <c r="T1550" s="128"/>
      <c r="U1550" s="128"/>
      <c r="V1550" s="129"/>
      <c r="W1550" s="129"/>
      <c r="X1550" s="129"/>
      <c r="Y1550" s="129"/>
      <c r="Z1550" s="145" t="b">
        <v>0</v>
      </c>
      <c r="AA1550" s="145"/>
      <c r="AB1550" s="129"/>
      <c r="AC1550" s="129"/>
      <c r="AD1550" s="129"/>
      <c r="AE1550" s="129"/>
      <c r="AF1550" s="132"/>
      <c r="AG1550" s="128" t="b">
        <v>0</v>
      </c>
      <c r="AH1550" s="128"/>
      <c r="AI1550" s="128"/>
      <c r="AJ1550" s="128"/>
      <c r="AK1550" s="128"/>
      <c r="AL1550" s="129"/>
      <c r="AM1550" s="129"/>
      <c r="AN1550" s="139"/>
    </row>
    <row r="1551">
      <c r="A1551" s="129"/>
      <c r="B1551" s="119"/>
      <c r="C1551" s="128"/>
      <c r="D1551" s="142"/>
      <c r="E1551" s="122"/>
      <c r="F1551" s="136"/>
      <c r="G1551" s="152"/>
      <c r="H1551" s="155"/>
      <c r="I1551" s="155"/>
      <c r="J1551" s="155"/>
      <c r="K1551" s="155"/>
      <c r="L1551" s="155"/>
      <c r="M1551" s="126"/>
      <c r="N1551" s="127"/>
      <c r="O1551" s="127"/>
      <c r="P1551" s="127"/>
      <c r="Q1551" s="126"/>
      <c r="R1551" s="128"/>
      <c r="S1551" s="128"/>
      <c r="T1551" s="128"/>
      <c r="U1551" s="128"/>
      <c r="V1551" s="129"/>
      <c r="W1551" s="129"/>
      <c r="X1551" s="129"/>
      <c r="Y1551" s="129"/>
      <c r="Z1551" s="145" t="b">
        <v>0</v>
      </c>
      <c r="AA1551" s="145"/>
      <c r="AB1551" s="129"/>
      <c r="AC1551" s="129"/>
      <c r="AD1551" s="129"/>
      <c r="AE1551" s="129"/>
      <c r="AF1551" s="132"/>
      <c r="AG1551" s="128" t="b">
        <v>0</v>
      </c>
      <c r="AH1551" s="128"/>
      <c r="AI1551" s="128"/>
      <c r="AJ1551" s="128"/>
      <c r="AK1551" s="128"/>
      <c r="AL1551" s="129"/>
      <c r="AM1551" s="129"/>
      <c r="AN1551" s="139"/>
    </row>
    <row r="1552">
      <c r="A1552" s="129"/>
      <c r="B1552" s="119"/>
      <c r="C1552" s="128"/>
      <c r="D1552" s="142"/>
      <c r="E1552" s="122"/>
      <c r="F1552" s="136"/>
      <c r="G1552" s="152"/>
      <c r="H1552" s="155"/>
      <c r="I1552" s="155"/>
      <c r="J1552" s="155"/>
      <c r="K1552" s="155"/>
      <c r="L1552" s="155"/>
      <c r="M1552" s="126"/>
      <c r="N1552" s="127"/>
      <c r="O1552" s="127"/>
      <c r="P1552" s="127"/>
      <c r="Q1552" s="126"/>
      <c r="R1552" s="128"/>
      <c r="S1552" s="128"/>
      <c r="T1552" s="128"/>
      <c r="U1552" s="128"/>
      <c r="V1552" s="129"/>
      <c r="W1552" s="129"/>
      <c r="X1552" s="129"/>
      <c r="Y1552" s="129"/>
      <c r="Z1552" s="145" t="b">
        <v>0</v>
      </c>
      <c r="AA1552" s="145"/>
      <c r="AB1552" s="129"/>
      <c r="AC1552" s="129"/>
      <c r="AD1552" s="129"/>
      <c r="AE1552" s="129"/>
      <c r="AF1552" s="132"/>
      <c r="AG1552" s="128" t="b">
        <v>0</v>
      </c>
      <c r="AH1552" s="128"/>
      <c r="AI1552" s="128"/>
      <c r="AJ1552" s="128"/>
      <c r="AK1552" s="128"/>
      <c r="AL1552" s="129"/>
      <c r="AM1552" s="129"/>
      <c r="AN1552" s="139"/>
    </row>
    <row r="1553">
      <c r="A1553" s="129"/>
      <c r="B1553" s="119"/>
      <c r="C1553" s="128"/>
      <c r="D1553" s="142"/>
      <c r="E1553" s="122"/>
      <c r="F1553" s="136"/>
      <c r="G1553" s="152"/>
      <c r="H1553" s="155"/>
      <c r="I1553" s="155"/>
      <c r="J1553" s="155"/>
      <c r="K1553" s="155"/>
      <c r="L1553" s="155"/>
      <c r="M1553" s="126"/>
      <c r="N1553" s="127"/>
      <c r="O1553" s="127"/>
      <c r="P1553" s="127"/>
      <c r="Q1553" s="126"/>
      <c r="R1553" s="128"/>
      <c r="S1553" s="128"/>
      <c r="T1553" s="128"/>
      <c r="U1553" s="128"/>
      <c r="V1553" s="129"/>
      <c r="W1553" s="129"/>
      <c r="X1553" s="129"/>
      <c r="Y1553" s="129"/>
      <c r="Z1553" s="145" t="b">
        <v>0</v>
      </c>
      <c r="AA1553" s="145"/>
      <c r="AB1553" s="129"/>
      <c r="AC1553" s="129"/>
      <c r="AD1553" s="129"/>
      <c r="AE1553" s="129"/>
      <c r="AF1553" s="132"/>
      <c r="AG1553" s="128" t="b">
        <v>0</v>
      </c>
      <c r="AH1553" s="128"/>
      <c r="AI1553" s="128"/>
      <c r="AJ1553" s="128"/>
      <c r="AK1553" s="128"/>
      <c r="AL1553" s="129"/>
      <c r="AM1553" s="129"/>
      <c r="AN1553" s="139"/>
    </row>
    <row r="1554">
      <c r="A1554" s="129"/>
      <c r="B1554" s="119"/>
      <c r="C1554" s="128"/>
      <c r="D1554" s="142"/>
      <c r="E1554" s="122"/>
      <c r="F1554" s="136"/>
      <c r="G1554" s="152"/>
      <c r="H1554" s="155"/>
      <c r="I1554" s="155"/>
      <c r="J1554" s="155"/>
      <c r="K1554" s="155"/>
      <c r="L1554" s="155"/>
      <c r="M1554" s="126"/>
      <c r="N1554" s="127"/>
      <c r="O1554" s="127"/>
      <c r="P1554" s="127"/>
      <c r="Q1554" s="126"/>
      <c r="R1554" s="128"/>
      <c r="S1554" s="128"/>
      <c r="T1554" s="128"/>
      <c r="U1554" s="128"/>
      <c r="V1554" s="129"/>
      <c r="W1554" s="129"/>
      <c r="X1554" s="129"/>
      <c r="Y1554" s="129"/>
      <c r="Z1554" s="145" t="b">
        <v>0</v>
      </c>
      <c r="AA1554" s="145"/>
      <c r="AB1554" s="129"/>
      <c r="AC1554" s="129"/>
      <c r="AD1554" s="129"/>
      <c r="AE1554" s="129"/>
      <c r="AF1554" s="132"/>
      <c r="AG1554" s="128" t="b">
        <v>0</v>
      </c>
      <c r="AH1554" s="128"/>
      <c r="AI1554" s="128"/>
      <c r="AJ1554" s="128"/>
      <c r="AK1554" s="128"/>
      <c r="AL1554" s="129"/>
      <c r="AM1554" s="129"/>
      <c r="AN1554" s="139"/>
    </row>
    <row r="1555">
      <c r="A1555" s="129"/>
      <c r="B1555" s="119"/>
      <c r="C1555" s="128"/>
      <c r="D1555" s="142"/>
      <c r="E1555" s="122"/>
      <c r="F1555" s="136"/>
      <c r="G1555" s="152"/>
      <c r="H1555" s="155"/>
      <c r="I1555" s="155"/>
      <c r="J1555" s="155"/>
      <c r="K1555" s="155"/>
      <c r="L1555" s="155"/>
      <c r="M1555" s="126"/>
      <c r="N1555" s="127"/>
      <c r="O1555" s="127"/>
      <c r="P1555" s="127"/>
      <c r="Q1555" s="126"/>
      <c r="R1555" s="128"/>
      <c r="S1555" s="128"/>
      <c r="T1555" s="128"/>
      <c r="U1555" s="128"/>
      <c r="V1555" s="129"/>
      <c r="W1555" s="129"/>
      <c r="X1555" s="129"/>
      <c r="Y1555" s="129"/>
      <c r="Z1555" s="145" t="b">
        <v>0</v>
      </c>
      <c r="AA1555" s="145"/>
      <c r="AB1555" s="129"/>
      <c r="AC1555" s="129"/>
      <c r="AD1555" s="129"/>
      <c r="AE1555" s="129"/>
      <c r="AF1555" s="132"/>
      <c r="AG1555" s="128" t="b">
        <v>0</v>
      </c>
      <c r="AH1555" s="128"/>
      <c r="AI1555" s="128"/>
      <c r="AJ1555" s="128"/>
      <c r="AK1555" s="128"/>
      <c r="AL1555" s="129"/>
      <c r="AM1555" s="129"/>
      <c r="AN1555" s="139"/>
    </row>
    <row r="1556">
      <c r="A1556" s="129"/>
      <c r="B1556" s="119"/>
      <c r="C1556" s="128"/>
      <c r="D1556" s="142"/>
      <c r="E1556" s="122"/>
      <c r="F1556" s="136"/>
      <c r="G1556" s="152"/>
      <c r="H1556" s="155"/>
      <c r="I1556" s="155"/>
      <c r="J1556" s="155"/>
      <c r="K1556" s="155"/>
      <c r="L1556" s="155"/>
      <c r="M1556" s="126"/>
      <c r="N1556" s="127"/>
      <c r="O1556" s="127"/>
      <c r="P1556" s="127"/>
      <c r="Q1556" s="126"/>
      <c r="R1556" s="128"/>
      <c r="S1556" s="128"/>
      <c r="T1556" s="128"/>
      <c r="U1556" s="128"/>
      <c r="V1556" s="129"/>
      <c r="W1556" s="129"/>
      <c r="X1556" s="129"/>
      <c r="Y1556" s="129"/>
      <c r="Z1556" s="145" t="b">
        <v>0</v>
      </c>
      <c r="AA1556" s="145"/>
      <c r="AB1556" s="129"/>
      <c r="AC1556" s="129"/>
      <c r="AD1556" s="129"/>
      <c r="AE1556" s="129"/>
      <c r="AF1556" s="132"/>
      <c r="AG1556" s="128" t="b">
        <v>0</v>
      </c>
      <c r="AH1556" s="128"/>
      <c r="AI1556" s="128"/>
      <c r="AJ1556" s="128"/>
      <c r="AK1556" s="128"/>
      <c r="AL1556" s="129"/>
      <c r="AM1556" s="129"/>
      <c r="AN1556" s="139"/>
    </row>
    <row r="1557">
      <c r="A1557" s="129"/>
      <c r="B1557" s="119"/>
      <c r="C1557" s="128"/>
      <c r="D1557" s="142"/>
      <c r="E1557" s="122"/>
      <c r="F1557" s="136"/>
      <c r="G1557" s="152"/>
      <c r="H1557" s="155"/>
      <c r="I1557" s="155"/>
      <c r="J1557" s="155"/>
      <c r="K1557" s="155"/>
      <c r="L1557" s="155"/>
      <c r="M1557" s="126"/>
      <c r="N1557" s="127"/>
      <c r="O1557" s="127"/>
      <c r="P1557" s="127"/>
      <c r="Q1557" s="126"/>
      <c r="R1557" s="128"/>
      <c r="S1557" s="128"/>
      <c r="T1557" s="128"/>
      <c r="U1557" s="128"/>
      <c r="V1557" s="129"/>
      <c r="W1557" s="129"/>
      <c r="X1557" s="129"/>
      <c r="Y1557" s="129"/>
      <c r="Z1557" s="145" t="b">
        <v>0</v>
      </c>
      <c r="AA1557" s="145"/>
      <c r="AB1557" s="129"/>
      <c r="AC1557" s="129"/>
      <c r="AD1557" s="129"/>
      <c r="AE1557" s="129"/>
      <c r="AF1557" s="132"/>
      <c r="AG1557" s="128" t="b">
        <v>0</v>
      </c>
      <c r="AH1557" s="128"/>
      <c r="AI1557" s="128"/>
      <c r="AJ1557" s="128"/>
      <c r="AK1557" s="128"/>
      <c r="AL1557" s="129"/>
      <c r="AM1557" s="129"/>
      <c r="AN1557" s="139"/>
    </row>
    <row r="1558">
      <c r="A1558" s="129"/>
      <c r="B1558" s="119"/>
      <c r="C1558" s="128"/>
      <c r="D1558" s="142"/>
      <c r="E1558" s="122"/>
      <c r="F1558" s="136"/>
      <c r="G1558" s="152"/>
      <c r="H1558" s="155"/>
      <c r="I1558" s="155"/>
      <c r="J1558" s="155"/>
      <c r="K1558" s="155"/>
      <c r="L1558" s="155"/>
      <c r="M1558" s="126"/>
      <c r="N1558" s="127"/>
      <c r="O1558" s="127"/>
      <c r="P1558" s="127"/>
      <c r="Q1558" s="126"/>
      <c r="R1558" s="128"/>
      <c r="S1558" s="128"/>
      <c r="T1558" s="128"/>
      <c r="U1558" s="128"/>
      <c r="V1558" s="129"/>
      <c r="W1558" s="129"/>
      <c r="X1558" s="129"/>
      <c r="Y1558" s="129"/>
      <c r="Z1558" s="145" t="b">
        <v>0</v>
      </c>
      <c r="AA1558" s="145"/>
      <c r="AB1558" s="129"/>
      <c r="AC1558" s="129"/>
      <c r="AD1558" s="129"/>
      <c r="AE1558" s="129"/>
      <c r="AF1558" s="132"/>
      <c r="AG1558" s="128" t="b">
        <v>0</v>
      </c>
      <c r="AH1558" s="128"/>
      <c r="AI1558" s="128"/>
      <c r="AJ1558" s="128"/>
      <c r="AK1558" s="128"/>
      <c r="AL1558" s="129"/>
      <c r="AM1558" s="129"/>
      <c r="AN1558" s="139"/>
    </row>
    <row r="1559">
      <c r="A1559" s="129"/>
      <c r="B1559" s="119"/>
      <c r="C1559" s="128"/>
      <c r="D1559" s="142"/>
      <c r="E1559" s="122"/>
      <c r="F1559" s="136"/>
      <c r="G1559" s="152"/>
      <c r="H1559" s="155"/>
      <c r="I1559" s="155"/>
      <c r="J1559" s="155"/>
      <c r="K1559" s="155"/>
      <c r="L1559" s="155"/>
      <c r="M1559" s="126"/>
      <c r="N1559" s="127"/>
      <c r="O1559" s="127"/>
      <c r="P1559" s="127"/>
      <c r="Q1559" s="126"/>
      <c r="R1559" s="128"/>
      <c r="S1559" s="128"/>
      <c r="T1559" s="128"/>
      <c r="U1559" s="128"/>
      <c r="V1559" s="129"/>
      <c r="W1559" s="129"/>
      <c r="X1559" s="129"/>
      <c r="Y1559" s="129"/>
      <c r="Z1559" s="145" t="b">
        <v>0</v>
      </c>
      <c r="AA1559" s="145"/>
      <c r="AB1559" s="129"/>
      <c r="AC1559" s="129"/>
      <c r="AD1559" s="129"/>
      <c r="AE1559" s="129"/>
      <c r="AF1559" s="132"/>
      <c r="AG1559" s="128" t="b">
        <v>0</v>
      </c>
      <c r="AH1559" s="128"/>
      <c r="AI1559" s="128"/>
      <c r="AJ1559" s="128"/>
      <c r="AK1559" s="128"/>
      <c r="AL1559" s="129"/>
      <c r="AM1559" s="129"/>
      <c r="AN1559" s="139"/>
    </row>
    <row r="1560">
      <c r="A1560" s="129"/>
      <c r="B1560" s="119"/>
      <c r="C1560" s="128"/>
      <c r="D1560" s="142"/>
      <c r="E1560" s="122"/>
      <c r="F1560" s="136"/>
      <c r="G1560" s="152"/>
      <c r="H1560" s="155"/>
      <c r="I1560" s="155"/>
      <c r="J1560" s="155"/>
      <c r="K1560" s="155"/>
      <c r="L1560" s="155"/>
      <c r="M1560" s="126"/>
      <c r="N1560" s="127"/>
      <c r="O1560" s="127"/>
      <c r="P1560" s="127"/>
      <c r="Q1560" s="126"/>
      <c r="R1560" s="128"/>
      <c r="S1560" s="128"/>
      <c r="T1560" s="128"/>
      <c r="U1560" s="128"/>
      <c r="V1560" s="129"/>
      <c r="W1560" s="129"/>
      <c r="X1560" s="129"/>
      <c r="Y1560" s="129"/>
      <c r="Z1560" s="145" t="b">
        <v>0</v>
      </c>
      <c r="AA1560" s="145"/>
      <c r="AB1560" s="129"/>
      <c r="AC1560" s="129"/>
      <c r="AD1560" s="129"/>
      <c r="AE1560" s="129"/>
      <c r="AF1560" s="132"/>
      <c r="AG1560" s="128" t="b">
        <v>0</v>
      </c>
      <c r="AH1560" s="128"/>
      <c r="AI1560" s="128"/>
      <c r="AJ1560" s="128"/>
      <c r="AK1560" s="128"/>
      <c r="AL1560" s="129"/>
      <c r="AM1560" s="129"/>
      <c r="AN1560" s="139"/>
    </row>
    <row r="1561">
      <c r="A1561" s="129"/>
      <c r="B1561" s="119"/>
      <c r="C1561" s="128"/>
      <c r="D1561" s="142"/>
      <c r="E1561" s="122"/>
      <c r="F1561" s="136"/>
      <c r="G1561" s="152"/>
      <c r="H1561" s="155"/>
      <c r="I1561" s="155"/>
      <c r="J1561" s="155"/>
      <c r="K1561" s="155"/>
      <c r="L1561" s="155"/>
      <c r="M1561" s="126"/>
      <c r="N1561" s="127"/>
      <c r="O1561" s="127"/>
      <c r="P1561" s="127"/>
      <c r="Q1561" s="126"/>
      <c r="R1561" s="128"/>
      <c r="S1561" s="128"/>
      <c r="T1561" s="128"/>
      <c r="U1561" s="128"/>
      <c r="V1561" s="129"/>
      <c r="W1561" s="129"/>
      <c r="X1561" s="129"/>
      <c r="Y1561" s="129"/>
      <c r="Z1561" s="145" t="b">
        <v>0</v>
      </c>
      <c r="AA1561" s="145"/>
      <c r="AB1561" s="129"/>
      <c r="AC1561" s="129"/>
      <c r="AD1561" s="129"/>
      <c r="AE1561" s="129"/>
      <c r="AF1561" s="132"/>
      <c r="AG1561" s="128" t="b">
        <v>0</v>
      </c>
      <c r="AH1561" s="128"/>
      <c r="AI1561" s="128"/>
      <c r="AJ1561" s="128"/>
      <c r="AK1561" s="128"/>
      <c r="AL1561" s="129"/>
      <c r="AM1561" s="129"/>
      <c r="AN1561" s="139"/>
    </row>
    <row r="1562">
      <c r="A1562" s="129"/>
      <c r="B1562" s="119"/>
      <c r="C1562" s="128"/>
      <c r="D1562" s="142"/>
      <c r="E1562" s="122"/>
      <c r="F1562" s="136"/>
      <c r="G1562" s="152"/>
      <c r="H1562" s="155"/>
      <c r="I1562" s="155"/>
      <c r="J1562" s="155"/>
      <c r="K1562" s="155"/>
      <c r="L1562" s="155"/>
      <c r="M1562" s="126"/>
      <c r="N1562" s="127"/>
      <c r="O1562" s="127"/>
      <c r="P1562" s="127"/>
      <c r="Q1562" s="126"/>
      <c r="R1562" s="128"/>
      <c r="S1562" s="128"/>
      <c r="T1562" s="128"/>
      <c r="U1562" s="128"/>
      <c r="V1562" s="129"/>
      <c r="W1562" s="129"/>
      <c r="X1562" s="129"/>
      <c r="Y1562" s="129"/>
      <c r="Z1562" s="145" t="b">
        <v>0</v>
      </c>
      <c r="AA1562" s="145"/>
      <c r="AB1562" s="129"/>
      <c r="AC1562" s="129"/>
      <c r="AD1562" s="129"/>
      <c r="AE1562" s="129"/>
      <c r="AF1562" s="132"/>
      <c r="AG1562" s="128" t="b">
        <v>0</v>
      </c>
      <c r="AH1562" s="128"/>
      <c r="AI1562" s="128"/>
      <c r="AJ1562" s="128"/>
      <c r="AK1562" s="128"/>
      <c r="AL1562" s="129"/>
      <c r="AM1562" s="129"/>
      <c r="AN1562" s="139"/>
    </row>
    <row r="1563">
      <c r="A1563" s="129"/>
      <c r="B1563" s="119"/>
      <c r="C1563" s="128"/>
      <c r="D1563" s="142"/>
      <c r="E1563" s="122"/>
      <c r="F1563" s="136"/>
      <c r="G1563" s="152"/>
      <c r="H1563" s="155"/>
      <c r="I1563" s="155"/>
      <c r="J1563" s="155"/>
      <c r="K1563" s="155"/>
      <c r="L1563" s="155"/>
      <c r="M1563" s="126"/>
      <c r="N1563" s="127"/>
      <c r="O1563" s="127"/>
      <c r="P1563" s="127"/>
      <c r="Q1563" s="126"/>
      <c r="R1563" s="128"/>
      <c r="S1563" s="128"/>
      <c r="T1563" s="128"/>
      <c r="U1563" s="128"/>
      <c r="V1563" s="129"/>
      <c r="W1563" s="129"/>
      <c r="X1563" s="129"/>
      <c r="Y1563" s="129"/>
      <c r="Z1563" s="145" t="b">
        <v>0</v>
      </c>
      <c r="AA1563" s="145"/>
      <c r="AB1563" s="129"/>
      <c r="AC1563" s="129"/>
      <c r="AD1563" s="129"/>
      <c r="AE1563" s="129"/>
      <c r="AF1563" s="132"/>
      <c r="AG1563" s="128" t="b">
        <v>0</v>
      </c>
      <c r="AH1563" s="128"/>
      <c r="AI1563" s="128"/>
      <c r="AJ1563" s="128"/>
      <c r="AK1563" s="128"/>
      <c r="AL1563" s="129"/>
      <c r="AM1563" s="129"/>
      <c r="AN1563" s="139"/>
    </row>
    <row r="1564">
      <c r="A1564" s="129"/>
      <c r="B1564" s="119"/>
      <c r="C1564" s="128"/>
      <c r="D1564" s="142"/>
      <c r="E1564" s="122"/>
      <c r="F1564" s="136"/>
      <c r="G1564" s="152"/>
      <c r="H1564" s="155"/>
      <c r="I1564" s="155"/>
      <c r="J1564" s="155"/>
      <c r="K1564" s="155"/>
      <c r="L1564" s="155"/>
      <c r="M1564" s="126"/>
      <c r="N1564" s="127"/>
      <c r="O1564" s="127"/>
      <c r="P1564" s="127"/>
      <c r="Q1564" s="126"/>
      <c r="R1564" s="128"/>
      <c r="S1564" s="128"/>
      <c r="T1564" s="128"/>
      <c r="U1564" s="128"/>
      <c r="V1564" s="129"/>
      <c r="W1564" s="129"/>
      <c r="X1564" s="129"/>
      <c r="Y1564" s="129"/>
      <c r="Z1564" s="145" t="b">
        <v>0</v>
      </c>
      <c r="AA1564" s="145"/>
      <c r="AB1564" s="129"/>
      <c r="AC1564" s="129"/>
      <c r="AD1564" s="129"/>
      <c r="AE1564" s="129"/>
      <c r="AF1564" s="132"/>
      <c r="AG1564" s="128" t="b">
        <v>0</v>
      </c>
      <c r="AH1564" s="128"/>
      <c r="AI1564" s="128"/>
      <c r="AJ1564" s="128"/>
      <c r="AK1564" s="128"/>
      <c r="AL1564" s="129"/>
      <c r="AM1564" s="129"/>
      <c r="AN1564" s="139"/>
    </row>
    <row r="1565">
      <c r="A1565" s="129"/>
      <c r="B1565" s="119"/>
      <c r="C1565" s="128"/>
      <c r="D1565" s="142"/>
      <c r="E1565" s="122"/>
      <c r="F1565" s="136"/>
      <c r="G1565" s="152"/>
      <c r="H1565" s="155"/>
      <c r="I1565" s="155"/>
      <c r="J1565" s="155"/>
      <c r="K1565" s="155"/>
      <c r="L1565" s="155"/>
      <c r="M1565" s="126"/>
      <c r="N1565" s="127"/>
      <c r="O1565" s="127"/>
      <c r="P1565" s="127"/>
      <c r="Q1565" s="126"/>
      <c r="R1565" s="128"/>
      <c r="S1565" s="128"/>
      <c r="T1565" s="128"/>
      <c r="U1565" s="128"/>
      <c r="V1565" s="129"/>
      <c r="W1565" s="129"/>
      <c r="X1565" s="129"/>
      <c r="Y1565" s="129"/>
      <c r="Z1565" s="145" t="b">
        <v>0</v>
      </c>
      <c r="AA1565" s="145"/>
      <c r="AB1565" s="129"/>
      <c r="AC1565" s="129"/>
      <c r="AD1565" s="129"/>
      <c r="AE1565" s="129"/>
      <c r="AF1565" s="132"/>
      <c r="AG1565" s="128" t="b">
        <v>0</v>
      </c>
      <c r="AH1565" s="128"/>
      <c r="AI1565" s="128"/>
      <c r="AJ1565" s="128"/>
      <c r="AK1565" s="128"/>
      <c r="AL1565" s="129"/>
      <c r="AM1565" s="129"/>
      <c r="AN1565" s="139"/>
    </row>
    <row r="1566">
      <c r="A1566" s="129"/>
      <c r="B1566" s="119"/>
      <c r="C1566" s="128"/>
      <c r="D1566" s="142"/>
      <c r="E1566" s="122"/>
      <c r="F1566" s="136"/>
      <c r="G1566" s="152"/>
      <c r="H1566" s="155"/>
      <c r="I1566" s="155"/>
      <c r="J1566" s="155"/>
      <c r="K1566" s="155"/>
      <c r="L1566" s="155"/>
      <c r="M1566" s="126"/>
      <c r="N1566" s="127"/>
      <c r="O1566" s="127"/>
      <c r="P1566" s="127"/>
      <c r="Q1566" s="126"/>
      <c r="R1566" s="128"/>
      <c r="S1566" s="128"/>
      <c r="T1566" s="128"/>
      <c r="U1566" s="128"/>
      <c r="V1566" s="129"/>
      <c r="W1566" s="129"/>
      <c r="X1566" s="129"/>
      <c r="Y1566" s="129"/>
      <c r="Z1566" s="145" t="b">
        <v>0</v>
      </c>
      <c r="AA1566" s="145"/>
      <c r="AB1566" s="129"/>
      <c r="AC1566" s="129"/>
      <c r="AD1566" s="129"/>
      <c r="AE1566" s="129"/>
      <c r="AF1566" s="132"/>
      <c r="AG1566" s="128" t="b">
        <v>0</v>
      </c>
      <c r="AH1566" s="128"/>
      <c r="AI1566" s="128"/>
      <c r="AJ1566" s="128"/>
      <c r="AK1566" s="128"/>
      <c r="AL1566" s="129"/>
      <c r="AM1566" s="129"/>
      <c r="AN1566" s="139"/>
    </row>
    <row r="1567">
      <c r="A1567" s="129"/>
      <c r="B1567" s="119"/>
      <c r="C1567" s="128"/>
      <c r="D1567" s="142"/>
      <c r="E1567" s="122"/>
      <c r="F1567" s="136"/>
      <c r="G1567" s="152"/>
      <c r="H1567" s="155"/>
      <c r="I1567" s="155"/>
      <c r="J1567" s="155"/>
      <c r="K1567" s="155"/>
      <c r="L1567" s="155"/>
      <c r="M1567" s="126"/>
      <c r="N1567" s="127"/>
      <c r="O1567" s="127"/>
      <c r="P1567" s="127"/>
      <c r="Q1567" s="126"/>
      <c r="R1567" s="128"/>
      <c r="S1567" s="128"/>
      <c r="T1567" s="128"/>
      <c r="U1567" s="128"/>
      <c r="V1567" s="129"/>
      <c r="W1567" s="129"/>
      <c r="X1567" s="129"/>
      <c r="Y1567" s="129"/>
      <c r="Z1567" s="145" t="b">
        <v>0</v>
      </c>
      <c r="AA1567" s="145"/>
      <c r="AB1567" s="129"/>
      <c r="AC1567" s="129"/>
      <c r="AD1567" s="129"/>
      <c r="AE1567" s="129"/>
      <c r="AF1567" s="132"/>
      <c r="AG1567" s="128" t="b">
        <v>0</v>
      </c>
      <c r="AH1567" s="128"/>
      <c r="AI1567" s="128"/>
      <c r="AJ1567" s="128"/>
      <c r="AK1567" s="128"/>
      <c r="AL1567" s="129"/>
      <c r="AM1567" s="129"/>
      <c r="AN1567" s="139"/>
    </row>
    <row r="1568">
      <c r="A1568" s="129"/>
      <c r="B1568" s="119"/>
      <c r="C1568" s="128"/>
      <c r="D1568" s="142"/>
      <c r="E1568" s="122"/>
      <c r="F1568" s="136"/>
      <c r="G1568" s="152"/>
      <c r="H1568" s="155"/>
      <c r="I1568" s="155"/>
      <c r="J1568" s="155"/>
      <c r="K1568" s="155"/>
      <c r="L1568" s="155"/>
      <c r="M1568" s="126"/>
      <c r="N1568" s="127"/>
      <c r="O1568" s="127"/>
      <c r="P1568" s="127"/>
      <c r="Q1568" s="126"/>
      <c r="R1568" s="128"/>
      <c r="S1568" s="128"/>
      <c r="T1568" s="128"/>
      <c r="U1568" s="128"/>
      <c r="V1568" s="129"/>
      <c r="W1568" s="129"/>
      <c r="X1568" s="129"/>
      <c r="Y1568" s="129"/>
      <c r="Z1568" s="145" t="b">
        <v>0</v>
      </c>
      <c r="AA1568" s="145"/>
      <c r="AB1568" s="129"/>
      <c r="AC1568" s="129"/>
      <c r="AD1568" s="129"/>
      <c r="AE1568" s="129"/>
      <c r="AF1568" s="132"/>
      <c r="AG1568" s="128" t="b">
        <v>0</v>
      </c>
      <c r="AH1568" s="128"/>
      <c r="AI1568" s="128"/>
      <c r="AJ1568" s="128"/>
      <c r="AK1568" s="128"/>
      <c r="AL1568" s="129"/>
      <c r="AM1568" s="129"/>
      <c r="AN1568" s="139"/>
    </row>
    <row r="1569">
      <c r="A1569" s="129"/>
      <c r="B1569" s="119"/>
      <c r="C1569" s="128"/>
      <c r="D1569" s="142"/>
      <c r="E1569" s="122"/>
      <c r="F1569" s="136"/>
      <c r="G1569" s="152"/>
      <c r="H1569" s="155"/>
      <c r="I1569" s="155"/>
      <c r="J1569" s="155"/>
      <c r="K1569" s="155"/>
      <c r="L1569" s="155"/>
      <c r="M1569" s="126"/>
      <c r="N1569" s="127"/>
      <c r="O1569" s="127"/>
      <c r="P1569" s="127"/>
      <c r="Q1569" s="126"/>
      <c r="R1569" s="128"/>
      <c r="S1569" s="128"/>
      <c r="T1569" s="128"/>
      <c r="U1569" s="128"/>
      <c r="V1569" s="129"/>
      <c r="W1569" s="129"/>
      <c r="X1569" s="129"/>
      <c r="Y1569" s="129"/>
      <c r="Z1569" s="145" t="b">
        <v>0</v>
      </c>
      <c r="AA1569" s="145"/>
      <c r="AB1569" s="129"/>
      <c r="AC1569" s="129"/>
      <c r="AD1569" s="129"/>
      <c r="AE1569" s="129"/>
      <c r="AF1569" s="132"/>
      <c r="AG1569" s="128" t="b">
        <v>0</v>
      </c>
      <c r="AH1569" s="128"/>
      <c r="AI1569" s="128"/>
      <c r="AJ1569" s="128"/>
      <c r="AK1569" s="128"/>
      <c r="AL1569" s="129"/>
      <c r="AM1569" s="129"/>
      <c r="AN1569" s="139"/>
    </row>
    <row r="1570">
      <c r="A1570" s="129"/>
      <c r="B1570" s="119"/>
      <c r="C1570" s="128"/>
      <c r="D1570" s="142"/>
      <c r="E1570" s="122"/>
      <c r="F1570" s="136"/>
      <c r="G1570" s="152"/>
      <c r="H1570" s="155"/>
      <c r="I1570" s="155"/>
      <c r="J1570" s="155"/>
      <c r="K1570" s="155"/>
      <c r="L1570" s="155"/>
      <c r="M1570" s="126"/>
      <c r="N1570" s="127"/>
      <c r="O1570" s="127"/>
      <c r="P1570" s="127"/>
      <c r="Q1570" s="126"/>
      <c r="R1570" s="128"/>
      <c r="S1570" s="128"/>
      <c r="T1570" s="128"/>
      <c r="U1570" s="128"/>
      <c r="V1570" s="129"/>
      <c r="W1570" s="129"/>
      <c r="X1570" s="129"/>
      <c r="Y1570" s="129"/>
      <c r="Z1570" s="145" t="b">
        <v>0</v>
      </c>
      <c r="AA1570" s="145"/>
      <c r="AB1570" s="129"/>
      <c r="AC1570" s="129"/>
      <c r="AD1570" s="129"/>
      <c r="AE1570" s="129"/>
      <c r="AF1570" s="132"/>
      <c r="AG1570" s="128" t="b">
        <v>0</v>
      </c>
      <c r="AH1570" s="128"/>
      <c r="AI1570" s="128"/>
      <c r="AJ1570" s="128"/>
      <c r="AK1570" s="128"/>
      <c r="AL1570" s="129"/>
      <c r="AM1570" s="129"/>
      <c r="AN1570" s="139"/>
    </row>
    <row r="1571">
      <c r="A1571" s="129"/>
      <c r="B1571" s="119"/>
      <c r="C1571" s="128"/>
      <c r="D1571" s="142"/>
      <c r="E1571" s="122"/>
      <c r="F1571" s="136"/>
      <c r="G1571" s="152"/>
      <c r="H1571" s="155"/>
      <c r="I1571" s="155"/>
      <c r="J1571" s="155"/>
      <c r="K1571" s="155"/>
      <c r="L1571" s="155"/>
      <c r="M1571" s="126"/>
      <c r="N1571" s="127"/>
      <c r="O1571" s="127"/>
      <c r="P1571" s="127"/>
      <c r="Q1571" s="126"/>
      <c r="R1571" s="128"/>
      <c r="S1571" s="128"/>
      <c r="T1571" s="128"/>
      <c r="U1571" s="128"/>
      <c r="V1571" s="129"/>
      <c r="W1571" s="129"/>
      <c r="X1571" s="129"/>
      <c r="Y1571" s="129"/>
      <c r="Z1571" s="145" t="b">
        <v>0</v>
      </c>
      <c r="AA1571" s="145"/>
      <c r="AB1571" s="129"/>
      <c r="AC1571" s="129"/>
      <c r="AD1571" s="129"/>
      <c r="AE1571" s="129"/>
      <c r="AF1571" s="132"/>
      <c r="AG1571" s="128" t="b">
        <v>0</v>
      </c>
      <c r="AH1571" s="128"/>
      <c r="AI1571" s="128"/>
      <c r="AJ1571" s="128"/>
      <c r="AK1571" s="128"/>
      <c r="AL1571" s="129"/>
      <c r="AM1571" s="129"/>
      <c r="AN1571" s="139"/>
    </row>
    <row r="1572">
      <c r="A1572" s="129"/>
      <c r="B1572" s="119"/>
      <c r="C1572" s="128"/>
      <c r="D1572" s="142"/>
      <c r="E1572" s="122"/>
      <c r="F1572" s="136"/>
      <c r="G1572" s="152"/>
      <c r="H1572" s="155"/>
      <c r="I1572" s="155"/>
      <c r="J1572" s="155"/>
      <c r="K1572" s="155"/>
      <c r="L1572" s="155"/>
      <c r="M1572" s="126"/>
      <c r="N1572" s="127"/>
      <c r="O1572" s="127"/>
      <c r="P1572" s="127"/>
      <c r="Q1572" s="126"/>
      <c r="R1572" s="128"/>
      <c r="S1572" s="128"/>
      <c r="T1572" s="128"/>
      <c r="U1572" s="128"/>
      <c r="V1572" s="129"/>
      <c r="W1572" s="129"/>
      <c r="X1572" s="129"/>
      <c r="Y1572" s="129"/>
      <c r="Z1572" s="145" t="b">
        <v>0</v>
      </c>
      <c r="AA1572" s="145"/>
      <c r="AB1572" s="129"/>
      <c r="AC1572" s="129"/>
      <c r="AD1572" s="129"/>
      <c r="AE1572" s="129"/>
      <c r="AF1572" s="132"/>
      <c r="AG1572" s="128" t="b">
        <v>0</v>
      </c>
      <c r="AH1572" s="128"/>
      <c r="AI1572" s="128"/>
      <c r="AJ1572" s="128"/>
      <c r="AK1572" s="128"/>
      <c r="AL1572" s="129"/>
      <c r="AM1572" s="129"/>
      <c r="AN1572" s="139"/>
    </row>
    <row r="1573">
      <c r="A1573" s="129"/>
      <c r="B1573" s="119"/>
      <c r="C1573" s="128"/>
      <c r="D1573" s="142"/>
      <c r="E1573" s="122"/>
      <c r="F1573" s="136"/>
      <c r="G1573" s="152"/>
      <c r="H1573" s="155"/>
      <c r="I1573" s="155"/>
      <c r="J1573" s="155"/>
      <c r="K1573" s="155"/>
      <c r="L1573" s="155"/>
      <c r="M1573" s="126"/>
      <c r="N1573" s="127"/>
      <c r="O1573" s="127"/>
      <c r="P1573" s="127"/>
      <c r="Q1573" s="126"/>
      <c r="R1573" s="128"/>
      <c r="S1573" s="128"/>
      <c r="T1573" s="128"/>
      <c r="U1573" s="128"/>
      <c r="V1573" s="129"/>
      <c r="W1573" s="129"/>
      <c r="X1573" s="129"/>
      <c r="Y1573" s="129"/>
      <c r="Z1573" s="145" t="b">
        <v>0</v>
      </c>
      <c r="AA1573" s="145"/>
      <c r="AB1573" s="129"/>
      <c r="AC1573" s="129"/>
      <c r="AD1573" s="129"/>
      <c r="AE1573" s="129"/>
      <c r="AF1573" s="132"/>
      <c r="AG1573" s="128" t="b">
        <v>0</v>
      </c>
      <c r="AH1573" s="128"/>
      <c r="AI1573" s="128"/>
      <c r="AJ1573" s="128"/>
      <c r="AK1573" s="128"/>
      <c r="AL1573" s="129"/>
      <c r="AM1573" s="129"/>
      <c r="AN1573" s="139"/>
    </row>
    <row r="1574">
      <c r="A1574" s="129"/>
      <c r="B1574" s="119"/>
      <c r="C1574" s="128"/>
      <c r="D1574" s="142"/>
      <c r="E1574" s="122"/>
      <c r="F1574" s="136"/>
      <c r="G1574" s="152"/>
      <c r="H1574" s="155"/>
      <c r="I1574" s="155"/>
      <c r="J1574" s="155"/>
      <c r="K1574" s="155"/>
      <c r="L1574" s="155"/>
      <c r="M1574" s="126"/>
      <c r="N1574" s="127"/>
      <c r="O1574" s="127"/>
      <c r="P1574" s="127"/>
      <c r="Q1574" s="126"/>
      <c r="R1574" s="128"/>
      <c r="S1574" s="128"/>
      <c r="T1574" s="128"/>
      <c r="U1574" s="128"/>
      <c r="V1574" s="129"/>
      <c r="W1574" s="129"/>
      <c r="X1574" s="129"/>
      <c r="Y1574" s="129"/>
      <c r="Z1574" s="145" t="b">
        <v>0</v>
      </c>
      <c r="AA1574" s="145"/>
      <c r="AB1574" s="129"/>
      <c r="AC1574" s="129"/>
      <c r="AD1574" s="129"/>
      <c r="AE1574" s="129"/>
      <c r="AF1574" s="132"/>
      <c r="AG1574" s="128" t="b">
        <v>0</v>
      </c>
      <c r="AH1574" s="128"/>
      <c r="AI1574" s="128"/>
      <c r="AJ1574" s="128"/>
      <c r="AK1574" s="128"/>
      <c r="AL1574" s="129"/>
      <c r="AM1574" s="129"/>
      <c r="AN1574" s="139"/>
    </row>
    <row r="1575">
      <c r="A1575" s="129"/>
      <c r="B1575" s="119"/>
      <c r="C1575" s="128"/>
      <c r="D1575" s="142"/>
      <c r="E1575" s="122"/>
      <c r="F1575" s="136"/>
      <c r="G1575" s="152"/>
      <c r="H1575" s="155"/>
      <c r="I1575" s="155"/>
      <c r="J1575" s="155"/>
      <c r="K1575" s="155"/>
      <c r="L1575" s="155"/>
      <c r="M1575" s="126"/>
      <c r="N1575" s="127"/>
      <c r="O1575" s="127"/>
      <c r="P1575" s="127"/>
      <c r="Q1575" s="126"/>
      <c r="R1575" s="128"/>
      <c r="S1575" s="128"/>
      <c r="T1575" s="128"/>
      <c r="U1575" s="128"/>
      <c r="V1575" s="129"/>
      <c r="W1575" s="129"/>
      <c r="X1575" s="129"/>
      <c r="Y1575" s="129"/>
      <c r="Z1575" s="145" t="b">
        <v>0</v>
      </c>
      <c r="AA1575" s="145"/>
      <c r="AB1575" s="129"/>
      <c r="AC1575" s="129"/>
      <c r="AD1575" s="129"/>
      <c r="AE1575" s="129"/>
      <c r="AF1575" s="132"/>
      <c r="AG1575" s="128" t="b">
        <v>0</v>
      </c>
      <c r="AH1575" s="128"/>
      <c r="AI1575" s="128"/>
      <c r="AJ1575" s="128"/>
      <c r="AK1575" s="128"/>
      <c r="AL1575" s="129"/>
      <c r="AM1575" s="129"/>
      <c r="AN1575" s="139"/>
    </row>
    <row r="1576">
      <c r="A1576" s="129"/>
      <c r="B1576" s="119"/>
      <c r="C1576" s="128"/>
      <c r="D1576" s="142"/>
      <c r="E1576" s="122"/>
      <c r="F1576" s="136"/>
      <c r="G1576" s="152"/>
      <c r="H1576" s="155"/>
      <c r="I1576" s="155"/>
      <c r="J1576" s="155"/>
      <c r="K1576" s="155"/>
      <c r="L1576" s="155"/>
      <c r="M1576" s="126"/>
      <c r="N1576" s="127"/>
      <c r="O1576" s="127"/>
      <c r="P1576" s="127"/>
      <c r="Q1576" s="126"/>
      <c r="R1576" s="128"/>
      <c r="S1576" s="128"/>
      <c r="T1576" s="128"/>
      <c r="U1576" s="128"/>
      <c r="V1576" s="129"/>
      <c r="W1576" s="129"/>
      <c r="X1576" s="129"/>
      <c r="Y1576" s="129"/>
      <c r="Z1576" s="145" t="b">
        <v>0</v>
      </c>
      <c r="AA1576" s="145"/>
      <c r="AB1576" s="129"/>
      <c r="AC1576" s="129"/>
      <c r="AD1576" s="129"/>
      <c r="AE1576" s="129"/>
      <c r="AF1576" s="132"/>
      <c r="AG1576" s="128" t="b">
        <v>0</v>
      </c>
      <c r="AH1576" s="128"/>
      <c r="AI1576" s="128"/>
      <c r="AJ1576" s="128"/>
      <c r="AK1576" s="128"/>
      <c r="AL1576" s="129"/>
      <c r="AM1576" s="129"/>
      <c r="AN1576" s="139"/>
    </row>
    <row r="1577">
      <c r="A1577" s="129"/>
      <c r="B1577" s="119"/>
      <c r="C1577" s="128"/>
      <c r="D1577" s="142"/>
      <c r="E1577" s="122"/>
      <c r="F1577" s="136"/>
      <c r="G1577" s="152"/>
      <c r="H1577" s="155"/>
      <c r="I1577" s="155"/>
      <c r="J1577" s="155"/>
      <c r="K1577" s="155"/>
      <c r="L1577" s="155"/>
      <c r="M1577" s="126"/>
      <c r="N1577" s="127"/>
      <c r="O1577" s="127"/>
      <c r="P1577" s="127"/>
      <c r="Q1577" s="126"/>
      <c r="R1577" s="128"/>
      <c r="S1577" s="128"/>
      <c r="T1577" s="128"/>
      <c r="U1577" s="128"/>
      <c r="V1577" s="129"/>
      <c r="W1577" s="129"/>
      <c r="X1577" s="129"/>
      <c r="Y1577" s="129"/>
      <c r="Z1577" s="145" t="b">
        <v>0</v>
      </c>
      <c r="AA1577" s="145"/>
      <c r="AB1577" s="129"/>
      <c r="AC1577" s="129"/>
      <c r="AD1577" s="129"/>
      <c r="AE1577" s="129"/>
      <c r="AF1577" s="132"/>
      <c r="AG1577" s="128" t="b">
        <v>0</v>
      </c>
      <c r="AH1577" s="128"/>
      <c r="AI1577" s="128"/>
      <c r="AJ1577" s="128"/>
      <c r="AK1577" s="128"/>
      <c r="AL1577" s="129"/>
      <c r="AM1577" s="129"/>
      <c r="AN1577" s="139"/>
    </row>
    <row r="1578">
      <c r="A1578" s="129"/>
      <c r="B1578" s="119"/>
      <c r="C1578" s="128"/>
      <c r="D1578" s="142"/>
      <c r="E1578" s="122"/>
      <c r="F1578" s="136"/>
      <c r="G1578" s="152"/>
      <c r="H1578" s="155"/>
      <c r="I1578" s="155"/>
      <c r="J1578" s="155"/>
      <c r="K1578" s="155"/>
      <c r="L1578" s="155"/>
      <c r="M1578" s="126"/>
      <c r="N1578" s="127"/>
      <c r="O1578" s="127"/>
      <c r="P1578" s="127"/>
      <c r="Q1578" s="126"/>
      <c r="R1578" s="128"/>
      <c r="S1578" s="128"/>
      <c r="T1578" s="128"/>
      <c r="U1578" s="128"/>
      <c r="V1578" s="129"/>
      <c r="W1578" s="129"/>
      <c r="X1578" s="129"/>
      <c r="Y1578" s="129"/>
      <c r="Z1578" s="145" t="b">
        <v>0</v>
      </c>
      <c r="AA1578" s="145"/>
      <c r="AB1578" s="129"/>
      <c r="AC1578" s="129"/>
      <c r="AD1578" s="129"/>
      <c r="AE1578" s="129"/>
      <c r="AF1578" s="132"/>
      <c r="AG1578" s="128" t="b">
        <v>0</v>
      </c>
      <c r="AH1578" s="128"/>
      <c r="AI1578" s="128"/>
      <c r="AJ1578" s="128"/>
      <c r="AK1578" s="128"/>
      <c r="AL1578" s="129"/>
      <c r="AM1578" s="129"/>
      <c r="AN1578" s="139"/>
    </row>
    <row r="1579">
      <c r="A1579" s="129"/>
      <c r="B1579" s="119"/>
      <c r="C1579" s="128"/>
      <c r="D1579" s="142"/>
      <c r="E1579" s="122"/>
      <c r="F1579" s="136"/>
      <c r="G1579" s="152"/>
      <c r="H1579" s="155"/>
      <c r="I1579" s="155"/>
      <c r="J1579" s="155"/>
      <c r="K1579" s="155"/>
      <c r="L1579" s="155"/>
      <c r="M1579" s="126"/>
      <c r="N1579" s="127"/>
      <c r="O1579" s="127"/>
      <c r="P1579" s="127"/>
      <c r="Q1579" s="126"/>
      <c r="R1579" s="128"/>
      <c r="S1579" s="128"/>
      <c r="T1579" s="128"/>
      <c r="U1579" s="128"/>
      <c r="V1579" s="129"/>
      <c r="W1579" s="129"/>
      <c r="X1579" s="129"/>
      <c r="Y1579" s="129"/>
      <c r="Z1579" s="145" t="b">
        <v>0</v>
      </c>
      <c r="AA1579" s="145"/>
      <c r="AB1579" s="129"/>
      <c r="AC1579" s="129"/>
      <c r="AD1579" s="129"/>
      <c r="AE1579" s="129"/>
      <c r="AF1579" s="132"/>
      <c r="AG1579" s="128" t="b">
        <v>0</v>
      </c>
      <c r="AH1579" s="128"/>
      <c r="AI1579" s="128"/>
      <c r="AJ1579" s="128"/>
      <c r="AK1579" s="128"/>
      <c r="AL1579" s="129"/>
      <c r="AM1579" s="129"/>
      <c r="AN1579" s="139"/>
    </row>
    <row r="1580">
      <c r="A1580" s="129"/>
      <c r="B1580" s="119"/>
      <c r="C1580" s="128"/>
      <c r="D1580" s="142"/>
      <c r="E1580" s="122"/>
      <c r="F1580" s="136"/>
      <c r="G1580" s="152"/>
      <c r="H1580" s="155"/>
      <c r="I1580" s="155"/>
      <c r="J1580" s="155"/>
      <c r="K1580" s="155"/>
      <c r="L1580" s="155"/>
      <c r="M1580" s="126"/>
      <c r="N1580" s="127"/>
      <c r="O1580" s="127"/>
      <c r="P1580" s="127"/>
      <c r="Q1580" s="126"/>
      <c r="R1580" s="128"/>
      <c r="S1580" s="128"/>
      <c r="T1580" s="128"/>
      <c r="U1580" s="128"/>
      <c r="V1580" s="129"/>
      <c r="W1580" s="129"/>
      <c r="X1580" s="129"/>
      <c r="Y1580" s="129"/>
      <c r="Z1580" s="145" t="b">
        <v>0</v>
      </c>
      <c r="AA1580" s="145"/>
      <c r="AB1580" s="129"/>
      <c r="AC1580" s="129"/>
      <c r="AD1580" s="129"/>
      <c r="AE1580" s="129"/>
      <c r="AF1580" s="132"/>
      <c r="AG1580" s="128" t="b">
        <v>0</v>
      </c>
      <c r="AH1580" s="128"/>
      <c r="AI1580" s="128"/>
      <c r="AJ1580" s="128"/>
      <c r="AK1580" s="128"/>
      <c r="AL1580" s="129"/>
      <c r="AM1580" s="129"/>
      <c r="AN1580" s="139"/>
    </row>
    <row r="1581">
      <c r="A1581" s="129"/>
      <c r="B1581" s="119"/>
      <c r="C1581" s="128"/>
      <c r="D1581" s="142"/>
      <c r="E1581" s="122"/>
      <c r="F1581" s="136"/>
      <c r="G1581" s="152"/>
      <c r="H1581" s="155"/>
      <c r="I1581" s="155"/>
      <c r="J1581" s="155"/>
      <c r="K1581" s="155"/>
      <c r="L1581" s="155"/>
      <c r="M1581" s="126"/>
      <c r="N1581" s="127"/>
      <c r="O1581" s="127"/>
      <c r="P1581" s="127"/>
      <c r="Q1581" s="126"/>
      <c r="R1581" s="128"/>
      <c r="S1581" s="128"/>
      <c r="T1581" s="128"/>
      <c r="U1581" s="128"/>
      <c r="V1581" s="129"/>
      <c r="W1581" s="129"/>
      <c r="X1581" s="129"/>
      <c r="Y1581" s="129"/>
      <c r="Z1581" s="145" t="b">
        <v>0</v>
      </c>
      <c r="AA1581" s="145"/>
      <c r="AB1581" s="129"/>
      <c r="AC1581" s="129"/>
      <c r="AD1581" s="129"/>
      <c r="AE1581" s="129"/>
      <c r="AF1581" s="132"/>
      <c r="AG1581" s="128" t="b">
        <v>0</v>
      </c>
      <c r="AH1581" s="128"/>
      <c r="AI1581" s="128"/>
      <c r="AJ1581" s="128"/>
      <c r="AK1581" s="128"/>
      <c r="AL1581" s="129"/>
      <c r="AM1581" s="129"/>
      <c r="AN1581" s="139"/>
    </row>
    <row r="1582">
      <c r="A1582" s="129"/>
      <c r="B1582" s="119"/>
      <c r="C1582" s="128"/>
      <c r="D1582" s="142"/>
      <c r="E1582" s="122"/>
      <c r="F1582" s="136"/>
      <c r="G1582" s="152"/>
      <c r="H1582" s="155"/>
      <c r="I1582" s="155"/>
      <c r="J1582" s="155"/>
      <c r="K1582" s="155"/>
      <c r="L1582" s="155"/>
      <c r="M1582" s="126"/>
      <c r="N1582" s="127"/>
      <c r="O1582" s="127"/>
      <c r="P1582" s="127"/>
      <c r="Q1582" s="126"/>
      <c r="R1582" s="128"/>
      <c r="S1582" s="128"/>
      <c r="T1582" s="128"/>
      <c r="U1582" s="128"/>
      <c r="V1582" s="129"/>
      <c r="W1582" s="129"/>
      <c r="X1582" s="129"/>
      <c r="Y1582" s="129"/>
      <c r="Z1582" s="145" t="b">
        <v>0</v>
      </c>
      <c r="AA1582" s="145"/>
      <c r="AB1582" s="129"/>
      <c r="AC1582" s="129"/>
      <c r="AD1582" s="129"/>
      <c r="AE1582" s="129"/>
      <c r="AF1582" s="132"/>
      <c r="AG1582" s="128" t="b">
        <v>0</v>
      </c>
      <c r="AH1582" s="128"/>
      <c r="AI1582" s="128"/>
      <c r="AJ1582" s="128"/>
      <c r="AK1582" s="128"/>
      <c r="AL1582" s="129"/>
      <c r="AM1582" s="129"/>
      <c r="AN1582" s="139"/>
    </row>
    <row r="1583">
      <c r="A1583" s="129"/>
      <c r="B1583" s="119"/>
      <c r="C1583" s="128"/>
      <c r="D1583" s="142"/>
      <c r="E1583" s="122"/>
      <c r="F1583" s="136"/>
      <c r="G1583" s="152"/>
      <c r="H1583" s="155"/>
      <c r="I1583" s="155"/>
      <c r="J1583" s="155"/>
      <c r="K1583" s="155"/>
      <c r="L1583" s="155"/>
      <c r="M1583" s="126"/>
      <c r="N1583" s="127"/>
      <c r="O1583" s="127"/>
      <c r="P1583" s="127"/>
      <c r="Q1583" s="126"/>
      <c r="R1583" s="128"/>
      <c r="S1583" s="128"/>
      <c r="T1583" s="128"/>
      <c r="U1583" s="128"/>
      <c r="V1583" s="129"/>
      <c r="W1583" s="129"/>
      <c r="X1583" s="129"/>
      <c r="Y1583" s="129"/>
      <c r="Z1583" s="145" t="b">
        <v>0</v>
      </c>
      <c r="AA1583" s="145"/>
      <c r="AB1583" s="129"/>
      <c r="AC1583" s="129"/>
      <c r="AD1583" s="129"/>
      <c r="AE1583" s="129"/>
      <c r="AF1583" s="132"/>
      <c r="AG1583" s="128" t="b">
        <v>0</v>
      </c>
      <c r="AH1583" s="128"/>
      <c r="AI1583" s="128"/>
      <c r="AJ1583" s="128"/>
      <c r="AK1583" s="128"/>
      <c r="AL1583" s="129"/>
      <c r="AM1583" s="129"/>
      <c r="AN1583" s="139"/>
    </row>
    <row r="1584">
      <c r="A1584" s="129"/>
      <c r="B1584" s="119"/>
      <c r="C1584" s="128"/>
      <c r="D1584" s="142"/>
      <c r="E1584" s="122"/>
      <c r="F1584" s="136"/>
      <c r="G1584" s="152"/>
      <c r="H1584" s="155"/>
      <c r="I1584" s="155"/>
      <c r="J1584" s="155"/>
      <c r="K1584" s="155"/>
      <c r="L1584" s="155"/>
      <c r="M1584" s="126"/>
      <c r="N1584" s="127"/>
      <c r="O1584" s="127"/>
      <c r="P1584" s="127"/>
      <c r="Q1584" s="126"/>
      <c r="R1584" s="128"/>
      <c r="S1584" s="128"/>
      <c r="T1584" s="128"/>
      <c r="U1584" s="128"/>
      <c r="V1584" s="129"/>
      <c r="W1584" s="129"/>
      <c r="X1584" s="129"/>
      <c r="Y1584" s="129"/>
      <c r="Z1584" s="145" t="b">
        <v>0</v>
      </c>
      <c r="AA1584" s="145"/>
      <c r="AB1584" s="129"/>
      <c r="AC1584" s="129"/>
      <c r="AD1584" s="129"/>
      <c r="AE1584" s="129"/>
      <c r="AF1584" s="132"/>
      <c r="AG1584" s="128" t="b">
        <v>0</v>
      </c>
      <c r="AH1584" s="128"/>
      <c r="AI1584" s="128"/>
      <c r="AJ1584" s="128"/>
      <c r="AK1584" s="128"/>
      <c r="AL1584" s="129"/>
      <c r="AM1584" s="129"/>
      <c r="AN1584" s="139"/>
    </row>
    <row r="1585">
      <c r="A1585" s="129"/>
      <c r="B1585" s="119"/>
      <c r="C1585" s="128"/>
      <c r="D1585" s="142"/>
      <c r="E1585" s="122"/>
      <c r="F1585" s="136"/>
      <c r="G1585" s="152"/>
      <c r="H1585" s="155"/>
      <c r="I1585" s="155"/>
      <c r="J1585" s="155"/>
      <c r="K1585" s="155"/>
      <c r="L1585" s="155"/>
      <c r="M1585" s="126"/>
      <c r="N1585" s="127"/>
      <c r="O1585" s="127"/>
      <c r="P1585" s="127"/>
      <c r="Q1585" s="126"/>
      <c r="R1585" s="128"/>
      <c r="S1585" s="128"/>
      <c r="T1585" s="128"/>
      <c r="U1585" s="128"/>
      <c r="V1585" s="129"/>
      <c r="W1585" s="129"/>
      <c r="X1585" s="129"/>
      <c r="Y1585" s="129"/>
      <c r="Z1585" s="145" t="b">
        <v>0</v>
      </c>
      <c r="AA1585" s="145"/>
      <c r="AB1585" s="129"/>
      <c r="AC1585" s="129"/>
      <c r="AD1585" s="129"/>
      <c r="AE1585" s="129"/>
      <c r="AF1585" s="132"/>
      <c r="AG1585" s="128" t="b">
        <v>0</v>
      </c>
      <c r="AH1585" s="128"/>
      <c r="AI1585" s="128"/>
      <c r="AJ1585" s="128"/>
      <c r="AK1585" s="128"/>
      <c r="AL1585" s="129"/>
      <c r="AM1585" s="129"/>
      <c r="AN1585" s="139"/>
    </row>
    <row r="1586">
      <c r="A1586" s="129"/>
      <c r="B1586" s="119"/>
      <c r="C1586" s="128"/>
      <c r="D1586" s="142"/>
      <c r="E1586" s="122"/>
      <c r="F1586" s="136"/>
      <c r="G1586" s="152"/>
      <c r="H1586" s="155"/>
      <c r="I1586" s="155"/>
      <c r="J1586" s="155"/>
      <c r="K1586" s="155"/>
      <c r="L1586" s="155"/>
      <c r="M1586" s="126"/>
      <c r="N1586" s="127"/>
      <c r="O1586" s="127"/>
      <c r="P1586" s="127"/>
      <c r="Q1586" s="126"/>
      <c r="R1586" s="128"/>
      <c r="S1586" s="128"/>
      <c r="T1586" s="128"/>
      <c r="U1586" s="128"/>
      <c r="V1586" s="129"/>
      <c r="W1586" s="129"/>
      <c r="X1586" s="129"/>
      <c r="Y1586" s="129"/>
      <c r="Z1586" s="145" t="b">
        <v>0</v>
      </c>
      <c r="AA1586" s="145"/>
      <c r="AB1586" s="129"/>
      <c r="AC1586" s="129"/>
      <c r="AD1586" s="129"/>
      <c r="AE1586" s="129"/>
      <c r="AF1586" s="132"/>
      <c r="AG1586" s="128" t="b">
        <v>0</v>
      </c>
      <c r="AH1586" s="128"/>
      <c r="AI1586" s="128"/>
      <c r="AJ1586" s="128"/>
      <c r="AK1586" s="128"/>
      <c r="AL1586" s="129"/>
      <c r="AM1586" s="129"/>
      <c r="AN1586" s="139"/>
    </row>
    <row r="1587">
      <c r="A1587" s="129"/>
      <c r="B1587" s="119"/>
      <c r="C1587" s="128"/>
      <c r="D1587" s="142"/>
      <c r="E1587" s="122"/>
      <c r="F1587" s="136"/>
      <c r="G1587" s="152"/>
      <c r="H1587" s="155"/>
      <c r="I1587" s="155"/>
      <c r="J1587" s="155"/>
      <c r="K1587" s="155"/>
      <c r="L1587" s="155"/>
      <c r="M1587" s="126"/>
      <c r="N1587" s="127"/>
      <c r="O1587" s="127"/>
      <c r="P1587" s="127"/>
      <c r="Q1587" s="126"/>
      <c r="R1587" s="128"/>
      <c r="S1587" s="128"/>
      <c r="T1587" s="128"/>
      <c r="U1587" s="128"/>
      <c r="V1587" s="129"/>
      <c r="W1587" s="129"/>
      <c r="X1587" s="129"/>
      <c r="Y1587" s="129"/>
      <c r="Z1587" s="145" t="b">
        <v>0</v>
      </c>
      <c r="AA1587" s="145"/>
      <c r="AB1587" s="129"/>
      <c r="AC1587" s="129"/>
      <c r="AD1587" s="129"/>
      <c r="AE1587" s="129"/>
      <c r="AF1587" s="132"/>
      <c r="AG1587" s="128" t="b">
        <v>0</v>
      </c>
      <c r="AH1587" s="128"/>
      <c r="AI1587" s="128"/>
      <c r="AJ1587" s="128"/>
      <c r="AK1587" s="128"/>
      <c r="AL1587" s="129"/>
      <c r="AM1587" s="129"/>
      <c r="AN1587" s="139"/>
    </row>
    <row r="1588">
      <c r="A1588" s="129"/>
      <c r="B1588" s="119"/>
      <c r="C1588" s="128"/>
      <c r="D1588" s="142"/>
      <c r="E1588" s="122"/>
      <c r="F1588" s="136"/>
      <c r="G1588" s="152"/>
      <c r="H1588" s="155"/>
      <c r="I1588" s="155"/>
      <c r="J1588" s="155"/>
      <c r="K1588" s="155"/>
      <c r="L1588" s="155"/>
      <c r="M1588" s="126"/>
      <c r="N1588" s="127"/>
      <c r="O1588" s="127"/>
      <c r="P1588" s="127"/>
      <c r="Q1588" s="126"/>
      <c r="R1588" s="128"/>
      <c r="S1588" s="128"/>
      <c r="T1588" s="128"/>
      <c r="U1588" s="128"/>
      <c r="V1588" s="129"/>
      <c r="W1588" s="129"/>
      <c r="X1588" s="129"/>
      <c r="Y1588" s="129"/>
      <c r="Z1588" s="145" t="b">
        <v>0</v>
      </c>
      <c r="AA1588" s="145"/>
      <c r="AB1588" s="129"/>
      <c r="AC1588" s="129"/>
      <c r="AD1588" s="129"/>
      <c r="AE1588" s="129"/>
      <c r="AF1588" s="132"/>
      <c r="AG1588" s="128" t="b">
        <v>0</v>
      </c>
      <c r="AH1588" s="128"/>
      <c r="AI1588" s="128"/>
      <c r="AJ1588" s="128"/>
      <c r="AK1588" s="128"/>
      <c r="AL1588" s="129"/>
      <c r="AM1588" s="129"/>
      <c r="AN1588" s="139"/>
    </row>
    <row r="1589">
      <c r="A1589" s="129"/>
      <c r="B1589" s="119"/>
      <c r="C1589" s="128"/>
      <c r="D1589" s="142"/>
      <c r="E1589" s="122"/>
      <c r="F1589" s="136"/>
      <c r="G1589" s="152"/>
      <c r="H1589" s="155"/>
      <c r="I1589" s="155"/>
      <c r="J1589" s="155"/>
      <c r="K1589" s="155"/>
      <c r="L1589" s="155"/>
      <c r="M1589" s="126"/>
      <c r="N1589" s="127"/>
      <c r="O1589" s="127"/>
      <c r="P1589" s="127"/>
      <c r="Q1589" s="126"/>
      <c r="R1589" s="128"/>
      <c r="S1589" s="128"/>
      <c r="T1589" s="128"/>
      <c r="U1589" s="128"/>
      <c r="V1589" s="129"/>
      <c r="W1589" s="129"/>
      <c r="X1589" s="129"/>
      <c r="Y1589" s="129"/>
      <c r="Z1589" s="145" t="b">
        <v>0</v>
      </c>
      <c r="AA1589" s="145"/>
      <c r="AB1589" s="129"/>
      <c r="AC1589" s="129"/>
      <c r="AD1589" s="129"/>
      <c r="AE1589" s="129"/>
      <c r="AF1589" s="132"/>
      <c r="AG1589" s="128" t="b">
        <v>0</v>
      </c>
      <c r="AH1589" s="128"/>
      <c r="AI1589" s="128"/>
      <c r="AJ1589" s="128"/>
      <c r="AK1589" s="128"/>
      <c r="AL1589" s="129"/>
      <c r="AM1589" s="129"/>
      <c r="AN1589" s="139"/>
    </row>
    <row r="1590">
      <c r="A1590" s="129"/>
      <c r="B1590" s="119"/>
      <c r="C1590" s="128"/>
      <c r="D1590" s="142"/>
      <c r="E1590" s="122"/>
      <c r="F1590" s="136"/>
      <c r="G1590" s="152"/>
      <c r="H1590" s="155"/>
      <c r="I1590" s="155"/>
      <c r="J1590" s="155"/>
      <c r="K1590" s="155"/>
      <c r="L1590" s="155"/>
      <c r="M1590" s="126"/>
      <c r="N1590" s="127"/>
      <c r="O1590" s="127"/>
      <c r="P1590" s="127"/>
      <c r="Q1590" s="126"/>
      <c r="R1590" s="128"/>
      <c r="S1590" s="128"/>
      <c r="T1590" s="128"/>
      <c r="U1590" s="128"/>
      <c r="V1590" s="129"/>
      <c r="W1590" s="129"/>
      <c r="X1590" s="129"/>
      <c r="Y1590" s="129"/>
      <c r="Z1590" s="145" t="b">
        <v>0</v>
      </c>
      <c r="AA1590" s="145"/>
      <c r="AB1590" s="129"/>
      <c r="AC1590" s="129"/>
      <c r="AD1590" s="129"/>
      <c r="AE1590" s="129"/>
      <c r="AF1590" s="132"/>
      <c r="AG1590" s="128" t="b">
        <v>0</v>
      </c>
      <c r="AH1590" s="128"/>
      <c r="AI1590" s="128"/>
      <c r="AJ1590" s="128"/>
      <c r="AK1590" s="128"/>
      <c r="AL1590" s="129"/>
      <c r="AM1590" s="129"/>
      <c r="AN1590" s="139"/>
    </row>
    <row r="1591">
      <c r="A1591" s="129"/>
      <c r="B1591" s="119"/>
      <c r="C1591" s="128"/>
      <c r="D1591" s="142"/>
      <c r="E1591" s="122"/>
      <c r="F1591" s="136"/>
      <c r="G1591" s="152"/>
      <c r="H1591" s="155"/>
      <c r="I1591" s="155"/>
      <c r="J1591" s="155"/>
      <c r="K1591" s="155"/>
      <c r="L1591" s="155"/>
      <c r="M1591" s="126"/>
      <c r="N1591" s="127"/>
      <c r="O1591" s="127"/>
      <c r="P1591" s="127"/>
      <c r="Q1591" s="126"/>
      <c r="R1591" s="128"/>
      <c r="S1591" s="128"/>
      <c r="T1591" s="128"/>
      <c r="U1591" s="128"/>
      <c r="V1591" s="129"/>
      <c r="W1591" s="129"/>
      <c r="X1591" s="129"/>
      <c r="Y1591" s="129"/>
      <c r="Z1591" s="145" t="b">
        <v>0</v>
      </c>
      <c r="AA1591" s="145"/>
      <c r="AB1591" s="129"/>
      <c r="AC1591" s="129"/>
      <c r="AD1591" s="129"/>
      <c r="AE1591" s="129"/>
      <c r="AF1591" s="132"/>
      <c r="AG1591" s="128" t="b">
        <v>0</v>
      </c>
      <c r="AH1591" s="128"/>
      <c r="AI1591" s="128"/>
      <c r="AJ1591" s="128"/>
      <c r="AK1591" s="128"/>
      <c r="AL1591" s="129"/>
      <c r="AM1591" s="129"/>
      <c r="AN1591" s="139"/>
    </row>
    <row r="1592">
      <c r="A1592" s="129"/>
      <c r="B1592" s="119"/>
      <c r="C1592" s="128"/>
      <c r="D1592" s="142"/>
      <c r="E1592" s="122"/>
      <c r="F1592" s="136"/>
      <c r="G1592" s="152"/>
      <c r="H1592" s="155"/>
      <c r="I1592" s="155"/>
      <c r="J1592" s="155"/>
      <c r="K1592" s="155"/>
      <c r="L1592" s="155"/>
      <c r="M1592" s="126"/>
      <c r="N1592" s="127"/>
      <c r="O1592" s="127"/>
      <c r="P1592" s="127"/>
      <c r="Q1592" s="126"/>
      <c r="R1592" s="128"/>
      <c r="S1592" s="128"/>
      <c r="T1592" s="128"/>
      <c r="U1592" s="128"/>
      <c r="V1592" s="129"/>
      <c r="W1592" s="129"/>
      <c r="X1592" s="129"/>
      <c r="Y1592" s="129"/>
      <c r="Z1592" s="145" t="b">
        <v>0</v>
      </c>
      <c r="AA1592" s="145"/>
      <c r="AB1592" s="129"/>
      <c r="AC1592" s="129"/>
      <c r="AD1592" s="129"/>
      <c r="AE1592" s="129"/>
      <c r="AF1592" s="132"/>
      <c r="AG1592" s="128" t="b">
        <v>0</v>
      </c>
      <c r="AH1592" s="128"/>
      <c r="AI1592" s="128"/>
      <c r="AJ1592" s="128"/>
      <c r="AK1592" s="128"/>
      <c r="AL1592" s="129"/>
      <c r="AM1592" s="129"/>
      <c r="AN1592" s="139"/>
    </row>
    <row r="1593">
      <c r="A1593" s="129"/>
      <c r="B1593" s="119"/>
      <c r="C1593" s="128"/>
      <c r="D1593" s="142"/>
      <c r="E1593" s="122"/>
      <c r="F1593" s="136"/>
      <c r="G1593" s="152"/>
      <c r="H1593" s="155"/>
      <c r="I1593" s="155"/>
      <c r="J1593" s="155"/>
      <c r="K1593" s="155"/>
      <c r="L1593" s="155"/>
      <c r="M1593" s="126"/>
      <c r="N1593" s="127"/>
      <c r="O1593" s="127"/>
      <c r="P1593" s="127"/>
      <c r="Q1593" s="126"/>
      <c r="R1593" s="128"/>
      <c r="S1593" s="128"/>
      <c r="T1593" s="128"/>
      <c r="U1593" s="128"/>
      <c r="V1593" s="129"/>
      <c r="W1593" s="129"/>
      <c r="X1593" s="129"/>
      <c r="Y1593" s="129"/>
      <c r="Z1593" s="145" t="b">
        <v>0</v>
      </c>
      <c r="AA1593" s="145"/>
      <c r="AB1593" s="129"/>
      <c r="AC1593" s="129"/>
      <c r="AD1593" s="129"/>
      <c r="AE1593" s="129"/>
      <c r="AF1593" s="132"/>
      <c r="AG1593" s="128" t="b">
        <v>0</v>
      </c>
      <c r="AH1593" s="128"/>
      <c r="AI1593" s="128"/>
      <c r="AJ1593" s="128"/>
      <c r="AK1593" s="128"/>
      <c r="AL1593" s="129"/>
      <c r="AM1593" s="129"/>
      <c r="AN1593" s="139"/>
    </row>
    <row r="1594">
      <c r="A1594" s="129"/>
      <c r="B1594" s="119"/>
      <c r="C1594" s="128"/>
      <c r="D1594" s="142"/>
      <c r="E1594" s="122"/>
      <c r="F1594" s="136"/>
      <c r="G1594" s="152"/>
      <c r="H1594" s="155"/>
      <c r="I1594" s="155"/>
      <c r="J1594" s="155"/>
      <c r="K1594" s="155"/>
      <c r="L1594" s="155"/>
      <c r="M1594" s="126"/>
      <c r="N1594" s="127"/>
      <c r="O1594" s="127"/>
      <c r="P1594" s="127"/>
      <c r="Q1594" s="126"/>
      <c r="R1594" s="128"/>
      <c r="S1594" s="128"/>
      <c r="T1594" s="128"/>
      <c r="U1594" s="128"/>
      <c r="V1594" s="129"/>
      <c r="W1594" s="129"/>
      <c r="X1594" s="129"/>
      <c r="Y1594" s="129"/>
      <c r="Z1594" s="145" t="b">
        <v>0</v>
      </c>
      <c r="AA1594" s="145"/>
      <c r="AB1594" s="129"/>
      <c r="AC1594" s="129"/>
      <c r="AD1594" s="129"/>
      <c r="AE1594" s="129"/>
      <c r="AF1594" s="132"/>
      <c r="AG1594" s="128" t="b">
        <v>0</v>
      </c>
      <c r="AH1594" s="128"/>
      <c r="AI1594" s="128"/>
      <c r="AJ1594" s="128"/>
      <c r="AK1594" s="128"/>
      <c r="AL1594" s="129"/>
      <c r="AM1594" s="129"/>
      <c r="AN1594" s="139"/>
    </row>
    <row r="1595">
      <c r="A1595" s="129"/>
      <c r="B1595" s="119"/>
      <c r="C1595" s="128"/>
      <c r="D1595" s="142"/>
      <c r="E1595" s="122"/>
      <c r="F1595" s="136"/>
      <c r="G1595" s="152"/>
      <c r="H1595" s="155"/>
      <c r="I1595" s="155"/>
      <c r="J1595" s="155"/>
      <c r="K1595" s="155"/>
      <c r="L1595" s="155"/>
      <c r="M1595" s="126"/>
      <c r="N1595" s="127"/>
      <c r="O1595" s="127"/>
      <c r="P1595" s="127"/>
      <c r="Q1595" s="126"/>
      <c r="R1595" s="128"/>
      <c r="S1595" s="128"/>
      <c r="T1595" s="128"/>
      <c r="U1595" s="128"/>
      <c r="V1595" s="129"/>
      <c r="W1595" s="129"/>
      <c r="X1595" s="129"/>
      <c r="Y1595" s="129"/>
      <c r="Z1595" s="145" t="b">
        <v>0</v>
      </c>
      <c r="AA1595" s="145"/>
      <c r="AB1595" s="129"/>
      <c r="AC1595" s="129"/>
      <c r="AD1595" s="129"/>
      <c r="AE1595" s="129"/>
      <c r="AF1595" s="132"/>
      <c r="AG1595" s="128" t="b">
        <v>0</v>
      </c>
      <c r="AH1595" s="128"/>
      <c r="AI1595" s="128"/>
      <c r="AJ1595" s="128"/>
      <c r="AK1595" s="128"/>
      <c r="AL1595" s="129"/>
      <c r="AM1595" s="129"/>
      <c r="AN1595" s="139"/>
    </row>
    <row r="1596">
      <c r="A1596" s="129"/>
      <c r="B1596" s="119"/>
      <c r="C1596" s="128"/>
      <c r="D1596" s="142"/>
      <c r="E1596" s="122"/>
      <c r="F1596" s="136"/>
      <c r="G1596" s="152"/>
      <c r="H1596" s="155"/>
      <c r="I1596" s="155"/>
      <c r="J1596" s="155"/>
      <c r="K1596" s="155"/>
      <c r="L1596" s="155"/>
      <c r="M1596" s="126"/>
      <c r="N1596" s="127"/>
      <c r="O1596" s="127"/>
      <c r="P1596" s="127"/>
      <c r="Q1596" s="126"/>
      <c r="R1596" s="128"/>
      <c r="S1596" s="128"/>
      <c r="T1596" s="128"/>
      <c r="U1596" s="128"/>
      <c r="V1596" s="129"/>
      <c r="W1596" s="129"/>
      <c r="X1596" s="129"/>
      <c r="Y1596" s="129"/>
      <c r="Z1596" s="145" t="b">
        <v>0</v>
      </c>
      <c r="AA1596" s="145"/>
      <c r="AB1596" s="129"/>
      <c r="AC1596" s="129"/>
      <c r="AD1596" s="129"/>
      <c r="AE1596" s="129"/>
      <c r="AF1596" s="132"/>
      <c r="AG1596" s="128" t="b">
        <v>0</v>
      </c>
      <c r="AH1596" s="128"/>
      <c r="AI1596" s="128"/>
      <c r="AJ1596" s="128"/>
      <c r="AK1596" s="128"/>
      <c r="AL1596" s="129"/>
      <c r="AM1596" s="129"/>
      <c r="AN1596" s="139"/>
    </row>
    <row r="1597">
      <c r="A1597" s="129"/>
      <c r="B1597" s="119"/>
      <c r="C1597" s="128"/>
      <c r="D1597" s="142"/>
      <c r="E1597" s="122"/>
      <c r="F1597" s="136"/>
      <c r="G1597" s="152"/>
      <c r="H1597" s="155"/>
      <c r="I1597" s="155"/>
      <c r="J1597" s="155"/>
      <c r="K1597" s="155"/>
      <c r="L1597" s="155"/>
      <c r="M1597" s="126"/>
      <c r="N1597" s="127"/>
      <c r="O1597" s="127"/>
      <c r="P1597" s="127"/>
      <c r="Q1597" s="126"/>
      <c r="R1597" s="128"/>
      <c r="S1597" s="128"/>
      <c r="T1597" s="128"/>
      <c r="U1597" s="128"/>
      <c r="V1597" s="129"/>
      <c r="W1597" s="129"/>
      <c r="X1597" s="129"/>
      <c r="Y1597" s="129"/>
      <c r="Z1597" s="145" t="b">
        <v>0</v>
      </c>
      <c r="AA1597" s="145"/>
      <c r="AB1597" s="129"/>
      <c r="AC1597" s="129"/>
      <c r="AD1597" s="129"/>
      <c r="AE1597" s="129"/>
      <c r="AF1597" s="132"/>
      <c r="AG1597" s="128" t="b">
        <v>0</v>
      </c>
      <c r="AH1597" s="128"/>
      <c r="AI1597" s="128"/>
      <c r="AJ1597" s="128"/>
      <c r="AK1597" s="128"/>
      <c r="AL1597" s="129"/>
      <c r="AM1597" s="129"/>
      <c r="AN1597" s="139"/>
    </row>
    <row r="1598">
      <c r="A1598" s="129"/>
      <c r="B1598" s="119"/>
      <c r="C1598" s="128"/>
      <c r="D1598" s="142"/>
      <c r="E1598" s="122"/>
      <c r="F1598" s="136"/>
      <c r="G1598" s="152"/>
      <c r="H1598" s="155"/>
      <c r="I1598" s="155"/>
      <c r="J1598" s="155"/>
      <c r="K1598" s="155"/>
      <c r="L1598" s="155"/>
      <c r="M1598" s="126"/>
      <c r="N1598" s="127"/>
      <c r="O1598" s="127"/>
      <c r="P1598" s="127"/>
      <c r="Q1598" s="126"/>
      <c r="R1598" s="128"/>
      <c r="S1598" s="128"/>
      <c r="T1598" s="128"/>
      <c r="U1598" s="128"/>
      <c r="V1598" s="129"/>
      <c r="W1598" s="129"/>
      <c r="X1598" s="129"/>
      <c r="Y1598" s="129"/>
      <c r="Z1598" s="145" t="b">
        <v>0</v>
      </c>
      <c r="AA1598" s="145"/>
      <c r="AB1598" s="129"/>
      <c r="AC1598" s="129"/>
      <c r="AD1598" s="129"/>
      <c r="AE1598" s="129"/>
      <c r="AF1598" s="132"/>
      <c r="AG1598" s="128" t="b">
        <v>0</v>
      </c>
      <c r="AH1598" s="128"/>
      <c r="AI1598" s="128"/>
      <c r="AJ1598" s="128"/>
      <c r="AK1598" s="128"/>
      <c r="AL1598" s="129"/>
      <c r="AM1598" s="129"/>
      <c r="AN1598" s="139"/>
    </row>
    <row r="1599">
      <c r="A1599" s="129"/>
      <c r="B1599" s="119"/>
      <c r="C1599" s="128"/>
      <c r="D1599" s="142"/>
      <c r="E1599" s="122"/>
      <c r="F1599" s="136"/>
      <c r="G1599" s="152"/>
      <c r="H1599" s="155"/>
      <c r="I1599" s="155"/>
      <c r="J1599" s="155"/>
      <c r="K1599" s="155"/>
      <c r="L1599" s="155"/>
      <c r="M1599" s="126"/>
      <c r="N1599" s="127"/>
      <c r="O1599" s="127"/>
      <c r="P1599" s="127"/>
      <c r="Q1599" s="126"/>
      <c r="R1599" s="128"/>
      <c r="S1599" s="128"/>
      <c r="T1599" s="128"/>
      <c r="U1599" s="128"/>
      <c r="V1599" s="129"/>
      <c r="W1599" s="129"/>
      <c r="X1599" s="129"/>
      <c r="Y1599" s="129"/>
      <c r="Z1599" s="145" t="b">
        <v>0</v>
      </c>
      <c r="AA1599" s="145"/>
      <c r="AB1599" s="129"/>
      <c r="AC1599" s="129"/>
      <c r="AD1599" s="129"/>
      <c r="AE1599" s="129"/>
      <c r="AF1599" s="132"/>
      <c r="AG1599" s="128" t="b">
        <v>0</v>
      </c>
      <c r="AH1599" s="128"/>
      <c r="AI1599" s="128"/>
      <c r="AJ1599" s="128"/>
      <c r="AK1599" s="128"/>
      <c r="AL1599" s="129"/>
      <c r="AM1599" s="129"/>
      <c r="AN1599" s="139"/>
    </row>
    <row r="1600">
      <c r="A1600" s="129"/>
      <c r="B1600" s="119"/>
      <c r="C1600" s="128"/>
      <c r="D1600" s="142"/>
      <c r="E1600" s="122"/>
      <c r="F1600" s="136"/>
      <c r="G1600" s="152"/>
      <c r="H1600" s="155"/>
      <c r="I1600" s="155"/>
      <c r="J1600" s="155"/>
      <c r="K1600" s="155"/>
      <c r="L1600" s="155"/>
      <c r="M1600" s="126"/>
      <c r="N1600" s="127"/>
      <c r="O1600" s="127"/>
      <c r="P1600" s="127"/>
      <c r="Q1600" s="126"/>
      <c r="R1600" s="128"/>
      <c r="S1600" s="128"/>
      <c r="T1600" s="128"/>
      <c r="U1600" s="128"/>
      <c r="V1600" s="129"/>
      <c r="W1600" s="129"/>
      <c r="X1600" s="129"/>
      <c r="Y1600" s="129"/>
      <c r="Z1600" s="145" t="b">
        <v>0</v>
      </c>
      <c r="AA1600" s="145"/>
      <c r="AB1600" s="129"/>
      <c r="AC1600" s="129"/>
      <c r="AD1600" s="129"/>
      <c r="AE1600" s="129"/>
      <c r="AF1600" s="132"/>
      <c r="AG1600" s="128" t="b">
        <v>0</v>
      </c>
      <c r="AH1600" s="128"/>
      <c r="AI1600" s="128"/>
      <c r="AJ1600" s="128"/>
      <c r="AK1600" s="128"/>
      <c r="AL1600" s="129"/>
      <c r="AM1600" s="129"/>
      <c r="AN1600" s="139"/>
    </row>
    <row r="1601">
      <c r="A1601" s="129"/>
      <c r="B1601" s="119"/>
      <c r="C1601" s="128"/>
      <c r="D1601" s="142"/>
      <c r="E1601" s="122"/>
      <c r="F1601" s="136"/>
      <c r="G1601" s="152"/>
      <c r="H1601" s="155"/>
      <c r="I1601" s="155"/>
      <c r="J1601" s="155"/>
      <c r="K1601" s="155"/>
      <c r="L1601" s="155"/>
      <c r="M1601" s="126"/>
      <c r="N1601" s="127"/>
      <c r="O1601" s="127"/>
      <c r="P1601" s="127"/>
      <c r="Q1601" s="126"/>
      <c r="R1601" s="128"/>
      <c r="S1601" s="128"/>
      <c r="T1601" s="128"/>
      <c r="U1601" s="128"/>
      <c r="V1601" s="129"/>
      <c r="W1601" s="129"/>
      <c r="X1601" s="129"/>
      <c r="Y1601" s="129"/>
      <c r="Z1601" s="145" t="b">
        <v>0</v>
      </c>
      <c r="AA1601" s="145"/>
      <c r="AB1601" s="129"/>
      <c r="AC1601" s="129"/>
      <c r="AD1601" s="129"/>
      <c r="AE1601" s="129"/>
      <c r="AF1601" s="132"/>
      <c r="AG1601" s="128" t="b">
        <v>0</v>
      </c>
      <c r="AH1601" s="128"/>
      <c r="AI1601" s="128"/>
      <c r="AJ1601" s="128"/>
      <c r="AK1601" s="128"/>
      <c r="AL1601" s="129"/>
      <c r="AM1601" s="129"/>
      <c r="AN1601" s="139"/>
    </row>
    <row r="1602">
      <c r="A1602" s="129"/>
      <c r="B1602" s="119"/>
      <c r="C1602" s="128"/>
      <c r="D1602" s="142"/>
      <c r="E1602" s="122"/>
      <c r="F1602" s="136"/>
      <c r="G1602" s="152"/>
      <c r="H1602" s="155"/>
      <c r="I1602" s="155"/>
      <c r="J1602" s="155"/>
      <c r="K1602" s="155"/>
      <c r="L1602" s="155"/>
      <c r="M1602" s="126"/>
      <c r="N1602" s="127"/>
      <c r="O1602" s="127"/>
      <c r="P1602" s="127"/>
      <c r="Q1602" s="126"/>
      <c r="R1602" s="128"/>
      <c r="S1602" s="128"/>
      <c r="T1602" s="128"/>
      <c r="U1602" s="128"/>
      <c r="V1602" s="129"/>
      <c r="W1602" s="129"/>
      <c r="X1602" s="129"/>
      <c r="Y1602" s="129"/>
      <c r="Z1602" s="145" t="b">
        <v>0</v>
      </c>
      <c r="AA1602" s="145"/>
      <c r="AB1602" s="129"/>
      <c r="AC1602" s="129"/>
      <c r="AD1602" s="129"/>
      <c r="AE1602" s="129"/>
      <c r="AF1602" s="132"/>
      <c r="AG1602" s="128" t="b">
        <v>0</v>
      </c>
      <c r="AH1602" s="128"/>
      <c r="AI1602" s="128"/>
      <c r="AJ1602" s="128"/>
      <c r="AK1602" s="128"/>
      <c r="AL1602" s="129"/>
      <c r="AM1602" s="129"/>
      <c r="AN1602" s="139"/>
    </row>
    <row r="1603">
      <c r="A1603" s="129"/>
      <c r="B1603" s="119"/>
      <c r="C1603" s="128"/>
      <c r="D1603" s="142"/>
      <c r="E1603" s="122"/>
      <c r="F1603" s="136"/>
      <c r="G1603" s="152"/>
      <c r="H1603" s="155"/>
      <c r="I1603" s="155"/>
      <c r="J1603" s="155"/>
      <c r="K1603" s="155"/>
      <c r="L1603" s="155"/>
      <c r="M1603" s="126"/>
      <c r="N1603" s="127"/>
      <c r="O1603" s="127"/>
      <c r="P1603" s="127"/>
      <c r="Q1603" s="126"/>
      <c r="R1603" s="128"/>
      <c r="S1603" s="128"/>
      <c r="T1603" s="128"/>
      <c r="U1603" s="128"/>
      <c r="V1603" s="129"/>
      <c r="W1603" s="129"/>
      <c r="X1603" s="129"/>
      <c r="Y1603" s="129"/>
      <c r="Z1603" s="145" t="b">
        <v>0</v>
      </c>
      <c r="AA1603" s="145"/>
      <c r="AB1603" s="129"/>
      <c r="AC1603" s="129"/>
      <c r="AD1603" s="129"/>
      <c r="AE1603" s="129"/>
      <c r="AF1603" s="132"/>
      <c r="AG1603" s="128" t="b">
        <v>0</v>
      </c>
      <c r="AH1603" s="128"/>
      <c r="AI1603" s="128"/>
      <c r="AJ1603" s="128"/>
      <c r="AK1603" s="128"/>
      <c r="AL1603" s="129"/>
      <c r="AM1603" s="129"/>
      <c r="AN1603" s="139"/>
    </row>
    <row r="1604">
      <c r="A1604" s="129"/>
      <c r="B1604" s="119"/>
      <c r="C1604" s="128"/>
      <c r="D1604" s="142"/>
      <c r="E1604" s="122"/>
      <c r="F1604" s="136"/>
      <c r="G1604" s="152"/>
      <c r="H1604" s="155"/>
      <c r="I1604" s="155"/>
      <c r="J1604" s="155"/>
      <c r="K1604" s="155"/>
      <c r="L1604" s="155"/>
      <c r="M1604" s="126"/>
      <c r="N1604" s="127"/>
      <c r="O1604" s="127"/>
      <c r="P1604" s="127"/>
      <c r="Q1604" s="126"/>
      <c r="R1604" s="128"/>
      <c r="S1604" s="128"/>
      <c r="T1604" s="128"/>
      <c r="U1604" s="128"/>
      <c r="V1604" s="129"/>
      <c r="W1604" s="129"/>
      <c r="X1604" s="129"/>
      <c r="Y1604" s="129"/>
      <c r="Z1604" s="145" t="b">
        <v>0</v>
      </c>
      <c r="AA1604" s="145"/>
      <c r="AB1604" s="129"/>
      <c r="AC1604" s="129"/>
      <c r="AD1604" s="129"/>
      <c r="AE1604" s="129"/>
      <c r="AF1604" s="132"/>
      <c r="AG1604" s="128" t="b">
        <v>0</v>
      </c>
      <c r="AH1604" s="128"/>
      <c r="AI1604" s="128"/>
      <c r="AJ1604" s="128"/>
      <c r="AK1604" s="128"/>
      <c r="AL1604" s="129"/>
      <c r="AM1604" s="129"/>
      <c r="AN1604" s="139"/>
    </row>
    <row r="1605">
      <c r="A1605" s="129"/>
      <c r="B1605" s="119"/>
      <c r="C1605" s="128"/>
      <c r="D1605" s="142"/>
      <c r="E1605" s="122"/>
      <c r="F1605" s="136"/>
      <c r="G1605" s="152"/>
      <c r="H1605" s="155"/>
      <c r="I1605" s="155"/>
      <c r="J1605" s="155"/>
      <c r="K1605" s="155"/>
      <c r="L1605" s="155"/>
      <c r="M1605" s="126"/>
      <c r="N1605" s="127"/>
      <c r="O1605" s="127"/>
      <c r="P1605" s="127"/>
      <c r="Q1605" s="126"/>
      <c r="R1605" s="128"/>
      <c r="S1605" s="128"/>
      <c r="T1605" s="128"/>
      <c r="U1605" s="128"/>
      <c r="V1605" s="129"/>
      <c r="W1605" s="129"/>
      <c r="X1605" s="129"/>
      <c r="Y1605" s="129"/>
      <c r="Z1605" s="145" t="b">
        <v>0</v>
      </c>
      <c r="AA1605" s="145"/>
      <c r="AB1605" s="129"/>
      <c r="AC1605" s="129"/>
      <c r="AD1605" s="129"/>
      <c r="AE1605" s="129"/>
      <c r="AF1605" s="132"/>
      <c r="AG1605" s="128" t="b">
        <v>0</v>
      </c>
      <c r="AH1605" s="128"/>
      <c r="AI1605" s="128"/>
      <c r="AJ1605" s="128"/>
      <c r="AK1605" s="128"/>
      <c r="AL1605" s="129"/>
      <c r="AM1605" s="129"/>
      <c r="AN1605" s="139"/>
    </row>
    <row r="1606">
      <c r="A1606" s="129"/>
      <c r="B1606" s="119"/>
      <c r="C1606" s="128"/>
      <c r="D1606" s="142"/>
      <c r="E1606" s="122"/>
      <c r="F1606" s="136"/>
      <c r="G1606" s="152"/>
      <c r="H1606" s="155"/>
      <c r="I1606" s="155"/>
      <c r="J1606" s="155"/>
      <c r="K1606" s="155"/>
      <c r="L1606" s="155"/>
      <c r="M1606" s="126"/>
      <c r="N1606" s="127"/>
      <c r="O1606" s="127"/>
      <c r="P1606" s="127"/>
      <c r="Q1606" s="126"/>
      <c r="R1606" s="128"/>
      <c r="S1606" s="128"/>
      <c r="T1606" s="128"/>
      <c r="U1606" s="128"/>
      <c r="V1606" s="129"/>
      <c r="W1606" s="129"/>
      <c r="X1606" s="129"/>
      <c r="Y1606" s="129"/>
      <c r="Z1606" s="145" t="b">
        <v>0</v>
      </c>
      <c r="AA1606" s="145"/>
      <c r="AB1606" s="129"/>
      <c r="AC1606" s="129"/>
      <c r="AD1606" s="129"/>
      <c r="AE1606" s="129"/>
      <c r="AF1606" s="132"/>
      <c r="AG1606" s="128" t="b">
        <v>0</v>
      </c>
      <c r="AH1606" s="128"/>
      <c r="AI1606" s="128"/>
      <c r="AJ1606" s="128"/>
      <c r="AK1606" s="128"/>
      <c r="AL1606" s="129"/>
      <c r="AM1606" s="129"/>
      <c r="AN1606" s="139"/>
    </row>
    <row r="1607">
      <c r="A1607" s="129"/>
      <c r="B1607" s="119"/>
      <c r="C1607" s="128"/>
      <c r="D1607" s="142"/>
      <c r="E1607" s="122"/>
      <c r="F1607" s="136"/>
      <c r="G1607" s="152"/>
      <c r="H1607" s="155"/>
      <c r="I1607" s="155"/>
      <c r="J1607" s="155"/>
      <c r="K1607" s="155"/>
      <c r="L1607" s="155"/>
      <c r="M1607" s="126"/>
      <c r="N1607" s="127"/>
      <c r="O1607" s="127"/>
      <c r="P1607" s="127"/>
      <c r="Q1607" s="126"/>
      <c r="R1607" s="128"/>
      <c r="S1607" s="128"/>
      <c r="T1607" s="128"/>
      <c r="U1607" s="128"/>
      <c r="V1607" s="129"/>
      <c r="W1607" s="129"/>
      <c r="X1607" s="129"/>
      <c r="Y1607" s="129"/>
      <c r="Z1607" s="145" t="b">
        <v>0</v>
      </c>
      <c r="AA1607" s="145"/>
      <c r="AB1607" s="129"/>
      <c r="AC1607" s="129"/>
      <c r="AD1607" s="129"/>
      <c r="AE1607" s="129"/>
      <c r="AF1607" s="132"/>
      <c r="AG1607" s="128" t="b">
        <v>0</v>
      </c>
      <c r="AH1607" s="128"/>
      <c r="AI1607" s="128"/>
      <c r="AJ1607" s="128"/>
      <c r="AK1607" s="128"/>
      <c r="AL1607" s="129"/>
      <c r="AM1607" s="129"/>
      <c r="AN1607" s="139"/>
    </row>
    <row r="1608">
      <c r="A1608" s="129"/>
      <c r="B1608" s="119"/>
      <c r="C1608" s="128"/>
      <c r="D1608" s="142"/>
      <c r="E1608" s="122"/>
      <c r="F1608" s="136"/>
      <c r="G1608" s="152"/>
      <c r="H1608" s="155"/>
      <c r="I1608" s="155"/>
      <c r="J1608" s="155"/>
      <c r="K1608" s="155"/>
      <c r="L1608" s="155"/>
      <c r="M1608" s="126"/>
      <c r="N1608" s="127"/>
      <c r="O1608" s="127"/>
      <c r="P1608" s="127"/>
      <c r="Q1608" s="126"/>
      <c r="R1608" s="128"/>
      <c r="S1608" s="128"/>
      <c r="T1608" s="128"/>
      <c r="U1608" s="128"/>
      <c r="V1608" s="129"/>
      <c r="W1608" s="129"/>
      <c r="X1608" s="129"/>
      <c r="Y1608" s="129"/>
      <c r="Z1608" s="145" t="b">
        <v>0</v>
      </c>
      <c r="AA1608" s="145"/>
      <c r="AB1608" s="129"/>
      <c r="AC1608" s="129"/>
      <c r="AD1608" s="129"/>
      <c r="AE1608" s="129"/>
      <c r="AF1608" s="132"/>
      <c r="AG1608" s="128" t="b">
        <v>0</v>
      </c>
      <c r="AH1608" s="128"/>
      <c r="AI1608" s="128"/>
      <c r="AJ1608" s="128"/>
      <c r="AK1608" s="128"/>
      <c r="AL1608" s="129"/>
      <c r="AM1608" s="129"/>
      <c r="AN1608" s="139"/>
    </row>
    <row r="1609">
      <c r="A1609" s="129"/>
      <c r="B1609" s="119"/>
      <c r="C1609" s="128"/>
      <c r="D1609" s="142"/>
      <c r="E1609" s="122"/>
      <c r="F1609" s="136"/>
      <c r="G1609" s="152"/>
      <c r="H1609" s="155"/>
      <c r="I1609" s="155"/>
      <c r="J1609" s="155"/>
      <c r="K1609" s="155"/>
      <c r="L1609" s="155"/>
      <c r="M1609" s="126"/>
      <c r="N1609" s="127"/>
      <c r="O1609" s="127"/>
      <c r="P1609" s="127"/>
      <c r="Q1609" s="126"/>
      <c r="R1609" s="128"/>
      <c r="S1609" s="128"/>
      <c r="T1609" s="128"/>
      <c r="U1609" s="128"/>
      <c r="V1609" s="129"/>
      <c r="W1609" s="129"/>
      <c r="X1609" s="129"/>
      <c r="Y1609" s="129"/>
      <c r="Z1609" s="145" t="b">
        <v>0</v>
      </c>
      <c r="AA1609" s="145"/>
      <c r="AB1609" s="129"/>
      <c r="AC1609" s="129"/>
      <c r="AD1609" s="129"/>
      <c r="AE1609" s="129"/>
      <c r="AF1609" s="132"/>
      <c r="AG1609" s="128" t="b">
        <v>0</v>
      </c>
      <c r="AH1609" s="128"/>
      <c r="AI1609" s="128"/>
      <c r="AJ1609" s="128"/>
      <c r="AK1609" s="128"/>
      <c r="AL1609" s="129"/>
      <c r="AM1609" s="129"/>
      <c r="AN1609" s="139"/>
    </row>
    <row r="1610">
      <c r="A1610" s="129"/>
      <c r="B1610" s="119"/>
      <c r="C1610" s="128"/>
      <c r="D1610" s="142"/>
      <c r="E1610" s="122"/>
      <c r="F1610" s="136"/>
      <c r="G1610" s="152"/>
      <c r="H1610" s="155"/>
      <c r="I1610" s="155"/>
      <c r="J1610" s="155"/>
      <c r="K1610" s="155"/>
      <c r="L1610" s="155"/>
      <c r="M1610" s="126"/>
      <c r="N1610" s="127"/>
      <c r="O1610" s="127"/>
      <c r="P1610" s="127"/>
      <c r="Q1610" s="126"/>
      <c r="R1610" s="128"/>
      <c r="S1610" s="128"/>
      <c r="T1610" s="128"/>
      <c r="U1610" s="128"/>
      <c r="V1610" s="129"/>
      <c r="W1610" s="129"/>
      <c r="X1610" s="129"/>
      <c r="Y1610" s="129"/>
      <c r="Z1610" s="145" t="b">
        <v>0</v>
      </c>
      <c r="AA1610" s="145"/>
      <c r="AB1610" s="129"/>
      <c r="AC1610" s="129"/>
      <c r="AD1610" s="129"/>
      <c r="AE1610" s="129"/>
      <c r="AF1610" s="132"/>
      <c r="AG1610" s="128" t="b">
        <v>0</v>
      </c>
      <c r="AH1610" s="128"/>
      <c r="AI1610" s="128"/>
      <c r="AJ1610" s="128"/>
      <c r="AK1610" s="128"/>
      <c r="AL1610" s="129"/>
      <c r="AM1610" s="129"/>
      <c r="AN1610" s="139"/>
    </row>
    <row r="1611">
      <c r="A1611" s="129"/>
      <c r="B1611" s="119"/>
      <c r="C1611" s="128"/>
      <c r="D1611" s="142"/>
      <c r="E1611" s="122"/>
      <c r="F1611" s="136"/>
      <c r="G1611" s="152"/>
      <c r="H1611" s="155"/>
      <c r="I1611" s="155"/>
      <c r="J1611" s="155"/>
      <c r="K1611" s="155"/>
      <c r="L1611" s="155"/>
      <c r="M1611" s="126"/>
      <c r="N1611" s="127"/>
      <c r="O1611" s="127"/>
      <c r="P1611" s="127"/>
      <c r="Q1611" s="126"/>
      <c r="R1611" s="128"/>
      <c r="S1611" s="128"/>
      <c r="T1611" s="128"/>
      <c r="U1611" s="128"/>
      <c r="V1611" s="129"/>
      <c r="W1611" s="129"/>
      <c r="X1611" s="129"/>
      <c r="Y1611" s="129"/>
      <c r="Z1611" s="145" t="b">
        <v>0</v>
      </c>
      <c r="AA1611" s="145"/>
      <c r="AB1611" s="129"/>
      <c r="AC1611" s="129"/>
      <c r="AD1611" s="129"/>
      <c r="AE1611" s="129"/>
      <c r="AF1611" s="132"/>
      <c r="AG1611" s="128" t="b">
        <v>0</v>
      </c>
      <c r="AH1611" s="128"/>
      <c r="AI1611" s="128"/>
      <c r="AJ1611" s="128"/>
      <c r="AK1611" s="128"/>
      <c r="AL1611" s="129"/>
      <c r="AM1611" s="129"/>
      <c r="AN1611" s="139"/>
    </row>
    <row r="1612">
      <c r="A1612" s="129"/>
      <c r="B1612" s="119"/>
      <c r="C1612" s="128"/>
      <c r="D1612" s="142"/>
      <c r="E1612" s="122"/>
      <c r="F1612" s="136"/>
      <c r="G1612" s="152"/>
      <c r="H1612" s="155"/>
      <c r="I1612" s="155"/>
      <c r="J1612" s="155"/>
      <c r="K1612" s="155"/>
      <c r="L1612" s="155"/>
      <c r="M1612" s="126"/>
      <c r="N1612" s="127"/>
      <c r="O1612" s="127"/>
      <c r="P1612" s="127"/>
      <c r="Q1612" s="126"/>
      <c r="R1612" s="128"/>
      <c r="S1612" s="128"/>
      <c r="T1612" s="128"/>
      <c r="U1612" s="128"/>
      <c r="V1612" s="129"/>
      <c r="W1612" s="129"/>
      <c r="X1612" s="129"/>
      <c r="Y1612" s="129"/>
      <c r="Z1612" s="145" t="b">
        <v>0</v>
      </c>
      <c r="AA1612" s="145"/>
      <c r="AB1612" s="129"/>
      <c r="AC1612" s="129"/>
      <c r="AD1612" s="129"/>
      <c r="AE1612" s="129"/>
      <c r="AF1612" s="132"/>
      <c r="AG1612" s="128" t="b">
        <v>0</v>
      </c>
      <c r="AH1612" s="128"/>
      <c r="AI1612" s="128"/>
      <c r="AJ1612" s="128"/>
      <c r="AK1612" s="128"/>
      <c r="AL1612" s="129"/>
      <c r="AM1612" s="129"/>
      <c r="AN1612" s="139"/>
    </row>
    <row r="1613">
      <c r="A1613" s="129"/>
      <c r="B1613" s="119"/>
      <c r="C1613" s="128"/>
      <c r="D1613" s="142"/>
      <c r="E1613" s="122"/>
      <c r="F1613" s="136"/>
      <c r="G1613" s="152"/>
      <c r="H1613" s="155"/>
      <c r="I1613" s="155"/>
      <c r="J1613" s="155"/>
      <c r="K1613" s="155"/>
      <c r="L1613" s="155"/>
      <c r="M1613" s="126"/>
      <c r="N1613" s="127"/>
      <c r="O1613" s="127"/>
      <c r="P1613" s="127"/>
      <c r="Q1613" s="126"/>
      <c r="R1613" s="128"/>
      <c r="S1613" s="128"/>
      <c r="T1613" s="128"/>
      <c r="U1613" s="128"/>
      <c r="V1613" s="129"/>
      <c r="W1613" s="129"/>
      <c r="X1613" s="129"/>
      <c r="Y1613" s="129"/>
      <c r="Z1613" s="145" t="b">
        <v>0</v>
      </c>
      <c r="AA1613" s="145"/>
      <c r="AB1613" s="129"/>
      <c r="AC1613" s="129"/>
      <c r="AD1613" s="129"/>
      <c r="AE1613" s="129"/>
      <c r="AF1613" s="132"/>
      <c r="AG1613" s="128" t="b">
        <v>0</v>
      </c>
      <c r="AH1613" s="128"/>
      <c r="AI1613" s="128"/>
      <c r="AJ1613" s="128"/>
      <c r="AK1613" s="128"/>
      <c r="AL1613" s="129"/>
      <c r="AM1613" s="129"/>
      <c r="AN1613" s="139"/>
    </row>
    <row r="1614">
      <c r="A1614" s="129"/>
      <c r="B1614" s="119"/>
      <c r="C1614" s="128"/>
      <c r="D1614" s="142"/>
      <c r="E1614" s="122"/>
      <c r="F1614" s="136"/>
      <c r="G1614" s="152"/>
      <c r="H1614" s="155"/>
      <c r="I1614" s="155"/>
      <c r="J1614" s="155"/>
      <c r="K1614" s="155"/>
      <c r="L1614" s="155"/>
      <c r="M1614" s="126"/>
      <c r="N1614" s="127"/>
      <c r="O1614" s="127"/>
      <c r="P1614" s="127"/>
      <c r="Q1614" s="126"/>
      <c r="R1614" s="128"/>
      <c r="S1614" s="128"/>
      <c r="T1614" s="128"/>
      <c r="U1614" s="128"/>
      <c r="V1614" s="129"/>
      <c r="W1614" s="129"/>
      <c r="X1614" s="129"/>
      <c r="Y1614" s="129"/>
      <c r="Z1614" s="145" t="b">
        <v>0</v>
      </c>
      <c r="AA1614" s="145"/>
      <c r="AB1614" s="129"/>
      <c r="AC1614" s="129"/>
      <c r="AD1614" s="129"/>
      <c r="AE1614" s="129"/>
      <c r="AF1614" s="132"/>
      <c r="AG1614" s="128" t="b">
        <v>0</v>
      </c>
      <c r="AH1614" s="128"/>
      <c r="AI1614" s="128"/>
      <c r="AJ1614" s="128"/>
      <c r="AK1614" s="128"/>
      <c r="AL1614" s="129"/>
      <c r="AM1614" s="129"/>
      <c r="AN1614" s="139"/>
    </row>
    <row r="1615">
      <c r="A1615" s="129"/>
      <c r="B1615" s="119"/>
      <c r="C1615" s="128"/>
      <c r="D1615" s="142"/>
      <c r="E1615" s="122"/>
      <c r="F1615" s="136"/>
      <c r="G1615" s="152"/>
      <c r="H1615" s="155"/>
      <c r="I1615" s="155"/>
      <c r="J1615" s="155"/>
      <c r="K1615" s="155"/>
      <c r="L1615" s="155"/>
      <c r="M1615" s="126"/>
      <c r="N1615" s="127"/>
      <c r="O1615" s="127"/>
      <c r="P1615" s="127"/>
      <c r="Q1615" s="126"/>
      <c r="R1615" s="128"/>
      <c r="S1615" s="128"/>
      <c r="T1615" s="128"/>
      <c r="U1615" s="128"/>
      <c r="V1615" s="129"/>
      <c r="W1615" s="129"/>
      <c r="X1615" s="129"/>
      <c r="Y1615" s="129"/>
      <c r="Z1615" s="145" t="b">
        <v>0</v>
      </c>
      <c r="AA1615" s="145"/>
      <c r="AB1615" s="129"/>
      <c r="AC1615" s="129"/>
      <c r="AD1615" s="129"/>
      <c r="AE1615" s="129"/>
      <c r="AF1615" s="132"/>
      <c r="AG1615" s="128" t="b">
        <v>0</v>
      </c>
      <c r="AH1615" s="128"/>
      <c r="AI1615" s="128"/>
      <c r="AJ1615" s="128"/>
      <c r="AK1615" s="128"/>
      <c r="AL1615" s="129"/>
      <c r="AM1615" s="129"/>
      <c r="AN1615" s="139"/>
    </row>
    <row r="1616">
      <c r="A1616" s="129"/>
      <c r="B1616" s="119"/>
      <c r="C1616" s="128"/>
      <c r="D1616" s="142"/>
      <c r="E1616" s="122"/>
      <c r="F1616" s="136"/>
      <c r="G1616" s="152"/>
      <c r="H1616" s="155"/>
      <c r="I1616" s="155"/>
      <c r="J1616" s="155"/>
      <c r="K1616" s="155"/>
      <c r="L1616" s="155"/>
      <c r="M1616" s="126"/>
      <c r="N1616" s="127"/>
      <c r="O1616" s="127"/>
      <c r="P1616" s="127"/>
      <c r="Q1616" s="126"/>
      <c r="R1616" s="128"/>
      <c r="S1616" s="128"/>
      <c r="T1616" s="128"/>
      <c r="U1616" s="128"/>
      <c r="V1616" s="129"/>
      <c r="W1616" s="129"/>
      <c r="X1616" s="129"/>
      <c r="Y1616" s="129"/>
      <c r="Z1616" s="145" t="b">
        <v>0</v>
      </c>
      <c r="AA1616" s="145"/>
      <c r="AB1616" s="129"/>
      <c r="AC1616" s="129"/>
      <c r="AD1616" s="129"/>
      <c r="AE1616" s="129"/>
      <c r="AF1616" s="132"/>
      <c r="AG1616" s="128" t="b">
        <v>0</v>
      </c>
      <c r="AH1616" s="128"/>
      <c r="AI1616" s="128"/>
      <c r="AJ1616" s="128"/>
      <c r="AK1616" s="128"/>
      <c r="AL1616" s="129"/>
      <c r="AM1616" s="129"/>
      <c r="AN1616" s="139"/>
    </row>
    <row r="1617">
      <c r="A1617" s="129"/>
      <c r="B1617" s="119"/>
      <c r="C1617" s="128"/>
      <c r="D1617" s="142"/>
      <c r="E1617" s="122"/>
      <c r="F1617" s="136"/>
      <c r="G1617" s="152"/>
      <c r="H1617" s="155"/>
      <c r="I1617" s="155"/>
      <c r="J1617" s="155"/>
      <c r="K1617" s="155"/>
      <c r="L1617" s="155"/>
      <c r="M1617" s="126"/>
      <c r="N1617" s="127"/>
      <c r="O1617" s="127"/>
      <c r="P1617" s="127"/>
      <c r="Q1617" s="126"/>
      <c r="R1617" s="128"/>
      <c r="S1617" s="128"/>
      <c r="T1617" s="128"/>
      <c r="U1617" s="128"/>
      <c r="V1617" s="129"/>
      <c r="W1617" s="129"/>
      <c r="X1617" s="129"/>
      <c r="Y1617" s="129"/>
      <c r="Z1617" s="145" t="b">
        <v>0</v>
      </c>
      <c r="AA1617" s="145"/>
      <c r="AB1617" s="129"/>
      <c r="AC1617" s="129"/>
      <c r="AD1617" s="129"/>
      <c r="AE1617" s="129"/>
      <c r="AF1617" s="132"/>
      <c r="AG1617" s="128" t="b">
        <v>0</v>
      </c>
      <c r="AH1617" s="128"/>
      <c r="AI1617" s="128"/>
      <c r="AJ1617" s="128"/>
      <c r="AK1617" s="128"/>
      <c r="AL1617" s="129"/>
      <c r="AM1617" s="129"/>
      <c r="AN1617" s="139"/>
    </row>
    <row r="1618">
      <c r="A1618" s="129"/>
      <c r="B1618" s="119"/>
      <c r="C1618" s="128"/>
      <c r="D1618" s="142"/>
      <c r="E1618" s="122"/>
      <c r="F1618" s="136"/>
      <c r="G1618" s="152"/>
      <c r="H1618" s="155"/>
      <c r="I1618" s="155"/>
      <c r="J1618" s="155"/>
      <c r="K1618" s="155"/>
      <c r="L1618" s="155"/>
      <c r="M1618" s="126"/>
      <c r="N1618" s="127"/>
      <c r="O1618" s="127"/>
      <c r="P1618" s="127"/>
      <c r="Q1618" s="126"/>
      <c r="R1618" s="128"/>
      <c r="S1618" s="128"/>
      <c r="T1618" s="128"/>
      <c r="U1618" s="128"/>
      <c r="V1618" s="129"/>
      <c r="W1618" s="129"/>
      <c r="X1618" s="129"/>
      <c r="Y1618" s="129"/>
      <c r="Z1618" s="145" t="b">
        <v>0</v>
      </c>
      <c r="AA1618" s="145"/>
      <c r="AB1618" s="129"/>
      <c r="AC1618" s="129"/>
      <c r="AD1618" s="129"/>
      <c r="AE1618" s="129"/>
      <c r="AF1618" s="132"/>
      <c r="AG1618" s="128" t="b">
        <v>0</v>
      </c>
      <c r="AH1618" s="128"/>
      <c r="AI1618" s="128"/>
      <c r="AJ1618" s="128"/>
      <c r="AK1618" s="128"/>
      <c r="AL1618" s="129"/>
      <c r="AM1618" s="129"/>
      <c r="AN1618" s="139"/>
    </row>
    <row r="1619">
      <c r="A1619" s="129"/>
      <c r="B1619" s="119"/>
      <c r="C1619" s="128"/>
      <c r="D1619" s="142"/>
      <c r="E1619" s="122"/>
      <c r="F1619" s="136"/>
      <c r="G1619" s="152"/>
      <c r="H1619" s="155"/>
      <c r="I1619" s="155"/>
      <c r="J1619" s="155"/>
      <c r="K1619" s="155"/>
      <c r="L1619" s="155"/>
      <c r="M1619" s="126"/>
      <c r="N1619" s="127"/>
      <c r="O1619" s="127"/>
      <c r="P1619" s="127"/>
      <c r="Q1619" s="126"/>
      <c r="R1619" s="128"/>
      <c r="S1619" s="128"/>
      <c r="T1619" s="128"/>
      <c r="U1619" s="128"/>
      <c r="V1619" s="129"/>
      <c r="W1619" s="129"/>
      <c r="X1619" s="129"/>
      <c r="Y1619" s="129"/>
      <c r="Z1619" s="145" t="b">
        <v>0</v>
      </c>
      <c r="AA1619" s="145"/>
      <c r="AB1619" s="129"/>
      <c r="AC1619" s="129"/>
      <c r="AD1619" s="129"/>
      <c r="AE1619" s="129"/>
      <c r="AF1619" s="132"/>
      <c r="AG1619" s="128" t="b">
        <v>0</v>
      </c>
      <c r="AH1619" s="128"/>
      <c r="AI1619" s="128"/>
      <c r="AJ1619" s="128"/>
      <c r="AK1619" s="128"/>
      <c r="AL1619" s="129"/>
      <c r="AM1619" s="129"/>
      <c r="AN1619" s="139"/>
    </row>
    <row r="1620">
      <c r="A1620" s="129"/>
      <c r="B1620" s="119"/>
      <c r="C1620" s="128"/>
      <c r="D1620" s="142"/>
      <c r="E1620" s="122"/>
      <c r="F1620" s="136"/>
      <c r="G1620" s="152"/>
      <c r="H1620" s="155"/>
      <c r="I1620" s="155"/>
      <c r="J1620" s="155"/>
      <c r="K1620" s="155"/>
      <c r="L1620" s="155"/>
      <c r="M1620" s="126"/>
      <c r="N1620" s="127"/>
      <c r="O1620" s="127"/>
      <c r="P1620" s="127"/>
      <c r="Q1620" s="126"/>
      <c r="R1620" s="128"/>
      <c r="S1620" s="128"/>
      <c r="T1620" s="128"/>
      <c r="U1620" s="128"/>
      <c r="V1620" s="129"/>
      <c r="W1620" s="129"/>
      <c r="X1620" s="129"/>
      <c r="Y1620" s="129"/>
      <c r="Z1620" s="145" t="b">
        <v>0</v>
      </c>
      <c r="AA1620" s="145"/>
      <c r="AB1620" s="129"/>
      <c r="AC1620" s="129"/>
      <c r="AD1620" s="129"/>
      <c r="AE1620" s="129"/>
      <c r="AF1620" s="132"/>
      <c r="AG1620" s="128" t="b">
        <v>0</v>
      </c>
      <c r="AH1620" s="128"/>
      <c r="AI1620" s="128"/>
      <c r="AJ1620" s="128"/>
      <c r="AK1620" s="128"/>
      <c r="AL1620" s="129"/>
      <c r="AM1620" s="129"/>
      <c r="AN1620" s="139"/>
    </row>
    <row r="1621">
      <c r="A1621" s="129"/>
      <c r="B1621" s="119"/>
      <c r="C1621" s="128"/>
      <c r="D1621" s="142"/>
      <c r="E1621" s="122"/>
      <c r="F1621" s="136"/>
      <c r="G1621" s="152"/>
      <c r="H1621" s="155"/>
      <c r="I1621" s="155"/>
      <c r="J1621" s="155"/>
      <c r="K1621" s="155"/>
      <c r="L1621" s="155"/>
      <c r="M1621" s="126"/>
      <c r="N1621" s="127"/>
      <c r="O1621" s="127"/>
      <c r="P1621" s="127"/>
      <c r="Q1621" s="126"/>
      <c r="R1621" s="128"/>
      <c r="S1621" s="128"/>
      <c r="T1621" s="128"/>
      <c r="U1621" s="128"/>
      <c r="V1621" s="129"/>
      <c r="W1621" s="129"/>
      <c r="X1621" s="129"/>
      <c r="Y1621" s="129"/>
      <c r="Z1621" s="145" t="b">
        <v>0</v>
      </c>
      <c r="AA1621" s="145"/>
      <c r="AB1621" s="129"/>
      <c r="AC1621" s="129"/>
      <c r="AD1621" s="129"/>
      <c r="AE1621" s="129"/>
      <c r="AF1621" s="132"/>
      <c r="AG1621" s="128" t="b">
        <v>0</v>
      </c>
      <c r="AH1621" s="128"/>
      <c r="AI1621" s="128"/>
      <c r="AJ1621" s="128"/>
      <c r="AK1621" s="128"/>
      <c r="AL1621" s="129"/>
      <c r="AM1621" s="129"/>
      <c r="AN1621" s="139"/>
    </row>
    <row r="1622">
      <c r="A1622" s="129"/>
      <c r="B1622" s="119"/>
      <c r="C1622" s="128"/>
      <c r="D1622" s="142"/>
      <c r="E1622" s="122"/>
      <c r="F1622" s="136"/>
      <c r="G1622" s="152"/>
      <c r="H1622" s="155"/>
      <c r="I1622" s="155"/>
      <c r="J1622" s="155"/>
      <c r="K1622" s="155"/>
      <c r="L1622" s="155"/>
      <c r="M1622" s="126"/>
      <c r="N1622" s="127"/>
      <c r="O1622" s="127"/>
      <c r="P1622" s="127"/>
      <c r="Q1622" s="126"/>
      <c r="R1622" s="128"/>
      <c r="S1622" s="128"/>
      <c r="T1622" s="128"/>
      <c r="U1622" s="128"/>
      <c r="V1622" s="129"/>
      <c r="W1622" s="129"/>
      <c r="X1622" s="129"/>
      <c r="Y1622" s="129"/>
      <c r="Z1622" s="145" t="b">
        <v>0</v>
      </c>
      <c r="AA1622" s="145"/>
      <c r="AB1622" s="129"/>
      <c r="AC1622" s="129"/>
      <c r="AD1622" s="129"/>
      <c r="AE1622" s="129"/>
      <c r="AF1622" s="132"/>
      <c r="AG1622" s="128" t="b">
        <v>0</v>
      </c>
      <c r="AH1622" s="128"/>
      <c r="AI1622" s="128"/>
      <c r="AJ1622" s="128"/>
      <c r="AK1622" s="128"/>
      <c r="AL1622" s="129"/>
      <c r="AM1622" s="129"/>
      <c r="AN1622" s="139"/>
    </row>
    <row r="1623">
      <c r="A1623" s="129"/>
      <c r="B1623" s="119"/>
      <c r="C1623" s="128"/>
      <c r="D1623" s="142"/>
      <c r="E1623" s="122"/>
      <c r="F1623" s="136"/>
      <c r="G1623" s="152"/>
      <c r="H1623" s="155"/>
      <c r="I1623" s="155"/>
      <c r="J1623" s="155"/>
      <c r="K1623" s="155"/>
      <c r="L1623" s="155"/>
      <c r="M1623" s="126"/>
      <c r="N1623" s="127"/>
      <c r="O1623" s="127"/>
      <c r="P1623" s="127"/>
      <c r="Q1623" s="126"/>
      <c r="R1623" s="128"/>
      <c r="S1623" s="128"/>
      <c r="T1623" s="128"/>
      <c r="U1623" s="128"/>
      <c r="V1623" s="129"/>
      <c r="W1623" s="129"/>
      <c r="X1623" s="129"/>
      <c r="Y1623" s="129"/>
      <c r="Z1623" s="145" t="b">
        <v>0</v>
      </c>
      <c r="AA1623" s="145"/>
      <c r="AB1623" s="129"/>
      <c r="AC1623" s="129"/>
      <c r="AD1623" s="129"/>
      <c r="AE1623" s="129"/>
      <c r="AF1623" s="132"/>
      <c r="AG1623" s="128" t="b">
        <v>0</v>
      </c>
      <c r="AH1623" s="128"/>
      <c r="AI1623" s="128"/>
      <c r="AJ1623" s="128"/>
      <c r="AK1623" s="128"/>
      <c r="AL1623" s="129"/>
      <c r="AM1623" s="129"/>
      <c r="AN1623" s="139"/>
    </row>
    <row r="1624">
      <c r="A1624" s="129"/>
      <c r="B1624" s="119"/>
      <c r="C1624" s="128"/>
      <c r="D1624" s="142"/>
      <c r="E1624" s="122"/>
      <c r="F1624" s="136"/>
      <c r="G1624" s="152"/>
      <c r="H1624" s="155"/>
      <c r="I1624" s="155"/>
      <c r="J1624" s="155"/>
      <c r="K1624" s="155"/>
      <c r="L1624" s="155"/>
      <c r="M1624" s="126"/>
      <c r="N1624" s="127"/>
      <c r="O1624" s="127"/>
      <c r="P1624" s="127"/>
      <c r="Q1624" s="126"/>
      <c r="R1624" s="128"/>
      <c r="S1624" s="128"/>
      <c r="T1624" s="128"/>
      <c r="U1624" s="128"/>
      <c r="V1624" s="129"/>
      <c r="W1624" s="129"/>
      <c r="X1624" s="129"/>
      <c r="Y1624" s="129"/>
      <c r="Z1624" s="145" t="b">
        <v>0</v>
      </c>
      <c r="AA1624" s="145"/>
      <c r="AB1624" s="129"/>
      <c r="AC1624" s="129"/>
      <c r="AD1624" s="129"/>
      <c r="AE1624" s="129"/>
      <c r="AF1624" s="132"/>
      <c r="AG1624" s="128" t="b">
        <v>0</v>
      </c>
      <c r="AH1624" s="128"/>
      <c r="AI1624" s="128"/>
      <c r="AJ1624" s="128"/>
      <c r="AK1624" s="128"/>
      <c r="AL1624" s="129"/>
      <c r="AM1624" s="129"/>
      <c r="AN1624" s="139"/>
    </row>
    <row r="1625">
      <c r="A1625" s="129"/>
      <c r="B1625" s="119"/>
      <c r="C1625" s="128"/>
      <c r="D1625" s="142"/>
      <c r="E1625" s="122"/>
      <c r="F1625" s="136"/>
      <c r="G1625" s="152"/>
      <c r="H1625" s="155"/>
      <c r="I1625" s="155"/>
      <c r="J1625" s="155"/>
      <c r="K1625" s="155"/>
      <c r="L1625" s="155"/>
      <c r="M1625" s="126"/>
      <c r="N1625" s="127"/>
      <c r="O1625" s="127"/>
      <c r="P1625" s="127"/>
      <c r="Q1625" s="126"/>
      <c r="R1625" s="128"/>
      <c r="S1625" s="128"/>
      <c r="T1625" s="128"/>
      <c r="U1625" s="128"/>
      <c r="V1625" s="129"/>
      <c r="W1625" s="129"/>
      <c r="X1625" s="129"/>
      <c r="Y1625" s="129"/>
      <c r="Z1625" s="145" t="b">
        <v>0</v>
      </c>
      <c r="AA1625" s="145"/>
      <c r="AB1625" s="129"/>
      <c r="AC1625" s="129"/>
      <c r="AD1625" s="129"/>
      <c r="AE1625" s="129"/>
      <c r="AF1625" s="132"/>
      <c r="AG1625" s="128" t="b">
        <v>0</v>
      </c>
      <c r="AH1625" s="128"/>
      <c r="AI1625" s="128"/>
      <c r="AJ1625" s="128"/>
      <c r="AK1625" s="128"/>
      <c r="AL1625" s="129"/>
      <c r="AM1625" s="129"/>
      <c r="AN1625" s="139"/>
    </row>
    <row r="1626">
      <c r="A1626" s="129"/>
      <c r="B1626" s="119"/>
      <c r="C1626" s="128"/>
      <c r="D1626" s="142"/>
      <c r="E1626" s="122"/>
      <c r="F1626" s="136"/>
      <c r="G1626" s="152"/>
      <c r="H1626" s="155"/>
      <c r="I1626" s="155"/>
      <c r="J1626" s="155"/>
      <c r="K1626" s="155"/>
      <c r="L1626" s="155"/>
      <c r="M1626" s="126"/>
      <c r="N1626" s="127"/>
      <c r="O1626" s="127"/>
      <c r="P1626" s="127"/>
      <c r="Q1626" s="126"/>
      <c r="R1626" s="128"/>
      <c r="S1626" s="128"/>
      <c r="T1626" s="128"/>
      <c r="U1626" s="128"/>
      <c r="V1626" s="129"/>
      <c r="W1626" s="129"/>
      <c r="X1626" s="129"/>
      <c r="Y1626" s="129"/>
      <c r="Z1626" s="145" t="b">
        <v>0</v>
      </c>
      <c r="AA1626" s="145"/>
      <c r="AB1626" s="129"/>
      <c r="AC1626" s="129"/>
      <c r="AD1626" s="129"/>
      <c r="AE1626" s="129"/>
      <c r="AF1626" s="132"/>
      <c r="AG1626" s="128" t="b">
        <v>0</v>
      </c>
      <c r="AH1626" s="128"/>
      <c r="AI1626" s="128"/>
      <c r="AJ1626" s="128"/>
      <c r="AK1626" s="128"/>
      <c r="AL1626" s="129"/>
      <c r="AM1626" s="129"/>
      <c r="AN1626" s="139"/>
    </row>
    <row r="1627">
      <c r="A1627" s="129"/>
      <c r="B1627" s="119"/>
      <c r="C1627" s="128"/>
      <c r="D1627" s="142"/>
      <c r="E1627" s="122"/>
      <c r="F1627" s="136"/>
      <c r="G1627" s="152"/>
      <c r="H1627" s="155"/>
      <c r="I1627" s="155"/>
      <c r="J1627" s="155"/>
      <c r="K1627" s="155"/>
      <c r="L1627" s="155"/>
      <c r="M1627" s="126"/>
      <c r="N1627" s="127"/>
      <c r="O1627" s="127"/>
      <c r="P1627" s="127"/>
      <c r="Q1627" s="126"/>
      <c r="R1627" s="128"/>
      <c r="S1627" s="128"/>
      <c r="T1627" s="128"/>
      <c r="U1627" s="128"/>
      <c r="V1627" s="129"/>
      <c r="W1627" s="129"/>
      <c r="X1627" s="129"/>
      <c r="Y1627" s="129"/>
      <c r="Z1627" s="145" t="b">
        <v>0</v>
      </c>
      <c r="AA1627" s="145"/>
      <c r="AB1627" s="129"/>
      <c r="AC1627" s="129"/>
      <c r="AD1627" s="129"/>
      <c r="AE1627" s="129"/>
      <c r="AF1627" s="132"/>
      <c r="AG1627" s="128" t="b">
        <v>0</v>
      </c>
      <c r="AH1627" s="128"/>
      <c r="AI1627" s="128"/>
      <c r="AJ1627" s="128"/>
      <c r="AK1627" s="128"/>
      <c r="AL1627" s="129"/>
      <c r="AM1627" s="129"/>
      <c r="AN1627" s="139"/>
    </row>
    <row r="1628">
      <c r="A1628" s="129"/>
      <c r="B1628" s="119"/>
      <c r="C1628" s="128"/>
      <c r="D1628" s="142"/>
      <c r="E1628" s="122"/>
      <c r="F1628" s="136"/>
      <c r="G1628" s="152"/>
      <c r="H1628" s="155"/>
      <c r="I1628" s="155"/>
      <c r="J1628" s="155"/>
      <c r="K1628" s="155"/>
      <c r="L1628" s="155"/>
      <c r="M1628" s="126"/>
      <c r="N1628" s="127"/>
      <c r="O1628" s="127"/>
      <c r="P1628" s="127"/>
      <c r="Q1628" s="126"/>
      <c r="R1628" s="128"/>
      <c r="S1628" s="128"/>
      <c r="T1628" s="128"/>
      <c r="U1628" s="128"/>
      <c r="V1628" s="129"/>
      <c r="W1628" s="129"/>
      <c r="X1628" s="129"/>
      <c r="Y1628" s="129"/>
      <c r="Z1628" s="145" t="b">
        <v>0</v>
      </c>
      <c r="AA1628" s="145"/>
      <c r="AB1628" s="129"/>
      <c r="AC1628" s="129"/>
      <c r="AD1628" s="129"/>
      <c r="AE1628" s="129"/>
      <c r="AF1628" s="132"/>
      <c r="AG1628" s="128" t="b">
        <v>0</v>
      </c>
      <c r="AH1628" s="128"/>
      <c r="AI1628" s="128"/>
      <c r="AJ1628" s="128"/>
      <c r="AK1628" s="128"/>
      <c r="AL1628" s="129"/>
      <c r="AM1628" s="129"/>
      <c r="AN1628" s="139"/>
    </row>
    <row r="1629">
      <c r="A1629" s="129"/>
      <c r="B1629" s="119"/>
      <c r="C1629" s="128"/>
      <c r="D1629" s="142"/>
      <c r="E1629" s="122"/>
      <c r="F1629" s="136"/>
      <c r="G1629" s="152"/>
      <c r="H1629" s="155"/>
      <c r="I1629" s="155"/>
      <c r="J1629" s="155"/>
      <c r="K1629" s="155"/>
      <c r="L1629" s="155"/>
      <c r="M1629" s="126"/>
      <c r="N1629" s="127"/>
      <c r="O1629" s="127"/>
      <c r="P1629" s="127"/>
      <c r="Q1629" s="126"/>
      <c r="R1629" s="128"/>
      <c r="S1629" s="128"/>
      <c r="T1629" s="128"/>
      <c r="U1629" s="128"/>
      <c r="V1629" s="129"/>
      <c r="W1629" s="129"/>
      <c r="X1629" s="129"/>
      <c r="Y1629" s="129"/>
      <c r="Z1629" s="145" t="b">
        <v>0</v>
      </c>
      <c r="AA1629" s="145"/>
      <c r="AB1629" s="129"/>
      <c r="AC1629" s="129"/>
      <c r="AD1629" s="129"/>
      <c r="AE1629" s="129"/>
      <c r="AF1629" s="132"/>
      <c r="AG1629" s="128" t="b">
        <v>0</v>
      </c>
      <c r="AH1629" s="128"/>
      <c r="AI1629" s="128"/>
      <c r="AJ1629" s="128"/>
      <c r="AK1629" s="128"/>
      <c r="AL1629" s="129"/>
      <c r="AM1629" s="129"/>
      <c r="AN1629" s="139"/>
    </row>
    <row r="1630">
      <c r="A1630" s="129"/>
      <c r="B1630" s="119"/>
      <c r="C1630" s="128"/>
      <c r="D1630" s="142"/>
      <c r="E1630" s="122"/>
      <c r="F1630" s="136"/>
      <c r="G1630" s="152"/>
      <c r="H1630" s="155"/>
      <c r="I1630" s="155"/>
      <c r="J1630" s="155"/>
      <c r="K1630" s="155"/>
      <c r="L1630" s="155"/>
      <c r="M1630" s="126"/>
      <c r="N1630" s="127"/>
      <c r="O1630" s="127"/>
      <c r="P1630" s="127"/>
      <c r="Q1630" s="126"/>
      <c r="R1630" s="128"/>
      <c r="S1630" s="128"/>
      <c r="T1630" s="128"/>
      <c r="U1630" s="128"/>
      <c r="V1630" s="129"/>
      <c r="W1630" s="129"/>
      <c r="X1630" s="129"/>
      <c r="Y1630" s="129"/>
      <c r="Z1630" s="145" t="b">
        <v>0</v>
      </c>
      <c r="AA1630" s="145"/>
      <c r="AB1630" s="129"/>
      <c r="AC1630" s="129"/>
      <c r="AD1630" s="129"/>
      <c r="AE1630" s="129"/>
      <c r="AF1630" s="132"/>
      <c r="AG1630" s="128" t="b">
        <v>0</v>
      </c>
      <c r="AH1630" s="128"/>
      <c r="AI1630" s="128"/>
      <c r="AJ1630" s="128"/>
      <c r="AK1630" s="128"/>
      <c r="AL1630" s="129"/>
      <c r="AM1630" s="129"/>
      <c r="AN1630" s="139"/>
    </row>
    <row r="1631">
      <c r="A1631" s="129"/>
      <c r="B1631" s="119"/>
      <c r="C1631" s="128"/>
      <c r="D1631" s="142"/>
      <c r="E1631" s="122"/>
      <c r="F1631" s="136"/>
      <c r="G1631" s="152"/>
      <c r="H1631" s="155"/>
      <c r="I1631" s="155"/>
      <c r="J1631" s="155"/>
      <c r="K1631" s="155"/>
      <c r="L1631" s="155"/>
      <c r="M1631" s="126"/>
      <c r="N1631" s="127"/>
      <c r="O1631" s="127"/>
      <c r="P1631" s="127"/>
      <c r="Q1631" s="126"/>
      <c r="R1631" s="128"/>
      <c r="S1631" s="128"/>
      <c r="T1631" s="128"/>
      <c r="U1631" s="128"/>
      <c r="V1631" s="129"/>
      <c r="W1631" s="129"/>
      <c r="X1631" s="129"/>
      <c r="Y1631" s="129"/>
      <c r="Z1631" s="145" t="b">
        <v>0</v>
      </c>
      <c r="AA1631" s="145"/>
      <c r="AB1631" s="129"/>
      <c r="AC1631" s="129"/>
      <c r="AD1631" s="129"/>
      <c r="AE1631" s="129"/>
      <c r="AF1631" s="132"/>
      <c r="AG1631" s="128" t="b">
        <v>0</v>
      </c>
      <c r="AH1631" s="128"/>
      <c r="AI1631" s="128"/>
      <c r="AJ1631" s="128"/>
      <c r="AK1631" s="128"/>
      <c r="AL1631" s="129"/>
      <c r="AM1631" s="129"/>
      <c r="AN1631" s="139"/>
    </row>
    <row r="1632">
      <c r="A1632" s="129"/>
      <c r="B1632" s="119"/>
      <c r="C1632" s="128"/>
      <c r="D1632" s="142"/>
      <c r="E1632" s="122"/>
      <c r="F1632" s="136"/>
      <c r="G1632" s="152"/>
      <c r="H1632" s="155"/>
      <c r="I1632" s="155"/>
      <c r="J1632" s="155"/>
      <c r="K1632" s="155"/>
      <c r="L1632" s="155"/>
      <c r="M1632" s="126"/>
      <c r="N1632" s="127"/>
      <c r="O1632" s="127"/>
      <c r="P1632" s="127"/>
      <c r="Q1632" s="126"/>
      <c r="R1632" s="128"/>
      <c r="S1632" s="128"/>
      <c r="T1632" s="128"/>
      <c r="U1632" s="128"/>
      <c r="V1632" s="129"/>
      <c r="W1632" s="129"/>
      <c r="X1632" s="129"/>
      <c r="Y1632" s="129"/>
      <c r="Z1632" s="145" t="b">
        <v>0</v>
      </c>
      <c r="AA1632" s="145"/>
      <c r="AB1632" s="129"/>
      <c r="AC1632" s="129"/>
      <c r="AD1632" s="129"/>
      <c r="AE1632" s="129"/>
      <c r="AF1632" s="132"/>
      <c r="AG1632" s="128" t="b">
        <v>0</v>
      </c>
      <c r="AH1632" s="128"/>
      <c r="AI1632" s="128"/>
      <c r="AJ1632" s="128"/>
      <c r="AK1632" s="128"/>
      <c r="AL1632" s="129"/>
      <c r="AM1632" s="129"/>
      <c r="AN1632" s="139"/>
    </row>
    <row r="1633">
      <c r="A1633" s="129"/>
      <c r="B1633" s="119"/>
      <c r="C1633" s="128"/>
      <c r="D1633" s="142"/>
      <c r="E1633" s="122"/>
      <c r="F1633" s="136"/>
      <c r="G1633" s="152"/>
      <c r="H1633" s="155"/>
      <c r="I1633" s="155"/>
      <c r="J1633" s="155"/>
      <c r="K1633" s="155"/>
      <c r="L1633" s="155"/>
      <c r="M1633" s="126"/>
      <c r="N1633" s="127"/>
      <c r="O1633" s="127"/>
      <c r="P1633" s="127"/>
      <c r="Q1633" s="126"/>
      <c r="R1633" s="128"/>
      <c r="S1633" s="128"/>
      <c r="T1633" s="128"/>
      <c r="U1633" s="128"/>
      <c r="V1633" s="129"/>
      <c r="W1633" s="129"/>
      <c r="X1633" s="129"/>
      <c r="Y1633" s="129"/>
      <c r="Z1633" s="145" t="b">
        <v>0</v>
      </c>
      <c r="AA1633" s="145"/>
      <c r="AB1633" s="129"/>
      <c r="AC1633" s="129"/>
      <c r="AD1633" s="129"/>
      <c r="AE1633" s="129"/>
      <c r="AF1633" s="132"/>
      <c r="AG1633" s="128" t="b">
        <v>0</v>
      </c>
      <c r="AH1633" s="128"/>
      <c r="AI1633" s="128"/>
      <c r="AJ1633" s="128"/>
      <c r="AK1633" s="128"/>
      <c r="AL1633" s="129"/>
      <c r="AM1633" s="129"/>
      <c r="AN1633" s="139"/>
    </row>
    <row r="1634">
      <c r="A1634" s="129"/>
      <c r="B1634" s="119"/>
      <c r="C1634" s="128"/>
      <c r="D1634" s="142"/>
      <c r="E1634" s="122"/>
      <c r="F1634" s="136"/>
      <c r="G1634" s="152"/>
      <c r="H1634" s="155"/>
      <c r="I1634" s="155"/>
      <c r="J1634" s="155"/>
      <c r="K1634" s="155"/>
      <c r="L1634" s="155"/>
      <c r="M1634" s="126"/>
      <c r="N1634" s="127"/>
      <c r="O1634" s="127"/>
      <c r="P1634" s="127"/>
      <c r="Q1634" s="126"/>
      <c r="R1634" s="128"/>
      <c r="S1634" s="128"/>
      <c r="T1634" s="128"/>
      <c r="U1634" s="128"/>
      <c r="V1634" s="129"/>
      <c r="W1634" s="129"/>
      <c r="X1634" s="129"/>
      <c r="Y1634" s="129"/>
      <c r="Z1634" s="145" t="b">
        <v>0</v>
      </c>
      <c r="AA1634" s="145"/>
      <c r="AB1634" s="129"/>
      <c r="AC1634" s="129"/>
      <c r="AD1634" s="129"/>
      <c r="AE1634" s="129"/>
      <c r="AF1634" s="132"/>
      <c r="AG1634" s="128" t="b">
        <v>0</v>
      </c>
      <c r="AH1634" s="128"/>
      <c r="AI1634" s="128"/>
      <c r="AJ1634" s="128"/>
      <c r="AK1634" s="128"/>
      <c r="AL1634" s="129"/>
      <c r="AM1634" s="129"/>
      <c r="AN1634" s="139"/>
    </row>
    <row r="1635">
      <c r="A1635" s="129"/>
      <c r="B1635" s="119"/>
      <c r="C1635" s="128"/>
      <c r="D1635" s="142"/>
      <c r="E1635" s="122"/>
      <c r="F1635" s="136"/>
      <c r="G1635" s="152"/>
      <c r="H1635" s="155"/>
      <c r="I1635" s="155"/>
      <c r="J1635" s="155"/>
      <c r="K1635" s="155"/>
      <c r="L1635" s="155"/>
      <c r="M1635" s="126"/>
      <c r="N1635" s="127"/>
      <c r="O1635" s="127"/>
      <c r="P1635" s="127"/>
      <c r="Q1635" s="126"/>
      <c r="R1635" s="128"/>
      <c r="S1635" s="128"/>
      <c r="T1635" s="128"/>
      <c r="U1635" s="128"/>
      <c r="V1635" s="129"/>
      <c r="W1635" s="129"/>
      <c r="X1635" s="129"/>
      <c r="Y1635" s="129"/>
      <c r="Z1635" s="145" t="b">
        <v>0</v>
      </c>
      <c r="AA1635" s="145"/>
      <c r="AB1635" s="129"/>
      <c r="AC1635" s="129"/>
      <c r="AD1635" s="129"/>
      <c r="AE1635" s="129"/>
      <c r="AF1635" s="132"/>
      <c r="AG1635" s="128" t="b">
        <v>0</v>
      </c>
      <c r="AH1635" s="128"/>
      <c r="AI1635" s="128"/>
      <c r="AJ1635" s="128"/>
      <c r="AK1635" s="128"/>
      <c r="AL1635" s="129"/>
      <c r="AM1635" s="129"/>
      <c r="AN1635" s="139"/>
    </row>
    <row r="1636">
      <c r="A1636" s="129"/>
      <c r="B1636" s="119"/>
      <c r="C1636" s="128"/>
      <c r="D1636" s="142"/>
      <c r="E1636" s="122"/>
      <c r="F1636" s="136"/>
      <c r="G1636" s="152"/>
      <c r="H1636" s="155"/>
      <c r="I1636" s="155"/>
      <c r="J1636" s="155"/>
      <c r="K1636" s="155"/>
      <c r="L1636" s="155"/>
      <c r="M1636" s="126"/>
      <c r="N1636" s="127"/>
      <c r="O1636" s="127"/>
      <c r="P1636" s="127"/>
      <c r="Q1636" s="126"/>
      <c r="R1636" s="128"/>
      <c r="S1636" s="128"/>
      <c r="T1636" s="128"/>
      <c r="U1636" s="128"/>
      <c r="V1636" s="129"/>
      <c r="W1636" s="129"/>
      <c r="X1636" s="129"/>
      <c r="Y1636" s="129"/>
      <c r="Z1636" s="145" t="b">
        <v>0</v>
      </c>
      <c r="AA1636" s="145"/>
      <c r="AB1636" s="129"/>
      <c r="AC1636" s="129"/>
      <c r="AD1636" s="129"/>
      <c r="AE1636" s="129"/>
      <c r="AF1636" s="132"/>
      <c r="AG1636" s="128" t="b">
        <v>0</v>
      </c>
      <c r="AH1636" s="128"/>
      <c r="AI1636" s="128"/>
      <c r="AJ1636" s="128"/>
      <c r="AK1636" s="128"/>
      <c r="AL1636" s="129"/>
      <c r="AM1636" s="129"/>
      <c r="AN1636" s="139"/>
    </row>
    <row r="1637">
      <c r="A1637" s="129"/>
      <c r="B1637" s="119"/>
      <c r="C1637" s="128"/>
      <c r="D1637" s="142"/>
      <c r="E1637" s="122"/>
      <c r="F1637" s="136"/>
      <c r="G1637" s="152"/>
      <c r="H1637" s="155"/>
      <c r="I1637" s="155"/>
      <c r="J1637" s="155"/>
      <c r="K1637" s="155"/>
      <c r="L1637" s="155"/>
      <c r="M1637" s="126"/>
      <c r="N1637" s="127"/>
      <c r="O1637" s="127"/>
      <c r="P1637" s="127"/>
      <c r="Q1637" s="126"/>
      <c r="R1637" s="128"/>
      <c r="S1637" s="128"/>
      <c r="T1637" s="128"/>
      <c r="U1637" s="128"/>
      <c r="V1637" s="129"/>
      <c r="W1637" s="129"/>
      <c r="X1637" s="129"/>
      <c r="Y1637" s="129"/>
      <c r="Z1637" s="145" t="b">
        <v>0</v>
      </c>
      <c r="AA1637" s="145"/>
      <c r="AB1637" s="129"/>
      <c r="AC1637" s="129"/>
      <c r="AD1637" s="129"/>
      <c r="AE1637" s="129"/>
      <c r="AF1637" s="132"/>
      <c r="AG1637" s="128" t="b">
        <v>0</v>
      </c>
      <c r="AH1637" s="128"/>
      <c r="AI1637" s="128"/>
      <c r="AJ1637" s="128"/>
      <c r="AK1637" s="128"/>
      <c r="AL1637" s="129"/>
      <c r="AM1637" s="129"/>
      <c r="AN1637" s="139"/>
    </row>
    <row r="1638">
      <c r="A1638" s="129"/>
      <c r="B1638" s="119"/>
      <c r="C1638" s="128"/>
      <c r="D1638" s="142"/>
      <c r="E1638" s="122"/>
      <c r="F1638" s="136"/>
      <c r="G1638" s="152"/>
      <c r="H1638" s="155"/>
      <c r="I1638" s="155"/>
      <c r="J1638" s="155"/>
      <c r="K1638" s="155"/>
      <c r="L1638" s="155"/>
      <c r="M1638" s="126"/>
      <c r="N1638" s="127"/>
      <c r="O1638" s="127"/>
      <c r="P1638" s="127"/>
      <c r="Q1638" s="126"/>
      <c r="R1638" s="128"/>
      <c r="S1638" s="128"/>
      <c r="T1638" s="128"/>
      <c r="U1638" s="128"/>
      <c r="V1638" s="129"/>
      <c r="W1638" s="129"/>
      <c r="X1638" s="129"/>
      <c r="Y1638" s="129"/>
      <c r="Z1638" s="145" t="b">
        <v>0</v>
      </c>
      <c r="AA1638" s="145"/>
      <c r="AB1638" s="129"/>
      <c r="AC1638" s="129"/>
      <c r="AD1638" s="129"/>
      <c r="AE1638" s="129"/>
      <c r="AF1638" s="132"/>
      <c r="AG1638" s="128" t="b">
        <v>0</v>
      </c>
      <c r="AH1638" s="128"/>
      <c r="AI1638" s="128"/>
      <c r="AJ1638" s="128"/>
      <c r="AK1638" s="128"/>
      <c r="AL1638" s="129"/>
      <c r="AM1638" s="129"/>
      <c r="AN1638" s="139"/>
    </row>
    <row r="1639">
      <c r="A1639" s="129"/>
      <c r="B1639" s="119"/>
      <c r="C1639" s="128"/>
      <c r="D1639" s="142"/>
      <c r="E1639" s="122"/>
      <c r="F1639" s="136"/>
      <c r="G1639" s="152"/>
      <c r="H1639" s="155"/>
      <c r="I1639" s="155"/>
      <c r="J1639" s="155"/>
      <c r="K1639" s="155"/>
      <c r="L1639" s="155"/>
      <c r="M1639" s="126"/>
      <c r="N1639" s="127"/>
      <c r="O1639" s="127"/>
      <c r="P1639" s="127"/>
      <c r="Q1639" s="126"/>
      <c r="R1639" s="128"/>
      <c r="S1639" s="128"/>
      <c r="T1639" s="128"/>
      <c r="U1639" s="128"/>
      <c r="V1639" s="129"/>
      <c r="W1639" s="129"/>
      <c r="X1639" s="129"/>
      <c r="Y1639" s="129"/>
      <c r="Z1639" s="145" t="b">
        <v>0</v>
      </c>
      <c r="AA1639" s="145"/>
      <c r="AB1639" s="129"/>
      <c r="AC1639" s="129"/>
      <c r="AD1639" s="129"/>
      <c r="AE1639" s="129"/>
      <c r="AF1639" s="132"/>
      <c r="AG1639" s="128" t="b">
        <v>0</v>
      </c>
      <c r="AH1639" s="128"/>
      <c r="AI1639" s="128"/>
      <c r="AJ1639" s="128"/>
      <c r="AK1639" s="128"/>
      <c r="AL1639" s="129"/>
      <c r="AM1639" s="129"/>
      <c r="AN1639" s="139"/>
    </row>
    <row r="1640">
      <c r="A1640" s="129"/>
      <c r="B1640" s="119"/>
      <c r="C1640" s="128"/>
      <c r="D1640" s="142"/>
      <c r="E1640" s="122"/>
      <c r="F1640" s="136"/>
      <c r="G1640" s="152"/>
      <c r="H1640" s="155"/>
      <c r="I1640" s="155"/>
      <c r="J1640" s="155"/>
      <c r="K1640" s="155"/>
      <c r="L1640" s="155"/>
      <c r="M1640" s="126"/>
      <c r="N1640" s="127"/>
      <c r="O1640" s="127"/>
      <c r="P1640" s="127"/>
      <c r="Q1640" s="126"/>
      <c r="R1640" s="128"/>
      <c r="S1640" s="128"/>
      <c r="T1640" s="128"/>
      <c r="U1640" s="128"/>
      <c r="V1640" s="129"/>
      <c r="W1640" s="129"/>
      <c r="X1640" s="129"/>
      <c r="Y1640" s="129"/>
      <c r="Z1640" s="145" t="b">
        <v>0</v>
      </c>
      <c r="AA1640" s="145"/>
      <c r="AB1640" s="129"/>
      <c r="AC1640" s="129"/>
      <c r="AD1640" s="129"/>
      <c r="AE1640" s="129"/>
      <c r="AF1640" s="132"/>
      <c r="AG1640" s="128" t="b">
        <v>0</v>
      </c>
      <c r="AH1640" s="128"/>
      <c r="AI1640" s="128"/>
      <c r="AJ1640" s="128"/>
      <c r="AK1640" s="128"/>
      <c r="AL1640" s="129"/>
      <c r="AM1640" s="129"/>
      <c r="AN1640" s="139"/>
    </row>
    <row r="1641">
      <c r="A1641" s="129"/>
      <c r="B1641" s="119"/>
      <c r="C1641" s="128"/>
      <c r="D1641" s="142"/>
      <c r="E1641" s="122"/>
      <c r="F1641" s="136"/>
      <c r="G1641" s="152"/>
      <c r="H1641" s="155"/>
      <c r="I1641" s="155"/>
      <c r="J1641" s="155"/>
      <c r="K1641" s="155"/>
      <c r="L1641" s="155"/>
      <c r="M1641" s="126"/>
      <c r="N1641" s="127"/>
      <c r="O1641" s="127"/>
      <c r="P1641" s="127"/>
      <c r="Q1641" s="126"/>
      <c r="R1641" s="128"/>
      <c r="S1641" s="128"/>
      <c r="T1641" s="128"/>
      <c r="U1641" s="128"/>
      <c r="V1641" s="129"/>
      <c r="W1641" s="129"/>
      <c r="X1641" s="129"/>
      <c r="Y1641" s="129"/>
      <c r="Z1641" s="145" t="b">
        <v>0</v>
      </c>
      <c r="AA1641" s="145"/>
      <c r="AB1641" s="129"/>
      <c r="AC1641" s="129"/>
      <c r="AD1641" s="129"/>
      <c r="AE1641" s="129"/>
      <c r="AF1641" s="132"/>
      <c r="AG1641" s="128" t="b">
        <v>0</v>
      </c>
      <c r="AH1641" s="128"/>
      <c r="AI1641" s="128"/>
      <c r="AJ1641" s="128"/>
      <c r="AK1641" s="128"/>
      <c r="AL1641" s="129"/>
      <c r="AM1641" s="129"/>
      <c r="AN1641" s="139"/>
    </row>
    <row r="1642">
      <c r="A1642" s="129"/>
      <c r="B1642" s="119"/>
      <c r="C1642" s="128"/>
      <c r="D1642" s="142"/>
      <c r="E1642" s="122"/>
      <c r="F1642" s="136"/>
      <c r="G1642" s="152"/>
      <c r="H1642" s="155"/>
      <c r="I1642" s="155"/>
      <c r="J1642" s="155"/>
      <c r="K1642" s="155"/>
      <c r="L1642" s="155"/>
      <c r="M1642" s="126"/>
      <c r="N1642" s="127"/>
      <c r="O1642" s="127"/>
      <c r="P1642" s="127"/>
      <c r="Q1642" s="126"/>
      <c r="R1642" s="128"/>
      <c r="S1642" s="128"/>
      <c r="T1642" s="128"/>
      <c r="U1642" s="128"/>
      <c r="V1642" s="129"/>
      <c r="W1642" s="129"/>
      <c r="X1642" s="129"/>
      <c r="Y1642" s="129"/>
      <c r="Z1642" s="145" t="b">
        <v>0</v>
      </c>
      <c r="AA1642" s="145"/>
      <c r="AB1642" s="129"/>
      <c r="AC1642" s="129"/>
      <c r="AD1642" s="129"/>
      <c r="AE1642" s="129"/>
      <c r="AF1642" s="132"/>
      <c r="AG1642" s="128" t="b">
        <v>0</v>
      </c>
      <c r="AH1642" s="128"/>
      <c r="AI1642" s="128"/>
      <c r="AJ1642" s="128"/>
      <c r="AK1642" s="128"/>
      <c r="AL1642" s="129"/>
      <c r="AM1642" s="129"/>
      <c r="AN1642" s="139"/>
    </row>
    <row r="1643">
      <c r="A1643" s="129"/>
      <c r="B1643" s="119"/>
      <c r="C1643" s="128"/>
      <c r="D1643" s="142"/>
      <c r="E1643" s="122"/>
      <c r="F1643" s="136"/>
      <c r="G1643" s="152"/>
      <c r="H1643" s="155"/>
      <c r="I1643" s="155"/>
      <c r="J1643" s="155"/>
      <c r="K1643" s="155"/>
      <c r="L1643" s="155"/>
      <c r="M1643" s="126"/>
      <c r="N1643" s="127"/>
      <c r="O1643" s="127"/>
      <c r="P1643" s="127"/>
      <c r="Q1643" s="126"/>
      <c r="R1643" s="128"/>
      <c r="S1643" s="128"/>
      <c r="T1643" s="128"/>
      <c r="U1643" s="128"/>
      <c r="V1643" s="129"/>
      <c r="W1643" s="129"/>
      <c r="X1643" s="129"/>
      <c r="Y1643" s="129"/>
      <c r="Z1643" s="145" t="b">
        <v>0</v>
      </c>
      <c r="AA1643" s="145"/>
      <c r="AB1643" s="129"/>
      <c r="AC1643" s="129"/>
      <c r="AD1643" s="129"/>
      <c r="AE1643" s="129"/>
      <c r="AF1643" s="132"/>
      <c r="AG1643" s="128" t="b">
        <v>0</v>
      </c>
      <c r="AH1643" s="128"/>
      <c r="AI1643" s="128"/>
      <c r="AJ1643" s="128"/>
      <c r="AK1643" s="128"/>
      <c r="AL1643" s="129"/>
      <c r="AM1643" s="129"/>
      <c r="AN1643" s="139"/>
    </row>
    <row r="1644">
      <c r="A1644" s="129"/>
      <c r="B1644" s="119"/>
      <c r="C1644" s="128"/>
      <c r="D1644" s="142"/>
      <c r="E1644" s="122"/>
      <c r="F1644" s="136"/>
      <c r="G1644" s="152"/>
      <c r="H1644" s="155"/>
      <c r="I1644" s="155"/>
      <c r="J1644" s="155"/>
      <c r="K1644" s="155"/>
      <c r="L1644" s="155"/>
      <c r="M1644" s="126"/>
      <c r="N1644" s="127"/>
      <c r="O1644" s="127"/>
      <c r="P1644" s="127"/>
      <c r="Q1644" s="126"/>
      <c r="R1644" s="128"/>
      <c r="S1644" s="128"/>
      <c r="T1644" s="128"/>
      <c r="U1644" s="128"/>
      <c r="V1644" s="129"/>
      <c r="W1644" s="129"/>
      <c r="X1644" s="129"/>
      <c r="Y1644" s="129"/>
      <c r="Z1644" s="145" t="b">
        <v>0</v>
      </c>
      <c r="AA1644" s="145"/>
      <c r="AB1644" s="129"/>
      <c r="AC1644" s="129"/>
      <c r="AD1644" s="129"/>
      <c r="AE1644" s="129"/>
      <c r="AF1644" s="132"/>
      <c r="AG1644" s="128" t="b">
        <v>0</v>
      </c>
      <c r="AH1644" s="128"/>
      <c r="AI1644" s="128"/>
      <c r="AJ1644" s="128"/>
      <c r="AK1644" s="128"/>
      <c r="AL1644" s="129"/>
      <c r="AM1644" s="129"/>
      <c r="AN1644" s="139"/>
    </row>
    <row r="1645">
      <c r="A1645" s="129"/>
      <c r="B1645" s="119"/>
      <c r="C1645" s="128"/>
      <c r="D1645" s="142"/>
      <c r="E1645" s="122"/>
      <c r="F1645" s="136"/>
      <c r="G1645" s="152"/>
      <c r="H1645" s="155"/>
      <c r="I1645" s="155"/>
      <c r="J1645" s="155"/>
      <c r="K1645" s="155"/>
      <c r="L1645" s="155"/>
      <c r="M1645" s="126"/>
      <c r="N1645" s="127"/>
      <c r="O1645" s="127"/>
      <c r="P1645" s="127"/>
      <c r="Q1645" s="126"/>
      <c r="R1645" s="128"/>
      <c r="S1645" s="128"/>
      <c r="T1645" s="128"/>
      <c r="U1645" s="128"/>
      <c r="V1645" s="129"/>
      <c r="W1645" s="129"/>
      <c r="X1645" s="129"/>
      <c r="Y1645" s="129"/>
      <c r="Z1645" s="145" t="b">
        <v>0</v>
      </c>
      <c r="AA1645" s="145"/>
      <c r="AB1645" s="129"/>
      <c r="AC1645" s="129"/>
      <c r="AD1645" s="129"/>
      <c r="AE1645" s="129"/>
      <c r="AF1645" s="132"/>
      <c r="AG1645" s="128" t="b">
        <v>0</v>
      </c>
      <c r="AH1645" s="128"/>
      <c r="AI1645" s="128"/>
      <c r="AJ1645" s="128"/>
      <c r="AK1645" s="128"/>
      <c r="AL1645" s="129"/>
      <c r="AM1645" s="129"/>
      <c r="AN1645" s="139"/>
    </row>
    <row r="1646">
      <c r="A1646" s="129"/>
      <c r="B1646" s="119"/>
      <c r="C1646" s="128"/>
      <c r="D1646" s="142"/>
      <c r="E1646" s="122"/>
      <c r="F1646" s="136"/>
      <c r="G1646" s="152"/>
      <c r="H1646" s="155"/>
      <c r="I1646" s="155"/>
      <c r="J1646" s="155"/>
      <c r="K1646" s="155"/>
      <c r="L1646" s="155"/>
      <c r="M1646" s="126"/>
      <c r="N1646" s="127"/>
      <c r="O1646" s="127"/>
      <c r="P1646" s="127"/>
      <c r="Q1646" s="126"/>
      <c r="R1646" s="128"/>
      <c r="S1646" s="128"/>
      <c r="T1646" s="128"/>
      <c r="U1646" s="128"/>
      <c r="V1646" s="129"/>
      <c r="W1646" s="129"/>
      <c r="X1646" s="129"/>
      <c r="Y1646" s="129"/>
      <c r="Z1646" s="145" t="b">
        <v>0</v>
      </c>
      <c r="AA1646" s="145"/>
      <c r="AB1646" s="129"/>
      <c r="AC1646" s="129"/>
      <c r="AD1646" s="129"/>
      <c r="AE1646" s="129"/>
      <c r="AF1646" s="132"/>
      <c r="AG1646" s="128" t="b">
        <v>0</v>
      </c>
      <c r="AH1646" s="128"/>
      <c r="AI1646" s="128"/>
      <c r="AJ1646" s="128"/>
      <c r="AK1646" s="128"/>
      <c r="AL1646" s="129"/>
      <c r="AM1646" s="129"/>
      <c r="AN1646" s="139"/>
    </row>
    <row r="1647">
      <c r="A1647" s="129"/>
      <c r="B1647" s="119"/>
      <c r="C1647" s="128"/>
      <c r="D1647" s="142"/>
      <c r="E1647" s="122"/>
      <c r="F1647" s="136"/>
      <c r="G1647" s="152"/>
      <c r="H1647" s="155"/>
      <c r="I1647" s="155"/>
      <c r="J1647" s="155"/>
      <c r="K1647" s="155"/>
      <c r="L1647" s="155"/>
      <c r="M1647" s="126"/>
      <c r="N1647" s="127"/>
      <c r="O1647" s="127"/>
      <c r="P1647" s="127"/>
      <c r="Q1647" s="126"/>
      <c r="R1647" s="128"/>
      <c r="S1647" s="128"/>
      <c r="T1647" s="128"/>
      <c r="U1647" s="128"/>
      <c r="V1647" s="129"/>
      <c r="W1647" s="129"/>
      <c r="X1647" s="129"/>
      <c r="Y1647" s="129"/>
      <c r="Z1647" s="145" t="b">
        <v>0</v>
      </c>
      <c r="AA1647" s="145"/>
      <c r="AB1647" s="129"/>
      <c r="AC1647" s="129"/>
      <c r="AD1647" s="129"/>
      <c r="AE1647" s="129"/>
      <c r="AF1647" s="132"/>
      <c r="AG1647" s="128" t="b">
        <v>0</v>
      </c>
      <c r="AH1647" s="128"/>
      <c r="AI1647" s="128"/>
      <c r="AJ1647" s="128"/>
      <c r="AK1647" s="128"/>
      <c r="AL1647" s="129"/>
      <c r="AM1647" s="129"/>
      <c r="AN1647" s="139"/>
    </row>
    <row r="1648">
      <c r="A1648" s="129"/>
      <c r="B1648" s="119"/>
      <c r="C1648" s="128"/>
      <c r="D1648" s="142"/>
      <c r="E1648" s="122"/>
      <c r="F1648" s="136"/>
      <c r="G1648" s="152"/>
      <c r="H1648" s="155"/>
      <c r="I1648" s="155"/>
      <c r="J1648" s="155"/>
      <c r="K1648" s="155"/>
      <c r="L1648" s="155"/>
      <c r="M1648" s="126"/>
      <c r="N1648" s="127"/>
      <c r="O1648" s="127"/>
      <c r="P1648" s="127"/>
      <c r="Q1648" s="126"/>
      <c r="R1648" s="128"/>
      <c r="S1648" s="128"/>
      <c r="T1648" s="128"/>
      <c r="U1648" s="128"/>
      <c r="V1648" s="129"/>
      <c r="W1648" s="129"/>
      <c r="X1648" s="129"/>
      <c r="Y1648" s="129"/>
      <c r="Z1648" s="145" t="b">
        <v>0</v>
      </c>
      <c r="AA1648" s="145"/>
      <c r="AB1648" s="129"/>
      <c r="AC1648" s="129"/>
      <c r="AD1648" s="129"/>
      <c r="AE1648" s="129"/>
      <c r="AF1648" s="132"/>
      <c r="AG1648" s="128" t="b">
        <v>0</v>
      </c>
      <c r="AH1648" s="128"/>
      <c r="AI1648" s="128"/>
      <c r="AJ1648" s="128"/>
      <c r="AK1648" s="128"/>
      <c r="AL1648" s="129"/>
      <c r="AM1648" s="129"/>
      <c r="AN1648" s="139"/>
    </row>
    <row r="1649">
      <c r="A1649" s="129"/>
      <c r="B1649" s="119"/>
      <c r="C1649" s="128"/>
      <c r="D1649" s="142"/>
      <c r="E1649" s="122"/>
      <c r="F1649" s="136"/>
      <c r="G1649" s="152"/>
      <c r="H1649" s="155"/>
      <c r="I1649" s="155"/>
      <c r="J1649" s="155"/>
      <c r="K1649" s="155"/>
      <c r="L1649" s="155"/>
      <c r="M1649" s="126"/>
      <c r="N1649" s="127"/>
      <c r="O1649" s="127"/>
      <c r="P1649" s="127"/>
      <c r="Q1649" s="126"/>
      <c r="R1649" s="128"/>
      <c r="S1649" s="128"/>
      <c r="T1649" s="128"/>
      <c r="U1649" s="128"/>
      <c r="V1649" s="129"/>
      <c r="W1649" s="129"/>
      <c r="X1649" s="129"/>
      <c r="Y1649" s="129"/>
      <c r="Z1649" s="145" t="b">
        <v>0</v>
      </c>
      <c r="AA1649" s="145"/>
      <c r="AB1649" s="129"/>
      <c r="AC1649" s="129"/>
      <c r="AD1649" s="129"/>
      <c r="AE1649" s="129"/>
      <c r="AF1649" s="132"/>
      <c r="AG1649" s="128" t="b">
        <v>0</v>
      </c>
      <c r="AH1649" s="128"/>
      <c r="AI1649" s="128"/>
      <c r="AJ1649" s="128"/>
      <c r="AK1649" s="128"/>
      <c r="AL1649" s="129"/>
      <c r="AM1649" s="129"/>
      <c r="AN1649" s="139"/>
    </row>
    <row r="1650">
      <c r="A1650" s="129"/>
      <c r="B1650" s="119"/>
      <c r="C1650" s="128"/>
      <c r="D1650" s="142"/>
      <c r="E1650" s="122"/>
      <c r="F1650" s="136"/>
      <c r="G1650" s="152"/>
      <c r="H1650" s="155"/>
      <c r="I1650" s="155"/>
      <c r="J1650" s="155"/>
      <c r="K1650" s="155"/>
      <c r="L1650" s="155"/>
      <c r="M1650" s="126"/>
      <c r="N1650" s="127"/>
      <c r="O1650" s="127"/>
      <c r="P1650" s="127"/>
      <c r="Q1650" s="126"/>
      <c r="R1650" s="128"/>
      <c r="S1650" s="128"/>
      <c r="T1650" s="128"/>
      <c r="U1650" s="128"/>
      <c r="V1650" s="129"/>
      <c r="W1650" s="129"/>
      <c r="X1650" s="129"/>
      <c r="Y1650" s="129"/>
      <c r="Z1650" s="145" t="b">
        <v>0</v>
      </c>
      <c r="AA1650" s="145"/>
      <c r="AB1650" s="129"/>
      <c r="AC1650" s="129"/>
      <c r="AD1650" s="129"/>
      <c r="AE1650" s="129"/>
      <c r="AF1650" s="132"/>
      <c r="AG1650" s="128" t="b">
        <v>0</v>
      </c>
      <c r="AH1650" s="128"/>
      <c r="AI1650" s="128"/>
      <c r="AJ1650" s="128"/>
      <c r="AK1650" s="128"/>
      <c r="AL1650" s="129"/>
      <c r="AM1650" s="129"/>
      <c r="AN1650" s="139"/>
    </row>
    <row r="1651">
      <c r="A1651" s="129"/>
      <c r="B1651" s="119"/>
      <c r="C1651" s="128"/>
      <c r="D1651" s="142"/>
      <c r="E1651" s="122"/>
      <c r="F1651" s="136"/>
      <c r="G1651" s="152"/>
      <c r="H1651" s="155"/>
      <c r="I1651" s="155"/>
      <c r="J1651" s="155"/>
      <c r="K1651" s="155"/>
      <c r="L1651" s="155"/>
      <c r="M1651" s="126"/>
      <c r="N1651" s="127"/>
      <c r="O1651" s="127"/>
      <c r="P1651" s="127"/>
      <c r="Q1651" s="126"/>
      <c r="R1651" s="128"/>
      <c r="S1651" s="128"/>
      <c r="T1651" s="128"/>
      <c r="U1651" s="128"/>
      <c r="V1651" s="129"/>
      <c r="W1651" s="129"/>
      <c r="X1651" s="129"/>
      <c r="Y1651" s="129"/>
      <c r="Z1651" s="145" t="b">
        <v>0</v>
      </c>
      <c r="AA1651" s="145"/>
      <c r="AB1651" s="129"/>
      <c r="AC1651" s="129"/>
      <c r="AD1651" s="129"/>
      <c r="AE1651" s="129"/>
      <c r="AF1651" s="132"/>
      <c r="AG1651" s="128" t="b">
        <v>0</v>
      </c>
      <c r="AH1651" s="128"/>
      <c r="AI1651" s="128"/>
      <c r="AJ1651" s="128"/>
      <c r="AK1651" s="128"/>
      <c r="AL1651" s="129"/>
      <c r="AM1651" s="129"/>
      <c r="AN1651" s="139"/>
    </row>
    <row r="1652">
      <c r="A1652" s="129"/>
      <c r="B1652" s="119"/>
      <c r="C1652" s="128"/>
      <c r="D1652" s="142"/>
      <c r="E1652" s="122"/>
      <c r="F1652" s="136"/>
      <c r="G1652" s="152"/>
      <c r="H1652" s="155"/>
      <c r="I1652" s="155"/>
      <c r="J1652" s="155"/>
      <c r="K1652" s="155"/>
      <c r="L1652" s="155"/>
      <c r="M1652" s="126"/>
      <c r="N1652" s="127"/>
      <c r="O1652" s="127"/>
      <c r="P1652" s="127"/>
      <c r="Q1652" s="126"/>
      <c r="R1652" s="128"/>
      <c r="S1652" s="128"/>
      <c r="T1652" s="128"/>
      <c r="U1652" s="128"/>
      <c r="V1652" s="129"/>
      <c r="W1652" s="129"/>
      <c r="X1652" s="129"/>
      <c r="Y1652" s="129"/>
      <c r="Z1652" s="145" t="b">
        <v>0</v>
      </c>
      <c r="AA1652" s="145"/>
      <c r="AB1652" s="129"/>
      <c r="AC1652" s="129"/>
      <c r="AD1652" s="129"/>
      <c r="AE1652" s="129"/>
      <c r="AF1652" s="132"/>
      <c r="AG1652" s="128" t="b">
        <v>0</v>
      </c>
      <c r="AH1652" s="128"/>
      <c r="AI1652" s="128"/>
      <c r="AJ1652" s="128"/>
      <c r="AK1652" s="128"/>
      <c r="AL1652" s="129"/>
      <c r="AM1652" s="129"/>
      <c r="AN1652" s="139"/>
    </row>
    <row r="1653">
      <c r="A1653" s="129"/>
      <c r="B1653" s="119"/>
      <c r="C1653" s="128"/>
      <c r="D1653" s="142"/>
      <c r="E1653" s="122"/>
      <c r="F1653" s="136"/>
      <c r="G1653" s="152"/>
      <c r="H1653" s="155"/>
      <c r="I1653" s="155"/>
      <c r="J1653" s="155"/>
      <c r="K1653" s="155"/>
      <c r="L1653" s="155"/>
      <c r="M1653" s="126"/>
      <c r="N1653" s="127"/>
      <c r="O1653" s="127"/>
      <c r="P1653" s="127"/>
      <c r="Q1653" s="126"/>
      <c r="R1653" s="128"/>
      <c r="S1653" s="128"/>
      <c r="T1653" s="128"/>
      <c r="U1653" s="128"/>
      <c r="V1653" s="129"/>
      <c r="W1653" s="129"/>
      <c r="X1653" s="129"/>
      <c r="Y1653" s="129"/>
      <c r="Z1653" s="145" t="b">
        <v>0</v>
      </c>
      <c r="AA1653" s="145"/>
      <c r="AB1653" s="129"/>
      <c r="AC1653" s="129"/>
      <c r="AD1653" s="129"/>
      <c r="AE1653" s="129"/>
      <c r="AF1653" s="132"/>
      <c r="AG1653" s="128" t="b">
        <v>0</v>
      </c>
      <c r="AH1653" s="128"/>
      <c r="AI1653" s="128"/>
      <c r="AJ1653" s="128"/>
      <c r="AK1653" s="128"/>
      <c r="AL1653" s="129"/>
      <c r="AM1653" s="129"/>
      <c r="AN1653" s="139"/>
    </row>
    <row r="1654">
      <c r="A1654" s="129"/>
      <c r="B1654" s="119"/>
      <c r="C1654" s="128"/>
      <c r="D1654" s="142"/>
      <c r="E1654" s="122"/>
      <c r="F1654" s="136"/>
      <c r="G1654" s="152"/>
      <c r="H1654" s="155"/>
      <c r="I1654" s="155"/>
      <c r="J1654" s="155"/>
      <c r="K1654" s="155"/>
      <c r="L1654" s="155"/>
      <c r="M1654" s="126"/>
      <c r="N1654" s="127"/>
      <c r="O1654" s="127"/>
      <c r="P1654" s="127"/>
      <c r="Q1654" s="126"/>
      <c r="R1654" s="128"/>
      <c r="S1654" s="128"/>
      <c r="T1654" s="128"/>
      <c r="U1654" s="128"/>
      <c r="V1654" s="129"/>
      <c r="W1654" s="129"/>
      <c r="X1654" s="129"/>
      <c r="Y1654" s="129"/>
      <c r="Z1654" s="145" t="b">
        <v>0</v>
      </c>
      <c r="AA1654" s="145"/>
      <c r="AB1654" s="129"/>
      <c r="AC1654" s="129"/>
      <c r="AD1654" s="129"/>
      <c r="AE1654" s="129"/>
      <c r="AF1654" s="132"/>
      <c r="AG1654" s="128" t="b">
        <v>0</v>
      </c>
      <c r="AH1654" s="128"/>
      <c r="AI1654" s="128"/>
      <c r="AJ1654" s="128"/>
      <c r="AK1654" s="128"/>
      <c r="AL1654" s="129"/>
      <c r="AM1654" s="129"/>
      <c r="AN1654" s="139"/>
    </row>
    <row r="1655">
      <c r="A1655" s="129"/>
      <c r="B1655" s="119"/>
      <c r="C1655" s="128"/>
      <c r="D1655" s="142"/>
      <c r="E1655" s="122"/>
      <c r="F1655" s="136"/>
      <c r="G1655" s="152"/>
      <c r="H1655" s="155"/>
      <c r="I1655" s="155"/>
      <c r="J1655" s="155"/>
      <c r="K1655" s="155"/>
      <c r="L1655" s="155"/>
      <c r="M1655" s="126"/>
      <c r="N1655" s="127"/>
      <c r="O1655" s="127"/>
      <c r="P1655" s="127"/>
      <c r="Q1655" s="126"/>
      <c r="R1655" s="128"/>
      <c r="S1655" s="128"/>
      <c r="T1655" s="128"/>
      <c r="U1655" s="128"/>
      <c r="V1655" s="129"/>
      <c r="W1655" s="129"/>
      <c r="X1655" s="129"/>
      <c r="Y1655" s="129"/>
      <c r="Z1655" s="145" t="b">
        <v>0</v>
      </c>
      <c r="AA1655" s="145"/>
      <c r="AB1655" s="129"/>
      <c r="AC1655" s="129"/>
      <c r="AD1655" s="129"/>
      <c r="AE1655" s="129"/>
      <c r="AF1655" s="132"/>
      <c r="AG1655" s="128" t="b">
        <v>0</v>
      </c>
      <c r="AH1655" s="128"/>
      <c r="AI1655" s="128"/>
      <c r="AJ1655" s="128"/>
      <c r="AK1655" s="128"/>
      <c r="AL1655" s="129"/>
      <c r="AM1655" s="129"/>
      <c r="AN1655" s="139"/>
    </row>
    <row r="1656">
      <c r="A1656" s="129"/>
      <c r="B1656" s="119"/>
      <c r="C1656" s="128"/>
      <c r="D1656" s="142"/>
      <c r="E1656" s="122"/>
      <c r="F1656" s="136"/>
      <c r="G1656" s="152"/>
      <c r="H1656" s="155"/>
      <c r="I1656" s="155"/>
      <c r="J1656" s="155"/>
      <c r="K1656" s="155"/>
      <c r="L1656" s="155"/>
      <c r="M1656" s="126"/>
      <c r="N1656" s="127"/>
      <c r="O1656" s="127"/>
      <c r="P1656" s="127"/>
      <c r="Q1656" s="126"/>
      <c r="R1656" s="128"/>
      <c r="S1656" s="128"/>
      <c r="T1656" s="128"/>
      <c r="U1656" s="128"/>
      <c r="V1656" s="129"/>
      <c r="W1656" s="129"/>
      <c r="X1656" s="129"/>
      <c r="Y1656" s="129"/>
      <c r="Z1656" s="145" t="b">
        <v>0</v>
      </c>
      <c r="AA1656" s="145"/>
      <c r="AB1656" s="129"/>
      <c r="AC1656" s="129"/>
      <c r="AD1656" s="129"/>
      <c r="AE1656" s="129"/>
      <c r="AF1656" s="132"/>
      <c r="AG1656" s="128" t="b">
        <v>0</v>
      </c>
      <c r="AH1656" s="128"/>
      <c r="AI1656" s="128"/>
      <c r="AJ1656" s="128"/>
      <c r="AK1656" s="128"/>
      <c r="AL1656" s="129"/>
      <c r="AM1656" s="129"/>
      <c r="AN1656" s="139"/>
    </row>
    <row r="1657">
      <c r="A1657" s="129"/>
      <c r="B1657" s="119"/>
      <c r="C1657" s="128"/>
      <c r="D1657" s="142"/>
      <c r="E1657" s="122"/>
      <c r="F1657" s="136"/>
      <c r="G1657" s="152"/>
      <c r="H1657" s="155"/>
      <c r="I1657" s="155"/>
      <c r="J1657" s="155"/>
      <c r="K1657" s="155"/>
      <c r="L1657" s="155"/>
      <c r="M1657" s="126"/>
      <c r="N1657" s="127"/>
      <c r="O1657" s="127"/>
      <c r="P1657" s="127"/>
      <c r="Q1657" s="126"/>
      <c r="R1657" s="128"/>
      <c r="S1657" s="128"/>
      <c r="T1657" s="128"/>
      <c r="U1657" s="128"/>
      <c r="V1657" s="129"/>
      <c r="W1657" s="129"/>
      <c r="X1657" s="129"/>
      <c r="Y1657" s="129"/>
      <c r="Z1657" s="145" t="b">
        <v>0</v>
      </c>
      <c r="AA1657" s="145"/>
      <c r="AB1657" s="129"/>
      <c r="AC1657" s="129"/>
      <c r="AD1657" s="129"/>
      <c r="AE1657" s="129"/>
      <c r="AF1657" s="132"/>
      <c r="AG1657" s="128" t="b">
        <v>0</v>
      </c>
      <c r="AH1657" s="128"/>
      <c r="AI1657" s="128"/>
      <c r="AJ1657" s="128"/>
      <c r="AK1657" s="128"/>
      <c r="AL1657" s="129"/>
      <c r="AM1657" s="129"/>
      <c r="AN1657" s="139"/>
    </row>
    <row r="1658">
      <c r="A1658" s="129"/>
      <c r="B1658" s="119"/>
      <c r="C1658" s="128"/>
      <c r="D1658" s="142"/>
      <c r="E1658" s="122"/>
      <c r="F1658" s="136"/>
      <c r="G1658" s="152"/>
      <c r="H1658" s="155"/>
      <c r="I1658" s="155"/>
      <c r="J1658" s="155"/>
      <c r="K1658" s="155"/>
      <c r="L1658" s="155"/>
      <c r="M1658" s="126"/>
      <c r="N1658" s="127"/>
      <c r="O1658" s="127"/>
      <c r="P1658" s="127"/>
      <c r="Q1658" s="126"/>
      <c r="R1658" s="128"/>
      <c r="S1658" s="128"/>
      <c r="T1658" s="128"/>
      <c r="U1658" s="128"/>
      <c r="V1658" s="129"/>
      <c r="W1658" s="129"/>
      <c r="X1658" s="129"/>
      <c r="Y1658" s="129"/>
      <c r="Z1658" s="145" t="b">
        <v>0</v>
      </c>
      <c r="AA1658" s="145"/>
      <c r="AB1658" s="129"/>
      <c r="AC1658" s="129"/>
      <c r="AD1658" s="129"/>
      <c r="AE1658" s="129"/>
      <c r="AF1658" s="132"/>
      <c r="AG1658" s="128" t="b">
        <v>0</v>
      </c>
      <c r="AH1658" s="128"/>
      <c r="AI1658" s="128"/>
      <c r="AJ1658" s="128"/>
      <c r="AK1658" s="128"/>
      <c r="AL1658" s="129"/>
      <c r="AM1658" s="129"/>
      <c r="AN1658" s="139"/>
    </row>
    <row r="1659">
      <c r="A1659" s="129"/>
      <c r="B1659" s="119"/>
      <c r="C1659" s="128"/>
      <c r="D1659" s="142"/>
      <c r="E1659" s="122"/>
      <c r="F1659" s="136"/>
      <c r="G1659" s="152"/>
      <c r="H1659" s="155"/>
      <c r="I1659" s="155"/>
      <c r="J1659" s="155"/>
      <c r="K1659" s="155"/>
      <c r="L1659" s="155"/>
      <c r="M1659" s="126"/>
      <c r="N1659" s="127"/>
      <c r="O1659" s="127"/>
      <c r="P1659" s="127"/>
      <c r="Q1659" s="126"/>
      <c r="R1659" s="128"/>
      <c r="S1659" s="128"/>
      <c r="T1659" s="128"/>
      <c r="U1659" s="128"/>
      <c r="V1659" s="129"/>
      <c r="W1659" s="129"/>
      <c r="X1659" s="129"/>
      <c r="Y1659" s="129"/>
      <c r="Z1659" s="145" t="b">
        <v>0</v>
      </c>
      <c r="AA1659" s="145"/>
      <c r="AB1659" s="129"/>
      <c r="AC1659" s="129"/>
      <c r="AD1659" s="129"/>
      <c r="AE1659" s="129"/>
      <c r="AF1659" s="132"/>
      <c r="AG1659" s="128" t="b">
        <v>0</v>
      </c>
      <c r="AH1659" s="128"/>
      <c r="AI1659" s="128"/>
      <c r="AJ1659" s="128"/>
      <c r="AK1659" s="128"/>
      <c r="AL1659" s="129"/>
      <c r="AM1659" s="129"/>
      <c r="AN1659" s="139"/>
    </row>
    <row r="1660">
      <c r="A1660" s="129"/>
      <c r="B1660" s="119"/>
      <c r="C1660" s="128"/>
      <c r="D1660" s="142"/>
      <c r="E1660" s="122"/>
      <c r="F1660" s="136"/>
      <c r="G1660" s="152"/>
      <c r="H1660" s="155"/>
      <c r="I1660" s="155"/>
      <c r="J1660" s="155"/>
      <c r="K1660" s="155"/>
      <c r="L1660" s="155"/>
      <c r="M1660" s="126"/>
      <c r="N1660" s="127"/>
      <c r="O1660" s="127"/>
      <c r="P1660" s="127"/>
      <c r="Q1660" s="126"/>
      <c r="R1660" s="128"/>
      <c r="S1660" s="128"/>
      <c r="T1660" s="128"/>
      <c r="U1660" s="128"/>
      <c r="V1660" s="129"/>
      <c r="W1660" s="129"/>
      <c r="X1660" s="129"/>
      <c r="Y1660" s="129"/>
      <c r="Z1660" s="145" t="b">
        <v>0</v>
      </c>
      <c r="AA1660" s="145"/>
      <c r="AB1660" s="129"/>
      <c r="AC1660" s="129"/>
      <c r="AD1660" s="129"/>
      <c r="AE1660" s="129"/>
      <c r="AF1660" s="132"/>
      <c r="AG1660" s="128" t="b">
        <v>0</v>
      </c>
      <c r="AH1660" s="128"/>
      <c r="AI1660" s="128"/>
      <c r="AJ1660" s="128"/>
      <c r="AK1660" s="128"/>
      <c r="AL1660" s="129"/>
      <c r="AM1660" s="129"/>
      <c r="AN1660" s="139"/>
    </row>
    <row r="1661">
      <c r="A1661" s="129"/>
      <c r="B1661" s="119"/>
      <c r="C1661" s="128"/>
      <c r="D1661" s="142"/>
      <c r="E1661" s="122"/>
      <c r="F1661" s="136"/>
      <c r="G1661" s="152"/>
      <c r="H1661" s="155"/>
      <c r="I1661" s="155"/>
      <c r="J1661" s="155"/>
      <c r="K1661" s="155"/>
      <c r="L1661" s="155"/>
      <c r="M1661" s="126"/>
      <c r="N1661" s="127"/>
      <c r="O1661" s="127"/>
      <c r="P1661" s="127"/>
      <c r="Q1661" s="126"/>
      <c r="R1661" s="128"/>
      <c r="S1661" s="128"/>
      <c r="T1661" s="128"/>
      <c r="U1661" s="128"/>
      <c r="V1661" s="129"/>
      <c r="W1661" s="129"/>
      <c r="X1661" s="129"/>
      <c r="Y1661" s="129"/>
      <c r="Z1661" s="145" t="b">
        <v>0</v>
      </c>
      <c r="AA1661" s="145"/>
      <c r="AB1661" s="129"/>
      <c r="AC1661" s="129"/>
      <c r="AD1661" s="129"/>
      <c r="AE1661" s="129"/>
      <c r="AF1661" s="132"/>
      <c r="AG1661" s="128" t="b">
        <v>0</v>
      </c>
      <c r="AH1661" s="128"/>
      <c r="AI1661" s="128"/>
      <c r="AJ1661" s="128"/>
      <c r="AK1661" s="128"/>
      <c r="AL1661" s="129"/>
      <c r="AM1661" s="129"/>
      <c r="AN1661" s="139"/>
    </row>
    <row r="1662">
      <c r="A1662" s="129"/>
      <c r="B1662" s="119"/>
      <c r="C1662" s="128"/>
      <c r="D1662" s="142"/>
      <c r="E1662" s="122"/>
      <c r="F1662" s="136"/>
      <c r="G1662" s="152"/>
      <c r="H1662" s="155"/>
      <c r="I1662" s="155"/>
      <c r="J1662" s="155"/>
      <c r="K1662" s="155"/>
      <c r="L1662" s="155"/>
      <c r="M1662" s="126"/>
      <c r="N1662" s="127"/>
      <c r="O1662" s="127"/>
      <c r="P1662" s="127"/>
      <c r="Q1662" s="126"/>
      <c r="R1662" s="128"/>
      <c r="S1662" s="128"/>
      <c r="T1662" s="128"/>
      <c r="U1662" s="128"/>
      <c r="V1662" s="129"/>
      <c r="W1662" s="129"/>
      <c r="X1662" s="129"/>
      <c r="Y1662" s="129"/>
      <c r="Z1662" s="145" t="b">
        <v>0</v>
      </c>
      <c r="AA1662" s="145"/>
      <c r="AB1662" s="129"/>
      <c r="AC1662" s="129"/>
      <c r="AD1662" s="129"/>
      <c r="AE1662" s="129"/>
      <c r="AF1662" s="132"/>
      <c r="AG1662" s="128" t="b">
        <v>0</v>
      </c>
      <c r="AH1662" s="128"/>
      <c r="AI1662" s="128"/>
      <c r="AJ1662" s="128"/>
      <c r="AK1662" s="128"/>
      <c r="AL1662" s="129"/>
      <c r="AM1662" s="129"/>
      <c r="AN1662" s="139"/>
    </row>
    <row r="1663">
      <c r="A1663" s="129"/>
      <c r="B1663" s="119"/>
      <c r="C1663" s="128"/>
      <c r="D1663" s="142"/>
      <c r="E1663" s="122"/>
      <c r="F1663" s="136"/>
      <c r="G1663" s="152"/>
      <c r="H1663" s="155"/>
      <c r="I1663" s="155"/>
      <c r="J1663" s="155"/>
      <c r="K1663" s="155"/>
      <c r="L1663" s="155"/>
      <c r="M1663" s="126"/>
      <c r="N1663" s="127"/>
      <c r="O1663" s="127"/>
      <c r="P1663" s="127"/>
      <c r="Q1663" s="126"/>
      <c r="R1663" s="128"/>
      <c r="S1663" s="128"/>
      <c r="T1663" s="128"/>
      <c r="U1663" s="128"/>
      <c r="V1663" s="129"/>
      <c r="W1663" s="129"/>
      <c r="X1663" s="129"/>
      <c r="Y1663" s="129"/>
      <c r="Z1663" s="145" t="b">
        <v>0</v>
      </c>
      <c r="AA1663" s="145"/>
      <c r="AB1663" s="129"/>
      <c r="AC1663" s="129"/>
      <c r="AD1663" s="129"/>
      <c r="AE1663" s="129"/>
      <c r="AF1663" s="132"/>
      <c r="AG1663" s="128" t="b">
        <v>0</v>
      </c>
      <c r="AH1663" s="128"/>
      <c r="AI1663" s="128"/>
      <c r="AJ1663" s="128"/>
      <c r="AK1663" s="128"/>
      <c r="AL1663" s="129"/>
      <c r="AM1663" s="129"/>
      <c r="AN1663" s="139"/>
    </row>
    <row r="1664">
      <c r="A1664" s="129"/>
      <c r="B1664" s="119"/>
      <c r="C1664" s="128"/>
      <c r="D1664" s="142"/>
      <c r="E1664" s="122"/>
      <c r="F1664" s="136"/>
      <c r="G1664" s="152"/>
      <c r="H1664" s="155"/>
      <c r="I1664" s="155"/>
      <c r="J1664" s="155"/>
      <c r="K1664" s="155"/>
      <c r="L1664" s="155"/>
      <c r="M1664" s="126"/>
      <c r="N1664" s="127"/>
      <c r="O1664" s="127"/>
      <c r="P1664" s="127"/>
      <c r="Q1664" s="126"/>
      <c r="R1664" s="128"/>
      <c r="S1664" s="128"/>
      <c r="T1664" s="128"/>
      <c r="U1664" s="128"/>
      <c r="V1664" s="129"/>
      <c r="W1664" s="129"/>
      <c r="X1664" s="129"/>
      <c r="Y1664" s="129"/>
      <c r="Z1664" s="145" t="b">
        <v>0</v>
      </c>
      <c r="AA1664" s="145"/>
      <c r="AB1664" s="129"/>
      <c r="AC1664" s="129"/>
      <c r="AD1664" s="129"/>
      <c r="AE1664" s="129"/>
      <c r="AF1664" s="132"/>
      <c r="AG1664" s="128" t="b">
        <v>0</v>
      </c>
      <c r="AH1664" s="128"/>
      <c r="AI1664" s="128"/>
      <c r="AJ1664" s="128"/>
      <c r="AK1664" s="128"/>
      <c r="AL1664" s="129"/>
      <c r="AM1664" s="129"/>
      <c r="AN1664" s="139"/>
    </row>
    <row r="1665">
      <c r="A1665" s="129"/>
      <c r="B1665" s="119"/>
      <c r="C1665" s="128"/>
      <c r="D1665" s="142"/>
      <c r="E1665" s="122"/>
      <c r="F1665" s="136"/>
      <c r="G1665" s="152"/>
      <c r="H1665" s="155"/>
      <c r="I1665" s="155"/>
      <c r="J1665" s="155"/>
      <c r="K1665" s="155"/>
      <c r="L1665" s="155"/>
      <c r="M1665" s="126"/>
      <c r="N1665" s="127"/>
      <c r="O1665" s="127"/>
      <c r="P1665" s="127"/>
      <c r="Q1665" s="126"/>
      <c r="R1665" s="128"/>
      <c r="S1665" s="128"/>
      <c r="T1665" s="128"/>
      <c r="U1665" s="128"/>
      <c r="V1665" s="129"/>
      <c r="W1665" s="129"/>
      <c r="X1665" s="129"/>
      <c r="Y1665" s="129"/>
      <c r="Z1665" s="145" t="b">
        <v>0</v>
      </c>
      <c r="AA1665" s="145"/>
      <c r="AB1665" s="129"/>
      <c r="AC1665" s="129"/>
      <c r="AD1665" s="129"/>
      <c r="AE1665" s="129"/>
      <c r="AF1665" s="132"/>
      <c r="AG1665" s="128" t="b">
        <v>0</v>
      </c>
      <c r="AH1665" s="128"/>
      <c r="AI1665" s="128"/>
      <c r="AJ1665" s="128"/>
      <c r="AK1665" s="128"/>
      <c r="AL1665" s="129"/>
      <c r="AM1665" s="129"/>
      <c r="AN1665" s="139"/>
    </row>
    <row r="1666">
      <c r="A1666" s="129"/>
      <c r="B1666" s="119"/>
      <c r="C1666" s="128"/>
      <c r="D1666" s="142"/>
      <c r="E1666" s="122"/>
      <c r="F1666" s="136"/>
      <c r="G1666" s="152"/>
      <c r="H1666" s="155"/>
      <c r="I1666" s="155"/>
      <c r="J1666" s="155"/>
      <c r="K1666" s="155"/>
      <c r="L1666" s="155"/>
      <c r="M1666" s="126"/>
      <c r="N1666" s="127"/>
      <c r="O1666" s="127"/>
      <c r="P1666" s="127"/>
      <c r="Q1666" s="126"/>
      <c r="R1666" s="128"/>
      <c r="S1666" s="128"/>
      <c r="T1666" s="128"/>
      <c r="U1666" s="128"/>
      <c r="V1666" s="129"/>
      <c r="W1666" s="129"/>
      <c r="X1666" s="129"/>
      <c r="Y1666" s="129"/>
      <c r="Z1666" s="145" t="b">
        <v>0</v>
      </c>
      <c r="AA1666" s="145"/>
      <c r="AB1666" s="129"/>
      <c r="AC1666" s="129"/>
      <c r="AD1666" s="129"/>
      <c r="AE1666" s="129"/>
      <c r="AF1666" s="132"/>
      <c r="AG1666" s="128" t="b">
        <v>0</v>
      </c>
      <c r="AH1666" s="128"/>
      <c r="AI1666" s="128"/>
      <c r="AJ1666" s="128"/>
      <c r="AK1666" s="128"/>
      <c r="AL1666" s="129"/>
      <c r="AM1666" s="129"/>
      <c r="AN1666" s="139"/>
    </row>
    <row r="1667">
      <c r="A1667" s="129"/>
      <c r="B1667" s="119"/>
      <c r="C1667" s="128"/>
      <c r="D1667" s="142"/>
      <c r="E1667" s="122"/>
      <c r="F1667" s="136"/>
      <c r="G1667" s="152"/>
      <c r="H1667" s="155"/>
      <c r="I1667" s="155"/>
      <c r="J1667" s="155"/>
      <c r="K1667" s="155"/>
      <c r="L1667" s="155"/>
      <c r="M1667" s="126"/>
      <c r="N1667" s="127"/>
      <c r="O1667" s="127"/>
      <c r="P1667" s="127"/>
      <c r="Q1667" s="126"/>
      <c r="R1667" s="128"/>
      <c r="S1667" s="128"/>
      <c r="T1667" s="128"/>
      <c r="U1667" s="128"/>
      <c r="V1667" s="129"/>
      <c r="W1667" s="129"/>
      <c r="X1667" s="129"/>
      <c r="Y1667" s="129"/>
      <c r="Z1667" s="145" t="b">
        <v>0</v>
      </c>
      <c r="AA1667" s="145"/>
      <c r="AB1667" s="129"/>
      <c r="AC1667" s="129"/>
      <c r="AD1667" s="129"/>
      <c r="AE1667" s="129"/>
      <c r="AF1667" s="132"/>
      <c r="AG1667" s="128" t="b">
        <v>0</v>
      </c>
      <c r="AH1667" s="128"/>
      <c r="AI1667" s="128"/>
      <c r="AJ1667" s="128"/>
      <c r="AK1667" s="128"/>
      <c r="AL1667" s="129"/>
      <c r="AM1667" s="129"/>
      <c r="AN1667" s="139"/>
    </row>
    <row r="1668">
      <c r="A1668" s="129"/>
      <c r="B1668" s="119"/>
      <c r="C1668" s="128"/>
      <c r="D1668" s="142"/>
      <c r="E1668" s="122"/>
      <c r="F1668" s="136"/>
      <c r="G1668" s="152"/>
      <c r="H1668" s="155"/>
      <c r="I1668" s="155"/>
      <c r="J1668" s="155"/>
      <c r="K1668" s="155"/>
      <c r="L1668" s="155"/>
      <c r="M1668" s="126"/>
      <c r="N1668" s="127"/>
      <c r="O1668" s="127"/>
      <c r="P1668" s="127"/>
      <c r="Q1668" s="126"/>
      <c r="R1668" s="128"/>
      <c r="S1668" s="128"/>
      <c r="T1668" s="128"/>
      <c r="U1668" s="128"/>
      <c r="V1668" s="129"/>
      <c r="W1668" s="129"/>
      <c r="X1668" s="129"/>
      <c r="Y1668" s="129"/>
      <c r="Z1668" s="145" t="b">
        <v>0</v>
      </c>
      <c r="AA1668" s="145"/>
      <c r="AB1668" s="129"/>
      <c r="AC1668" s="129"/>
      <c r="AD1668" s="129"/>
      <c r="AE1668" s="129"/>
      <c r="AF1668" s="132"/>
      <c r="AG1668" s="128" t="b">
        <v>0</v>
      </c>
      <c r="AH1668" s="128"/>
      <c r="AI1668" s="128"/>
      <c r="AJ1668" s="128"/>
      <c r="AK1668" s="128"/>
      <c r="AL1668" s="129"/>
      <c r="AM1668" s="129"/>
      <c r="AN1668" s="139"/>
    </row>
    <row r="1669">
      <c r="A1669" s="129"/>
      <c r="B1669" s="119"/>
      <c r="C1669" s="128"/>
      <c r="D1669" s="142"/>
      <c r="E1669" s="122"/>
      <c r="F1669" s="136"/>
      <c r="G1669" s="152"/>
      <c r="H1669" s="155"/>
      <c r="I1669" s="155"/>
      <c r="J1669" s="155"/>
      <c r="K1669" s="155"/>
      <c r="L1669" s="155"/>
      <c r="M1669" s="126"/>
      <c r="N1669" s="127"/>
      <c r="O1669" s="127"/>
      <c r="P1669" s="127"/>
      <c r="Q1669" s="126"/>
      <c r="R1669" s="128"/>
      <c r="S1669" s="128"/>
      <c r="T1669" s="128"/>
      <c r="U1669" s="128"/>
      <c r="V1669" s="129"/>
      <c r="W1669" s="129"/>
      <c r="X1669" s="129"/>
      <c r="Y1669" s="129"/>
      <c r="Z1669" s="145" t="b">
        <v>0</v>
      </c>
      <c r="AA1669" s="145"/>
      <c r="AB1669" s="129"/>
      <c r="AC1669" s="129"/>
      <c r="AD1669" s="129"/>
      <c r="AE1669" s="129"/>
      <c r="AF1669" s="132"/>
      <c r="AG1669" s="128" t="b">
        <v>0</v>
      </c>
      <c r="AH1669" s="128"/>
      <c r="AI1669" s="128"/>
      <c r="AJ1669" s="128"/>
      <c r="AK1669" s="128"/>
      <c r="AL1669" s="129"/>
      <c r="AM1669" s="129"/>
      <c r="AN1669" s="139"/>
    </row>
    <row r="1670">
      <c r="A1670" s="129"/>
      <c r="B1670" s="119"/>
      <c r="C1670" s="128"/>
      <c r="D1670" s="142"/>
      <c r="E1670" s="122"/>
      <c r="F1670" s="136"/>
      <c r="G1670" s="152"/>
      <c r="H1670" s="155"/>
      <c r="I1670" s="155"/>
      <c r="J1670" s="155"/>
      <c r="K1670" s="155"/>
      <c r="L1670" s="155"/>
      <c r="M1670" s="126"/>
      <c r="N1670" s="127"/>
      <c r="O1670" s="127"/>
      <c r="P1670" s="127"/>
      <c r="Q1670" s="126"/>
      <c r="R1670" s="128"/>
      <c r="S1670" s="128"/>
      <c r="T1670" s="128"/>
      <c r="U1670" s="128"/>
      <c r="V1670" s="129"/>
      <c r="W1670" s="129"/>
      <c r="X1670" s="129"/>
      <c r="Y1670" s="129"/>
      <c r="Z1670" s="145" t="b">
        <v>0</v>
      </c>
      <c r="AA1670" s="145"/>
      <c r="AB1670" s="129"/>
      <c r="AC1670" s="129"/>
      <c r="AD1670" s="129"/>
      <c r="AE1670" s="129"/>
      <c r="AF1670" s="132"/>
      <c r="AG1670" s="128" t="b">
        <v>0</v>
      </c>
      <c r="AH1670" s="128"/>
      <c r="AI1670" s="128"/>
      <c r="AJ1670" s="128"/>
      <c r="AK1670" s="128"/>
      <c r="AL1670" s="129"/>
      <c r="AM1670" s="129"/>
      <c r="AN1670" s="139"/>
    </row>
    <row r="1671">
      <c r="A1671" s="129"/>
      <c r="B1671" s="119"/>
      <c r="C1671" s="128"/>
      <c r="D1671" s="142"/>
      <c r="E1671" s="122"/>
      <c r="F1671" s="136"/>
      <c r="G1671" s="152"/>
      <c r="H1671" s="155"/>
      <c r="I1671" s="155"/>
      <c r="J1671" s="155"/>
      <c r="K1671" s="155"/>
      <c r="L1671" s="155"/>
      <c r="M1671" s="126"/>
      <c r="N1671" s="127"/>
      <c r="O1671" s="127"/>
      <c r="P1671" s="127"/>
      <c r="Q1671" s="126"/>
      <c r="R1671" s="128"/>
      <c r="S1671" s="128"/>
      <c r="T1671" s="128"/>
      <c r="U1671" s="128"/>
      <c r="V1671" s="129"/>
      <c r="W1671" s="129"/>
      <c r="X1671" s="129"/>
      <c r="Y1671" s="129"/>
      <c r="Z1671" s="145" t="b">
        <v>0</v>
      </c>
      <c r="AA1671" s="145"/>
      <c r="AB1671" s="129"/>
      <c r="AC1671" s="129"/>
      <c r="AD1671" s="129"/>
      <c r="AE1671" s="129"/>
      <c r="AF1671" s="132"/>
      <c r="AG1671" s="128" t="b">
        <v>0</v>
      </c>
      <c r="AH1671" s="128"/>
      <c r="AI1671" s="128"/>
      <c r="AJ1671" s="128"/>
      <c r="AK1671" s="128"/>
      <c r="AL1671" s="129"/>
      <c r="AM1671" s="129"/>
      <c r="AN1671" s="139"/>
    </row>
    <row r="1672">
      <c r="A1672" s="129"/>
      <c r="B1672" s="119"/>
      <c r="C1672" s="128"/>
      <c r="D1672" s="142"/>
      <c r="E1672" s="122"/>
      <c r="F1672" s="136"/>
      <c r="G1672" s="152"/>
      <c r="H1672" s="155"/>
      <c r="I1672" s="155"/>
      <c r="J1672" s="155"/>
      <c r="K1672" s="155"/>
      <c r="L1672" s="155"/>
      <c r="M1672" s="126"/>
      <c r="N1672" s="127"/>
      <c r="O1672" s="127"/>
      <c r="P1672" s="127"/>
      <c r="Q1672" s="126"/>
      <c r="R1672" s="128"/>
      <c r="S1672" s="128"/>
      <c r="T1672" s="128"/>
      <c r="U1672" s="128"/>
      <c r="V1672" s="129"/>
      <c r="W1672" s="129"/>
      <c r="X1672" s="129"/>
      <c r="Y1672" s="129"/>
      <c r="Z1672" s="145" t="b">
        <v>0</v>
      </c>
      <c r="AA1672" s="145"/>
      <c r="AB1672" s="129"/>
      <c r="AC1672" s="129"/>
      <c r="AD1672" s="129"/>
      <c r="AE1672" s="129"/>
      <c r="AF1672" s="132"/>
      <c r="AG1672" s="128" t="b">
        <v>0</v>
      </c>
      <c r="AH1672" s="128"/>
      <c r="AI1672" s="128"/>
      <c r="AJ1672" s="128"/>
      <c r="AK1672" s="128"/>
      <c r="AL1672" s="129"/>
      <c r="AM1672" s="129"/>
      <c r="AN1672" s="139"/>
    </row>
    <row r="1673">
      <c r="A1673" s="129"/>
      <c r="B1673" s="119"/>
      <c r="C1673" s="128"/>
      <c r="D1673" s="142"/>
      <c r="E1673" s="122"/>
      <c r="F1673" s="136"/>
      <c r="G1673" s="152"/>
      <c r="H1673" s="155"/>
      <c r="I1673" s="155"/>
      <c r="J1673" s="155"/>
      <c r="K1673" s="155"/>
      <c r="L1673" s="155"/>
      <c r="M1673" s="126"/>
      <c r="N1673" s="127"/>
      <c r="O1673" s="127"/>
      <c r="P1673" s="127"/>
      <c r="Q1673" s="126"/>
      <c r="R1673" s="128"/>
      <c r="S1673" s="128"/>
      <c r="T1673" s="128"/>
      <c r="U1673" s="128"/>
      <c r="V1673" s="129"/>
      <c r="W1673" s="129"/>
      <c r="X1673" s="129"/>
      <c r="Y1673" s="129"/>
      <c r="Z1673" s="145" t="b">
        <v>0</v>
      </c>
      <c r="AA1673" s="145"/>
      <c r="AB1673" s="129"/>
      <c r="AC1673" s="129"/>
      <c r="AD1673" s="129"/>
      <c r="AE1673" s="129"/>
      <c r="AF1673" s="132"/>
      <c r="AG1673" s="128" t="b">
        <v>0</v>
      </c>
      <c r="AH1673" s="128"/>
      <c r="AI1673" s="128"/>
      <c r="AJ1673" s="128"/>
      <c r="AK1673" s="128"/>
      <c r="AL1673" s="129"/>
      <c r="AM1673" s="129"/>
      <c r="AN1673" s="139"/>
    </row>
    <row r="1674">
      <c r="A1674" s="129"/>
      <c r="B1674" s="119"/>
      <c r="C1674" s="128"/>
      <c r="D1674" s="142"/>
      <c r="E1674" s="122"/>
      <c r="F1674" s="136"/>
      <c r="G1674" s="152"/>
      <c r="H1674" s="155"/>
      <c r="I1674" s="155"/>
      <c r="J1674" s="155"/>
      <c r="K1674" s="155"/>
      <c r="L1674" s="155"/>
      <c r="M1674" s="126"/>
      <c r="N1674" s="127"/>
      <c r="O1674" s="127"/>
      <c r="P1674" s="127"/>
      <c r="Q1674" s="126"/>
      <c r="R1674" s="128"/>
      <c r="S1674" s="128"/>
      <c r="T1674" s="128"/>
      <c r="U1674" s="128"/>
      <c r="V1674" s="129"/>
      <c r="W1674" s="129"/>
      <c r="X1674" s="129"/>
      <c r="Y1674" s="129"/>
      <c r="Z1674" s="145" t="b">
        <v>0</v>
      </c>
      <c r="AA1674" s="145"/>
      <c r="AB1674" s="129"/>
      <c r="AC1674" s="129"/>
      <c r="AD1674" s="129"/>
      <c r="AE1674" s="129"/>
      <c r="AF1674" s="132"/>
      <c r="AG1674" s="128" t="b">
        <v>0</v>
      </c>
      <c r="AH1674" s="128"/>
      <c r="AI1674" s="128"/>
      <c r="AJ1674" s="128"/>
      <c r="AK1674" s="128"/>
      <c r="AL1674" s="129"/>
      <c r="AM1674" s="129"/>
      <c r="AN1674" s="139"/>
    </row>
    <row r="1675">
      <c r="A1675" s="129"/>
      <c r="B1675" s="119"/>
      <c r="C1675" s="128"/>
      <c r="D1675" s="142"/>
      <c r="E1675" s="122"/>
      <c r="F1675" s="136"/>
      <c r="G1675" s="152"/>
      <c r="H1675" s="155"/>
      <c r="I1675" s="155"/>
      <c r="J1675" s="155"/>
      <c r="K1675" s="155"/>
      <c r="L1675" s="155"/>
      <c r="M1675" s="126"/>
      <c r="N1675" s="127"/>
      <c r="O1675" s="127"/>
      <c r="P1675" s="127"/>
      <c r="Q1675" s="126"/>
      <c r="R1675" s="128"/>
      <c r="S1675" s="128"/>
      <c r="T1675" s="128"/>
      <c r="U1675" s="128"/>
      <c r="V1675" s="129"/>
      <c r="W1675" s="129"/>
      <c r="X1675" s="129"/>
      <c r="Y1675" s="129"/>
      <c r="Z1675" s="145" t="b">
        <v>0</v>
      </c>
      <c r="AA1675" s="145"/>
      <c r="AB1675" s="129"/>
      <c r="AC1675" s="129"/>
      <c r="AD1675" s="129"/>
      <c r="AE1675" s="129"/>
      <c r="AF1675" s="132"/>
      <c r="AG1675" s="128" t="b">
        <v>0</v>
      </c>
      <c r="AH1675" s="128"/>
      <c r="AI1675" s="128"/>
      <c r="AJ1675" s="128"/>
      <c r="AK1675" s="128"/>
      <c r="AL1675" s="129"/>
      <c r="AM1675" s="129"/>
      <c r="AN1675" s="139"/>
    </row>
    <row r="1676">
      <c r="A1676" s="129"/>
      <c r="B1676" s="119"/>
      <c r="C1676" s="128"/>
      <c r="D1676" s="142"/>
      <c r="E1676" s="122"/>
      <c r="F1676" s="136"/>
      <c r="G1676" s="152"/>
      <c r="H1676" s="155"/>
      <c r="I1676" s="155"/>
      <c r="J1676" s="155"/>
      <c r="K1676" s="155"/>
      <c r="L1676" s="155"/>
      <c r="M1676" s="126"/>
      <c r="N1676" s="127"/>
      <c r="O1676" s="127"/>
      <c r="P1676" s="127"/>
      <c r="Q1676" s="126"/>
      <c r="R1676" s="128"/>
      <c r="S1676" s="128"/>
      <c r="T1676" s="128"/>
      <c r="U1676" s="128"/>
      <c r="V1676" s="129"/>
      <c r="W1676" s="129"/>
      <c r="X1676" s="129"/>
      <c r="Y1676" s="129"/>
      <c r="Z1676" s="145" t="b">
        <v>0</v>
      </c>
      <c r="AA1676" s="145"/>
      <c r="AB1676" s="129"/>
      <c r="AC1676" s="129"/>
      <c r="AD1676" s="129"/>
      <c r="AE1676" s="129"/>
      <c r="AF1676" s="132"/>
      <c r="AG1676" s="128" t="b">
        <v>0</v>
      </c>
      <c r="AH1676" s="128"/>
      <c r="AI1676" s="128"/>
      <c r="AJ1676" s="128"/>
      <c r="AK1676" s="128"/>
      <c r="AL1676" s="129"/>
      <c r="AM1676" s="129"/>
      <c r="AN1676" s="139"/>
    </row>
    <row r="1677">
      <c r="A1677" s="129"/>
      <c r="B1677" s="119"/>
      <c r="C1677" s="128"/>
      <c r="D1677" s="142"/>
      <c r="E1677" s="122"/>
      <c r="F1677" s="136"/>
      <c r="G1677" s="152"/>
      <c r="H1677" s="155"/>
      <c r="I1677" s="155"/>
      <c r="J1677" s="155"/>
      <c r="K1677" s="155"/>
      <c r="L1677" s="155"/>
      <c r="M1677" s="126"/>
      <c r="N1677" s="127"/>
      <c r="O1677" s="127"/>
      <c r="P1677" s="127"/>
      <c r="Q1677" s="126"/>
      <c r="R1677" s="128"/>
      <c r="S1677" s="128"/>
      <c r="T1677" s="128"/>
      <c r="U1677" s="128"/>
      <c r="V1677" s="129"/>
      <c r="W1677" s="129"/>
      <c r="X1677" s="129"/>
      <c r="Y1677" s="129"/>
      <c r="Z1677" s="145" t="b">
        <v>0</v>
      </c>
      <c r="AA1677" s="145"/>
      <c r="AB1677" s="129"/>
      <c r="AC1677" s="129"/>
      <c r="AD1677" s="129"/>
      <c r="AE1677" s="129"/>
      <c r="AF1677" s="132"/>
      <c r="AG1677" s="128" t="b">
        <v>0</v>
      </c>
      <c r="AH1677" s="128"/>
      <c r="AI1677" s="128"/>
      <c r="AJ1677" s="128"/>
      <c r="AK1677" s="128"/>
      <c r="AL1677" s="129"/>
      <c r="AM1677" s="129"/>
      <c r="AN1677" s="139"/>
    </row>
    <row r="1678">
      <c r="A1678" s="129"/>
      <c r="B1678" s="119"/>
      <c r="C1678" s="128"/>
      <c r="D1678" s="142"/>
      <c r="E1678" s="122"/>
      <c r="F1678" s="136"/>
      <c r="G1678" s="152"/>
      <c r="H1678" s="155"/>
      <c r="I1678" s="155"/>
      <c r="J1678" s="155"/>
      <c r="K1678" s="155"/>
      <c r="L1678" s="155"/>
      <c r="M1678" s="126"/>
      <c r="N1678" s="127"/>
      <c r="O1678" s="127"/>
      <c r="P1678" s="127"/>
      <c r="Q1678" s="126"/>
      <c r="R1678" s="128"/>
      <c r="S1678" s="128"/>
      <c r="T1678" s="128"/>
      <c r="U1678" s="128"/>
      <c r="V1678" s="129"/>
      <c r="W1678" s="129"/>
      <c r="X1678" s="129"/>
      <c r="Y1678" s="129"/>
      <c r="Z1678" s="145" t="b">
        <v>0</v>
      </c>
      <c r="AA1678" s="145"/>
      <c r="AB1678" s="129"/>
      <c r="AC1678" s="129"/>
      <c r="AD1678" s="129"/>
      <c r="AE1678" s="129"/>
      <c r="AF1678" s="132"/>
      <c r="AG1678" s="128" t="b">
        <v>0</v>
      </c>
      <c r="AH1678" s="128"/>
      <c r="AI1678" s="128"/>
      <c r="AJ1678" s="128"/>
      <c r="AK1678" s="128"/>
      <c r="AL1678" s="129"/>
      <c r="AM1678" s="129"/>
      <c r="AN1678" s="139"/>
    </row>
    <row r="1679">
      <c r="A1679" s="129"/>
      <c r="B1679" s="119"/>
      <c r="C1679" s="128"/>
      <c r="D1679" s="142"/>
      <c r="E1679" s="122"/>
      <c r="F1679" s="136"/>
      <c r="G1679" s="152"/>
      <c r="H1679" s="155"/>
      <c r="I1679" s="155"/>
      <c r="J1679" s="155"/>
      <c r="K1679" s="155"/>
      <c r="L1679" s="155"/>
      <c r="M1679" s="126"/>
      <c r="N1679" s="127"/>
      <c r="O1679" s="127"/>
      <c r="P1679" s="127"/>
      <c r="Q1679" s="126"/>
      <c r="R1679" s="128"/>
      <c r="S1679" s="128"/>
      <c r="T1679" s="128"/>
      <c r="U1679" s="128"/>
      <c r="V1679" s="129"/>
      <c r="W1679" s="129"/>
      <c r="X1679" s="129"/>
      <c r="Y1679" s="129"/>
      <c r="Z1679" s="145" t="b">
        <v>0</v>
      </c>
      <c r="AA1679" s="145"/>
      <c r="AB1679" s="129"/>
      <c r="AC1679" s="129"/>
      <c r="AD1679" s="129"/>
      <c r="AE1679" s="129"/>
      <c r="AF1679" s="132"/>
      <c r="AG1679" s="128" t="b">
        <v>0</v>
      </c>
      <c r="AH1679" s="128"/>
      <c r="AI1679" s="128"/>
      <c r="AJ1679" s="128"/>
      <c r="AK1679" s="128"/>
      <c r="AL1679" s="129"/>
      <c r="AM1679" s="129"/>
      <c r="AN1679" s="139"/>
    </row>
    <row r="1680">
      <c r="A1680" s="129"/>
      <c r="B1680" s="119"/>
      <c r="C1680" s="128"/>
      <c r="D1680" s="142"/>
      <c r="E1680" s="122"/>
      <c r="F1680" s="136"/>
      <c r="G1680" s="152"/>
      <c r="H1680" s="155"/>
      <c r="I1680" s="155"/>
      <c r="J1680" s="155"/>
      <c r="K1680" s="155"/>
      <c r="L1680" s="155"/>
      <c r="M1680" s="126"/>
      <c r="N1680" s="127"/>
      <c r="O1680" s="127"/>
      <c r="P1680" s="127"/>
      <c r="Q1680" s="126"/>
      <c r="R1680" s="128"/>
      <c r="S1680" s="128"/>
      <c r="T1680" s="128"/>
      <c r="U1680" s="128"/>
      <c r="V1680" s="129"/>
      <c r="W1680" s="129"/>
      <c r="X1680" s="129"/>
      <c r="Y1680" s="129"/>
      <c r="Z1680" s="145" t="b">
        <v>0</v>
      </c>
      <c r="AA1680" s="145"/>
      <c r="AB1680" s="129"/>
      <c r="AC1680" s="129"/>
      <c r="AD1680" s="129"/>
      <c r="AE1680" s="129"/>
      <c r="AF1680" s="132"/>
      <c r="AG1680" s="128" t="b">
        <v>0</v>
      </c>
      <c r="AH1680" s="128"/>
      <c r="AI1680" s="128"/>
      <c r="AJ1680" s="128"/>
      <c r="AK1680" s="128"/>
      <c r="AL1680" s="129"/>
      <c r="AM1680" s="129"/>
      <c r="AN1680" s="139"/>
    </row>
    <row r="1681">
      <c r="A1681" s="129"/>
      <c r="B1681" s="119"/>
      <c r="C1681" s="128"/>
      <c r="D1681" s="142"/>
      <c r="E1681" s="122"/>
      <c r="F1681" s="136"/>
      <c r="G1681" s="152"/>
      <c r="H1681" s="155"/>
      <c r="I1681" s="155"/>
      <c r="J1681" s="155"/>
      <c r="K1681" s="155"/>
      <c r="L1681" s="155"/>
      <c r="M1681" s="126"/>
      <c r="N1681" s="127"/>
      <c r="O1681" s="127"/>
      <c r="P1681" s="127"/>
      <c r="Q1681" s="126"/>
      <c r="R1681" s="128"/>
      <c r="S1681" s="128"/>
      <c r="T1681" s="128"/>
      <c r="U1681" s="128"/>
      <c r="V1681" s="129"/>
      <c r="W1681" s="129"/>
      <c r="X1681" s="129"/>
      <c r="Y1681" s="129"/>
      <c r="Z1681" s="145" t="b">
        <v>0</v>
      </c>
      <c r="AA1681" s="145"/>
      <c r="AB1681" s="129"/>
      <c r="AC1681" s="129"/>
      <c r="AD1681" s="129"/>
      <c r="AE1681" s="129"/>
      <c r="AF1681" s="132"/>
      <c r="AG1681" s="128" t="b">
        <v>0</v>
      </c>
      <c r="AH1681" s="128"/>
      <c r="AI1681" s="128"/>
      <c r="AJ1681" s="128"/>
      <c r="AK1681" s="128"/>
      <c r="AL1681" s="129"/>
      <c r="AM1681" s="129"/>
      <c r="AN1681" s="139"/>
    </row>
    <row r="1682">
      <c r="A1682" s="129"/>
      <c r="B1682" s="119"/>
      <c r="C1682" s="128"/>
      <c r="D1682" s="142"/>
      <c r="E1682" s="122"/>
      <c r="F1682" s="136"/>
      <c r="G1682" s="152"/>
      <c r="H1682" s="155"/>
      <c r="I1682" s="155"/>
      <c r="J1682" s="155"/>
      <c r="K1682" s="155"/>
      <c r="L1682" s="155"/>
      <c r="M1682" s="126"/>
      <c r="N1682" s="127"/>
      <c r="O1682" s="127"/>
      <c r="P1682" s="127"/>
      <c r="Q1682" s="126"/>
      <c r="R1682" s="128"/>
      <c r="S1682" s="128"/>
      <c r="T1682" s="128"/>
      <c r="U1682" s="128"/>
      <c r="V1682" s="129"/>
      <c r="W1682" s="129"/>
      <c r="X1682" s="129"/>
      <c r="Y1682" s="129"/>
      <c r="Z1682" s="145" t="b">
        <v>0</v>
      </c>
      <c r="AA1682" s="145"/>
      <c r="AB1682" s="129"/>
      <c r="AC1682" s="129"/>
      <c r="AD1682" s="129"/>
      <c r="AE1682" s="129"/>
      <c r="AF1682" s="132"/>
      <c r="AG1682" s="128" t="b">
        <v>0</v>
      </c>
      <c r="AH1682" s="128"/>
      <c r="AI1682" s="128"/>
      <c r="AJ1682" s="128"/>
      <c r="AK1682" s="128"/>
      <c r="AL1682" s="129"/>
      <c r="AM1682" s="129"/>
      <c r="AN1682" s="139"/>
    </row>
    <row r="1683">
      <c r="A1683" s="129"/>
      <c r="B1683" s="119"/>
      <c r="C1683" s="128"/>
      <c r="D1683" s="142"/>
      <c r="E1683" s="122"/>
      <c r="F1683" s="136"/>
      <c r="G1683" s="152"/>
      <c r="H1683" s="155"/>
      <c r="I1683" s="155"/>
      <c r="J1683" s="155"/>
      <c r="K1683" s="155"/>
      <c r="L1683" s="155"/>
      <c r="M1683" s="126"/>
      <c r="N1683" s="127"/>
      <c r="O1683" s="127"/>
      <c r="P1683" s="127"/>
      <c r="Q1683" s="126"/>
      <c r="R1683" s="128"/>
      <c r="S1683" s="128"/>
      <c r="T1683" s="128"/>
      <c r="U1683" s="128"/>
      <c r="V1683" s="129"/>
      <c r="W1683" s="129"/>
      <c r="X1683" s="129"/>
      <c r="Y1683" s="129"/>
      <c r="Z1683" s="145" t="b">
        <v>0</v>
      </c>
      <c r="AA1683" s="145"/>
      <c r="AB1683" s="129"/>
      <c r="AC1683" s="129"/>
      <c r="AD1683" s="129"/>
      <c r="AE1683" s="129"/>
      <c r="AF1683" s="132"/>
      <c r="AG1683" s="128" t="b">
        <v>0</v>
      </c>
      <c r="AH1683" s="128"/>
      <c r="AI1683" s="128"/>
      <c r="AJ1683" s="128"/>
      <c r="AK1683" s="128"/>
      <c r="AL1683" s="129"/>
      <c r="AM1683" s="129"/>
      <c r="AN1683" s="139"/>
    </row>
    <row r="1684">
      <c r="A1684" s="129"/>
      <c r="B1684" s="119"/>
      <c r="C1684" s="128"/>
      <c r="D1684" s="142"/>
      <c r="E1684" s="122"/>
      <c r="F1684" s="136"/>
      <c r="G1684" s="152"/>
      <c r="H1684" s="155"/>
      <c r="I1684" s="155"/>
      <c r="J1684" s="155"/>
      <c r="K1684" s="155"/>
      <c r="L1684" s="155"/>
      <c r="M1684" s="126"/>
      <c r="N1684" s="127"/>
      <c r="O1684" s="127"/>
      <c r="P1684" s="127"/>
      <c r="Q1684" s="126"/>
      <c r="R1684" s="128"/>
      <c r="S1684" s="128"/>
      <c r="T1684" s="128"/>
      <c r="U1684" s="128"/>
      <c r="V1684" s="129"/>
      <c r="W1684" s="129"/>
      <c r="X1684" s="129"/>
      <c r="Y1684" s="129"/>
      <c r="Z1684" s="145" t="b">
        <v>0</v>
      </c>
      <c r="AA1684" s="145"/>
      <c r="AB1684" s="129"/>
      <c r="AC1684" s="129"/>
      <c r="AD1684" s="129"/>
      <c r="AE1684" s="129"/>
      <c r="AF1684" s="132"/>
      <c r="AG1684" s="128" t="b">
        <v>0</v>
      </c>
      <c r="AH1684" s="128"/>
      <c r="AI1684" s="128"/>
      <c r="AJ1684" s="128"/>
      <c r="AK1684" s="128"/>
      <c r="AL1684" s="129"/>
      <c r="AM1684" s="129"/>
      <c r="AN1684" s="139"/>
    </row>
    <row r="1685">
      <c r="A1685" s="129"/>
      <c r="B1685" s="119"/>
      <c r="C1685" s="128"/>
      <c r="D1685" s="142"/>
      <c r="E1685" s="122"/>
      <c r="F1685" s="136"/>
      <c r="G1685" s="152"/>
      <c r="H1685" s="155"/>
      <c r="I1685" s="155"/>
      <c r="J1685" s="155"/>
      <c r="K1685" s="155"/>
      <c r="L1685" s="155"/>
      <c r="M1685" s="126"/>
      <c r="N1685" s="127"/>
      <c r="O1685" s="127"/>
      <c r="P1685" s="127"/>
      <c r="Q1685" s="126"/>
      <c r="R1685" s="128"/>
      <c r="S1685" s="128"/>
      <c r="T1685" s="128"/>
      <c r="U1685" s="128"/>
      <c r="V1685" s="129"/>
      <c r="W1685" s="129"/>
      <c r="X1685" s="129"/>
      <c r="Y1685" s="129"/>
      <c r="Z1685" s="145" t="b">
        <v>0</v>
      </c>
      <c r="AA1685" s="145"/>
      <c r="AB1685" s="129"/>
      <c r="AC1685" s="129"/>
      <c r="AD1685" s="129"/>
      <c r="AE1685" s="129"/>
      <c r="AF1685" s="132"/>
      <c r="AG1685" s="128" t="b">
        <v>0</v>
      </c>
      <c r="AH1685" s="128"/>
      <c r="AI1685" s="128"/>
      <c r="AJ1685" s="128"/>
      <c r="AK1685" s="128"/>
      <c r="AL1685" s="129"/>
      <c r="AM1685" s="129"/>
      <c r="AN1685" s="139"/>
    </row>
    <row r="1686">
      <c r="A1686" s="129"/>
      <c r="B1686" s="119"/>
      <c r="C1686" s="128"/>
      <c r="D1686" s="142"/>
      <c r="E1686" s="122"/>
      <c r="F1686" s="136"/>
      <c r="G1686" s="152"/>
      <c r="H1686" s="155"/>
      <c r="I1686" s="155"/>
      <c r="J1686" s="155"/>
      <c r="K1686" s="155"/>
      <c r="L1686" s="155"/>
      <c r="M1686" s="126"/>
      <c r="N1686" s="127"/>
      <c r="O1686" s="127"/>
      <c r="P1686" s="127"/>
      <c r="Q1686" s="126"/>
      <c r="R1686" s="128"/>
      <c r="S1686" s="128"/>
      <c r="T1686" s="128"/>
      <c r="U1686" s="128"/>
      <c r="V1686" s="129"/>
      <c r="W1686" s="129"/>
      <c r="X1686" s="129"/>
      <c r="Y1686" s="129"/>
      <c r="Z1686" s="145" t="b">
        <v>0</v>
      </c>
      <c r="AA1686" s="145"/>
      <c r="AB1686" s="129"/>
      <c r="AC1686" s="129"/>
      <c r="AD1686" s="129"/>
      <c r="AE1686" s="129"/>
      <c r="AF1686" s="132"/>
      <c r="AG1686" s="128" t="b">
        <v>0</v>
      </c>
      <c r="AH1686" s="128"/>
      <c r="AI1686" s="128"/>
      <c r="AJ1686" s="128"/>
      <c r="AK1686" s="128"/>
      <c r="AL1686" s="129"/>
      <c r="AM1686" s="129"/>
      <c r="AN1686" s="139"/>
    </row>
    <row r="1687">
      <c r="A1687" s="129"/>
      <c r="B1687" s="119"/>
      <c r="C1687" s="128"/>
      <c r="D1687" s="142"/>
      <c r="E1687" s="122"/>
      <c r="F1687" s="136"/>
      <c r="G1687" s="152"/>
      <c r="H1687" s="155"/>
      <c r="I1687" s="155"/>
      <c r="J1687" s="155"/>
      <c r="K1687" s="155"/>
      <c r="L1687" s="155"/>
      <c r="M1687" s="126"/>
      <c r="N1687" s="127"/>
      <c r="O1687" s="127"/>
      <c r="P1687" s="127"/>
      <c r="Q1687" s="126"/>
      <c r="R1687" s="128"/>
      <c r="S1687" s="128"/>
      <c r="T1687" s="128"/>
      <c r="U1687" s="128"/>
      <c r="V1687" s="129"/>
      <c r="W1687" s="129"/>
      <c r="X1687" s="129"/>
      <c r="Y1687" s="129"/>
      <c r="Z1687" s="145" t="b">
        <v>0</v>
      </c>
      <c r="AA1687" s="145"/>
      <c r="AB1687" s="129"/>
      <c r="AC1687" s="129"/>
      <c r="AD1687" s="129"/>
      <c r="AE1687" s="129"/>
      <c r="AF1687" s="132"/>
      <c r="AG1687" s="128" t="b">
        <v>0</v>
      </c>
      <c r="AH1687" s="128"/>
      <c r="AI1687" s="128"/>
      <c r="AJ1687" s="128"/>
      <c r="AK1687" s="128"/>
      <c r="AL1687" s="129"/>
      <c r="AM1687" s="129"/>
      <c r="AN1687" s="139"/>
    </row>
    <row r="1688">
      <c r="A1688" s="129"/>
      <c r="B1688" s="119"/>
      <c r="C1688" s="128"/>
      <c r="D1688" s="142"/>
      <c r="E1688" s="122"/>
      <c r="F1688" s="136"/>
      <c r="G1688" s="152"/>
      <c r="H1688" s="155"/>
      <c r="I1688" s="155"/>
      <c r="J1688" s="155"/>
      <c r="K1688" s="155"/>
      <c r="L1688" s="155"/>
      <c r="M1688" s="126"/>
      <c r="N1688" s="127"/>
      <c r="O1688" s="127"/>
      <c r="P1688" s="127"/>
      <c r="Q1688" s="126"/>
      <c r="R1688" s="128"/>
      <c r="S1688" s="128"/>
      <c r="T1688" s="128"/>
      <c r="U1688" s="128"/>
      <c r="V1688" s="129"/>
      <c r="W1688" s="129"/>
      <c r="X1688" s="129"/>
      <c r="Y1688" s="129"/>
      <c r="Z1688" s="145" t="b">
        <v>0</v>
      </c>
      <c r="AA1688" s="145"/>
      <c r="AB1688" s="129"/>
      <c r="AC1688" s="129"/>
      <c r="AD1688" s="129"/>
      <c r="AE1688" s="129"/>
      <c r="AF1688" s="132"/>
      <c r="AG1688" s="128" t="b">
        <v>0</v>
      </c>
      <c r="AH1688" s="128"/>
      <c r="AI1688" s="128"/>
      <c r="AJ1688" s="128"/>
      <c r="AK1688" s="128"/>
      <c r="AL1688" s="129"/>
      <c r="AM1688" s="129"/>
      <c r="AN1688" s="139"/>
    </row>
    <row r="1689">
      <c r="A1689" s="129"/>
      <c r="B1689" s="119"/>
      <c r="C1689" s="128"/>
      <c r="D1689" s="142"/>
      <c r="E1689" s="122"/>
      <c r="F1689" s="136"/>
      <c r="G1689" s="152"/>
      <c r="H1689" s="155"/>
      <c r="I1689" s="155"/>
      <c r="J1689" s="155"/>
      <c r="K1689" s="155"/>
      <c r="L1689" s="155"/>
      <c r="M1689" s="126"/>
      <c r="N1689" s="127"/>
      <c r="O1689" s="127"/>
      <c r="P1689" s="127"/>
      <c r="Q1689" s="126"/>
      <c r="R1689" s="128"/>
      <c r="S1689" s="128"/>
      <c r="T1689" s="128"/>
      <c r="U1689" s="128"/>
      <c r="V1689" s="129"/>
      <c r="W1689" s="129"/>
      <c r="X1689" s="129"/>
      <c r="Y1689" s="129"/>
      <c r="Z1689" s="145" t="b">
        <v>0</v>
      </c>
      <c r="AA1689" s="145"/>
      <c r="AB1689" s="129"/>
      <c r="AC1689" s="129"/>
      <c r="AD1689" s="129"/>
      <c r="AE1689" s="129"/>
      <c r="AF1689" s="132"/>
      <c r="AG1689" s="128" t="b">
        <v>0</v>
      </c>
      <c r="AH1689" s="128"/>
      <c r="AI1689" s="128"/>
      <c r="AJ1689" s="128"/>
      <c r="AK1689" s="128"/>
      <c r="AL1689" s="129"/>
      <c r="AM1689" s="129"/>
      <c r="AN1689" s="139"/>
    </row>
    <row r="1690">
      <c r="A1690" s="129"/>
      <c r="B1690" s="119"/>
      <c r="C1690" s="128"/>
      <c r="D1690" s="142"/>
      <c r="E1690" s="122"/>
      <c r="F1690" s="136"/>
      <c r="G1690" s="152"/>
      <c r="H1690" s="155"/>
      <c r="I1690" s="155"/>
      <c r="J1690" s="155"/>
      <c r="K1690" s="155"/>
      <c r="L1690" s="155"/>
      <c r="M1690" s="126"/>
      <c r="N1690" s="127"/>
      <c r="O1690" s="127"/>
      <c r="P1690" s="127"/>
      <c r="Q1690" s="126"/>
      <c r="R1690" s="128"/>
      <c r="S1690" s="128"/>
      <c r="T1690" s="128"/>
      <c r="U1690" s="128"/>
      <c r="V1690" s="129"/>
      <c r="W1690" s="129"/>
      <c r="X1690" s="129"/>
      <c r="Y1690" s="129"/>
      <c r="Z1690" s="145" t="b">
        <v>0</v>
      </c>
      <c r="AA1690" s="145"/>
      <c r="AB1690" s="129"/>
      <c r="AC1690" s="129"/>
      <c r="AD1690" s="129"/>
      <c r="AE1690" s="129"/>
      <c r="AF1690" s="132"/>
      <c r="AG1690" s="128" t="b">
        <v>0</v>
      </c>
      <c r="AH1690" s="128"/>
      <c r="AI1690" s="128"/>
      <c r="AJ1690" s="128"/>
      <c r="AK1690" s="128"/>
      <c r="AL1690" s="129"/>
      <c r="AM1690" s="129"/>
      <c r="AN1690" s="139"/>
    </row>
    <row r="1691">
      <c r="A1691" s="129"/>
      <c r="B1691" s="119"/>
      <c r="C1691" s="128"/>
      <c r="D1691" s="142"/>
      <c r="E1691" s="122"/>
      <c r="F1691" s="136"/>
      <c r="G1691" s="152"/>
      <c r="H1691" s="155"/>
      <c r="I1691" s="155"/>
      <c r="J1691" s="155"/>
      <c r="K1691" s="155"/>
      <c r="L1691" s="155"/>
      <c r="M1691" s="126"/>
      <c r="N1691" s="127"/>
      <c r="O1691" s="127"/>
      <c r="P1691" s="127"/>
      <c r="Q1691" s="126"/>
      <c r="R1691" s="128"/>
      <c r="S1691" s="128"/>
      <c r="T1691" s="128"/>
      <c r="U1691" s="128"/>
      <c r="V1691" s="129"/>
      <c r="W1691" s="129"/>
      <c r="X1691" s="129"/>
      <c r="Y1691" s="129"/>
      <c r="Z1691" s="145" t="b">
        <v>0</v>
      </c>
      <c r="AA1691" s="145"/>
      <c r="AB1691" s="129"/>
      <c r="AC1691" s="129"/>
      <c r="AD1691" s="129"/>
      <c r="AE1691" s="129"/>
      <c r="AF1691" s="132"/>
      <c r="AG1691" s="128" t="b">
        <v>0</v>
      </c>
      <c r="AH1691" s="128"/>
      <c r="AI1691" s="128"/>
      <c r="AJ1691" s="128"/>
      <c r="AK1691" s="128"/>
      <c r="AL1691" s="129"/>
      <c r="AM1691" s="129"/>
      <c r="AN1691" s="139"/>
    </row>
    <row r="1692">
      <c r="A1692" s="129"/>
      <c r="B1692" s="119"/>
      <c r="C1692" s="128"/>
      <c r="D1692" s="142"/>
      <c r="E1692" s="122"/>
      <c r="F1692" s="136"/>
      <c r="G1692" s="152"/>
      <c r="H1692" s="155"/>
      <c r="I1692" s="155"/>
      <c r="J1692" s="155"/>
      <c r="K1692" s="155"/>
      <c r="L1692" s="155"/>
      <c r="M1692" s="126"/>
      <c r="N1692" s="127"/>
      <c r="O1692" s="127"/>
      <c r="P1692" s="127"/>
      <c r="Q1692" s="126"/>
      <c r="R1692" s="128"/>
      <c r="S1692" s="128"/>
      <c r="T1692" s="128"/>
      <c r="U1692" s="128"/>
      <c r="V1692" s="129"/>
      <c r="W1692" s="129"/>
      <c r="X1692" s="129"/>
      <c r="Y1692" s="129"/>
      <c r="Z1692" s="145" t="b">
        <v>0</v>
      </c>
      <c r="AA1692" s="145"/>
      <c r="AB1692" s="129"/>
      <c r="AC1692" s="129"/>
      <c r="AD1692" s="129"/>
      <c r="AE1692" s="129"/>
      <c r="AF1692" s="132"/>
      <c r="AG1692" s="128" t="b">
        <v>0</v>
      </c>
      <c r="AH1692" s="128"/>
      <c r="AI1692" s="128"/>
      <c r="AJ1692" s="128"/>
      <c r="AK1692" s="128"/>
      <c r="AL1692" s="129"/>
      <c r="AM1692" s="129"/>
      <c r="AN1692" s="139"/>
    </row>
    <row r="1693">
      <c r="A1693" s="129"/>
      <c r="B1693" s="119"/>
      <c r="C1693" s="128"/>
      <c r="D1693" s="142"/>
      <c r="E1693" s="122"/>
      <c r="F1693" s="136"/>
      <c r="G1693" s="152"/>
      <c r="H1693" s="155"/>
      <c r="I1693" s="155"/>
      <c r="J1693" s="155"/>
      <c r="K1693" s="155"/>
      <c r="L1693" s="155"/>
      <c r="M1693" s="126"/>
      <c r="N1693" s="127"/>
      <c r="O1693" s="127"/>
      <c r="P1693" s="127"/>
      <c r="Q1693" s="126"/>
      <c r="R1693" s="128"/>
      <c r="S1693" s="128"/>
      <c r="T1693" s="128"/>
      <c r="U1693" s="128"/>
      <c r="V1693" s="129"/>
      <c r="W1693" s="129"/>
      <c r="X1693" s="129"/>
      <c r="Y1693" s="129"/>
      <c r="Z1693" s="145" t="b">
        <v>0</v>
      </c>
      <c r="AA1693" s="145"/>
      <c r="AB1693" s="129"/>
      <c r="AC1693" s="129"/>
      <c r="AD1693" s="129"/>
      <c r="AE1693" s="129"/>
      <c r="AF1693" s="132"/>
      <c r="AG1693" s="128" t="b">
        <v>0</v>
      </c>
      <c r="AH1693" s="128"/>
      <c r="AI1693" s="128"/>
      <c r="AJ1693" s="128"/>
      <c r="AK1693" s="128"/>
      <c r="AL1693" s="129"/>
      <c r="AM1693" s="129"/>
      <c r="AN1693" s="139"/>
    </row>
    <row r="1694">
      <c r="A1694" s="129"/>
      <c r="B1694" s="119"/>
      <c r="C1694" s="128"/>
      <c r="D1694" s="142"/>
      <c r="E1694" s="122"/>
      <c r="F1694" s="136"/>
      <c r="G1694" s="152"/>
      <c r="H1694" s="155"/>
      <c r="I1694" s="155"/>
      <c r="J1694" s="155"/>
      <c r="K1694" s="155"/>
      <c r="L1694" s="155"/>
      <c r="M1694" s="126"/>
      <c r="N1694" s="127"/>
      <c r="O1694" s="127"/>
      <c r="P1694" s="127"/>
      <c r="Q1694" s="126"/>
      <c r="R1694" s="128"/>
      <c r="S1694" s="128"/>
      <c r="T1694" s="128"/>
      <c r="U1694" s="128"/>
      <c r="V1694" s="129"/>
      <c r="W1694" s="129"/>
      <c r="X1694" s="129"/>
      <c r="Y1694" s="129"/>
      <c r="Z1694" s="145" t="b">
        <v>0</v>
      </c>
      <c r="AA1694" s="145"/>
      <c r="AB1694" s="129"/>
      <c r="AC1694" s="129"/>
      <c r="AD1694" s="129"/>
      <c r="AE1694" s="129"/>
      <c r="AF1694" s="132"/>
      <c r="AG1694" s="128" t="b">
        <v>0</v>
      </c>
      <c r="AH1694" s="128"/>
      <c r="AI1694" s="128"/>
      <c r="AJ1694" s="128"/>
      <c r="AK1694" s="128"/>
      <c r="AL1694" s="129"/>
      <c r="AM1694" s="129"/>
      <c r="AN1694" s="139"/>
    </row>
    <row r="1695">
      <c r="A1695" s="129"/>
      <c r="B1695" s="119"/>
      <c r="C1695" s="128"/>
      <c r="D1695" s="142"/>
      <c r="E1695" s="122"/>
      <c r="F1695" s="136"/>
      <c r="G1695" s="152"/>
      <c r="H1695" s="155"/>
      <c r="I1695" s="155"/>
      <c r="J1695" s="155"/>
      <c r="K1695" s="155"/>
      <c r="L1695" s="155"/>
      <c r="M1695" s="126"/>
      <c r="N1695" s="127"/>
      <c r="O1695" s="127"/>
      <c r="P1695" s="127"/>
      <c r="Q1695" s="126"/>
      <c r="R1695" s="128"/>
      <c r="S1695" s="128"/>
      <c r="T1695" s="128"/>
      <c r="U1695" s="128"/>
      <c r="V1695" s="129"/>
      <c r="W1695" s="129"/>
      <c r="X1695" s="129"/>
      <c r="Y1695" s="129"/>
      <c r="Z1695" s="145" t="b">
        <v>0</v>
      </c>
      <c r="AA1695" s="145"/>
      <c r="AB1695" s="129"/>
      <c r="AC1695" s="129"/>
      <c r="AD1695" s="129"/>
      <c r="AE1695" s="129"/>
      <c r="AF1695" s="132"/>
      <c r="AG1695" s="128" t="b">
        <v>0</v>
      </c>
      <c r="AH1695" s="128"/>
      <c r="AI1695" s="128"/>
      <c r="AJ1695" s="128"/>
      <c r="AK1695" s="128"/>
      <c r="AL1695" s="129"/>
      <c r="AM1695" s="129"/>
      <c r="AN1695" s="139"/>
    </row>
    <row r="1696">
      <c r="A1696" s="129"/>
      <c r="B1696" s="119"/>
      <c r="C1696" s="128"/>
      <c r="D1696" s="142"/>
      <c r="E1696" s="122"/>
      <c r="F1696" s="136"/>
      <c r="G1696" s="152"/>
      <c r="H1696" s="155"/>
      <c r="I1696" s="155"/>
      <c r="J1696" s="155"/>
      <c r="K1696" s="155"/>
      <c r="L1696" s="155"/>
      <c r="M1696" s="126"/>
      <c r="N1696" s="127"/>
      <c r="O1696" s="127"/>
      <c r="P1696" s="127"/>
      <c r="Q1696" s="126"/>
      <c r="R1696" s="128"/>
      <c r="S1696" s="128"/>
      <c r="T1696" s="128"/>
      <c r="U1696" s="128"/>
      <c r="V1696" s="129"/>
      <c r="W1696" s="129"/>
      <c r="X1696" s="129"/>
      <c r="Y1696" s="129"/>
      <c r="Z1696" s="145" t="b">
        <v>0</v>
      </c>
      <c r="AA1696" s="145"/>
      <c r="AB1696" s="129"/>
      <c r="AC1696" s="129"/>
      <c r="AD1696" s="129"/>
      <c r="AE1696" s="129"/>
      <c r="AF1696" s="132"/>
      <c r="AG1696" s="128" t="b">
        <v>0</v>
      </c>
      <c r="AH1696" s="128"/>
      <c r="AI1696" s="128"/>
      <c r="AJ1696" s="128"/>
      <c r="AK1696" s="128"/>
      <c r="AL1696" s="129"/>
      <c r="AM1696" s="129"/>
      <c r="AN1696" s="139"/>
    </row>
    <row r="1697">
      <c r="A1697" s="129"/>
      <c r="B1697" s="119"/>
      <c r="C1697" s="128"/>
      <c r="D1697" s="142"/>
      <c r="E1697" s="122"/>
      <c r="F1697" s="136"/>
      <c r="G1697" s="152"/>
      <c r="H1697" s="155"/>
      <c r="I1697" s="155"/>
      <c r="J1697" s="155"/>
      <c r="K1697" s="155"/>
      <c r="L1697" s="155"/>
      <c r="M1697" s="126"/>
      <c r="N1697" s="127"/>
      <c r="O1697" s="127"/>
      <c r="P1697" s="127"/>
      <c r="Q1697" s="126"/>
      <c r="R1697" s="128"/>
      <c r="S1697" s="128"/>
      <c r="T1697" s="128"/>
      <c r="U1697" s="128"/>
      <c r="V1697" s="129"/>
      <c r="W1697" s="129"/>
      <c r="X1697" s="129"/>
      <c r="Y1697" s="129"/>
      <c r="Z1697" s="145" t="b">
        <v>0</v>
      </c>
      <c r="AA1697" s="145"/>
      <c r="AB1697" s="129"/>
      <c r="AC1697" s="129"/>
      <c r="AD1697" s="129"/>
      <c r="AE1697" s="129"/>
      <c r="AF1697" s="132"/>
      <c r="AG1697" s="128" t="b">
        <v>0</v>
      </c>
      <c r="AH1697" s="128"/>
      <c r="AI1697" s="128"/>
      <c r="AJ1697" s="128"/>
      <c r="AK1697" s="128"/>
      <c r="AL1697" s="129"/>
      <c r="AM1697" s="129"/>
      <c r="AN1697" s="139"/>
    </row>
    <row r="1698">
      <c r="A1698" s="129"/>
      <c r="B1698" s="119"/>
      <c r="C1698" s="128"/>
      <c r="D1698" s="142"/>
      <c r="E1698" s="122"/>
      <c r="F1698" s="136"/>
      <c r="G1698" s="152"/>
      <c r="H1698" s="155"/>
      <c r="I1698" s="155"/>
      <c r="J1698" s="155"/>
      <c r="K1698" s="155"/>
      <c r="L1698" s="155"/>
      <c r="M1698" s="126"/>
      <c r="N1698" s="127"/>
      <c r="O1698" s="127"/>
      <c r="P1698" s="127"/>
      <c r="Q1698" s="126"/>
      <c r="R1698" s="128"/>
      <c r="S1698" s="128"/>
      <c r="T1698" s="128"/>
      <c r="U1698" s="128"/>
      <c r="V1698" s="129"/>
      <c r="W1698" s="129"/>
      <c r="X1698" s="129"/>
      <c r="Y1698" s="129"/>
      <c r="Z1698" s="145" t="b">
        <v>0</v>
      </c>
      <c r="AA1698" s="145"/>
      <c r="AB1698" s="129"/>
      <c r="AC1698" s="129"/>
      <c r="AD1698" s="129"/>
      <c r="AE1698" s="129"/>
      <c r="AF1698" s="132"/>
      <c r="AG1698" s="128" t="b">
        <v>0</v>
      </c>
      <c r="AH1698" s="128"/>
      <c r="AI1698" s="128"/>
      <c r="AJ1698" s="128"/>
      <c r="AK1698" s="128"/>
      <c r="AL1698" s="129"/>
      <c r="AM1698" s="129"/>
      <c r="AN1698" s="139"/>
    </row>
    <row r="1699">
      <c r="A1699" s="129"/>
      <c r="B1699" s="119"/>
      <c r="C1699" s="128"/>
      <c r="D1699" s="142"/>
      <c r="E1699" s="122"/>
      <c r="F1699" s="136"/>
      <c r="G1699" s="152"/>
      <c r="H1699" s="155"/>
      <c r="I1699" s="155"/>
      <c r="J1699" s="155"/>
      <c r="K1699" s="155"/>
      <c r="L1699" s="155"/>
      <c r="M1699" s="126"/>
      <c r="N1699" s="127"/>
      <c r="O1699" s="127"/>
      <c r="P1699" s="127"/>
      <c r="Q1699" s="126"/>
      <c r="R1699" s="128"/>
      <c r="S1699" s="128"/>
      <c r="T1699" s="128"/>
      <c r="U1699" s="128"/>
      <c r="V1699" s="129"/>
      <c r="W1699" s="129"/>
      <c r="X1699" s="129"/>
      <c r="Y1699" s="129"/>
      <c r="Z1699" s="145" t="b">
        <v>0</v>
      </c>
      <c r="AA1699" s="145"/>
      <c r="AB1699" s="129"/>
      <c r="AC1699" s="129"/>
      <c r="AD1699" s="129"/>
      <c r="AE1699" s="129"/>
      <c r="AF1699" s="132"/>
      <c r="AG1699" s="128" t="b">
        <v>0</v>
      </c>
      <c r="AH1699" s="128"/>
      <c r="AI1699" s="128"/>
      <c r="AJ1699" s="128"/>
      <c r="AK1699" s="128"/>
      <c r="AL1699" s="129"/>
      <c r="AM1699" s="129"/>
      <c r="AN1699" s="139"/>
    </row>
    <row r="1700">
      <c r="A1700" s="129"/>
      <c r="B1700" s="119"/>
      <c r="C1700" s="128"/>
      <c r="D1700" s="142"/>
      <c r="E1700" s="122"/>
      <c r="F1700" s="136"/>
      <c r="G1700" s="152"/>
      <c r="H1700" s="155"/>
      <c r="I1700" s="155"/>
      <c r="J1700" s="155"/>
      <c r="K1700" s="155"/>
      <c r="L1700" s="155"/>
      <c r="M1700" s="126"/>
      <c r="N1700" s="127"/>
      <c r="O1700" s="127"/>
      <c r="P1700" s="127"/>
      <c r="Q1700" s="126"/>
      <c r="R1700" s="128"/>
      <c r="S1700" s="128"/>
      <c r="T1700" s="128"/>
      <c r="U1700" s="128"/>
      <c r="V1700" s="129"/>
      <c r="W1700" s="129"/>
      <c r="X1700" s="129"/>
      <c r="Y1700" s="129"/>
      <c r="Z1700" s="145" t="b">
        <v>0</v>
      </c>
      <c r="AA1700" s="145"/>
      <c r="AB1700" s="129"/>
      <c r="AC1700" s="129"/>
      <c r="AD1700" s="129"/>
      <c r="AE1700" s="129"/>
      <c r="AF1700" s="132"/>
      <c r="AG1700" s="128" t="b">
        <v>0</v>
      </c>
      <c r="AH1700" s="128"/>
      <c r="AI1700" s="128"/>
      <c r="AJ1700" s="128"/>
      <c r="AK1700" s="128"/>
      <c r="AL1700" s="129"/>
      <c r="AM1700" s="129"/>
      <c r="AN1700" s="139"/>
    </row>
    <row r="1701">
      <c r="A1701" s="129"/>
      <c r="B1701" s="119"/>
      <c r="C1701" s="128"/>
      <c r="D1701" s="142"/>
      <c r="E1701" s="122"/>
      <c r="F1701" s="136"/>
      <c r="G1701" s="152"/>
      <c r="H1701" s="155"/>
      <c r="I1701" s="155"/>
      <c r="J1701" s="155"/>
      <c r="K1701" s="155"/>
      <c r="L1701" s="155"/>
      <c r="M1701" s="126"/>
      <c r="N1701" s="127"/>
      <c r="O1701" s="127"/>
      <c r="P1701" s="127"/>
      <c r="Q1701" s="126"/>
      <c r="R1701" s="128"/>
      <c r="S1701" s="128"/>
      <c r="T1701" s="128"/>
      <c r="U1701" s="128"/>
      <c r="V1701" s="129"/>
      <c r="W1701" s="129"/>
      <c r="X1701" s="129"/>
      <c r="Y1701" s="129"/>
      <c r="Z1701" s="145" t="b">
        <v>0</v>
      </c>
      <c r="AA1701" s="145"/>
      <c r="AB1701" s="129"/>
      <c r="AC1701" s="129"/>
      <c r="AD1701" s="129"/>
      <c r="AE1701" s="129"/>
      <c r="AF1701" s="132"/>
      <c r="AG1701" s="128" t="b">
        <v>0</v>
      </c>
      <c r="AH1701" s="128"/>
      <c r="AI1701" s="128"/>
      <c r="AJ1701" s="128"/>
      <c r="AK1701" s="128"/>
      <c r="AL1701" s="129"/>
      <c r="AM1701" s="129"/>
      <c r="AN1701" s="139"/>
    </row>
    <row r="1702">
      <c r="A1702" s="129"/>
      <c r="B1702" s="119"/>
      <c r="C1702" s="128"/>
      <c r="D1702" s="142"/>
      <c r="E1702" s="122"/>
      <c r="F1702" s="136"/>
      <c r="G1702" s="152"/>
      <c r="H1702" s="155"/>
      <c r="I1702" s="155"/>
      <c r="J1702" s="155"/>
      <c r="K1702" s="155"/>
      <c r="L1702" s="155"/>
      <c r="M1702" s="126"/>
      <c r="N1702" s="127"/>
      <c r="O1702" s="127"/>
      <c r="P1702" s="127"/>
      <c r="Q1702" s="126"/>
      <c r="R1702" s="128"/>
      <c r="S1702" s="128"/>
      <c r="T1702" s="128"/>
      <c r="U1702" s="128"/>
      <c r="V1702" s="129"/>
      <c r="W1702" s="129"/>
      <c r="X1702" s="129"/>
      <c r="Y1702" s="129"/>
      <c r="Z1702" s="145" t="b">
        <v>0</v>
      </c>
      <c r="AA1702" s="145"/>
      <c r="AB1702" s="129"/>
      <c r="AC1702" s="129"/>
      <c r="AD1702" s="129"/>
      <c r="AE1702" s="129"/>
      <c r="AF1702" s="132"/>
      <c r="AG1702" s="128" t="b">
        <v>0</v>
      </c>
      <c r="AH1702" s="128"/>
      <c r="AI1702" s="128"/>
      <c r="AJ1702" s="128"/>
      <c r="AK1702" s="128"/>
      <c r="AL1702" s="129"/>
      <c r="AM1702" s="129"/>
      <c r="AN1702" s="139"/>
    </row>
    <row r="1703">
      <c r="A1703" s="129"/>
      <c r="B1703" s="119"/>
      <c r="C1703" s="128"/>
      <c r="D1703" s="142"/>
      <c r="E1703" s="122"/>
      <c r="F1703" s="136"/>
      <c r="G1703" s="152"/>
      <c r="H1703" s="155"/>
      <c r="I1703" s="155"/>
      <c r="J1703" s="155"/>
      <c r="K1703" s="155"/>
      <c r="L1703" s="155"/>
      <c r="M1703" s="126"/>
      <c r="N1703" s="127"/>
      <c r="O1703" s="127"/>
      <c r="P1703" s="127"/>
      <c r="Q1703" s="126"/>
      <c r="R1703" s="128"/>
      <c r="S1703" s="128"/>
      <c r="T1703" s="128"/>
      <c r="U1703" s="128"/>
      <c r="V1703" s="129"/>
      <c r="W1703" s="129"/>
      <c r="X1703" s="129"/>
      <c r="Y1703" s="129"/>
      <c r="Z1703" s="145" t="b">
        <v>0</v>
      </c>
      <c r="AA1703" s="145"/>
      <c r="AB1703" s="129"/>
      <c r="AC1703" s="129"/>
      <c r="AD1703" s="129"/>
      <c r="AE1703" s="129"/>
      <c r="AF1703" s="132"/>
      <c r="AG1703" s="128" t="b">
        <v>0</v>
      </c>
      <c r="AH1703" s="128"/>
      <c r="AI1703" s="128"/>
      <c r="AJ1703" s="128"/>
      <c r="AK1703" s="128"/>
      <c r="AL1703" s="129"/>
      <c r="AM1703" s="129"/>
      <c r="AN1703" s="139"/>
    </row>
    <row r="1704">
      <c r="A1704" s="129"/>
      <c r="B1704" s="119"/>
      <c r="C1704" s="128"/>
      <c r="D1704" s="142"/>
      <c r="E1704" s="122"/>
      <c r="F1704" s="136"/>
      <c r="G1704" s="152"/>
      <c r="H1704" s="155"/>
      <c r="I1704" s="155"/>
      <c r="J1704" s="155"/>
      <c r="K1704" s="155"/>
      <c r="L1704" s="155"/>
      <c r="M1704" s="126"/>
      <c r="N1704" s="127"/>
      <c r="O1704" s="127"/>
      <c r="P1704" s="127"/>
      <c r="Q1704" s="126"/>
      <c r="R1704" s="128"/>
      <c r="S1704" s="128"/>
      <c r="T1704" s="128"/>
      <c r="U1704" s="128"/>
      <c r="V1704" s="129"/>
      <c r="W1704" s="129"/>
      <c r="X1704" s="129"/>
      <c r="Y1704" s="129"/>
      <c r="Z1704" s="145" t="b">
        <v>0</v>
      </c>
      <c r="AA1704" s="145"/>
      <c r="AB1704" s="129"/>
      <c r="AC1704" s="129"/>
      <c r="AD1704" s="129"/>
      <c r="AE1704" s="129"/>
      <c r="AF1704" s="132"/>
      <c r="AG1704" s="128" t="b">
        <v>0</v>
      </c>
      <c r="AH1704" s="128"/>
      <c r="AI1704" s="128"/>
      <c r="AJ1704" s="128"/>
      <c r="AK1704" s="128"/>
      <c r="AL1704" s="129"/>
      <c r="AM1704" s="129"/>
      <c r="AN1704" s="139"/>
    </row>
    <row r="1705">
      <c r="A1705" s="129"/>
      <c r="B1705" s="119"/>
      <c r="C1705" s="128"/>
      <c r="D1705" s="142"/>
      <c r="E1705" s="122"/>
      <c r="F1705" s="136"/>
      <c r="G1705" s="152"/>
      <c r="H1705" s="155"/>
      <c r="I1705" s="155"/>
      <c r="J1705" s="155"/>
      <c r="K1705" s="155"/>
      <c r="L1705" s="155"/>
      <c r="M1705" s="126"/>
      <c r="N1705" s="127"/>
      <c r="O1705" s="127"/>
      <c r="P1705" s="127"/>
      <c r="Q1705" s="126"/>
      <c r="R1705" s="128"/>
      <c r="S1705" s="128"/>
      <c r="T1705" s="128"/>
      <c r="U1705" s="128"/>
      <c r="V1705" s="129"/>
      <c r="W1705" s="129"/>
      <c r="X1705" s="129"/>
      <c r="Y1705" s="129"/>
      <c r="Z1705" s="145" t="b">
        <v>0</v>
      </c>
      <c r="AA1705" s="145"/>
      <c r="AB1705" s="129"/>
      <c r="AC1705" s="129"/>
      <c r="AD1705" s="129"/>
      <c r="AE1705" s="129"/>
      <c r="AF1705" s="132"/>
      <c r="AG1705" s="128" t="b">
        <v>0</v>
      </c>
      <c r="AH1705" s="128"/>
      <c r="AI1705" s="128"/>
      <c r="AJ1705" s="128"/>
      <c r="AK1705" s="128"/>
      <c r="AL1705" s="129"/>
      <c r="AM1705" s="129"/>
      <c r="AN1705" s="139"/>
    </row>
    <row r="1706">
      <c r="A1706" s="129"/>
      <c r="B1706" s="119"/>
      <c r="C1706" s="128"/>
      <c r="D1706" s="142"/>
      <c r="E1706" s="122"/>
      <c r="F1706" s="136"/>
      <c r="G1706" s="152"/>
      <c r="H1706" s="155"/>
      <c r="I1706" s="155"/>
      <c r="J1706" s="155"/>
      <c r="K1706" s="155"/>
      <c r="L1706" s="155"/>
      <c r="M1706" s="126"/>
      <c r="N1706" s="127"/>
      <c r="O1706" s="127"/>
      <c r="P1706" s="127"/>
      <c r="Q1706" s="126"/>
      <c r="R1706" s="128"/>
      <c r="S1706" s="128"/>
      <c r="T1706" s="128"/>
      <c r="U1706" s="128"/>
      <c r="V1706" s="129"/>
      <c r="W1706" s="129"/>
      <c r="X1706" s="129"/>
      <c r="Y1706" s="129"/>
      <c r="Z1706" s="145" t="b">
        <v>0</v>
      </c>
      <c r="AA1706" s="145"/>
      <c r="AB1706" s="129"/>
      <c r="AC1706" s="129"/>
      <c r="AD1706" s="129"/>
      <c r="AE1706" s="129"/>
      <c r="AF1706" s="132"/>
      <c r="AG1706" s="128" t="b">
        <v>0</v>
      </c>
      <c r="AH1706" s="128"/>
      <c r="AI1706" s="128"/>
      <c r="AJ1706" s="128"/>
      <c r="AK1706" s="128"/>
      <c r="AL1706" s="129"/>
      <c r="AM1706" s="129"/>
      <c r="AN1706" s="139"/>
    </row>
    <row r="1707">
      <c r="A1707" s="129"/>
      <c r="B1707" s="119"/>
      <c r="C1707" s="128"/>
      <c r="D1707" s="142"/>
      <c r="E1707" s="122"/>
      <c r="F1707" s="136"/>
      <c r="G1707" s="152"/>
      <c r="H1707" s="155"/>
      <c r="I1707" s="155"/>
      <c r="J1707" s="155"/>
      <c r="K1707" s="155"/>
      <c r="L1707" s="155"/>
      <c r="M1707" s="126"/>
      <c r="N1707" s="127"/>
      <c r="O1707" s="127"/>
      <c r="P1707" s="127"/>
      <c r="Q1707" s="126"/>
      <c r="R1707" s="128"/>
      <c r="S1707" s="128"/>
      <c r="T1707" s="128"/>
      <c r="U1707" s="128"/>
      <c r="V1707" s="129"/>
      <c r="W1707" s="129"/>
      <c r="X1707" s="129"/>
      <c r="Y1707" s="129"/>
      <c r="Z1707" s="145" t="b">
        <v>0</v>
      </c>
      <c r="AA1707" s="145"/>
      <c r="AB1707" s="129"/>
      <c r="AC1707" s="129"/>
      <c r="AD1707" s="129"/>
      <c r="AE1707" s="129"/>
      <c r="AF1707" s="132"/>
      <c r="AG1707" s="128" t="b">
        <v>0</v>
      </c>
      <c r="AH1707" s="128"/>
      <c r="AI1707" s="128"/>
      <c r="AJ1707" s="128"/>
      <c r="AK1707" s="128"/>
      <c r="AL1707" s="129"/>
      <c r="AM1707" s="129"/>
      <c r="AN1707" s="139"/>
    </row>
    <row r="1708">
      <c r="A1708" s="129"/>
      <c r="B1708" s="119"/>
      <c r="C1708" s="128"/>
      <c r="D1708" s="142"/>
      <c r="E1708" s="122"/>
      <c r="F1708" s="136"/>
      <c r="G1708" s="152"/>
      <c r="H1708" s="155"/>
      <c r="I1708" s="155"/>
      <c r="J1708" s="155"/>
      <c r="K1708" s="155"/>
      <c r="L1708" s="155"/>
      <c r="M1708" s="126"/>
      <c r="N1708" s="127"/>
      <c r="O1708" s="127"/>
      <c r="P1708" s="127"/>
      <c r="Q1708" s="126"/>
      <c r="R1708" s="128"/>
      <c r="S1708" s="128"/>
      <c r="T1708" s="128"/>
      <c r="U1708" s="128"/>
      <c r="V1708" s="129"/>
      <c r="W1708" s="129"/>
      <c r="X1708" s="129"/>
      <c r="Y1708" s="129"/>
      <c r="Z1708" s="145" t="b">
        <v>0</v>
      </c>
      <c r="AA1708" s="145"/>
      <c r="AB1708" s="129"/>
      <c r="AC1708" s="129"/>
      <c r="AD1708" s="129"/>
      <c r="AE1708" s="129"/>
      <c r="AF1708" s="132"/>
      <c r="AG1708" s="128" t="b">
        <v>0</v>
      </c>
      <c r="AH1708" s="128"/>
      <c r="AI1708" s="128"/>
      <c r="AJ1708" s="128"/>
      <c r="AK1708" s="128"/>
      <c r="AL1708" s="129"/>
      <c r="AM1708" s="129"/>
      <c r="AN1708" s="139"/>
    </row>
    <row r="1709">
      <c r="A1709" s="129"/>
      <c r="B1709" s="119"/>
      <c r="C1709" s="128"/>
      <c r="D1709" s="142"/>
      <c r="E1709" s="122"/>
      <c r="F1709" s="136"/>
      <c r="G1709" s="152"/>
      <c r="H1709" s="155"/>
      <c r="I1709" s="155"/>
      <c r="J1709" s="155"/>
      <c r="K1709" s="155"/>
      <c r="L1709" s="155"/>
      <c r="M1709" s="126"/>
      <c r="N1709" s="127"/>
      <c r="O1709" s="127"/>
      <c r="P1709" s="127"/>
      <c r="Q1709" s="126"/>
      <c r="R1709" s="128"/>
      <c r="S1709" s="128"/>
      <c r="T1709" s="128"/>
      <c r="U1709" s="128"/>
      <c r="V1709" s="129"/>
      <c r="W1709" s="129"/>
      <c r="X1709" s="129"/>
      <c r="Y1709" s="129"/>
      <c r="Z1709" s="145" t="b">
        <v>0</v>
      </c>
      <c r="AA1709" s="145"/>
      <c r="AB1709" s="129"/>
      <c r="AC1709" s="129"/>
      <c r="AD1709" s="129"/>
      <c r="AE1709" s="129"/>
      <c r="AF1709" s="132"/>
      <c r="AG1709" s="128" t="b">
        <v>0</v>
      </c>
      <c r="AH1709" s="128"/>
      <c r="AI1709" s="128"/>
      <c r="AJ1709" s="128"/>
      <c r="AK1709" s="128"/>
      <c r="AL1709" s="129"/>
      <c r="AM1709" s="129"/>
      <c r="AN1709" s="139"/>
    </row>
    <row r="1710">
      <c r="A1710" s="129"/>
      <c r="B1710" s="119"/>
      <c r="C1710" s="128"/>
      <c r="D1710" s="142"/>
      <c r="E1710" s="122"/>
      <c r="F1710" s="136"/>
      <c r="G1710" s="152"/>
      <c r="H1710" s="155"/>
      <c r="I1710" s="155"/>
      <c r="J1710" s="155"/>
      <c r="K1710" s="155"/>
      <c r="L1710" s="155"/>
      <c r="M1710" s="126"/>
      <c r="N1710" s="127"/>
      <c r="O1710" s="127"/>
      <c r="P1710" s="127"/>
      <c r="Q1710" s="126"/>
      <c r="R1710" s="128"/>
      <c r="S1710" s="128"/>
      <c r="T1710" s="128"/>
      <c r="U1710" s="128"/>
      <c r="V1710" s="129"/>
      <c r="W1710" s="129"/>
      <c r="X1710" s="129"/>
      <c r="Y1710" s="129"/>
      <c r="Z1710" s="145" t="b">
        <v>0</v>
      </c>
      <c r="AA1710" s="145"/>
      <c r="AB1710" s="129"/>
      <c r="AC1710" s="129"/>
      <c r="AD1710" s="129"/>
      <c r="AE1710" s="129"/>
      <c r="AF1710" s="132"/>
      <c r="AG1710" s="128" t="b">
        <v>0</v>
      </c>
      <c r="AH1710" s="128"/>
      <c r="AI1710" s="128"/>
      <c r="AJ1710" s="128"/>
      <c r="AK1710" s="128"/>
      <c r="AL1710" s="129"/>
      <c r="AM1710" s="129"/>
      <c r="AN1710" s="139"/>
    </row>
    <row r="1711">
      <c r="A1711" s="129"/>
      <c r="B1711" s="119"/>
      <c r="C1711" s="128"/>
      <c r="D1711" s="142"/>
      <c r="E1711" s="122"/>
      <c r="F1711" s="136"/>
      <c r="G1711" s="152"/>
      <c r="H1711" s="155"/>
      <c r="I1711" s="155"/>
      <c r="J1711" s="155"/>
      <c r="K1711" s="155"/>
      <c r="L1711" s="155"/>
      <c r="M1711" s="126"/>
      <c r="N1711" s="127"/>
      <c r="O1711" s="127"/>
      <c r="P1711" s="127"/>
      <c r="Q1711" s="126"/>
      <c r="R1711" s="128"/>
      <c r="S1711" s="128"/>
      <c r="T1711" s="128"/>
      <c r="U1711" s="128"/>
      <c r="V1711" s="129"/>
      <c r="W1711" s="129"/>
      <c r="X1711" s="129"/>
      <c r="Y1711" s="129"/>
      <c r="Z1711" s="145" t="b">
        <v>0</v>
      </c>
      <c r="AA1711" s="145"/>
      <c r="AB1711" s="129"/>
      <c r="AC1711" s="129"/>
      <c r="AD1711" s="129"/>
      <c r="AE1711" s="129"/>
      <c r="AF1711" s="132"/>
      <c r="AG1711" s="128" t="b">
        <v>0</v>
      </c>
      <c r="AH1711" s="128"/>
      <c r="AI1711" s="128"/>
      <c r="AJ1711" s="128"/>
      <c r="AK1711" s="128"/>
      <c r="AL1711" s="129"/>
      <c r="AM1711" s="129"/>
      <c r="AN1711" s="139"/>
    </row>
    <row r="1712">
      <c r="A1712" s="129"/>
      <c r="B1712" s="119"/>
      <c r="C1712" s="128"/>
      <c r="D1712" s="142"/>
      <c r="E1712" s="122"/>
      <c r="F1712" s="136"/>
      <c r="G1712" s="152"/>
      <c r="H1712" s="155"/>
      <c r="I1712" s="155"/>
      <c r="J1712" s="155"/>
      <c r="K1712" s="155"/>
      <c r="L1712" s="155"/>
      <c r="M1712" s="126"/>
      <c r="N1712" s="127"/>
      <c r="O1712" s="127"/>
      <c r="P1712" s="127"/>
      <c r="Q1712" s="126"/>
      <c r="R1712" s="128"/>
      <c r="S1712" s="128"/>
      <c r="T1712" s="128"/>
      <c r="U1712" s="128"/>
      <c r="V1712" s="129"/>
      <c r="W1712" s="129"/>
      <c r="X1712" s="129"/>
      <c r="Y1712" s="129"/>
      <c r="Z1712" s="145" t="b">
        <v>0</v>
      </c>
      <c r="AA1712" s="145"/>
      <c r="AB1712" s="129"/>
      <c r="AC1712" s="129"/>
      <c r="AD1712" s="129"/>
      <c r="AE1712" s="129"/>
      <c r="AF1712" s="132"/>
      <c r="AG1712" s="128" t="b">
        <v>0</v>
      </c>
      <c r="AH1712" s="128"/>
      <c r="AI1712" s="128"/>
      <c r="AJ1712" s="128"/>
      <c r="AK1712" s="128"/>
      <c r="AL1712" s="129"/>
      <c r="AM1712" s="129"/>
      <c r="AN1712" s="139"/>
    </row>
    <row r="1713">
      <c r="A1713" s="129"/>
      <c r="B1713" s="119"/>
      <c r="C1713" s="128"/>
      <c r="D1713" s="142"/>
      <c r="E1713" s="122"/>
      <c r="F1713" s="136"/>
      <c r="G1713" s="152"/>
      <c r="H1713" s="155"/>
      <c r="I1713" s="155"/>
      <c r="J1713" s="155"/>
      <c r="K1713" s="155"/>
      <c r="L1713" s="155"/>
      <c r="M1713" s="126"/>
      <c r="N1713" s="127"/>
      <c r="O1713" s="127"/>
      <c r="P1713" s="127"/>
      <c r="Q1713" s="126"/>
      <c r="R1713" s="128"/>
      <c r="S1713" s="128"/>
      <c r="T1713" s="128"/>
      <c r="U1713" s="128"/>
      <c r="V1713" s="129"/>
      <c r="W1713" s="129"/>
      <c r="X1713" s="129"/>
      <c r="Y1713" s="129"/>
      <c r="Z1713" s="145" t="b">
        <v>0</v>
      </c>
      <c r="AA1713" s="145"/>
      <c r="AB1713" s="129"/>
      <c r="AC1713" s="129"/>
      <c r="AD1713" s="129"/>
      <c r="AE1713" s="129"/>
      <c r="AF1713" s="132"/>
      <c r="AG1713" s="128" t="b">
        <v>0</v>
      </c>
      <c r="AH1713" s="128"/>
      <c r="AI1713" s="128"/>
      <c r="AJ1713" s="128"/>
      <c r="AK1713" s="128"/>
      <c r="AL1713" s="129"/>
      <c r="AM1713" s="129"/>
      <c r="AN1713" s="139"/>
    </row>
    <row r="1714">
      <c r="A1714" s="129"/>
      <c r="B1714" s="119"/>
      <c r="C1714" s="128"/>
      <c r="D1714" s="142"/>
      <c r="E1714" s="122"/>
      <c r="F1714" s="136"/>
      <c r="G1714" s="152"/>
      <c r="H1714" s="155"/>
      <c r="I1714" s="155"/>
      <c r="J1714" s="155"/>
      <c r="K1714" s="155"/>
      <c r="L1714" s="155"/>
      <c r="M1714" s="126"/>
      <c r="N1714" s="127"/>
      <c r="O1714" s="127"/>
      <c r="P1714" s="127"/>
      <c r="Q1714" s="126"/>
      <c r="R1714" s="128"/>
      <c r="S1714" s="128"/>
      <c r="T1714" s="128"/>
      <c r="U1714" s="128"/>
      <c r="V1714" s="129"/>
      <c r="W1714" s="129"/>
      <c r="X1714" s="129"/>
      <c r="Y1714" s="129"/>
      <c r="Z1714" s="145" t="b">
        <v>0</v>
      </c>
      <c r="AA1714" s="145"/>
      <c r="AB1714" s="129"/>
      <c r="AC1714" s="129"/>
      <c r="AD1714" s="129"/>
      <c r="AE1714" s="129"/>
      <c r="AF1714" s="132"/>
      <c r="AG1714" s="128" t="b">
        <v>0</v>
      </c>
      <c r="AH1714" s="128"/>
      <c r="AI1714" s="128"/>
      <c r="AJ1714" s="128"/>
      <c r="AK1714" s="128"/>
      <c r="AL1714" s="129"/>
      <c r="AM1714" s="129"/>
      <c r="AN1714" s="139"/>
    </row>
    <row r="1715">
      <c r="A1715" s="129"/>
      <c r="B1715" s="119"/>
      <c r="C1715" s="128"/>
      <c r="D1715" s="142"/>
      <c r="E1715" s="122"/>
      <c r="F1715" s="136"/>
      <c r="G1715" s="152"/>
      <c r="H1715" s="155"/>
      <c r="I1715" s="155"/>
      <c r="J1715" s="155"/>
      <c r="K1715" s="155"/>
      <c r="L1715" s="155"/>
      <c r="M1715" s="126"/>
      <c r="N1715" s="127"/>
      <c r="O1715" s="127"/>
      <c r="P1715" s="127"/>
      <c r="Q1715" s="126"/>
      <c r="R1715" s="128"/>
      <c r="S1715" s="128"/>
      <c r="T1715" s="128"/>
      <c r="U1715" s="128"/>
      <c r="V1715" s="129"/>
      <c r="W1715" s="129"/>
      <c r="X1715" s="129"/>
      <c r="Y1715" s="129"/>
      <c r="Z1715" s="145" t="b">
        <v>0</v>
      </c>
      <c r="AA1715" s="145"/>
      <c r="AB1715" s="129"/>
      <c r="AC1715" s="129"/>
      <c r="AD1715" s="129"/>
      <c r="AE1715" s="129"/>
      <c r="AF1715" s="132"/>
      <c r="AG1715" s="128" t="b">
        <v>0</v>
      </c>
      <c r="AH1715" s="128"/>
      <c r="AI1715" s="128"/>
      <c r="AJ1715" s="128"/>
      <c r="AK1715" s="128"/>
      <c r="AL1715" s="129"/>
      <c r="AM1715" s="129"/>
      <c r="AN1715" s="139"/>
    </row>
    <row r="1716">
      <c r="A1716" s="129"/>
      <c r="B1716" s="119"/>
      <c r="C1716" s="128"/>
      <c r="D1716" s="142"/>
      <c r="E1716" s="122"/>
      <c r="F1716" s="136"/>
      <c r="G1716" s="152"/>
      <c r="H1716" s="155"/>
      <c r="I1716" s="155"/>
      <c r="J1716" s="155"/>
      <c r="K1716" s="155"/>
      <c r="L1716" s="155"/>
      <c r="M1716" s="126"/>
      <c r="N1716" s="127"/>
      <c r="O1716" s="127"/>
      <c r="P1716" s="127"/>
      <c r="Q1716" s="126"/>
      <c r="R1716" s="128"/>
      <c r="S1716" s="128"/>
      <c r="T1716" s="128"/>
      <c r="U1716" s="128"/>
      <c r="V1716" s="129"/>
      <c r="W1716" s="129"/>
      <c r="X1716" s="129"/>
      <c r="Y1716" s="129"/>
      <c r="Z1716" s="145" t="b">
        <v>0</v>
      </c>
      <c r="AA1716" s="145"/>
      <c r="AB1716" s="129"/>
      <c r="AC1716" s="129"/>
      <c r="AD1716" s="129"/>
      <c r="AE1716" s="129"/>
      <c r="AF1716" s="132"/>
      <c r="AG1716" s="128" t="b">
        <v>0</v>
      </c>
      <c r="AH1716" s="128"/>
      <c r="AI1716" s="128"/>
      <c r="AJ1716" s="128"/>
      <c r="AK1716" s="128"/>
      <c r="AL1716" s="129"/>
      <c r="AM1716" s="129"/>
      <c r="AN1716" s="139"/>
    </row>
    <row r="1717">
      <c r="A1717" s="129"/>
      <c r="B1717" s="119"/>
      <c r="C1717" s="128"/>
      <c r="D1717" s="142"/>
      <c r="E1717" s="122"/>
      <c r="F1717" s="136"/>
      <c r="G1717" s="152"/>
      <c r="H1717" s="155"/>
      <c r="I1717" s="155"/>
      <c r="J1717" s="155"/>
      <c r="K1717" s="155"/>
      <c r="L1717" s="155"/>
      <c r="M1717" s="126"/>
      <c r="N1717" s="127"/>
      <c r="O1717" s="127"/>
      <c r="P1717" s="127"/>
      <c r="Q1717" s="126"/>
      <c r="R1717" s="128"/>
      <c r="S1717" s="128"/>
      <c r="T1717" s="128"/>
      <c r="U1717" s="128"/>
      <c r="V1717" s="129"/>
      <c r="W1717" s="129"/>
      <c r="X1717" s="129"/>
      <c r="Y1717" s="129"/>
      <c r="Z1717" s="145" t="b">
        <v>0</v>
      </c>
      <c r="AA1717" s="145"/>
      <c r="AB1717" s="129"/>
      <c r="AC1717" s="129"/>
      <c r="AD1717" s="129"/>
      <c r="AE1717" s="129"/>
      <c r="AF1717" s="132"/>
      <c r="AG1717" s="128" t="b">
        <v>0</v>
      </c>
      <c r="AH1717" s="128"/>
      <c r="AI1717" s="128"/>
      <c r="AJ1717" s="128"/>
      <c r="AK1717" s="128"/>
      <c r="AL1717" s="129"/>
      <c r="AM1717" s="129"/>
      <c r="AN1717" s="139"/>
    </row>
    <row r="1718">
      <c r="A1718" s="129"/>
      <c r="B1718" s="119"/>
      <c r="C1718" s="128"/>
      <c r="D1718" s="142"/>
      <c r="E1718" s="122"/>
      <c r="F1718" s="136"/>
      <c r="G1718" s="152"/>
      <c r="H1718" s="155"/>
      <c r="I1718" s="155"/>
      <c r="J1718" s="155"/>
      <c r="K1718" s="155"/>
      <c r="L1718" s="155"/>
      <c r="M1718" s="126"/>
      <c r="N1718" s="127"/>
      <c r="O1718" s="127"/>
      <c r="P1718" s="127"/>
      <c r="Q1718" s="126"/>
      <c r="R1718" s="128"/>
      <c r="S1718" s="128"/>
      <c r="T1718" s="128"/>
      <c r="U1718" s="128"/>
      <c r="V1718" s="129"/>
      <c r="W1718" s="129"/>
      <c r="X1718" s="129"/>
      <c r="Y1718" s="129"/>
      <c r="Z1718" s="145" t="b">
        <v>0</v>
      </c>
      <c r="AA1718" s="145"/>
      <c r="AB1718" s="129"/>
      <c r="AC1718" s="129"/>
      <c r="AD1718" s="129"/>
      <c r="AE1718" s="129"/>
      <c r="AF1718" s="132"/>
      <c r="AG1718" s="128" t="b">
        <v>0</v>
      </c>
      <c r="AH1718" s="128"/>
      <c r="AI1718" s="128"/>
      <c r="AJ1718" s="128"/>
      <c r="AK1718" s="128"/>
      <c r="AL1718" s="129"/>
      <c r="AM1718" s="129"/>
      <c r="AN1718" s="139"/>
    </row>
    <row r="1719">
      <c r="A1719" s="129"/>
      <c r="B1719" s="119"/>
      <c r="C1719" s="128"/>
      <c r="D1719" s="142"/>
      <c r="E1719" s="122"/>
      <c r="F1719" s="136"/>
      <c r="G1719" s="152"/>
      <c r="H1719" s="155"/>
      <c r="I1719" s="155"/>
      <c r="J1719" s="155"/>
      <c r="K1719" s="155"/>
      <c r="L1719" s="155"/>
      <c r="M1719" s="126"/>
      <c r="N1719" s="127"/>
      <c r="O1719" s="127"/>
      <c r="P1719" s="127"/>
      <c r="Q1719" s="126"/>
      <c r="R1719" s="128"/>
      <c r="S1719" s="128"/>
      <c r="T1719" s="128"/>
      <c r="U1719" s="128"/>
      <c r="V1719" s="129"/>
      <c r="W1719" s="129"/>
      <c r="X1719" s="129"/>
      <c r="Y1719" s="129"/>
      <c r="Z1719" s="145" t="b">
        <v>0</v>
      </c>
      <c r="AA1719" s="145"/>
      <c r="AB1719" s="129"/>
      <c r="AC1719" s="129"/>
      <c r="AD1719" s="129"/>
      <c r="AE1719" s="129"/>
      <c r="AF1719" s="132"/>
      <c r="AG1719" s="128" t="b">
        <v>0</v>
      </c>
      <c r="AH1719" s="128"/>
      <c r="AI1719" s="128"/>
      <c r="AJ1719" s="128"/>
      <c r="AK1719" s="128"/>
      <c r="AL1719" s="129"/>
      <c r="AM1719" s="129"/>
      <c r="AN1719" s="139"/>
    </row>
    <row r="1720">
      <c r="A1720" s="129"/>
      <c r="B1720" s="119"/>
      <c r="C1720" s="128"/>
      <c r="D1720" s="142"/>
      <c r="E1720" s="122"/>
      <c r="F1720" s="136"/>
      <c r="G1720" s="152"/>
      <c r="H1720" s="155"/>
      <c r="I1720" s="155"/>
      <c r="J1720" s="155"/>
      <c r="K1720" s="155"/>
      <c r="L1720" s="155"/>
      <c r="M1720" s="126"/>
      <c r="N1720" s="127"/>
      <c r="O1720" s="127"/>
      <c r="P1720" s="127"/>
      <c r="Q1720" s="126"/>
      <c r="R1720" s="128"/>
      <c r="S1720" s="128"/>
      <c r="T1720" s="128"/>
      <c r="U1720" s="128"/>
      <c r="V1720" s="129"/>
      <c r="W1720" s="129"/>
      <c r="X1720" s="129"/>
      <c r="Y1720" s="129"/>
      <c r="Z1720" s="145" t="b">
        <v>0</v>
      </c>
      <c r="AA1720" s="145"/>
      <c r="AB1720" s="129"/>
      <c r="AC1720" s="129"/>
      <c r="AD1720" s="129"/>
      <c r="AE1720" s="129"/>
      <c r="AF1720" s="132"/>
      <c r="AG1720" s="128" t="b">
        <v>0</v>
      </c>
      <c r="AH1720" s="128"/>
      <c r="AI1720" s="128"/>
      <c r="AJ1720" s="128"/>
      <c r="AK1720" s="128"/>
      <c r="AL1720" s="129"/>
      <c r="AM1720" s="129"/>
      <c r="AN1720" s="139"/>
    </row>
    <row r="1721">
      <c r="A1721" s="129"/>
      <c r="B1721" s="119"/>
      <c r="C1721" s="128"/>
      <c r="D1721" s="142"/>
      <c r="E1721" s="122"/>
      <c r="F1721" s="136"/>
      <c r="G1721" s="152"/>
      <c r="H1721" s="155"/>
      <c r="I1721" s="155"/>
      <c r="J1721" s="155"/>
      <c r="K1721" s="155"/>
      <c r="L1721" s="155"/>
      <c r="M1721" s="126"/>
      <c r="N1721" s="127"/>
      <c r="O1721" s="127"/>
      <c r="P1721" s="127"/>
      <c r="Q1721" s="126"/>
      <c r="R1721" s="128"/>
      <c r="S1721" s="128"/>
      <c r="T1721" s="128"/>
      <c r="U1721" s="128"/>
      <c r="V1721" s="129"/>
      <c r="W1721" s="129"/>
      <c r="X1721" s="129"/>
      <c r="Y1721" s="129"/>
      <c r="Z1721" s="145" t="b">
        <v>0</v>
      </c>
      <c r="AA1721" s="145"/>
      <c r="AB1721" s="129"/>
      <c r="AC1721" s="129"/>
      <c r="AD1721" s="129"/>
      <c r="AE1721" s="129"/>
      <c r="AF1721" s="132"/>
      <c r="AG1721" s="128" t="b">
        <v>0</v>
      </c>
      <c r="AH1721" s="128"/>
      <c r="AI1721" s="128"/>
      <c r="AJ1721" s="128"/>
      <c r="AK1721" s="128"/>
      <c r="AL1721" s="129"/>
      <c r="AM1721" s="129"/>
      <c r="AN1721" s="139"/>
    </row>
    <row r="1722">
      <c r="A1722" s="129"/>
      <c r="B1722" s="119"/>
      <c r="C1722" s="128"/>
      <c r="D1722" s="142"/>
      <c r="E1722" s="122"/>
      <c r="F1722" s="136"/>
      <c r="G1722" s="152"/>
      <c r="H1722" s="155"/>
      <c r="I1722" s="155"/>
      <c r="J1722" s="155"/>
      <c r="K1722" s="155"/>
      <c r="L1722" s="155"/>
      <c r="M1722" s="126"/>
      <c r="N1722" s="127"/>
      <c r="O1722" s="127"/>
      <c r="P1722" s="127"/>
      <c r="Q1722" s="126"/>
      <c r="R1722" s="128"/>
      <c r="S1722" s="128"/>
      <c r="T1722" s="128"/>
      <c r="U1722" s="128"/>
      <c r="V1722" s="129"/>
      <c r="W1722" s="129"/>
      <c r="X1722" s="129"/>
      <c r="Y1722" s="129"/>
      <c r="Z1722" s="145" t="b">
        <v>0</v>
      </c>
      <c r="AA1722" s="145"/>
      <c r="AB1722" s="129"/>
      <c r="AC1722" s="129"/>
      <c r="AD1722" s="129"/>
      <c r="AE1722" s="129"/>
      <c r="AF1722" s="132"/>
      <c r="AG1722" s="128" t="b">
        <v>0</v>
      </c>
      <c r="AH1722" s="128"/>
      <c r="AI1722" s="128"/>
      <c r="AJ1722" s="128"/>
      <c r="AK1722" s="128"/>
      <c r="AL1722" s="129"/>
      <c r="AM1722" s="129"/>
      <c r="AN1722" s="139"/>
    </row>
    <row r="1723">
      <c r="A1723" s="129"/>
      <c r="B1723" s="119"/>
      <c r="C1723" s="128"/>
      <c r="D1723" s="142"/>
      <c r="E1723" s="122"/>
      <c r="F1723" s="136"/>
      <c r="G1723" s="152"/>
      <c r="H1723" s="155"/>
      <c r="I1723" s="155"/>
      <c r="J1723" s="155"/>
      <c r="K1723" s="155"/>
      <c r="L1723" s="155"/>
      <c r="M1723" s="126"/>
      <c r="N1723" s="127"/>
      <c r="O1723" s="127"/>
      <c r="P1723" s="127"/>
      <c r="Q1723" s="126"/>
      <c r="R1723" s="128"/>
      <c r="S1723" s="128"/>
      <c r="T1723" s="128"/>
      <c r="U1723" s="128"/>
      <c r="V1723" s="129"/>
      <c r="W1723" s="129"/>
      <c r="X1723" s="129"/>
      <c r="Y1723" s="129"/>
      <c r="Z1723" s="145" t="b">
        <v>0</v>
      </c>
      <c r="AA1723" s="145"/>
      <c r="AB1723" s="129"/>
      <c r="AC1723" s="129"/>
      <c r="AD1723" s="129"/>
      <c r="AE1723" s="129"/>
      <c r="AF1723" s="132"/>
      <c r="AG1723" s="128" t="b">
        <v>0</v>
      </c>
      <c r="AH1723" s="128"/>
      <c r="AI1723" s="128"/>
      <c r="AJ1723" s="128"/>
      <c r="AK1723" s="128"/>
      <c r="AL1723" s="129"/>
      <c r="AM1723" s="129"/>
      <c r="AN1723" s="139"/>
    </row>
    <row r="1724">
      <c r="A1724" s="129"/>
      <c r="B1724" s="119"/>
      <c r="C1724" s="128"/>
      <c r="D1724" s="142"/>
      <c r="E1724" s="122"/>
      <c r="F1724" s="136"/>
      <c r="G1724" s="152"/>
      <c r="H1724" s="155"/>
      <c r="I1724" s="155"/>
      <c r="J1724" s="155"/>
      <c r="K1724" s="155"/>
      <c r="L1724" s="155"/>
      <c r="M1724" s="126"/>
      <c r="N1724" s="127"/>
      <c r="O1724" s="127"/>
      <c r="P1724" s="127"/>
      <c r="Q1724" s="126"/>
      <c r="R1724" s="128"/>
      <c r="S1724" s="128"/>
      <c r="T1724" s="128"/>
      <c r="U1724" s="128"/>
      <c r="V1724" s="129"/>
      <c r="W1724" s="129"/>
      <c r="X1724" s="129"/>
      <c r="Y1724" s="129"/>
      <c r="Z1724" s="145" t="b">
        <v>0</v>
      </c>
      <c r="AA1724" s="145"/>
      <c r="AB1724" s="129"/>
      <c r="AC1724" s="129"/>
      <c r="AD1724" s="129"/>
      <c r="AE1724" s="129"/>
      <c r="AF1724" s="132"/>
      <c r="AG1724" s="128" t="b">
        <v>0</v>
      </c>
      <c r="AH1724" s="128"/>
      <c r="AI1724" s="128"/>
      <c r="AJ1724" s="128"/>
      <c r="AK1724" s="128"/>
      <c r="AL1724" s="129"/>
      <c r="AM1724" s="129"/>
      <c r="AN1724" s="139"/>
    </row>
    <row r="1725">
      <c r="A1725" s="129"/>
      <c r="B1725" s="119"/>
      <c r="C1725" s="128"/>
      <c r="D1725" s="142"/>
      <c r="E1725" s="122"/>
      <c r="F1725" s="136"/>
      <c r="G1725" s="152"/>
      <c r="H1725" s="155"/>
      <c r="I1725" s="155"/>
      <c r="J1725" s="155"/>
      <c r="K1725" s="155"/>
      <c r="L1725" s="155"/>
      <c r="M1725" s="126"/>
      <c r="N1725" s="127"/>
      <c r="O1725" s="127"/>
      <c r="P1725" s="127"/>
      <c r="Q1725" s="126"/>
      <c r="R1725" s="128"/>
      <c r="S1725" s="128"/>
      <c r="T1725" s="128"/>
      <c r="U1725" s="128"/>
      <c r="V1725" s="129"/>
      <c r="W1725" s="129"/>
      <c r="X1725" s="129"/>
      <c r="Y1725" s="129"/>
      <c r="Z1725" s="145" t="b">
        <v>0</v>
      </c>
      <c r="AA1725" s="145"/>
      <c r="AB1725" s="129"/>
      <c r="AC1725" s="129"/>
      <c r="AD1725" s="129"/>
      <c r="AE1725" s="129"/>
      <c r="AF1725" s="132"/>
      <c r="AG1725" s="128" t="b">
        <v>0</v>
      </c>
      <c r="AH1725" s="128"/>
      <c r="AI1725" s="128"/>
      <c r="AJ1725" s="128"/>
      <c r="AK1725" s="128"/>
      <c r="AL1725" s="129"/>
      <c r="AM1725" s="129"/>
      <c r="AN1725" s="139"/>
    </row>
    <row r="1726">
      <c r="A1726" s="129"/>
      <c r="B1726" s="119"/>
      <c r="C1726" s="128"/>
      <c r="D1726" s="142"/>
      <c r="E1726" s="122"/>
      <c r="F1726" s="136"/>
      <c r="G1726" s="152"/>
      <c r="H1726" s="155"/>
      <c r="I1726" s="155"/>
      <c r="J1726" s="155"/>
      <c r="K1726" s="155"/>
      <c r="L1726" s="155"/>
      <c r="M1726" s="126"/>
      <c r="N1726" s="127"/>
      <c r="O1726" s="127"/>
      <c r="P1726" s="127"/>
      <c r="Q1726" s="126"/>
      <c r="R1726" s="128"/>
      <c r="S1726" s="128"/>
      <c r="T1726" s="128"/>
      <c r="U1726" s="128"/>
      <c r="V1726" s="129"/>
      <c r="W1726" s="129"/>
      <c r="X1726" s="129"/>
      <c r="Y1726" s="129"/>
      <c r="Z1726" s="145" t="b">
        <v>0</v>
      </c>
      <c r="AA1726" s="145"/>
      <c r="AB1726" s="129"/>
      <c r="AC1726" s="129"/>
      <c r="AD1726" s="129"/>
      <c r="AE1726" s="129"/>
      <c r="AF1726" s="132"/>
      <c r="AG1726" s="128" t="b">
        <v>0</v>
      </c>
      <c r="AH1726" s="128"/>
      <c r="AI1726" s="128"/>
      <c r="AJ1726" s="128"/>
      <c r="AK1726" s="128"/>
      <c r="AL1726" s="129"/>
      <c r="AM1726" s="129"/>
      <c r="AN1726" s="139"/>
    </row>
    <row r="1727">
      <c r="A1727" s="129"/>
      <c r="B1727" s="119"/>
      <c r="C1727" s="128"/>
      <c r="D1727" s="142"/>
      <c r="E1727" s="122"/>
      <c r="F1727" s="136"/>
      <c r="G1727" s="152"/>
      <c r="H1727" s="155"/>
      <c r="I1727" s="155"/>
      <c r="J1727" s="155"/>
      <c r="K1727" s="155"/>
      <c r="L1727" s="155"/>
      <c r="M1727" s="126"/>
      <c r="N1727" s="127"/>
      <c r="O1727" s="127"/>
      <c r="P1727" s="127"/>
      <c r="Q1727" s="126"/>
      <c r="R1727" s="128"/>
      <c r="S1727" s="128"/>
      <c r="T1727" s="128"/>
      <c r="U1727" s="128"/>
      <c r="V1727" s="129"/>
      <c r="W1727" s="129"/>
      <c r="X1727" s="129"/>
      <c r="Y1727" s="129"/>
      <c r="Z1727" s="145" t="b">
        <v>0</v>
      </c>
      <c r="AA1727" s="145"/>
      <c r="AB1727" s="129"/>
      <c r="AC1727" s="129"/>
      <c r="AD1727" s="129"/>
      <c r="AE1727" s="129"/>
      <c r="AF1727" s="132"/>
      <c r="AG1727" s="128" t="b">
        <v>0</v>
      </c>
      <c r="AH1727" s="128"/>
      <c r="AI1727" s="128"/>
      <c r="AJ1727" s="128"/>
      <c r="AK1727" s="128"/>
      <c r="AL1727" s="129"/>
      <c r="AM1727" s="129"/>
      <c r="AN1727" s="139"/>
    </row>
    <row r="1728">
      <c r="A1728" s="129"/>
      <c r="B1728" s="119"/>
      <c r="C1728" s="128"/>
      <c r="D1728" s="142"/>
      <c r="E1728" s="122"/>
      <c r="F1728" s="136"/>
      <c r="G1728" s="152"/>
      <c r="H1728" s="155"/>
      <c r="I1728" s="155"/>
      <c r="J1728" s="155"/>
      <c r="K1728" s="155"/>
      <c r="L1728" s="155"/>
      <c r="M1728" s="126"/>
      <c r="N1728" s="127"/>
      <c r="O1728" s="127"/>
      <c r="P1728" s="127"/>
      <c r="Q1728" s="126"/>
      <c r="R1728" s="128"/>
      <c r="S1728" s="128"/>
      <c r="T1728" s="128"/>
      <c r="U1728" s="128"/>
      <c r="V1728" s="129"/>
      <c r="W1728" s="129"/>
      <c r="X1728" s="129"/>
      <c r="Y1728" s="129"/>
      <c r="Z1728" s="145" t="b">
        <v>0</v>
      </c>
      <c r="AA1728" s="145"/>
      <c r="AB1728" s="129"/>
      <c r="AC1728" s="129"/>
      <c r="AD1728" s="129"/>
      <c r="AE1728" s="129"/>
      <c r="AF1728" s="132"/>
      <c r="AG1728" s="128" t="b">
        <v>0</v>
      </c>
      <c r="AH1728" s="128"/>
      <c r="AI1728" s="128"/>
      <c r="AJ1728" s="128"/>
      <c r="AK1728" s="128"/>
      <c r="AL1728" s="129"/>
      <c r="AM1728" s="129"/>
      <c r="AN1728" s="139"/>
    </row>
    <row r="1729">
      <c r="A1729" s="129"/>
      <c r="B1729" s="119"/>
      <c r="C1729" s="128"/>
      <c r="D1729" s="142"/>
      <c r="E1729" s="122"/>
      <c r="F1729" s="136"/>
      <c r="G1729" s="152"/>
      <c r="H1729" s="155"/>
      <c r="I1729" s="155"/>
      <c r="J1729" s="155"/>
      <c r="K1729" s="155"/>
      <c r="L1729" s="155"/>
      <c r="M1729" s="126"/>
      <c r="N1729" s="127"/>
      <c r="O1729" s="127"/>
      <c r="P1729" s="127"/>
      <c r="Q1729" s="126"/>
      <c r="R1729" s="128"/>
      <c r="S1729" s="128"/>
      <c r="T1729" s="128"/>
      <c r="U1729" s="128"/>
      <c r="V1729" s="129"/>
      <c r="W1729" s="129"/>
      <c r="X1729" s="129"/>
      <c r="Y1729" s="129"/>
      <c r="Z1729" s="145" t="b">
        <v>0</v>
      </c>
      <c r="AA1729" s="145"/>
      <c r="AB1729" s="129"/>
      <c r="AC1729" s="129"/>
      <c r="AD1729" s="129"/>
      <c r="AE1729" s="129"/>
      <c r="AF1729" s="132"/>
      <c r="AG1729" s="128" t="b">
        <v>0</v>
      </c>
      <c r="AH1729" s="128"/>
      <c r="AI1729" s="128"/>
      <c r="AJ1729" s="128"/>
      <c r="AK1729" s="128"/>
      <c r="AL1729" s="129"/>
      <c r="AM1729" s="129"/>
      <c r="AN1729" s="139"/>
    </row>
    <row r="1730">
      <c r="A1730" s="129"/>
      <c r="B1730" s="119"/>
      <c r="C1730" s="128"/>
      <c r="D1730" s="142"/>
      <c r="E1730" s="122"/>
      <c r="F1730" s="136"/>
      <c r="G1730" s="152"/>
      <c r="H1730" s="155"/>
      <c r="I1730" s="155"/>
      <c r="J1730" s="155"/>
      <c r="K1730" s="155"/>
      <c r="L1730" s="155"/>
      <c r="M1730" s="126"/>
      <c r="N1730" s="127"/>
      <c r="O1730" s="127"/>
      <c r="P1730" s="127"/>
      <c r="Q1730" s="126"/>
      <c r="R1730" s="128"/>
      <c r="S1730" s="128"/>
      <c r="T1730" s="128"/>
      <c r="U1730" s="128"/>
      <c r="V1730" s="129"/>
      <c r="W1730" s="129"/>
      <c r="X1730" s="129"/>
      <c r="Y1730" s="129"/>
      <c r="Z1730" s="145" t="b">
        <v>0</v>
      </c>
      <c r="AA1730" s="145"/>
      <c r="AB1730" s="129"/>
      <c r="AC1730" s="129"/>
      <c r="AD1730" s="129"/>
      <c r="AE1730" s="129"/>
      <c r="AF1730" s="132"/>
      <c r="AG1730" s="128" t="b">
        <v>0</v>
      </c>
      <c r="AH1730" s="128"/>
      <c r="AI1730" s="128"/>
      <c r="AJ1730" s="128"/>
      <c r="AK1730" s="128"/>
      <c r="AL1730" s="129"/>
      <c r="AM1730" s="129"/>
      <c r="AN1730" s="139"/>
    </row>
    <row r="1731">
      <c r="A1731" s="129"/>
      <c r="B1731" s="119"/>
      <c r="C1731" s="128"/>
      <c r="D1731" s="142"/>
      <c r="E1731" s="122"/>
      <c r="F1731" s="136"/>
      <c r="G1731" s="152"/>
      <c r="H1731" s="155"/>
      <c r="I1731" s="155"/>
      <c r="J1731" s="155"/>
      <c r="K1731" s="155"/>
      <c r="L1731" s="155"/>
      <c r="M1731" s="126"/>
      <c r="N1731" s="127"/>
      <c r="O1731" s="127"/>
      <c r="P1731" s="127"/>
      <c r="Q1731" s="126"/>
      <c r="R1731" s="128"/>
      <c r="S1731" s="128"/>
      <c r="T1731" s="128"/>
      <c r="U1731" s="128"/>
      <c r="V1731" s="129"/>
      <c r="W1731" s="129"/>
      <c r="X1731" s="129"/>
      <c r="Y1731" s="129"/>
      <c r="Z1731" s="145" t="b">
        <v>0</v>
      </c>
      <c r="AA1731" s="145"/>
      <c r="AB1731" s="129"/>
      <c r="AC1731" s="129"/>
      <c r="AD1731" s="129"/>
      <c r="AE1731" s="129"/>
      <c r="AF1731" s="132"/>
      <c r="AG1731" s="128" t="b">
        <v>0</v>
      </c>
      <c r="AH1731" s="128"/>
      <c r="AI1731" s="128"/>
      <c r="AJ1731" s="128"/>
      <c r="AK1731" s="128"/>
      <c r="AL1731" s="129"/>
      <c r="AM1731" s="129"/>
      <c r="AN1731" s="139"/>
    </row>
    <row r="1732">
      <c r="A1732" s="129"/>
      <c r="B1732" s="119"/>
      <c r="C1732" s="128"/>
      <c r="D1732" s="142"/>
      <c r="E1732" s="122"/>
      <c r="F1732" s="136"/>
      <c r="G1732" s="152"/>
      <c r="H1732" s="155"/>
      <c r="I1732" s="155"/>
      <c r="J1732" s="155"/>
      <c r="K1732" s="155"/>
      <c r="L1732" s="155"/>
      <c r="M1732" s="126"/>
      <c r="N1732" s="127"/>
      <c r="O1732" s="127"/>
      <c r="P1732" s="127"/>
      <c r="Q1732" s="126"/>
      <c r="R1732" s="128"/>
      <c r="S1732" s="128"/>
      <c r="T1732" s="128"/>
      <c r="U1732" s="128"/>
      <c r="V1732" s="129"/>
      <c r="W1732" s="129"/>
      <c r="X1732" s="129"/>
      <c r="Y1732" s="129"/>
      <c r="Z1732" s="145" t="b">
        <v>0</v>
      </c>
      <c r="AA1732" s="145"/>
      <c r="AB1732" s="129"/>
      <c r="AC1732" s="129"/>
      <c r="AD1732" s="129"/>
      <c r="AE1732" s="129"/>
      <c r="AF1732" s="132"/>
      <c r="AG1732" s="128" t="b">
        <v>0</v>
      </c>
      <c r="AH1732" s="128"/>
      <c r="AI1732" s="128"/>
      <c r="AJ1732" s="128"/>
      <c r="AK1732" s="128"/>
      <c r="AL1732" s="129"/>
      <c r="AM1732" s="129"/>
      <c r="AN1732" s="139"/>
    </row>
    <row r="1733">
      <c r="A1733" s="129"/>
      <c r="B1733" s="119"/>
      <c r="C1733" s="128"/>
      <c r="D1733" s="142"/>
      <c r="E1733" s="122"/>
      <c r="F1733" s="136"/>
      <c r="G1733" s="152"/>
      <c r="H1733" s="155"/>
      <c r="I1733" s="155"/>
      <c r="J1733" s="155"/>
      <c r="K1733" s="155"/>
      <c r="L1733" s="155"/>
      <c r="M1733" s="126"/>
      <c r="N1733" s="127"/>
      <c r="O1733" s="127"/>
      <c r="P1733" s="127"/>
      <c r="Q1733" s="126"/>
      <c r="R1733" s="128"/>
      <c r="S1733" s="128"/>
      <c r="T1733" s="128"/>
      <c r="U1733" s="128"/>
      <c r="V1733" s="129"/>
      <c r="W1733" s="129"/>
      <c r="X1733" s="129"/>
      <c r="Y1733" s="129"/>
      <c r="Z1733" s="145" t="b">
        <v>0</v>
      </c>
      <c r="AA1733" s="145"/>
      <c r="AB1733" s="129"/>
      <c r="AC1733" s="129"/>
      <c r="AD1733" s="129"/>
      <c r="AE1733" s="129"/>
      <c r="AF1733" s="132"/>
      <c r="AG1733" s="128" t="b">
        <v>0</v>
      </c>
      <c r="AH1733" s="128"/>
      <c r="AI1733" s="128"/>
      <c r="AJ1733" s="128"/>
      <c r="AK1733" s="128"/>
      <c r="AL1733" s="129"/>
      <c r="AM1733" s="129"/>
      <c r="AN1733" s="139"/>
    </row>
    <row r="1734">
      <c r="A1734" s="129"/>
      <c r="B1734" s="119"/>
      <c r="C1734" s="128"/>
      <c r="D1734" s="142"/>
      <c r="E1734" s="122"/>
      <c r="F1734" s="136"/>
      <c r="G1734" s="152"/>
      <c r="H1734" s="155"/>
      <c r="I1734" s="155"/>
      <c r="J1734" s="155"/>
      <c r="K1734" s="155"/>
      <c r="L1734" s="155"/>
      <c r="M1734" s="126"/>
      <c r="N1734" s="127"/>
      <c r="O1734" s="127"/>
      <c r="P1734" s="127"/>
      <c r="Q1734" s="126"/>
      <c r="R1734" s="128"/>
      <c r="S1734" s="128"/>
      <c r="T1734" s="128"/>
      <c r="U1734" s="128"/>
      <c r="V1734" s="129"/>
      <c r="W1734" s="129"/>
      <c r="X1734" s="129"/>
      <c r="Y1734" s="129"/>
      <c r="Z1734" s="145" t="b">
        <v>0</v>
      </c>
      <c r="AA1734" s="145"/>
      <c r="AB1734" s="129"/>
      <c r="AC1734" s="129"/>
      <c r="AD1734" s="129"/>
      <c r="AE1734" s="129"/>
      <c r="AF1734" s="132"/>
      <c r="AG1734" s="128" t="b">
        <v>0</v>
      </c>
      <c r="AH1734" s="128"/>
      <c r="AI1734" s="128"/>
      <c r="AJ1734" s="128"/>
      <c r="AK1734" s="128"/>
      <c r="AL1734" s="129"/>
      <c r="AM1734" s="129"/>
      <c r="AN1734" s="139"/>
    </row>
    <row r="1735">
      <c r="A1735" s="129"/>
      <c r="B1735" s="119"/>
      <c r="C1735" s="128"/>
      <c r="D1735" s="142"/>
      <c r="E1735" s="122"/>
      <c r="F1735" s="136"/>
      <c r="G1735" s="152"/>
      <c r="H1735" s="155"/>
      <c r="I1735" s="155"/>
      <c r="J1735" s="155"/>
      <c r="K1735" s="155"/>
      <c r="L1735" s="155"/>
      <c r="M1735" s="126"/>
      <c r="N1735" s="127"/>
      <c r="O1735" s="127"/>
      <c r="P1735" s="127"/>
      <c r="Q1735" s="126"/>
      <c r="R1735" s="128"/>
      <c r="S1735" s="128"/>
      <c r="T1735" s="128"/>
      <c r="U1735" s="128"/>
      <c r="V1735" s="129"/>
      <c r="W1735" s="129"/>
      <c r="X1735" s="129"/>
      <c r="Y1735" s="129"/>
      <c r="Z1735" s="145" t="b">
        <v>0</v>
      </c>
      <c r="AA1735" s="145"/>
      <c r="AB1735" s="129"/>
      <c r="AC1735" s="129"/>
      <c r="AD1735" s="129"/>
      <c r="AE1735" s="129"/>
      <c r="AF1735" s="132"/>
      <c r="AG1735" s="128" t="b">
        <v>0</v>
      </c>
      <c r="AH1735" s="128"/>
      <c r="AI1735" s="128"/>
      <c r="AJ1735" s="128"/>
      <c r="AK1735" s="128"/>
      <c r="AL1735" s="129"/>
      <c r="AM1735" s="129"/>
      <c r="AN1735" s="139"/>
    </row>
    <row r="1736">
      <c r="A1736" s="129"/>
      <c r="B1736" s="119"/>
      <c r="C1736" s="128"/>
      <c r="D1736" s="142"/>
      <c r="E1736" s="122"/>
      <c r="F1736" s="136"/>
      <c r="G1736" s="152"/>
      <c r="H1736" s="155"/>
      <c r="I1736" s="155"/>
      <c r="J1736" s="155"/>
      <c r="K1736" s="155"/>
      <c r="L1736" s="155"/>
      <c r="M1736" s="126"/>
      <c r="N1736" s="127"/>
      <c r="O1736" s="127"/>
      <c r="P1736" s="127"/>
      <c r="Q1736" s="126"/>
      <c r="R1736" s="128"/>
      <c r="S1736" s="128"/>
      <c r="T1736" s="128"/>
      <c r="U1736" s="128"/>
      <c r="V1736" s="129"/>
      <c r="W1736" s="129"/>
      <c r="X1736" s="129"/>
      <c r="Y1736" s="129"/>
      <c r="Z1736" s="145" t="b">
        <v>0</v>
      </c>
      <c r="AA1736" s="145"/>
      <c r="AB1736" s="129"/>
      <c r="AC1736" s="129"/>
      <c r="AD1736" s="129"/>
      <c r="AE1736" s="129"/>
      <c r="AF1736" s="132"/>
      <c r="AG1736" s="128" t="b">
        <v>0</v>
      </c>
      <c r="AH1736" s="128"/>
      <c r="AI1736" s="128"/>
      <c r="AJ1736" s="128"/>
      <c r="AK1736" s="128"/>
      <c r="AL1736" s="129"/>
      <c r="AM1736" s="129"/>
      <c r="AN1736" s="139"/>
    </row>
    <row r="1737">
      <c r="A1737" s="129"/>
      <c r="B1737" s="119"/>
      <c r="C1737" s="128"/>
      <c r="D1737" s="142"/>
      <c r="E1737" s="122"/>
      <c r="F1737" s="136"/>
      <c r="G1737" s="152"/>
      <c r="H1737" s="155"/>
      <c r="I1737" s="155"/>
      <c r="J1737" s="155"/>
      <c r="K1737" s="155"/>
      <c r="L1737" s="155"/>
      <c r="M1737" s="126"/>
      <c r="N1737" s="127"/>
      <c r="O1737" s="127"/>
      <c r="P1737" s="127"/>
      <c r="Q1737" s="126"/>
      <c r="R1737" s="128"/>
      <c r="S1737" s="128"/>
      <c r="T1737" s="128"/>
      <c r="U1737" s="128"/>
      <c r="V1737" s="129"/>
      <c r="W1737" s="129"/>
      <c r="X1737" s="129"/>
      <c r="Y1737" s="129"/>
      <c r="Z1737" s="145" t="b">
        <v>0</v>
      </c>
      <c r="AA1737" s="145"/>
      <c r="AB1737" s="129"/>
      <c r="AC1737" s="129"/>
      <c r="AD1737" s="129"/>
      <c r="AE1737" s="129"/>
      <c r="AF1737" s="132"/>
      <c r="AG1737" s="128" t="b">
        <v>0</v>
      </c>
      <c r="AH1737" s="128"/>
      <c r="AI1737" s="128"/>
      <c r="AJ1737" s="128"/>
      <c r="AK1737" s="128"/>
      <c r="AL1737" s="129"/>
      <c r="AM1737" s="129"/>
      <c r="AN1737" s="139"/>
    </row>
    <row r="1738">
      <c r="A1738" s="129"/>
      <c r="B1738" s="119"/>
      <c r="C1738" s="128"/>
      <c r="D1738" s="142"/>
      <c r="E1738" s="122"/>
      <c r="F1738" s="136"/>
      <c r="G1738" s="152"/>
      <c r="H1738" s="155"/>
      <c r="I1738" s="155"/>
      <c r="J1738" s="155"/>
      <c r="K1738" s="155"/>
      <c r="L1738" s="155"/>
      <c r="M1738" s="126"/>
      <c r="N1738" s="127"/>
      <c r="O1738" s="127"/>
      <c r="P1738" s="127"/>
      <c r="Q1738" s="126"/>
      <c r="R1738" s="128"/>
      <c r="S1738" s="128"/>
      <c r="T1738" s="128"/>
      <c r="U1738" s="128"/>
      <c r="V1738" s="129"/>
      <c r="W1738" s="129"/>
      <c r="X1738" s="129"/>
      <c r="Y1738" s="129"/>
      <c r="Z1738" s="145" t="b">
        <v>0</v>
      </c>
      <c r="AA1738" s="145"/>
      <c r="AB1738" s="129"/>
      <c r="AC1738" s="129"/>
      <c r="AD1738" s="129"/>
      <c r="AE1738" s="129"/>
      <c r="AF1738" s="132"/>
      <c r="AG1738" s="128" t="b">
        <v>0</v>
      </c>
      <c r="AH1738" s="128"/>
      <c r="AI1738" s="128"/>
      <c r="AJ1738" s="128"/>
      <c r="AK1738" s="128"/>
      <c r="AL1738" s="129"/>
      <c r="AM1738" s="129"/>
      <c r="AN1738" s="139"/>
    </row>
    <row r="1739">
      <c r="A1739" s="129"/>
      <c r="B1739" s="119"/>
      <c r="C1739" s="128"/>
      <c r="D1739" s="142"/>
      <c r="E1739" s="122"/>
      <c r="F1739" s="136"/>
      <c r="G1739" s="152"/>
      <c r="H1739" s="155"/>
      <c r="I1739" s="155"/>
      <c r="J1739" s="155"/>
      <c r="K1739" s="155"/>
      <c r="L1739" s="155"/>
      <c r="M1739" s="126"/>
      <c r="N1739" s="127"/>
      <c r="O1739" s="127"/>
      <c r="P1739" s="127"/>
      <c r="Q1739" s="126"/>
      <c r="R1739" s="128"/>
      <c r="S1739" s="128"/>
      <c r="T1739" s="128"/>
      <c r="U1739" s="128"/>
      <c r="V1739" s="129"/>
      <c r="W1739" s="129"/>
      <c r="X1739" s="129"/>
      <c r="Y1739" s="129"/>
      <c r="Z1739" s="145" t="b">
        <v>0</v>
      </c>
      <c r="AA1739" s="145"/>
      <c r="AB1739" s="129"/>
      <c r="AC1739" s="129"/>
      <c r="AD1739" s="129"/>
      <c r="AE1739" s="129"/>
      <c r="AF1739" s="132"/>
      <c r="AG1739" s="128" t="b">
        <v>0</v>
      </c>
      <c r="AH1739" s="128"/>
      <c r="AI1739" s="128"/>
      <c r="AJ1739" s="128"/>
      <c r="AK1739" s="128"/>
      <c r="AL1739" s="129"/>
      <c r="AM1739" s="129"/>
      <c r="AN1739" s="139"/>
    </row>
    <row r="1740">
      <c r="A1740" s="129"/>
      <c r="B1740" s="119"/>
      <c r="C1740" s="128"/>
      <c r="D1740" s="142"/>
      <c r="E1740" s="122"/>
      <c r="F1740" s="136"/>
      <c r="G1740" s="152"/>
      <c r="H1740" s="155"/>
      <c r="I1740" s="155"/>
      <c r="J1740" s="155"/>
      <c r="K1740" s="155"/>
      <c r="L1740" s="155"/>
      <c r="M1740" s="126"/>
      <c r="N1740" s="127"/>
      <c r="O1740" s="127"/>
      <c r="P1740" s="127"/>
      <c r="Q1740" s="126"/>
      <c r="R1740" s="128"/>
      <c r="S1740" s="128"/>
      <c r="T1740" s="128"/>
      <c r="U1740" s="128"/>
      <c r="V1740" s="129"/>
      <c r="W1740" s="129"/>
      <c r="X1740" s="129"/>
      <c r="Y1740" s="129"/>
      <c r="Z1740" s="145" t="b">
        <v>0</v>
      </c>
      <c r="AA1740" s="145"/>
      <c r="AB1740" s="129"/>
      <c r="AC1740" s="129"/>
      <c r="AD1740" s="129"/>
      <c r="AE1740" s="129"/>
      <c r="AF1740" s="132"/>
      <c r="AG1740" s="128" t="b">
        <v>0</v>
      </c>
      <c r="AH1740" s="128"/>
      <c r="AI1740" s="128"/>
      <c r="AJ1740" s="128"/>
      <c r="AK1740" s="128"/>
      <c r="AL1740" s="129"/>
      <c r="AM1740" s="129"/>
      <c r="AN1740" s="139"/>
    </row>
    <row r="1741">
      <c r="A1741" s="129"/>
      <c r="B1741" s="119"/>
      <c r="C1741" s="128"/>
      <c r="D1741" s="142"/>
      <c r="E1741" s="122"/>
      <c r="F1741" s="136"/>
      <c r="G1741" s="152"/>
      <c r="H1741" s="155"/>
      <c r="I1741" s="155"/>
      <c r="J1741" s="155"/>
      <c r="K1741" s="155"/>
      <c r="L1741" s="155"/>
      <c r="M1741" s="126"/>
      <c r="N1741" s="127"/>
      <c r="O1741" s="127"/>
      <c r="P1741" s="127"/>
      <c r="Q1741" s="126"/>
      <c r="R1741" s="128"/>
      <c r="S1741" s="128"/>
      <c r="T1741" s="128"/>
      <c r="U1741" s="128"/>
      <c r="V1741" s="129"/>
      <c r="W1741" s="129"/>
      <c r="X1741" s="129"/>
      <c r="Y1741" s="129"/>
      <c r="Z1741" s="145" t="b">
        <v>0</v>
      </c>
      <c r="AA1741" s="145"/>
      <c r="AB1741" s="129"/>
      <c r="AC1741" s="129"/>
      <c r="AD1741" s="129"/>
      <c r="AE1741" s="129"/>
      <c r="AF1741" s="132"/>
      <c r="AG1741" s="128" t="b">
        <v>0</v>
      </c>
      <c r="AH1741" s="128"/>
      <c r="AI1741" s="128"/>
      <c r="AJ1741" s="128"/>
      <c r="AK1741" s="128"/>
      <c r="AL1741" s="129"/>
      <c r="AM1741" s="129"/>
      <c r="AN1741" s="139"/>
    </row>
    <row r="1742">
      <c r="A1742" s="129"/>
      <c r="B1742" s="119"/>
      <c r="C1742" s="128"/>
      <c r="D1742" s="142"/>
      <c r="E1742" s="122"/>
      <c r="F1742" s="136"/>
      <c r="G1742" s="152"/>
      <c r="H1742" s="155"/>
      <c r="I1742" s="155"/>
      <c r="J1742" s="155"/>
      <c r="K1742" s="155"/>
      <c r="L1742" s="155"/>
      <c r="M1742" s="126"/>
      <c r="N1742" s="127"/>
      <c r="O1742" s="127"/>
      <c r="P1742" s="127"/>
      <c r="Q1742" s="126"/>
      <c r="R1742" s="128"/>
      <c r="S1742" s="128"/>
      <c r="T1742" s="128"/>
      <c r="U1742" s="128"/>
      <c r="V1742" s="129"/>
      <c r="W1742" s="129"/>
      <c r="X1742" s="129"/>
      <c r="Y1742" s="129"/>
      <c r="Z1742" s="145" t="b">
        <v>0</v>
      </c>
      <c r="AA1742" s="145"/>
      <c r="AB1742" s="129"/>
      <c r="AC1742" s="129"/>
      <c r="AD1742" s="129"/>
      <c r="AE1742" s="129"/>
      <c r="AF1742" s="132"/>
      <c r="AG1742" s="128" t="b">
        <v>0</v>
      </c>
      <c r="AH1742" s="128"/>
      <c r="AI1742" s="128"/>
      <c r="AJ1742" s="128"/>
      <c r="AK1742" s="128"/>
      <c r="AL1742" s="129"/>
      <c r="AM1742" s="129"/>
      <c r="AN1742" s="139"/>
    </row>
    <row r="1743">
      <c r="A1743" s="129"/>
      <c r="B1743" s="119"/>
      <c r="C1743" s="128"/>
      <c r="D1743" s="142"/>
      <c r="E1743" s="122"/>
      <c r="F1743" s="136"/>
      <c r="G1743" s="152"/>
      <c r="H1743" s="155"/>
      <c r="I1743" s="155"/>
      <c r="J1743" s="155"/>
      <c r="K1743" s="155"/>
      <c r="L1743" s="155"/>
      <c r="M1743" s="126"/>
      <c r="N1743" s="127"/>
      <c r="O1743" s="127"/>
      <c r="P1743" s="127"/>
      <c r="Q1743" s="126"/>
      <c r="R1743" s="128"/>
      <c r="S1743" s="128"/>
      <c r="T1743" s="128"/>
      <c r="U1743" s="128"/>
      <c r="V1743" s="129"/>
      <c r="W1743" s="129"/>
      <c r="X1743" s="129"/>
      <c r="Y1743" s="129"/>
      <c r="Z1743" s="145" t="b">
        <v>0</v>
      </c>
      <c r="AA1743" s="145"/>
      <c r="AB1743" s="129"/>
      <c r="AC1743" s="129"/>
      <c r="AD1743" s="129"/>
      <c r="AE1743" s="129"/>
      <c r="AF1743" s="132"/>
      <c r="AG1743" s="128" t="b">
        <v>0</v>
      </c>
      <c r="AH1743" s="128"/>
      <c r="AI1743" s="128"/>
      <c r="AJ1743" s="128"/>
      <c r="AK1743" s="128"/>
      <c r="AL1743" s="129"/>
      <c r="AM1743" s="129"/>
      <c r="AN1743" s="139"/>
    </row>
    <row r="1744">
      <c r="A1744" s="129"/>
      <c r="B1744" s="119"/>
      <c r="C1744" s="128"/>
      <c r="D1744" s="142"/>
      <c r="E1744" s="122"/>
      <c r="F1744" s="136"/>
      <c r="G1744" s="152"/>
      <c r="H1744" s="155"/>
      <c r="I1744" s="155"/>
      <c r="J1744" s="155"/>
      <c r="K1744" s="155"/>
      <c r="L1744" s="155"/>
      <c r="M1744" s="126"/>
      <c r="N1744" s="127"/>
      <c r="O1744" s="127"/>
      <c r="P1744" s="127"/>
      <c r="Q1744" s="126"/>
      <c r="R1744" s="128"/>
      <c r="S1744" s="128"/>
      <c r="T1744" s="128"/>
      <c r="U1744" s="128"/>
      <c r="V1744" s="129"/>
      <c r="W1744" s="129"/>
      <c r="X1744" s="129"/>
      <c r="Y1744" s="129"/>
      <c r="Z1744" s="145" t="b">
        <v>0</v>
      </c>
      <c r="AA1744" s="145"/>
      <c r="AB1744" s="129"/>
      <c r="AC1744" s="129"/>
      <c r="AD1744" s="129"/>
      <c r="AE1744" s="129"/>
      <c r="AF1744" s="132"/>
      <c r="AG1744" s="128" t="b">
        <v>0</v>
      </c>
      <c r="AH1744" s="128"/>
      <c r="AI1744" s="128"/>
      <c r="AJ1744" s="128"/>
      <c r="AK1744" s="128"/>
      <c r="AL1744" s="129"/>
      <c r="AM1744" s="129"/>
      <c r="AN1744" s="139"/>
    </row>
    <row r="1745">
      <c r="A1745" s="129"/>
      <c r="B1745" s="119"/>
      <c r="C1745" s="128"/>
      <c r="D1745" s="142"/>
      <c r="E1745" s="122"/>
      <c r="F1745" s="136"/>
      <c r="G1745" s="152"/>
      <c r="H1745" s="155"/>
      <c r="I1745" s="155"/>
      <c r="J1745" s="155"/>
      <c r="K1745" s="155"/>
      <c r="L1745" s="155"/>
      <c r="M1745" s="126"/>
      <c r="N1745" s="127"/>
      <c r="O1745" s="127"/>
      <c r="P1745" s="127"/>
      <c r="Q1745" s="126"/>
      <c r="R1745" s="128"/>
      <c r="S1745" s="128"/>
      <c r="T1745" s="128"/>
      <c r="U1745" s="128"/>
      <c r="V1745" s="129"/>
      <c r="W1745" s="129"/>
      <c r="X1745" s="129"/>
      <c r="Y1745" s="129"/>
      <c r="Z1745" s="145" t="b">
        <v>0</v>
      </c>
      <c r="AA1745" s="145"/>
      <c r="AB1745" s="129"/>
      <c r="AC1745" s="129"/>
      <c r="AD1745" s="129"/>
      <c r="AE1745" s="129"/>
      <c r="AF1745" s="132"/>
      <c r="AG1745" s="128" t="b">
        <v>0</v>
      </c>
      <c r="AH1745" s="128"/>
      <c r="AI1745" s="128"/>
      <c r="AJ1745" s="128"/>
      <c r="AK1745" s="128"/>
      <c r="AL1745" s="129"/>
      <c r="AM1745" s="129"/>
      <c r="AN1745" s="139"/>
    </row>
    <row r="1746">
      <c r="A1746" s="129"/>
      <c r="B1746" s="119"/>
      <c r="C1746" s="128"/>
      <c r="D1746" s="142"/>
      <c r="E1746" s="122"/>
      <c r="F1746" s="136"/>
      <c r="G1746" s="152"/>
      <c r="H1746" s="155"/>
      <c r="I1746" s="155"/>
      <c r="J1746" s="155"/>
      <c r="K1746" s="155"/>
      <c r="L1746" s="155"/>
      <c r="M1746" s="126"/>
      <c r="N1746" s="127"/>
      <c r="O1746" s="127"/>
      <c r="P1746" s="127"/>
      <c r="Q1746" s="126"/>
      <c r="R1746" s="128"/>
      <c r="S1746" s="128"/>
      <c r="T1746" s="128"/>
      <c r="U1746" s="128"/>
      <c r="V1746" s="129"/>
      <c r="W1746" s="129"/>
      <c r="X1746" s="129"/>
      <c r="Y1746" s="129"/>
      <c r="Z1746" s="145" t="b">
        <v>0</v>
      </c>
      <c r="AA1746" s="145"/>
      <c r="AB1746" s="129"/>
      <c r="AC1746" s="129"/>
      <c r="AD1746" s="129"/>
      <c r="AE1746" s="129"/>
      <c r="AF1746" s="132"/>
      <c r="AG1746" s="128" t="b">
        <v>0</v>
      </c>
      <c r="AH1746" s="128"/>
      <c r="AI1746" s="128"/>
      <c r="AJ1746" s="128"/>
      <c r="AK1746" s="128"/>
      <c r="AL1746" s="129"/>
      <c r="AM1746" s="129"/>
      <c r="AN1746" s="139"/>
    </row>
    <row r="1747">
      <c r="A1747" s="129"/>
      <c r="B1747" s="119"/>
      <c r="C1747" s="128"/>
      <c r="D1747" s="142"/>
      <c r="E1747" s="122"/>
      <c r="F1747" s="136"/>
      <c r="G1747" s="152"/>
      <c r="H1747" s="155"/>
      <c r="I1747" s="155"/>
      <c r="J1747" s="155"/>
      <c r="K1747" s="155"/>
      <c r="L1747" s="155"/>
      <c r="M1747" s="126"/>
      <c r="N1747" s="127"/>
      <c r="O1747" s="127"/>
      <c r="P1747" s="127"/>
      <c r="Q1747" s="126"/>
      <c r="R1747" s="128"/>
      <c r="S1747" s="128"/>
      <c r="T1747" s="128"/>
      <c r="U1747" s="128"/>
      <c r="V1747" s="129"/>
      <c r="W1747" s="129"/>
      <c r="X1747" s="129"/>
      <c r="Y1747" s="129"/>
      <c r="Z1747" s="145" t="b">
        <v>0</v>
      </c>
      <c r="AA1747" s="145"/>
      <c r="AB1747" s="129"/>
      <c r="AC1747" s="129"/>
      <c r="AD1747" s="129"/>
      <c r="AE1747" s="129"/>
      <c r="AF1747" s="132"/>
      <c r="AG1747" s="128" t="b">
        <v>0</v>
      </c>
      <c r="AH1747" s="128"/>
      <c r="AI1747" s="128"/>
      <c r="AJ1747" s="128"/>
      <c r="AK1747" s="128"/>
      <c r="AL1747" s="129"/>
      <c r="AM1747" s="129"/>
      <c r="AN1747" s="139"/>
    </row>
    <row r="1748">
      <c r="A1748" s="129"/>
      <c r="B1748" s="119"/>
      <c r="C1748" s="128"/>
      <c r="D1748" s="142"/>
      <c r="E1748" s="122"/>
      <c r="F1748" s="136"/>
      <c r="G1748" s="152"/>
      <c r="H1748" s="155"/>
      <c r="I1748" s="155"/>
      <c r="J1748" s="155"/>
      <c r="K1748" s="155"/>
      <c r="L1748" s="155"/>
      <c r="M1748" s="126"/>
      <c r="N1748" s="127"/>
      <c r="O1748" s="127"/>
      <c r="P1748" s="127"/>
      <c r="Q1748" s="126"/>
      <c r="R1748" s="128"/>
      <c r="S1748" s="128"/>
      <c r="T1748" s="128"/>
      <c r="U1748" s="128"/>
      <c r="V1748" s="129"/>
      <c r="W1748" s="129"/>
      <c r="X1748" s="129"/>
      <c r="Y1748" s="129"/>
      <c r="Z1748" s="145" t="b">
        <v>0</v>
      </c>
      <c r="AA1748" s="145"/>
      <c r="AB1748" s="129"/>
      <c r="AC1748" s="129"/>
      <c r="AD1748" s="129"/>
      <c r="AE1748" s="129"/>
      <c r="AF1748" s="132"/>
      <c r="AG1748" s="128" t="b">
        <v>0</v>
      </c>
      <c r="AH1748" s="128"/>
      <c r="AI1748" s="128"/>
      <c r="AJ1748" s="128"/>
      <c r="AK1748" s="128"/>
      <c r="AL1748" s="129"/>
      <c r="AM1748" s="129"/>
      <c r="AN1748" s="139"/>
    </row>
    <row r="1749">
      <c r="A1749" s="129"/>
      <c r="B1749" s="119"/>
      <c r="C1749" s="128"/>
      <c r="D1749" s="142"/>
      <c r="E1749" s="122"/>
      <c r="F1749" s="136"/>
      <c r="G1749" s="152"/>
      <c r="H1749" s="155"/>
      <c r="I1749" s="155"/>
      <c r="J1749" s="155"/>
      <c r="K1749" s="155"/>
      <c r="L1749" s="155"/>
      <c r="M1749" s="126"/>
      <c r="N1749" s="127"/>
      <c r="O1749" s="127"/>
      <c r="P1749" s="127"/>
      <c r="Q1749" s="126"/>
      <c r="R1749" s="128"/>
      <c r="S1749" s="128"/>
      <c r="T1749" s="128"/>
      <c r="U1749" s="128"/>
      <c r="V1749" s="129"/>
      <c r="W1749" s="129"/>
      <c r="X1749" s="129"/>
      <c r="Y1749" s="129"/>
      <c r="Z1749" s="145" t="b">
        <v>0</v>
      </c>
      <c r="AA1749" s="145"/>
      <c r="AB1749" s="129"/>
      <c r="AC1749" s="129"/>
      <c r="AD1749" s="129"/>
      <c r="AE1749" s="129"/>
      <c r="AF1749" s="132"/>
      <c r="AG1749" s="128" t="b">
        <v>0</v>
      </c>
      <c r="AH1749" s="128"/>
      <c r="AI1749" s="128"/>
      <c r="AJ1749" s="128"/>
      <c r="AK1749" s="128"/>
      <c r="AL1749" s="129"/>
      <c r="AM1749" s="129"/>
      <c r="AN1749" s="139"/>
    </row>
    <row r="1750">
      <c r="A1750" s="129"/>
      <c r="B1750" s="119"/>
      <c r="C1750" s="128"/>
      <c r="D1750" s="142"/>
      <c r="E1750" s="122"/>
      <c r="F1750" s="136"/>
      <c r="G1750" s="152"/>
      <c r="H1750" s="155"/>
      <c r="I1750" s="155"/>
      <c r="J1750" s="155"/>
      <c r="K1750" s="155"/>
      <c r="L1750" s="155"/>
      <c r="M1750" s="126"/>
      <c r="N1750" s="127"/>
      <c r="O1750" s="127"/>
      <c r="P1750" s="127"/>
      <c r="Q1750" s="126"/>
      <c r="R1750" s="128"/>
      <c r="S1750" s="128"/>
      <c r="T1750" s="128"/>
      <c r="U1750" s="128"/>
      <c r="V1750" s="129"/>
      <c r="W1750" s="129"/>
      <c r="X1750" s="129"/>
      <c r="Y1750" s="129"/>
      <c r="Z1750" s="145" t="b">
        <v>0</v>
      </c>
      <c r="AA1750" s="145"/>
      <c r="AB1750" s="129"/>
      <c r="AC1750" s="129"/>
      <c r="AD1750" s="129"/>
      <c r="AE1750" s="129"/>
      <c r="AF1750" s="132"/>
      <c r="AG1750" s="128" t="b">
        <v>0</v>
      </c>
      <c r="AH1750" s="128"/>
      <c r="AI1750" s="128"/>
      <c r="AJ1750" s="128"/>
      <c r="AK1750" s="128"/>
      <c r="AL1750" s="129"/>
      <c r="AM1750" s="129"/>
      <c r="AN1750" s="139"/>
    </row>
    <row r="1751">
      <c r="A1751" s="129"/>
      <c r="B1751" s="119"/>
      <c r="C1751" s="128"/>
      <c r="D1751" s="142"/>
      <c r="E1751" s="122"/>
      <c r="F1751" s="136"/>
      <c r="G1751" s="152"/>
      <c r="H1751" s="155"/>
      <c r="I1751" s="155"/>
      <c r="J1751" s="155"/>
      <c r="K1751" s="155"/>
      <c r="L1751" s="155"/>
      <c r="M1751" s="126"/>
      <c r="N1751" s="127"/>
      <c r="O1751" s="127"/>
      <c r="P1751" s="127"/>
      <c r="Q1751" s="126"/>
      <c r="R1751" s="128"/>
      <c r="S1751" s="128"/>
      <c r="T1751" s="128"/>
      <c r="U1751" s="128"/>
      <c r="V1751" s="129"/>
      <c r="W1751" s="129"/>
      <c r="X1751" s="129"/>
      <c r="Y1751" s="129"/>
      <c r="Z1751" s="145" t="b">
        <v>0</v>
      </c>
      <c r="AA1751" s="145"/>
      <c r="AB1751" s="129"/>
      <c r="AC1751" s="129"/>
      <c r="AD1751" s="129"/>
      <c r="AE1751" s="129"/>
      <c r="AF1751" s="132"/>
      <c r="AG1751" s="128" t="b">
        <v>0</v>
      </c>
      <c r="AH1751" s="128"/>
      <c r="AI1751" s="128"/>
      <c r="AJ1751" s="128"/>
      <c r="AK1751" s="128"/>
      <c r="AL1751" s="129"/>
      <c r="AM1751" s="129"/>
      <c r="AN1751" s="139"/>
    </row>
    <row r="1752">
      <c r="A1752" s="129"/>
      <c r="B1752" s="119"/>
      <c r="C1752" s="128"/>
      <c r="D1752" s="142"/>
      <c r="E1752" s="122"/>
      <c r="F1752" s="136"/>
      <c r="G1752" s="152"/>
      <c r="H1752" s="155"/>
      <c r="I1752" s="155"/>
      <c r="J1752" s="155"/>
      <c r="K1752" s="155"/>
      <c r="L1752" s="155"/>
      <c r="M1752" s="126"/>
      <c r="N1752" s="127"/>
      <c r="O1752" s="127"/>
      <c r="P1752" s="127"/>
      <c r="Q1752" s="126"/>
      <c r="R1752" s="128"/>
      <c r="S1752" s="128"/>
      <c r="T1752" s="128"/>
      <c r="U1752" s="128"/>
      <c r="V1752" s="129"/>
      <c r="W1752" s="129"/>
      <c r="X1752" s="129"/>
      <c r="Y1752" s="129"/>
      <c r="Z1752" s="145" t="b">
        <v>0</v>
      </c>
      <c r="AA1752" s="145"/>
      <c r="AB1752" s="129"/>
      <c r="AC1752" s="129"/>
      <c r="AD1752" s="129"/>
      <c r="AE1752" s="129"/>
      <c r="AF1752" s="132"/>
      <c r="AG1752" s="128" t="b">
        <v>0</v>
      </c>
      <c r="AH1752" s="128"/>
      <c r="AI1752" s="128"/>
      <c r="AJ1752" s="128"/>
      <c r="AK1752" s="128"/>
      <c r="AL1752" s="129"/>
      <c r="AM1752" s="129"/>
      <c r="AN1752" s="139"/>
    </row>
    <row r="1753">
      <c r="A1753" s="129"/>
      <c r="B1753" s="119"/>
      <c r="C1753" s="128"/>
      <c r="D1753" s="142"/>
      <c r="E1753" s="122"/>
      <c r="F1753" s="136"/>
      <c r="G1753" s="152"/>
      <c r="H1753" s="155"/>
      <c r="I1753" s="155"/>
      <c r="J1753" s="155"/>
      <c r="K1753" s="155"/>
      <c r="L1753" s="155"/>
      <c r="M1753" s="126"/>
      <c r="N1753" s="127"/>
      <c r="O1753" s="127"/>
      <c r="P1753" s="127"/>
      <c r="Q1753" s="126"/>
      <c r="R1753" s="128"/>
      <c r="S1753" s="128"/>
      <c r="T1753" s="128"/>
      <c r="U1753" s="128"/>
      <c r="V1753" s="129"/>
      <c r="W1753" s="129"/>
      <c r="X1753" s="129"/>
      <c r="Y1753" s="129"/>
      <c r="Z1753" s="145" t="b">
        <v>0</v>
      </c>
      <c r="AA1753" s="145"/>
      <c r="AB1753" s="129"/>
      <c r="AC1753" s="129"/>
      <c r="AD1753" s="129"/>
      <c r="AE1753" s="129"/>
      <c r="AF1753" s="132"/>
      <c r="AG1753" s="128" t="b">
        <v>0</v>
      </c>
      <c r="AH1753" s="128"/>
      <c r="AI1753" s="128"/>
      <c r="AJ1753" s="128"/>
      <c r="AK1753" s="128"/>
      <c r="AL1753" s="129"/>
      <c r="AM1753" s="129"/>
      <c r="AN1753" s="139"/>
    </row>
    <row r="1754">
      <c r="A1754" s="129"/>
      <c r="B1754" s="119"/>
      <c r="C1754" s="128"/>
      <c r="D1754" s="142"/>
      <c r="E1754" s="122"/>
      <c r="F1754" s="136"/>
      <c r="G1754" s="152"/>
      <c r="H1754" s="155"/>
      <c r="I1754" s="155"/>
      <c r="J1754" s="155"/>
      <c r="K1754" s="155"/>
      <c r="L1754" s="155"/>
      <c r="M1754" s="126"/>
      <c r="N1754" s="127"/>
      <c r="O1754" s="127"/>
      <c r="P1754" s="127"/>
      <c r="Q1754" s="126"/>
      <c r="R1754" s="128"/>
      <c r="S1754" s="128"/>
      <c r="T1754" s="128"/>
      <c r="U1754" s="128"/>
      <c r="V1754" s="129"/>
      <c r="W1754" s="129"/>
      <c r="X1754" s="129"/>
      <c r="Y1754" s="129"/>
      <c r="Z1754" s="145" t="b">
        <v>0</v>
      </c>
      <c r="AA1754" s="145"/>
      <c r="AB1754" s="129"/>
      <c r="AC1754" s="129"/>
      <c r="AD1754" s="129"/>
      <c r="AE1754" s="129"/>
      <c r="AF1754" s="132"/>
      <c r="AG1754" s="128" t="b">
        <v>0</v>
      </c>
      <c r="AH1754" s="128"/>
      <c r="AI1754" s="128"/>
      <c r="AJ1754" s="128"/>
      <c r="AK1754" s="128"/>
      <c r="AL1754" s="129"/>
      <c r="AM1754" s="129"/>
      <c r="AN1754" s="139"/>
    </row>
    <row r="1755">
      <c r="A1755" s="129"/>
      <c r="B1755" s="119"/>
      <c r="C1755" s="128"/>
      <c r="D1755" s="142"/>
      <c r="E1755" s="122"/>
      <c r="F1755" s="136"/>
      <c r="G1755" s="152"/>
      <c r="H1755" s="155"/>
      <c r="I1755" s="155"/>
      <c r="J1755" s="155"/>
      <c r="K1755" s="155"/>
      <c r="L1755" s="155"/>
      <c r="M1755" s="126"/>
      <c r="N1755" s="127"/>
      <c r="O1755" s="127"/>
      <c r="P1755" s="127"/>
      <c r="Q1755" s="126"/>
      <c r="R1755" s="128"/>
      <c r="S1755" s="128"/>
      <c r="T1755" s="128"/>
      <c r="U1755" s="128"/>
      <c r="V1755" s="129"/>
      <c r="W1755" s="129"/>
      <c r="X1755" s="129"/>
      <c r="Y1755" s="129"/>
      <c r="Z1755" s="145" t="b">
        <v>0</v>
      </c>
      <c r="AA1755" s="145"/>
      <c r="AB1755" s="129"/>
      <c r="AC1755" s="129"/>
      <c r="AD1755" s="129"/>
      <c r="AE1755" s="129"/>
      <c r="AF1755" s="132"/>
      <c r="AG1755" s="128" t="b">
        <v>0</v>
      </c>
      <c r="AH1755" s="128"/>
      <c r="AI1755" s="128"/>
      <c r="AJ1755" s="128"/>
      <c r="AK1755" s="128"/>
      <c r="AL1755" s="129"/>
      <c r="AM1755" s="129"/>
      <c r="AN1755" s="139"/>
    </row>
    <row r="1756">
      <c r="A1756" s="129"/>
      <c r="B1756" s="119"/>
      <c r="C1756" s="128"/>
      <c r="D1756" s="142"/>
      <c r="E1756" s="122"/>
      <c r="F1756" s="136"/>
      <c r="G1756" s="152"/>
      <c r="H1756" s="155"/>
      <c r="I1756" s="155"/>
      <c r="J1756" s="155"/>
      <c r="K1756" s="155"/>
      <c r="L1756" s="155"/>
      <c r="M1756" s="126"/>
      <c r="N1756" s="127"/>
      <c r="O1756" s="127"/>
      <c r="P1756" s="127"/>
      <c r="Q1756" s="126"/>
      <c r="R1756" s="128"/>
      <c r="S1756" s="128"/>
      <c r="T1756" s="128"/>
      <c r="U1756" s="128"/>
      <c r="V1756" s="129"/>
      <c r="W1756" s="129"/>
      <c r="X1756" s="129"/>
      <c r="Y1756" s="129"/>
      <c r="Z1756" s="145" t="b">
        <v>0</v>
      </c>
      <c r="AA1756" s="145"/>
      <c r="AB1756" s="129"/>
      <c r="AC1756" s="129"/>
      <c r="AD1756" s="129"/>
      <c r="AE1756" s="129"/>
      <c r="AF1756" s="132"/>
      <c r="AG1756" s="128" t="b">
        <v>0</v>
      </c>
      <c r="AH1756" s="128"/>
      <c r="AI1756" s="128"/>
      <c r="AJ1756" s="128"/>
      <c r="AK1756" s="128"/>
      <c r="AL1756" s="129"/>
      <c r="AM1756" s="129"/>
      <c r="AN1756" s="139"/>
    </row>
    <row r="1757">
      <c r="A1757" s="129"/>
      <c r="B1757" s="119"/>
      <c r="C1757" s="128"/>
      <c r="D1757" s="142"/>
      <c r="E1757" s="122"/>
      <c r="F1757" s="136"/>
      <c r="G1757" s="152"/>
      <c r="H1757" s="155"/>
      <c r="I1757" s="155"/>
      <c r="J1757" s="155"/>
      <c r="K1757" s="155"/>
      <c r="L1757" s="155"/>
      <c r="M1757" s="126"/>
      <c r="N1757" s="127"/>
      <c r="O1757" s="127"/>
      <c r="P1757" s="127"/>
      <c r="Q1757" s="126"/>
      <c r="R1757" s="128"/>
      <c r="S1757" s="128"/>
      <c r="T1757" s="128"/>
      <c r="U1757" s="128"/>
      <c r="V1757" s="129"/>
      <c r="W1757" s="129"/>
      <c r="X1757" s="129"/>
      <c r="Y1757" s="129"/>
      <c r="Z1757" s="145" t="b">
        <v>0</v>
      </c>
      <c r="AA1757" s="145"/>
      <c r="AB1757" s="129"/>
      <c r="AC1757" s="129"/>
      <c r="AD1757" s="129"/>
      <c r="AE1757" s="129"/>
      <c r="AF1757" s="132"/>
      <c r="AG1757" s="128" t="b">
        <v>0</v>
      </c>
      <c r="AH1757" s="128"/>
      <c r="AI1757" s="128"/>
      <c r="AJ1757" s="128"/>
      <c r="AK1757" s="128"/>
      <c r="AL1757" s="129"/>
      <c r="AM1757" s="129"/>
      <c r="AN1757" s="139"/>
    </row>
    <row r="1758">
      <c r="A1758" s="129"/>
      <c r="B1758" s="119"/>
      <c r="C1758" s="128"/>
      <c r="D1758" s="142"/>
      <c r="E1758" s="122"/>
      <c r="F1758" s="136"/>
      <c r="G1758" s="152"/>
      <c r="H1758" s="155"/>
      <c r="I1758" s="155"/>
      <c r="J1758" s="155"/>
      <c r="K1758" s="155"/>
      <c r="L1758" s="155"/>
      <c r="M1758" s="126"/>
      <c r="N1758" s="127"/>
      <c r="O1758" s="127"/>
      <c r="P1758" s="127"/>
      <c r="Q1758" s="126"/>
      <c r="R1758" s="128"/>
      <c r="S1758" s="128"/>
      <c r="T1758" s="128"/>
      <c r="U1758" s="128"/>
      <c r="V1758" s="129"/>
      <c r="W1758" s="129"/>
      <c r="X1758" s="129"/>
      <c r="Y1758" s="129"/>
      <c r="Z1758" s="145" t="b">
        <v>0</v>
      </c>
      <c r="AA1758" s="145"/>
      <c r="AB1758" s="129"/>
      <c r="AC1758" s="129"/>
      <c r="AD1758" s="129"/>
      <c r="AE1758" s="129"/>
      <c r="AF1758" s="132"/>
      <c r="AG1758" s="128" t="b">
        <v>0</v>
      </c>
      <c r="AH1758" s="128"/>
      <c r="AI1758" s="128"/>
      <c r="AJ1758" s="128"/>
      <c r="AK1758" s="128"/>
      <c r="AL1758" s="129"/>
      <c r="AM1758" s="129"/>
      <c r="AN1758" s="139"/>
    </row>
    <row r="1759">
      <c r="A1759" s="129"/>
      <c r="B1759" s="119"/>
      <c r="C1759" s="128"/>
      <c r="D1759" s="142"/>
      <c r="E1759" s="122"/>
      <c r="F1759" s="136"/>
      <c r="G1759" s="152"/>
      <c r="H1759" s="155"/>
      <c r="I1759" s="155"/>
      <c r="J1759" s="155"/>
      <c r="K1759" s="155"/>
      <c r="L1759" s="155"/>
      <c r="M1759" s="126"/>
      <c r="N1759" s="127"/>
      <c r="O1759" s="127"/>
      <c r="P1759" s="127"/>
      <c r="Q1759" s="126"/>
      <c r="R1759" s="128"/>
      <c r="S1759" s="128"/>
      <c r="T1759" s="128"/>
      <c r="U1759" s="128"/>
      <c r="V1759" s="129"/>
      <c r="W1759" s="129"/>
      <c r="X1759" s="129"/>
      <c r="Y1759" s="129"/>
      <c r="Z1759" s="145" t="b">
        <v>0</v>
      </c>
      <c r="AA1759" s="145"/>
      <c r="AB1759" s="129"/>
      <c r="AC1759" s="129"/>
      <c r="AD1759" s="129"/>
      <c r="AE1759" s="129"/>
      <c r="AF1759" s="132"/>
      <c r="AG1759" s="128" t="b">
        <v>0</v>
      </c>
      <c r="AH1759" s="128"/>
      <c r="AI1759" s="128"/>
      <c r="AJ1759" s="128"/>
      <c r="AK1759" s="128"/>
      <c r="AL1759" s="129"/>
      <c r="AM1759" s="129"/>
      <c r="AN1759" s="139"/>
    </row>
    <row r="1760">
      <c r="A1760" s="129"/>
      <c r="B1760" s="119"/>
      <c r="C1760" s="128"/>
      <c r="D1760" s="142"/>
      <c r="E1760" s="122"/>
      <c r="F1760" s="136"/>
      <c r="G1760" s="152"/>
      <c r="H1760" s="155"/>
      <c r="I1760" s="155"/>
      <c r="J1760" s="155"/>
      <c r="K1760" s="155"/>
      <c r="L1760" s="155"/>
      <c r="M1760" s="126"/>
      <c r="N1760" s="127"/>
      <c r="O1760" s="127"/>
      <c r="P1760" s="127"/>
      <c r="Q1760" s="126"/>
      <c r="R1760" s="128"/>
      <c r="S1760" s="128"/>
      <c r="T1760" s="128"/>
      <c r="U1760" s="128"/>
      <c r="V1760" s="129"/>
      <c r="W1760" s="129"/>
      <c r="X1760" s="129"/>
      <c r="Y1760" s="129"/>
      <c r="Z1760" s="145" t="b">
        <v>0</v>
      </c>
      <c r="AA1760" s="145"/>
      <c r="AB1760" s="129"/>
      <c r="AC1760" s="129"/>
      <c r="AD1760" s="129"/>
      <c r="AE1760" s="129"/>
      <c r="AF1760" s="132"/>
      <c r="AG1760" s="128" t="b">
        <v>0</v>
      </c>
      <c r="AH1760" s="128"/>
      <c r="AI1760" s="128"/>
      <c r="AJ1760" s="128"/>
      <c r="AK1760" s="128"/>
      <c r="AL1760" s="129"/>
      <c r="AM1760" s="129"/>
      <c r="AN1760" s="139"/>
    </row>
    <row r="1761">
      <c r="A1761" s="129"/>
      <c r="B1761" s="119"/>
      <c r="C1761" s="128"/>
      <c r="D1761" s="142"/>
      <c r="E1761" s="122"/>
      <c r="F1761" s="136"/>
      <c r="G1761" s="152"/>
      <c r="H1761" s="155"/>
      <c r="I1761" s="155"/>
      <c r="J1761" s="155"/>
      <c r="K1761" s="155"/>
      <c r="L1761" s="155"/>
      <c r="M1761" s="126"/>
      <c r="N1761" s="127"/>
      <c r="O1761" s="127"/>
      <c r="P1761" s="127"/>
      <c r="Q1761" s="126"/>
      <c r="R1761" s="128"/>
      <c r="S1761" s="128"/>
      <c r="T1761" s="128"/>
      <c r="U1761" s="128"/>
      <c r="V1761" s="129"/>
      <c r="W1761" s="129"/>
      <c r="X1761" s="129"/>
      <c r="Y1761" s="129"/>
      <c r="Z1761" s="145" t="b">
        <v>0</v>
      </c>
      <c r="AA1761" s="145"/>
      <c r="AB1761" s="129"/>
      <c r="AC1761" s="129"/>
      <c r="AD1761" s="129"/>
      <c r="AE1761" s="129"/>
      <c r="AF1761" s="132"/>
      <c r="AG1761" s="128" t="b">
        <v>0</v>
      </c>
      <c r="AH1761" s="128"/>
      <c r="AI1761" s="128"/>
      <c r="AJ1761" s="128"/>
      <c r="AK1761" s="128"/>
      <c r="AL1761" s="129"/>
      <c r="AM1761" s="129"/>
      <c r="AN1761" s="139"/>
    </row>
    <row r="1762">
      <c r="A1762" s="129"/>
      <c r="B1762" s="119"/>
      <c r="C1762" s="128"/>
      <c r="D1762" s="142"/>
      <c r="E1762" s="122"/>
      <c r="F1762" s="136"/>
      <c r="G1762" s="152"/>
      <c r="H1762" s="155"/>
      <c r="I1762" s="155"/>
      <c r="J1762" s="155"/>
      <c r="K1762" s="155"/>
      <c r="L1762" s="155"/>
      <c r="M1762" s="126"/>
      <c r="N1762" s="127"/>
      <c r="O1762" s="127"/>
      <c r="P1762" s="127"/>
      <c r="Q1762" s="126"/>
      <c r="R1762" s="128"/>
      <c r="S1762" s="128"/>
      <c r="T1762" s="128"/>
      <c r="U1762" s="128"/>
      <c r="V1762" s="129"/>
      <c r="W1762" s="129"/>
      <c r="X1762" s="129"/>
      <c r="Y1762" s="129"/>
      <c r="Z1762" s="145" t="b">
        <v>0</v>
      </c>
      <c r="AA1762" s="145"/>
      <c r="AB1762" s="129"/>
      <c r="AC1762" s="129"/>
      <c r="AD1762" s="129"/>
      <c r="AE1762" s="129"/>
      <c r="AF1762" s="132"/>
      <c r="AG1762" s="128" t="b">
        <v>0</v>
      </c>
      <c r="AH1762" s="128"/>
      <c r="AI1762" s="128"/>
      <c r="AJ1762" s="128"/>
      <c r="AK1762" s="128"/>
      <c r="AL1762" s="129"/>
      <c r="AM1762" s="129"/>
      <c r="AN1762" s="139"/>
    </row>
    <row r="1763">
      <c r="A1763" s="129"/>
      <c r="B1763" s="119"/>
      <c r="C1763" s="128"/>
      <c r="D1763" s="142"/>
      <c r="E1763" s="122"/>
      <c r="F1763" s="136"/>
      <c r="G1763" s="152"/>
      <c r="H1763" s="155"/>
      <c r="I1763" s="155"/>
      <c r="J1763" s="155"/>
      <c r="K1763" s="155"/>
      <c r="L1763" s="155"/>
      <c r="M1763" s="126"/>
      <c r="N1763" s="127"/>
      <c r="O1763" s="127"/>
      <c r="P1763" s="127"/>
      <c r="Q1763" s="126"/>
      <c r="R1763" s="128"/>
      <c r="S1763" s="128"/>
      <c r="T1763" s="128"/>
      <c r="U1763" s="128"/>
      <c r="V1763" s="129"/>
      <c r="W1763" s="129"/>
      <c r="X1763" s="129"/>
      <c r="Y1763" s="129"/>
      <c r="Z1763" s="145" t="b">
        <v>0</v>
      </c>
      <c r="AA1763" s="145"/>
      <c r="AB1763" s="129"/>
      <c r="AC1763" s="129"/>
      <c r="AD1763" s="129"/>
      <c r="AE1763" s="129"/>
      <c r="AF1763" s="132"/>
      <c r="AG1763" s="128" t="b">
        <v>0</v>
      </c>
      <c r="AH1763" s="128"/>
      <c r="AI1763" s="128"/>
      <c r="AJ1763" s="128"/>
      <c r="AK1763" s="128"/>
      <c r="AL1763" s="129"/>
      <c r="AM1763" s="129"/>
      <c r="AN1763" s="139"/>
    </row>
    <row r="1764">
      <c r="A1764" s="129"/>
      <c r="B1764" s="119"/>
      <c r="C1764" s="128"/>
      <c r="D1764" s="142"/>
      <c r="E1764" s="122"/>
      <c r="F1764" s="136"/>
      <c r="G1764" s="152"/>
      <c r="H1764" s="155"/>
      <c r="I1764" s="155"/>
      <c r="J1764" s="155"/>
      <c r="K1764" s="155"/>
      <c r="L1764" s="155"/>
      <c r="M1764" s="126"/>
      <c r="N1764" s="127"/>
      <c r="O1764" s="127"/>
      <c r="P1764" s="127"/>
      <c r="Q1764" s="126"/>
      <c r="R1764" s="128"/>
      <c r="S1764" s="128"/>
      <c r="T1764" s="128"/>
      <c r="U1764" s="128"/>
      <c r="V1764" s="129"/>
      <c r="W1764" s="129"/>
      <c r="X1764" s="129"/>
      <c r="Y1764" s="129"/>
      <c r="Z1764" s="145" t="b">
        <v>0</v>
      </c>
      <c r="AA1764" s="145"/>
      <c r="AB1764" s="129"/>
      <c r="AC1764" s="129"/>
      <c r="AD1764" s="129"/>
      <c r="AE1764" s="129"/>
      <c r="AF1764" s="132"/>
      <c r="AG1764" s="128" t="b">
        <v>0</v>
      </c>
      <c r="AH1764" s="128"/>
      <c r="AI1764" s="128"/>
      <c r="AJ1764" s="128"/>
      <c r="AK1764" s="128"/>
      <c r="AL1764" s="129"/>
      <c r="AM1764" s="129"/>
      <c r="AN1764" s="139"/>
    </row>
    <row r="1765">
      <c r="A1765" s="129"/>
      <c r="B1765" s="119"/>
      <c r="C1765" s="128"/>
      <c r="D1765" s="142"/>
      <c r="E1765" s="122"/>
      <c r="F1765" s="136"/>
      <c r="G1765" s="152"/>
      <c r="H1765" s="155"/>
      <c r="I1765" s="155"/>
      <c r="J1765" s="155"/>
      <c r="K1765" s="155"/>
      <c r="L1765" s="155"/>
      <c r="M1765" s="126"/>
      <c r="N1765" s="127"/>
      <c r="O1765" s="127"/>
      <c r="P1765" s="127"/>
      <c r="Q1765" s="126"/>
      <c r="R1765" s="128"/>
      <c r="S1765" s="128"/>
      <c r="T1765" s="128"/>
      <c r="U1765" s="128"/>
      <c r="V1765" s="129"/>
      <c r="W1765" s="129"/>
      <c r="X1765" s="129"/>
      <c r="Y1765" s="129"/>
      <c r="Z1765" s="145" t="b">
        <v>0</v>
      </c>
      <c r="AA1765" s="145"/>
      <c r="AB1765" s="129"/>
      <c r="AC1765" s="129"/>
      <c r="AD1765" s="129"/>
      <c r="AE1765" s="129"/>
      <c r="AF1765" s="132"/>
      <c r="AG1765" s="128" t="b">
        <v>0</v>
      </c>
      <c r="AH1765" s="128"/>
      <c r="AI1765" s="128"/>
      <c r="AJ1765" s="128"/>
      <c r="AK1765" s="128"/>
      <c r="AL1765" s="129"/>
      <c r="AM1765" s="129"/>
      <c r="AN1765" s="139"/>
    </row>
    <row r="1766">
      <c r="A1766" s="129"/>
      <c r="B1766" s="119"/>
      <c r="C1766" s="128"/>
      <c r="D1766" s="142"/>
      <c r="E1766" s="122"/>
      <c r="F1766" s="136"/>
      <c r="G1766" s="152"/>
      <c r="H1766" s="155"/>
      <c r="I1766" s="155"/>
      <c r="J1766" s="155"/>
      <c r="K1766" s="155"/>
      <c r="L1766" s="155"/>
      <c r="M1766" s="126"/>
      <c r="N1766" s="127"/>
      <c r="O1766" s="127"/>
      <c r="P1766" s="127"/>
      <c r="Q1766" s="126"/>
      <c r="R1766" s="128"/>
      <c r="S1766" s="128"/>
      <c r="T1766" s="128"/>
      <c r="U1766" s="128"/>
      <c r="V1766" s="129"/>
      <c r="W1766" s="129"/>
      <c r="X1766" s="129"/>
      <c r="Y1766" s="129"/>
      <c r="Z1766" s="145" t="b">
        <v>0</v>
      </c>
      <c r="AA1766" s="145"/>
      <c r="AB1766" s="129"/>
      <c r="AC1766" s="129"/>
      <c r="AD1766" s="129"/>
      <c r="AE1766" s="129"/>
      <c r="AF1766" s="132"/>
      <c r="AG1766" s="128" t="b">
        <v>0</v>
      </c>
      <c r="AH1766" s="128"/>
      <c r="AI1766" s="128"/>
      <c r="AJ1766" s="128"/>
      <c r="AK1766" s="128"/>
      <c r="AL1766" s="129"/>
      <c r="AM1766" s="129"/>
      <c r="AN1766" s="139"/>
    </row>
    <row r="1767">
      <c r="A1767" s="129"/>
      <c r="B1767" s="119"/>
      <c r="C1767" s="128"/>
      <c r="D1767" s="142"/>
      <c r="E1767" s="122"/>
      <c r="F1767" s="136"/>
      <c r="G1767" s="152"/>
      <c r="H1767" s="155"/>
      <c r="I1767" s="155"/>
      <c r="J1767" s="155"/>
      <c r="K1767" s="155"/>
      <c r="L1767" s="155"/>
      <c r="M1767" s="126"/>
      <c r="N1767" s="127"/>
      <c r="O1767" s="127"/>
      <c r="P1767" s="127"/>
      <c r="Q1767" s="126"/>
      <c r="R1767" s="128"/>
      <c r="S1767" s="128"/>
      <c r="T1767" s="128"/>
      <c r="U1767" s="128"/>
      <c r="V1767" s="129"/>
      <c r="W1767" s="129"/>
      <c r="X1767" s="129"/>
      <c r="Y1767" s="129"/>
      <c r="Z1767" s="145" t="b">
        <v>0</v>
      </c>
      <c r="AA1767" s="145"/>
      <c r="AB1767" s="129"/>
      <c r="AC1767" s="129"/>
      <c r="AD1767" s="129"/>
      <c r="AE1767" s="129"/>
      <c r="AF1767" s="132"/>
      <c r="AG1767" s="128" t="b">
        <v>0</v>
      </c>
      <c r="AH1767" s="128"/>
      <c r="AI1767" s="128"/>
      <c r="AJ1767" s="128"/>
      <c r="AK1767" s="128"/>
      <c r="AL1767" s="129"/>
      <c r="AM1767" s="129"/>
      <c r="AN1767" s="139"/>
    </row>
    <row r="1768">
      <c r="A1768" s="129"/>
      <c r="B1768" s="119"/>
      <c r="C1768" s="128"/>
      <c r="D1768" s="142"/>
      <c r="E1768" s="122"/>
      <c r="F1768" s="136"/>
      <c r="G1768" s="152"/>
      <c r="H1768" s="155"/>
      <c r="I1768" s="155"/>
      <c r="J1768" s="155"/>
      <c r="K1768" s="155"/>
      <c r="L1768" s="155"/>
      <c r="M1768" s="126"/>
      <c r="N1768" s="127"/>
      <c r="O1768" s="127"/>
      <c r="P1768" s="127"/>
      <c r="Q1768" s="126"/>
      <c r="R1768" s="128"/>
      <c r="S1768" s="128"/>
      <c r="T1768" s="128"/>
      <c r="U1768" s="128"/>
      <c r="V1768" s="129"/>
      <c r="W1768" s="129"/>
      <c r="X1768" s="129"/>
      <c r="Y1768" s="129"/>
      <c r="Z1768" s="145" t="b">
        <v>0</v>
      </c>
      <c r="AA1768" s="145"/>
      <c r="AB1768" s="129"/>
      <c r="AC1768" s="129"/>
      <c r="AD1768" s="129"/>
      <c r="AE1768" s="129"/>
      <c r="AF1768" s="132"/>
      <c r="AG1768" s="128" t="b">
        <v>0</v>
      </c>
      <c r="AH1768" s="128"/>
      <c r="AI1768" s="128"/>
      <c r="AJ1768" s="128"/>
      <c r="AK1768" s="128"/>
      <c r="AL1768" s="129"/>
      <c r="AM1768" s="129"/>
      <c r="AN1768" s="139"/>
    </row>
    <row r="1769">
      <c r="A1769" s="129"/>
      <c r="B1769" s="119"/>
      <c r="C1769" s="128"/>
      <c r="D1769" s="142"/>
      <c r="E1769" s="122"/>
      <c r="F1769" s="136"/>
      <c r="G1769" s="152"/>
      <c r="H1769" s="155"/>
      <c r="I1769" s="155"/>
      <c r="J1769" s="155"/>
      <c r="K1769" s="155"/>
      <c r="L1769" s="155"/>
      <c r="M1769" s="126"/>
      <c r="N1769" s="127"/>
      <c r="O1769" s="127"/>
      <c r="P1769" s="127"/>
      <c r="Q1769" s="126"/>
      <c r="R1769" s="128"/>
      <c r="S1769" s="128"/>
      <c r="T1769" s="128"/>
      <c r="U1769" s="128"/>
      <c r="V1769" s="129"/>
      <c r="W1769" s="129"/>
      <c r="X1769" s="129"/>
      <c r="Y1769" s="129"/>
      <c r="Z1769" s="145" t="b">
        <v>0</v>
      </c>
      <c r="AA1769" s="145"/>
      <c r="AB1769" s="129"/>
      <c r="AC1769" s="129"/>
      <c r="AD1769" s="129"/>
      <c r="AE1769" s="129"/>
      <c r="AF1769" s="132"/>
      <c r="AG1769" s="128" t="b">
        <v>0</v>
      </c>
      <c r="AH1769" s="128"/>
      <c r="AI1769" s="128"/>
      <c r="AJ1769" s="128"/>
      <c r="AK1769" s="128"/>
      <c r="AL1769" s="129"/>
      <c r="AM1769" s="129"/>
      <c r="AN1769" s="139"/>
    </row>
    <row r="1770">
      <c r="A1770" s="129"/>
      <c r="B1770" s="119"/>
      <c r="C1770" s="128"/>
      <c r="D1770" s="142"/>
      <c r="E1770" s="122"/>
      <c r="F1770" s="136"/>
      <c r="G1770" s="152"/>
      <c r="H1770" s="155"/>
      <c r="I1770" s="155"/>
      <c r="J1770" s="155"/>
      <c r="K1770" s="155"/>
      <c r="L1770" s="155"/>
      <c r="M1770" s="126"/>
      <c r="N1770" s="127"/>
      <c r="O1770" s="127"/>
      <c r="P1770" s="127"/>
      <c r="Q1770" s="126"/>
      <c r="R1770" s="128"/>
      <c r="S1770" s="128"/>
      <c r="T1770" s="128"/>
      <c r="U1770" s="128"/>
      <c r="V1770" s="129"/>
      <c r="W1770" s="129"/>
      <c r="X1770" s="129"/>
      <c r="Y1770" s="129"/>
      <c r="Z1770" s="145" t="b">
        <v>0</v>
      </c>
      <c r="AA1770" s="145"/>
      <c r="AB1770" s="129"/>
      <c r="AC1770" s="129"/>
      <c r="AD1770" s="129"/>
      <c r="AE1770" s="129"/>
      <c r="AF1770" s="132"/>
      <c r="AG1770" s="128" t="b">
        <v>0</v>
      </c>
      <c r="AH1770" s="128"/>
      <c r="AI1770" s="128"/>
      <c r="AJ1770" s="128"/>
      <c r="AK1770" s="128"/>
      <c r="AL1770" s="129"/>
      <c r="AM1770" s="129"/>
      <c r="AN1770" s="139"/>
    </row>
    <row r="1771">
      <c r="A1771" s="129"/>
      <c r="B1771" s="119"/>
      <c r="C1771" s="128"/>
      <c r="D1771" s="142"/>
      <c r="E1771" s="122"/>
      <c r="F1771" s="136"/>
      <c r="G1771" s="152"/>
      <c r="H1771" s="155"/>
      <c r="I1771" s="155"/>
      <c r="J1771" s="155"/>
      <c r="K1771" s="155"/>
      <c r="L1771" s="155"/>
      <c r="M1771" s="126"/>
      <c r="N1771" s="127"/>
      <c r="O1771" s="127"/>
      <c r="P1771" s="127"/>
      <c r="Q1771" s="126"/>
      <c r="R1771" s="128"/>
      <c r="S1771" s="128"/>
      <c r="T1771" s="128"/>
      <c r="U1771" s="128"/>
      <c r="V1771" s="129"/>
      <c r="W1771" s="129"/>
      <c r="X1771" s="129"/>
      <c r="Y1771" s="129"/>
      <c r="Z1771" s="145" t="b">
        <v>0</v>
      </c>
      <c r="AA1771" s="145"/>
      <c r="AB1771" s="129"/>
      <c r="AC1771" s="129"/>
      <c r="AD1771" s="129"/>
      <c r="AE1771" s="129"/>
      <c r="AF1771" s="132"/>
      <c r="AG1771" s="128" t="b">
        <v>0</v>
      </c>
      <c r="AH1771" s="128"/>
      <c r="AI1771" s="128"/>
      <c r="AJ1771" s="128"/>
      <c r="AK1771" s="128"/>
      <c r="AL1771" s="129"/>
      <c r="AM1771" s="129"/>
      <c r="AN1771" s="139"/>
    </row>
    <row r="1772">
      <c r="A1772" s="129"/>
      <c r="B1772" s="119"/>
      <c r="C1772" s="128"/>
      <c r="D1772" s="142"/>
      <c r="E1772" s="122"/>
      <c r="F1772" s="136"/>
      <c r="G1772" s="152"/>
      <c r="H1772" s="155"/>
      <c r="I1772" s="155"/>
      <c r="J1772" s="155"/>
      <c r="K1772" s="155"/>
      <c r="L1772" s="155"/>
      <c r="M1772" s="126"/>
      <c r="N1772" s="127"/>
      <c r="O1772" s="127"/>
      <c r="P1772" s="127"/>
      <c r="Q1772" s="126"/>
      <c r="R1772" s="128"/>
      <c r="S1772" s="128"/>
      <c r="T1772" s="128"/>
      <c r="U1772" s="128"/>
      <c r="V1772" s="129"/>
      <c r="W1772" s="129"/>
      <c r="X1772" s="129"/>
      <c r="Y1772" s="129"/>
      <c r="Z1772" s="145" t="b">
        <v>0</v>
      </c>
      <c r="AA1772" s="145"/>
      <c r="AB1772" s="129"/>
      <c r="AC1772" s="129"/>
      <c r="AD1772" s="129"/>
      <c r="AE1772" s="129"/>
      <c r="AF1772" s="132"/>
      <c r="AG1772" s="128" t="b">
        <v>0</v>
      </c>
      <c r="AH1772" s="128"/>
      <c r="AI1772" s="128"/>
      <c r="AJ1772" s="128"/>
      <c r="AK1772" s="128"/>
      <c r="AL1772" s="129"/>
      <c r="AM1772" s="129"/>
      <c r="AN1772" s="139"/>
    </row>
    <row r="1773">
      <c r="A1773" s="129"/>
      <c r="B1773" s="119"/>
      <c r="C1773" s="128"/>
      <c r="D1773" s="142"/>
      <c r="E1773" s="122"/>
      <c r="F1773" s="136"/>
      <c r="G1773" s="152"/>
      <c r="H1773" s="155"/>
      <c r="I1773" s="155"/>
      <c r="J1773" s="155"/>
      <c r="K1773" s="155"/>
      <c r="L1773" s="155"/>
      <c r="M1773" s="126"/>
      <c r="N1773" s="127"/>
      <c r="O1773" s="127"/>
      <c r="P1773" s="127"/>
      <c r="Q1773" s="126"/>
      <c r="R1773" s="128"/>
      <c r="S1773" s="128"/>
      <c r="T1773" s="128"/>
      <c r="U1773" s="128"/>
      <c r="V1773" s="129"/>
      <c r="W1773" s="129"/>
      <c r="X1773" s="129"/>
      <c r="Y1773" s="129"/>
      <c r="Z1773" s="145" t="b">
        <v>0</v>
      </c>
      <c r="AA1773" s="145"/>
      <c r="AB1773" s="129"/>
      <c r="AC1773" s="129"/>
      <c r="AD1773" s="129"/>
      <c r="AE1773" s="129"/>
      <c r="AF1773" s="132"/>
      <c r="AG1773" s="128" t="b">
        <v>0</v>
      </c>
      <c r="AH1773" s="128"/>
      <c r="AI1773" s="128"/>
      <c r="AJ1773" s="128"/>
      <c r="AK1773" s="128"/>
      <c r="AL1773" s="129"/>
      <c r="AM1773" s="129"/>
      <c r="AN1773" s="139"/>
    </row>
    <row r="1774">
      <c r="A1774" s="129"/>
      <c r="B1774" s="119"/>
      <c r="C1774" s="128"/>
      <c r="D1774" s="142"/>
      <c r="E1774" s="122"/>
      <c r="F1774" s="136"/>
      <c r="G1774" s="152"/>
      <c r="H1774" s="155"/>
      <c r="I1774" s="155"/>
      <c r="J1774" s="155"/>
      <c r="K1774" s="155"/>
      <c r="L1774" s="155"/>
      <c r="M1774" s="126"/>
      <c r="N1774" s="127"/>
      <c r="O1774" s="127"/>
      <c r="P1774" s="127"/>
      <c r="Q1774" s="126"/>
      <c r="R1774" s="128"/>
      <c r="S1774" s="128"/>
      <c r="T1774" s="128"/>
      <c r="U1774" s="128"/>
      <c r="V1774" s="129"/>
      <c r="W1774" s="129"/>
      <c r="X1774" s="129"/>
      <c r="Y1774" s="129"/>
      <c r="Z1774" s="145" t="b">
        <v>0</v>
      </c>
      <c r="AA1774" s="145"/>
      <c r="AB1774" s="129"/>
      <c r="AC1774" s="129"/>
      <c r="AD1774" s="129"/>
      <c r="AE1774" s="129"/>
      <c r="AF1774" s="132"/>
      <c r="AG1774" s="128" t="b">
        <v>0</v>
      </c>
      <c r="AH1774" s="128"/>
      <c r="AI1774" s="128"/>
      <c r="AJ1774" s="128"/>
      <c r="AK1774" s="128"/>
      <c r="AL1774" s="129"/>
      <c r="AM1774" s="129"/>
      <c r="AN1774" s="139"/>
    </row>
    <row r="1775">
      <c r="A1775" s="129"/>
      <c r="B1775" s="119"/>
      <c r="C1775" s="128"/>
      <c r="D1775" s="142"/>
      <c r="E1775" s="122"/>
      <c r="F1775" s="136"/>
      <c r="G1775" s="152"/>
      <c r="H1775" s="155"/>
      <c r="I1775" s="155"/>
      <c r="J1775" s="155"/>
      <c r="K1775" s="155"/>
      <c r="L1775" s="155"/>
      <c r="M1775" s="126"/>
      <c r="N1775" s="127"/>
      <c r="O1775" s="127"/>
      <c r="P1775" s="127"/>
      <c r="Q1775" s="126"/>
      <c r="R1775" s="128"/>
      <c r="S1775" s="128"/>
      <c r="T1775" s="128"/>
      <c r="U1775" s="128"/>
      <c r="V1775" s="129"/>
      <c r="W1775" s="129"/>
      <c r="X1775" s="129"/>
      <c r="Y1775" s="129"/>
      <c r="Z1775" s="145" t="b">
        <v>0</v>
      </c>
      <c r="AA1775" s="145"/>
      <c r="AB1775" s="129"/>
      <c r="AC1775" s="129"/>
      <c r="AD1775" s="129"/>
      <c r="AE1775" s="129"/>
      <c r="AF1775" s="132"/>
      <c r="AG1775" s="128" t="b">
        <v>0</v>
      </c>
      <c r="AH1775" s="128"/>
      <c r="AI1775" s="128"/>
      <c r="AJ1775" s="128"/>
      <c r="AK1775" s="128"/>
      <c r="AL1775" s="129"/>
      <c r="AM1775" s="129"/>
      <c r="AN1775" s="139"/>
    </row>
    <row r="1776">
      <c r="A1776" s="129"/>
      <c r="B1776" s="119"/>
      <c r="C1776" s="128"/>
      <c r="D1776" s="142"/>
      <c r="E1776" s="122"/>
      <c r="F1776" s="136"/>
      <c r="G1776" s="152"/>
      <c r="H1776" s="155"/>
      <c r="I1776" s="155"/>
      <c r="J1776" s="155"/>
      <c r="K1776" s="155"/>
      <c r="L1776" s="155"/>
      <c r="M1776" s="126"/>
      <c r="N1776" s="127"/>
      <c r="O1776" s="127"/>
      <c r="P1776" s="127"/>
      <c r="Q1776" s="126"/>
      <c r="R1776" s="128"/>
      <c r="S1776" s="128"/>
      <c r="T1776" s="128"/>
      <c r="U1776" s="128"/>
      <c r="V1776" s="129"/>
      <c r="W1776" s="129"/>
      <c r="X1776" s="129"/>
      <c r="Y1776" s="129"/>
      <c r="Z1776" s="145" t="b">
        <v>0</v>
      </c>
      <c r="AA1776" s="145"/>
      <c r="AB1776" s="129"/>
      <c r="AC1776" s="129"/>
      <c r="AD1776" s="129"/>
      <c r="AE1776" s="129"/>
      <c r="AF1776" s="132"/>
      <c r="AG1776" s="128" t="b">
        <v>0</v>
      </c>
      <c r="AH1776" s="128"/>
      <c r="AI1776" s="128"/>
      <c r="AJ1776" s="128"/>
      <c r="AK1776" s="128"/>
      <c r="AL1776" s="129"/>
      <c r="AM1776" s="129"/>
      <c r="AN1776" s="139"/>
    </row>
    <row r="1777">
      <c r="A1777" s="129"/>
      <c r="B1777" s="119"/>
      <c r="C1777" s="128"/>
      <c r="D1777" s="142"/>
      <c r="E1777" s="122"/>
      <c r="F1777" s="136"/>
      <c r="G1777" s="152"/>
      <c r="H1777" s="155"/>
      <c r="I1777" s="155"/>
      <c r="J1777" s="155"/>
      <c r="K1777" s="155"/>
      <c r="L1777" s="155"/>
      <c r="M1777" s="126"/>
      <c r="N1777" s="127"/>
      <c r="O1777" s="127"/>
      <c r="P1777" s="127"/>
      <c r="Q1777" s="126"/>
      <c r="R1777" s="128"/>
      <c r="S1777" s="128"/>
      <c r="T1777" s="128"/>
      <c r="U1777" s="128"/>
      <c r="V1777" s="129"/>
      <c r="W1777" s="129"/>
      <c r="X1777" s="129"/>
      <c r="Y1777" s="129"/>
      <c r="Z1777" s="145" t="b">
        <v>0</v>
      </c>
      <c r="AA1777" s="145"/>
      <c r="AB1777" s="129"/>
      <c r="AC1777" s="129"/>
      <c r="AD1777" s="129"/>
      <c r="AE1777" s="129"/>
      <c r="AF1777" s="132"/>
      <c r="AG1777" s="128" t="b">
        <v>0</v>
      </c>
      <c r="AH1777" s="128"/>
      <c r="AI1777" s="128"/>
      <c r="AJ1777" s="128"/>
      <c r="AK1777" s="128"/>
      <c r="AL1777" s="129"/>
      <c r="AM1777" s="129"/>
      <c r="AN1777" s="139"/>
    </row>
    <row r="1778">
      <c r="A1778" s="129"/>
      <c r="B1778" s="119"/>
      <c r="C1778" s="128"/>
      <c r="D1778" s="142"/>
      <c r="E1778" s="122"/>
      <c r="F1778" s="136"/>
      <c r="G1778" s="152"/>
      <c r="H1778" s="155"/>
      <c r="I1778" s="155"/>
      <c r="J1778" s="155"/>
      <c r="K1778" s="155"/>
      <c r="L1778" s="155"/>
      <c r="M1778" s="126"/>
      <c r="N1778" s="127"/>
      <c r="O1778" s="127"/>
      <c r="P1778" s="127"/>
      <c r="Q1778" s="126"/>
      <c r="R1778" s="128"/>
      <c r="S1778" s="128"/>
      <c r="T1778" s="128"/>
      <c r="U1778" s="128"/>
      <c r="V1778" s="129"/>
      <c r="W1778" s="129"/>
      <c r="X1778" s="129"/>
      <c r="Y1778" s="129"/>
      <c r="Z1778" s="145" t="b">
        <v>0</v>
      </c>
      <c r="AA1778" s="145"/>
      <c r="AB1778" s="129"/>
      <c r="AC1778" s="129"/>
      <c r="AD1778" s="129"/>
      <c r="AE1778" s="129"/>
      <c r="AF1778" s="132"/>
      <c r="AG1778" s="128" t="b">
        <v>0</v>
      </c>
      <c r="AH1778" s="128"/>
      <c r="AI1778" s="128"/>
      <c r="AJ1778" s="128"/>
      <c r="AK1778" s="128"/>
      <c r="AL1778" s="129"/>
      <c r="AM1778" s="129"/>
      <c r="AN1778" s="139"/>
    </row>
    <row r="1779">
      <c r="A1779" s="129"/>
      <c r="B1779" s="119"/>
      <c r="C1779" s="128"/>
      <c r="D1779" s="142"/>
      <c r="E1779" s="122"/>
      <c r="F1779" s="136"/>
      <c r="G1779" s="152"/>
      <c r="H1779" s="155"/>
      <c r="I1779" s="155"/>
      <c r="J1779" s="155"/>
      <c r="K1779" s="155"/>
      <c r="L1779" s="155"/>
      <c r="M1779" s="126"/>
      <c r="N1779" s="127"/>
      <c r="O1779" s="127"/>
      <c r="P1779" s="127"/>
      <c r="Q1779" s="126"/>
      <c r="R1779" s="128"/>
      <c r="S1779" s="128"/>
      <c r="T1779" s="128"/>
      <c r="U1779" s="128"/>
      <c r="V1779" s="129"/>
      <c r="W1779" s="129"/>
      <c r="X1779" s="129"/>
      <c r="Y1779" s="129"/>
      <c r="Z1779" s="145" t="b">
        <v>0</v>
      </c>
      <c r="AA1779" s="145"/>
      <c r="AB1779" s="129"/>
      <c r="AC1779" s="129"/>
      <c r="AD1779" s="129"/>
      <c r="AE1779" s="129"/>
      <c r="AF1779" s="132"/>
      <c r="AG1779" s="128" t="b">
        <v>0</v>
      </c>
      <c r="AH1779" s="128"/>
      <c r="AI1779" s="128"/>
      <c r="AJ1779" s="128"/>
      <c r="AK1779" s="128"/>
      <c r="AL1779" s="129"/>
      <c r="AM1779" s="129"/>
      <c r="AN1779" s="139"/>
    </row>
    <row r="1780">
      <c r="A1780" s="129"/>
      <c r="B1780" s="119"/>
      <c r="C1780" s="128"/>
      <c r="D1780" s="142"/>
      <c r="E1780" s="122"/>
      <c r="F1780" s="136"/>
      <c r="G1780" s="152"/>
      <c r="H1780" s="155"/>
      <c r="I1780" s="155"/>
      <c r="J1780" s="155"/>
      <c r="K1780" s="155"/>
      <c r="L1780" s="155"/>
      <c r="M1780" s="126"/>
      <c r="N1780" s="127"/>
      <c r="O1780" s="127"/>
      <c r="P1780" s="127"/>
      <c r="Q1780" s="126"/>
      <c r="R1780" s="128"/>
      <c r="S1780" s="128"/>
      <c r="T1780" s="128"/>
      <c r="U1780" s="128"/>
      <c r="V1780" s="129"/>
      <c r="W1780" s="129"/>
      <c r="X1780" s="129"/>
      <c r="Y1780" s="129"/>
      <c r="Z1780" s="145" t="b">
        <v>0</v>
      </c>
      <c r="AA1780" s="145"/>
      <c r="AB1780" s="129"/>
      <c r="AC1780" s="129"/>
      <c r="AD1780" s="129"/>
      <c r="AE1780" s="129"/>
      <c r="AF1780" s="132"/>
      <c r="AG1780" s="128" t="b">
        <v>0</v>
      </c>
      <c r="AH1780" s="128"/>
      <c r="AI1780" s="128"/>
      <c r="AJ1780" s="128"/>
      <c r="AK1780" s="128"/>
      <c r="AL1780" s="129"/>
      <c r="AM1780" s="129"/>
      <c r="AN1780" s="139"/>
    </row>
    <row r="1781">
      <c r="A1781" s="129"/>
      <c r="B1781" s="119"/>
      <c r="C1781" s="128"/>
      <c r="D1781" s="142"/>
      <c r="E1781" s="122"/>
      <c r="F1781" s="136"/>
      <c r="G1781" s="152"/>
      <c r="H1781" s="155"/>
      <c r="I1781" s="155"/>
      <c r="J1781" s="155"/>
      <c r="K1781" s="155"/>
      <c r="L1781" s="155"/>
      <c r="M1781" s="126"/>
      <c r="N1781" s="127"/>
      <c r="O1781" s="127"/>
      <c r="P1781" s="127"/>
      <c r="Q1781" s="126"/>
      <c r="R1781" s="128"/>
      <c r="S1781" s="128"/>
      <c r="T1781" s="128"/>
      <c r="U1781" s="128"/>
      <c r="V1781" s="129"/>
      <c r="W1781" s="129"/>
      <c r="X1781" s="129"/>
      <c r="Y1781" s="129"/>
      <c r="Z1781" s="145" t="b">
        <v>0</v>
      </c>
      <c r="AA1781" s="145"/>
      <c r="AB1781" s="129"/>
      <c r="AC1781" s="129"/>
      <c r="AD1781" s="129"/>
      <c r="AE1781" s="129"/>
      <c r="AF1781" s="132"/>
      <c r="AG1781" s="128" t="b">
        <v>0</v>
      </c>
      <c r="AH1781" s="128"/>
      <c r="AI1781" s="128"/>
      <c r="AJ1781" s="128"/>
      <c r="AK1781" s="128"/>
      <c r="AL1781" s="129"/>
      <c r="AM1781" s="129"/>
      <c r="AN1781" s="139"/>
    </row>
    <row r="1782">
      <c r="A1782" s="129"/>
      <c r="B1782" s="119"/>
      <c r="C1782" s="128"/>
      <c r="D1782" s="142"/>
      <c r="E1782" s="122"/>
      <c r="F1782" s="136"/>
      <c r="G1782" s="152"/>
      <c r="H1782" s="155"/>
      <c r="I1782" s="155"/>
      <c r="J1782" s="155"/>
      <c r="K1782" s="155"/>
      <c r="L1782" s="155"/>
      <c r="M1782" s="126"/>
      <c r="N1782" s="127"/>
      <c r="O1782" s="127"/>
      <c r="P1782" s="127"/>
      <c r="Q1782" s="126"/>
      <c r="R1782" s="128"/>
      <c r="S1782" s="128"/>
      <c r="T1782" s="128"/>
      <c r="U1782" s="128"/>
      <c r="V1782" s="129"/>
      <c r="W1782" s="129"/>
      <c r="X1782" s="129"/>
      <c r="Y1782" s="129"/>
      <c r="Z1782" s="145" t="b">
        <v>0</v>
      </c>
      <c r="AA1782" s="145"/>
      <c r="AB1782" s="129"/>
      <c r="AC1782" s="129"/>
      <c r="AD1782" s="129"/>
      <c r="AE1782" s="129"/>
      <c r="AF1782" s="132"/>
      <c r="AG1782" s="128" t="b">
        <v>0</v>
      </c>
      <c r="AH1782" s="128"/>
      <c r="AI1782" s="128"/>
      <c r="AJ1782" s="128"/>
      <c r="AK1782" s="128"/>
      <c r="AL1782" s="129"/>
      <c r="AM1782" s="129"/>
      <c r="AN1782" s="139"/>
    </row>
    <row r="1783">
      <c r="A1783" s="129"/>
      <c r="B1783" s="119"/>
      <c r="C1783" s="128"/>
      <c r="D1783" s="142"/>
      <c r="E1783" s="122"/>
      <c r="F1783" s="136"/>
      <c r="G1783" s="152"/>
      <c r="H1783" s="155"/>
      <c r="I1783" s="155"/>
      <c r="J1783" s="155"/>
      <c r="K1783" s="155"/>
      <c r="L1783" s="155"/>
      <c r="M1783" s="126"/>
      <c r="N1783" s="127"/>
      <c r="O1783" s="127"/>
      <c r="P1783" s="127"/>
      <c r="Q1783" s="126"/>
      <c r="R1783" s="128"/>
      <c r="S1783" s="128"/>
      <c r="T1783" s="128"/>
      <c r="U1783" s="128"/>
      <c r="V1783" s="129"/>
      <c r="W1783" s="129"/>
      <c r="X1783" s="129"/>
      <c r="Y1783" s="129"/>
      <c r="Z1783" s="145" t="b">
        <v>0</v>
      </c>
      <c r="AA1783" s="145"/>
      <c r="AB1783" s="129"/>
      <c r="AC1783" s="129"/>
      <c r="AD1783" s="129"/>
      <c r="AE1783" s="129"/>
      <c r="AF1783" s="132"/>
      <c r="AG1783" s="128" t="b">
        <v>0</v>
      </c>
      <c r="AH1783" s="128"/>
      <c r="AI1783" s="128"/>
      <c r="AJ1783" s="128"/>
      <c r="AK1783" s="128"/>
      <c r="AL1783" s="129"/>
      <c r="AM1783" s="129"/>
      <c r="AN1783" s="139"/>
    </row>
    <row r="1784">
      <c r="A1784" s="129"/>
      <c r="B1784" s="119"/>
      <c r="C1784" s="128"/>
      <c r="D1784" s="142"/>
      <c r="E1784" s="122"/>
      <c r="F1784" s="136"/>
      <c r="G1784" s="152"/>
      <c r="H1784" s="155"/>
      <c r="I1784" s="155"/>
      <c r="J1784" s="155"/>
      <c r="K1784" s="155"/>
      <c r="L1784" s="155"/>
      <c r="M1784" s="126"/>
      <c r="N1784" s="127"/>
      <c r="O1784" s="127"/>
      <c r="P1784" s="127"/>
      <c r="Q1784" s="126"/>
      <c r="R1784" s="128"/>
      <c r="S1784" s="128"/>
      <c r="T1784" s="128"/>
      <c r="U1784" s="128"/>
      <c r="V1784" s="129"/>
      <c r="W1784" s="129"/>
      <c r="X1784" s="129"/>
      <c r="Y1784" s="129"/>
      <c r="Z1784" s="145" t="b">
        <v>0</v>
      </c>
      <c r="AA1784" s="145"/>
      <c r="AB1784" s="129"/>
      <c r="AC1784" s="129"/>
      <c r="AD1784" s="129"/>
      <c r="AE1784" s="129"/>
      <c r="AF1784" s="132"/>
      <c r="AG1784" s="128" t="b">
        <v>0</v>
      </c>
      <c r="AH1784" s="128"/>
      <c r="AI1784" s="128"/>
      <c r="AJ1784" s="128"/>
      <c r="AK1784" s="128"/>
      <c r="AL1784" s="129"/>
      <c r="AM1784" s="129"/>
      <c r="AN1784" s="139"/>
    </row>
    <row r="1785">
      <c r="A1785" s="129"/>
      <c r="B1785" s="119"/>
      <c r="C1785" s="128"/>
      <c r="D1785" s="142"/>
      <c r="E1785" s="122"/>
      <c r="F1785" s="136"/>
      <c r="G1785" s="152"/>
      <c r="H1785" s="155"/>
      <c r="I1785" s="155"/>
      <c r="J1785" s="155"/>
      <c r="K1785" s="155"/>
      <c r="L1785" s="155"/>
      <c r="M1785" s="126"/>
      <c r="N1785" s="127"/>
      <c r="O1785" s="127"/>
      <c r="P1785" s="127"/>
      <c r="Q1785" s="126"/>
      <c r="R1785" s="128"/>
      <c r="S1785" s="128"/>
      <c r="T1785" s="128"/>
      <c r="U1785" s="128"/>
      <c r="V1785" s="129"/>
      <c r="W1785" s="129"/>
      <c r="X1785" s="129"/>
      <c r="Y1785" s="129"/>
      <c r="Z1785" s="145" t="b">
        <v>0</v>
      </c>
      <c r="AA1785" s="145"/>
      <c r="AB1785" s="129"/>
      <c r="AC1785" s="129"/>
      <c r="AD1785" s="129"/>
      <c r="AE1785" s="129"/>
      <c r="AF1785" s="132"/>
      <c r="AG1785" s="128" t="b">
        <v>0</v>
      </c>
      <c r="AH1785" s="128"/>
      <c r="AI1785" s="128"/>
      <c r="AJ1785" s="128"/>
      <c r="AK1785" s="128"/>
      <c r="AL1785" s="129"/>
      <c r="AM1785" s="129"/>
      <c r="AN1785" s="139"/>
    </row>
    <row r="1786">
      <c r="A1786" s="129"/>
      <c r="B1786" s="119"/>
      <c r="C1786" s="128"/>
      <c r="D1786" s="142"/>
      <c r="E1786" s="122"/>
      <c r="F1786" s="136"/>
      <c r="G1786" s="152"/>
      <c r="H1786" s="155"/>
      <c r="I1786" s="155"/>
      <c r="J1786" s="155"/>
      <c r="K1786" s="155"/>
      <c r="L1786" s="155"/>
      <c r="M1786" s="126"/>
      <c r="N1786" s="127"/>
      <c r="O1786" s="127"/>
      <c r="P1786" s="127"/>
      <c r="Q1786" s="126"/>
      <c r="R1786" s="128"/>
      <c r="S1786" s="128"/>
      <c r="T1786" s="128"/>
      <c r="U1786" s="128"/>
      <c r="V1786" s="129"/>
      <c r="W1786" s="129"/>
      <c r="X1786" s="129"/>
      <c r="Y1786" s="129"/>
      <c r="Z1786" s="145" t="b">
        <v>0</v>
      </c>
      <c r="AA1786" s="145"/>
      <c r="AB1786" s="129"/>
      <c r="AC1786" s="129"/>
      <c r="AD1786" s="129"/>
      <c r="AE1786" s="129"/>
      <c r="AF1786" s="132"/>
      <c r="AG1786" s="128" t="b">
        <v>0</v>
      </c>
      <c r="AH1786" s="128"/>
      <c r="AI1786" s="128"/>
      <c r="AJ1786" s="128"/>
      <c r="AK1786" s="128"/>
      <c r="AL1786" s="129"/>
      <c r="AM1786" s="129"/>
      <c r="AN1786" s="139"/>
    </row>
    <row r="1787">
      <c r="A1787" s="129"/>
      <c r="B1787" s="119"/>
      <c r="C1787" s="128"/>
      <c r="D1787" s="142"/>
      <c r="E1787" s="122"/>
      <c r="F1787" s="136"/>
      <c r="G1787" s="152"/>
      <c r="H1787" s="155"/>
      <c r="I1787" s="155"/>
      <c r="J1787" s="155"/>
      <c r="K1787" s="155"/>
      <c r="L1787" s="155"/>
      <c r="M1787" s="126"/>
      <c r="N1787" s="127"/>
      <c r="O1787" s="127"/>
      <c r="P1787" s="127"/>
      <c r="Q1787" s="126"/>
      <c r="R1787" s="128"/>
      <c r="S1787" s="128"/>
      <c r="T1787" s="128"/>
      <c r="U1787" s="128"/>
      <c r="V1787" s="129"/>
      <c r="W1787" s="129"/>
      <c r="X1787" s="129"/>
      <c r="Y1787" s="129"/>
      <c r="Z1787" s="145" t="b">
        <v>0</v>
      </c>
      <c r="AA1787" s="145"/>
      <c r="AB1787" s="129"/>
      <c r="AC1787" s="129"/>
      <c r="AD1787" s="129"/>
      <c r="AE1787" s="129"/>
      <c r="AF1787" s="132"/>
      <c r="AG1787" s="128" t="b">
        <v>0</v>
      </c>
      <c r="AH1787" s="128"/>
      <c r="AI1787" s="128"/>
      <c r="AJ1787" s="128"/>
      <c r="AK1787" s="128"/>
      <c r="AL1787" s="129"/>
      <c r="AM1787" s="129"/>
      <c r="AN1787" s="139"/>
    </row>
    <row r="1788">
      <c r="A1788" s="129"/>
      <c r="B1788" s="119"/>
      <c r="C1788" s="128"/>
      <c r="D1788" s="142"/>
      <c r="E1788" s="122"/>
      <c r="F1788" s="136"/>
      <c r="G1788" s="152"/>
      <c r="H1788" s="155"/>
      <c r="I1788" s="155"/>
      <c r="J1788" s="155"/>
      <c r="K1788" s="155"/>
      <c r="L1788" s="155"/>
      <c r="M1788" s="126"/>
      <c r="N1788" s="127"/>
      <c r="O1788" s="127"/>
      <c r="P1788" s="127"/>
      <c r="Q1788" s="126"/>
      <c r="R1788" s="128"/>
      <c r="S1788" s="128"/>
      <c r="T1788" s="128"/>
      <c r="U1788" s="128"/>
      <c r="V1788" s="129"/>
      <c r="W1788" s="129"/>
      <c r="X1788" s="129"/>
      <c r="Y1788" s="129"/>
      <c r="Z1788" s="145" t="b">
        <v>0</v>
      </c>
      <c r="AA1788" s="145"/>
      <c r="AB1788" s="129"/>
      <c r="AC1788" s="129"/>
      <c r="AD1788" s="129"/>
      <c r="AE1788" s="129"/>
      <c r="AF1788" s="132"/>
      <c r="AG1788" s="128" t="b">
        <v>0</v>
      </c>
      <c r="AH1788" s="128"/>
      <c r="AI1788" s="128"/>
      <c r="AJ1788" s="128"/>
      <c r="AK1788" s="128"/>
      <c r="AL1788" s="129"/>
      <c r="AM1788" s="129"/>
      <c r="AN1788" s="139"/>
    </row>
    <row r="1789">
      <c r="A1789" s="129"/>
      <c r="B1789" s="119"/>
      <c r="C1789" s="128"/>
      <c r="D1789" s="142"/>
      <c r="E1789" s="122"/>
      <c r="F1789" s="136"/>
      <c r="G1789" s="152"/>
      <c r="H1789" s="155"/>
      <c r="I1789" s="155"/>
      <c r="J1789" s="155"/>
      <c r="K1789" s="155"/>
      <c r="L1789" s="155"/>
      <c r="M1789" s="126"/>
      <c r="N1789" s="127"/>
      <c r="O1789" s="127"/>
      <c r="P1789" s="127"/>
      <c r="Q1789" s="126"/>
      <c r="R1789" s="128"/>
      <c r="S1789" s="128"/>
      <c r="T1789" s="128"/>
      <c r="U1789" s="128"/>
      <c r="V1789" s="129"/>
      <c r="W1789" s="129"/>
      <c r="X1789" s="129"/>
      <c r="Y1789" s="129"/>
      <c r="Z1789" s="145" t="b">
        <v>0</v>
      </c>
      <c r="AA1789" s="145"/>
      <c r="AB1789" s="129"/>
      <c r="AC1789" s="129"/>
      <c r="AD1789" s="129"/>
      <c r="AE1789" s="129"/>
      <c r="AF1789" s="132"/>
      <c r="AG1789" s="128" t="b">
        <v>0</v>
      </c>
      <c r="AH1789" s="128"/>
      <c r="AI1789" s="128"/>
      <c r="AJ1789" s="128"/>
      <c r="AK1789" s="128"/>
      <c r="AL1789" s="129"/>
      <c r="AM1789" s="129"/>
      <c r="AN1789" s="139"/>
    </row>
    <row r="1790">
      <c r="A1790" s="129"/>
      <c r="B1790" s="119"/>
      <c r="C1790" s="128"/>
      <c r="D1790" s="142"/>
      <c r="E1790" s="122"/>
      <c r="F1790" s="136"/>
      <c r="G1790" s="152"/>
      <c r="H1790" s="155"/>
      <c r="I1790" s="155"/>
      <c r="J1790" s="155"/>
      <c r="K1790" s="155"/>
      <c r="L1790" s="155"/>
      <c r="M1790" s="126"/>
      <c r="N1790" s="127"/>
      <c r="O1790" s="127"/>
      <c r="P1790" s="127"/>
      <c r="Q1790" s="126"/>
      <c r="R1790" s="128"/>
      <c r="S1790" s="128"/>
      <c r="T1790" s="128"/>
      <c r="U1790" s="128"/>
      <c r="V1790" s="129"/>
      <c r="W1790" s="129"/>
      <c r="X1790" s="129"/>
      <c r="Y1790" s="129"/>
      <c r="Z1790" s="145" t="b">
        <v>0</v>
      </c>
      <c r="AA1790" s="145"/>
      <c r="AB1790" s="129"/>
      <c r="AC1790" s="129"/>
      <c r="AD1790" s="129"/>
      <c r="AE1790" s="129"/>
      <c r="AF1790" s="132"/>
      <c r="AG1790" s="128" t="b">
        <v>0</v>
      </c>
      <c r="AH1790" s="128"/>
      <c r="AI1790" s="128"/>
      <c r="AJ1790" s="128"/>
      <c r="AK1790" s="128"/>
      <c r="AL1790" s="129"/>
      <c r="AM1790" s="129"/>
      <c r="AN1790" s="139"/>
    </row>
    <row r="1791">
      <c r="A1791" s="129"/>
      <c r="B1791" s="119"/>
      <c r="C1791" s="128"/>
      <c r="D1791" s="142"/>
      <c r="E1791" s="122"/>
      <c r="F1791" s="136"/>
      <c r="G1791" s="152"/>
      <c r="H1791" s="155"/>
      <c r="I1791" s="155"/>
      <c r="J1791" s="155"/>
      <c r="K1791" s="155"/>
      <c r="L1791" s="155"/>
      <c r="M1791" s="126"/>
      <c r="N1791" s="127"/>
      <c r="O1791" s="127"/>
      <c r="P1791" s="127"/>
      <c r="Q1791" s="126"/>
      <c r="R1791" s="128"/>
      <c r="S1791" s="128"/>
      <c r="T1791" s="128"/>
      <c r="U1791" s="128"/>
      <c r="V1791" s="129"/>
      <c r="W1791" s="129"/>
      <c r="X1791" s="129"/>
      <c r="Y1791" s="129"/>
      <c r="Z1791" s="145" t="b">
        <v>0</v>
      </c>
      <c r="AA1791" s="145"/>
      <c r="AB1791" s="129"/>
      <c r="AC1791" s="129"/>
      <c r="AD1791" s="129"/>
      <c r="AE1791" s="129"/>
      <c r="AF1791" s="132"/>
      <c r="AG1791" s="128" t="b">
        <v>0</v>
      </c>
      <c r="AH1791" s="128"/>
      <c r="AI1791" s="128"/>
      <c r="AJ1791" s="128"/>
      <c r="AK1791" s="128"/>
      <c r="AL1791" s="129"/>
      <c r="AM1791" s="129"/>
      <c r="AN1791" s="139"/>
    </row>
    <row r="1792">
      <c r="A1792" s="129"/>
      <c r="B1792" s="119"/>
      <c r="C1792" s="128"/>
      <c r="D1792" s="142"/>
      <c r="E1792" s="122"/>
      <c r="F1792" s="136"/>
      <c r="G1792" s="152"/>
      <c r="H1792" s="155"/>
      <c r="I1792" s="155"/>
      <c r="J1792" s="155"/>
      <c r="K1792" s="155"/>
      <c r="L1792" s="155"/>
      <c r="M1792" s="126"/>
      <c r="N1792" s="127"/>
      <c r="O1792" s="127"/>
      <c r="P1792" s="127"/>
      <c r="Q1792" s="126"/>
      <c r="R1792" s="128"/>
      <c r="S1792" s="128"/>
      <c r="T1792" s="128"/>
      <c r="U1792" s="128"/>
      <c r="V1792" s="129"/>
      <c r="W1792" s="129"/>
      <c r="X1792" s="129"/>
      <c r="Y1792" s="129"/>
      <c r="Z1792" s="145" t="b">
        <v>0</v>
      </c>
      <c r="AA1792" s="145"/>
      <c r="AB1792" s="129"/>
      <c r="AC1792" s="129"/>
      <c r="AD1792" s="129"/>
      <c r="AE1792" s="129"/>
      <c r="AF1792" s="132"/>
      <c r="AG1792" s="128" t="b">
        <v>0</v>
      </c>
      <c r="AH1792" s="128"/>
      <c r="AI1792" s="128"/>
      <c r="AJ1792" s="128"/>
      <c r="AK1792" s="128"/>
      <c r="AL1792" s="129"/>
      <c r="AM1792" s="129"/>
      <c r="AN1792" s="139"/>
    </row>
    <row r="1793">
      <c r="A1793" s="129"/>
      <c r="B1793" s="119"/>
      <c r="C1793" s="128"/>
      <c r="D1793" s="142"/>
      <c r="E1793" s="122"/>
      <c r="F1793" s="136"/>
      <c r="G1793" s="152"/>
      <c r="H1793" s="155"/>
      <c r="I1793" s="155"/>
      <c r="J1793" s="155"/>
      <c r="K1793" s="155"/>
      <c r="L1793" s="155"/>
      <c r="M1793" s="126"/>
      <c r="N1793" s="127"/>
      <c r="O1793" s="127"/>
      <c r="P1793" s="127"/>
      <c r="Q1793" s="126"/>
      <c r="R1793" s="128"/>
      <c r="S1793" s="128"/>
      <c r="T1793" s="128"/>
      <c r="U1793" s="128"/>
      <c r="V1793" s="129"/>
      <c r="W1793" s="129"/>
      <c r="X1793" s="129"/>
      <c r="Y1793" s="129"/>
      <c r="Z1793" s="145" t="b">
        <v>0</v>
      </c>
      <c r="AA1793" s="145"/>
      <c r="AB1793" s="129"/>
      <c r="AC1793" s="129"/>
      <c r="AD1793" s="129"/>
      <c r="AE1793" s="129"/>
      <c r="AF1793" s="132"/>
      <c r="AG1793" s="128" t="b">
        <v>0</v>
      </c>
      <c r="AH1793" s="128"/>
      <c r="AI1793" s="128"/>
      <c r="AJ1793" s="128"/>
      <c r="AK1793" s="128"/>
      <c r="AL1793" s="129"/>
      <c r="AM1793" s="129"/>
      <c r="AN1793" s="139"/>
    </row>
    <row r="1794">
      <c r="A1794" s="129"/>
      <c r="B1794" s="119"/>
      <c r="C1794" s="128"/>
      <c r="D1794" s="142"/>
      <c r="E1794" s="122"/>
      <c r="F1794" s="136"/>
      <c r="G1794" s="152"/>
      <c r="H1794" s="155"/>
      <c r="I1794" s="155"/>
      <c r="J1794" s="155"/>
      <c r="K1794" s="155"/>
      <c r="L1794" s="155"/>
      <c r="M1794" s="126"/>
      <c r="N1794" s="127"/>
      <c r="O1794" s="127"/>
      <c r="P1794" s="127"/>
      <c r="Q1794" s="126"/>
      <c r="R1794" s="128"/>
      <c r="S1794" s="128"/>
      <c r="T1794" s="128"/>
      <c r="U1794" s="128"/>
      <c r="V1794" s="129"/>
      <c r="W1794" s="129"/>
      <c r="X1794" s="129"/>
      <c r="Y1794" s="129"/>
      <c r="Z1794" s="145" t="b">
        <v>0</v>
      </c>
      <c r="AA1794" s="145"/>
      <c r="AB1794" s="129"/>
      <c r="AC1794" s="129"/>
      <c r="AD1794" s="129"/>
      <c r="AE1794" s="129"/>
      <c r="AF1794" s="132"/>
      <c r="AG1794" s="128" t="b">
        <v>0</v>
      </c>
      <c r="AH1794" s="128"/>
      <c r="AI1794" s="128"/>
      <c r="AJ1794" s="128"/>
      <c r="AK1794" s="128"/>
      <c r="AL1794" s="129"/>
      <c r="AM1794" s="129"/>
      <c r="AN1794" s="139"/>
    </row>
    <row r="1795">
      <c r="A1795" s="129"/>
      <c r="B1795" s="119"/>
      <c r="C1795" s="128"/>
      <c r="D1795" s="142"/>
      <c r="E1795" s="122"/>
      <c r="F1795" s="136"/>
      <c r="G1795" s="152"/>
      <c r="H1795" s="155"/>
      <c r="I1795" s="155"/>
      <c r="J1795" s="155"/>
      <c r="K1795" s="155"/>
      <c r="L1795" s="155"/>
      <c r="M1795" s="126"/>
      <c r="N1795" s="127"/>
      <c r="O1795" s="127"/>
      <c r="P1795" s="127"/>
      <c r="Q1795" s="126"/>
      <c r="R1795" s="128"/>
      <c r="S1795" s="128"/>
      <c r="T1795" s="128"/>
      <c r="U1795" s="128"/>
      <c r="V1795" s="129"/>
      <c r="W1795" s="129"/>
      <c r="X1795" s="129"/>
      <c r="Y1795" s="129"/>
      <c r="Z1795" s="145" t="b">
        <v>0</v>
      </c>
      <c r="AA1795" s="145"/>
      <c r="AB1795" s="129"/>
      <c r="AC1795" s="129"/>
      <c r="AD1795" s="129"/>
      <c r="AE1795" s="129"/>
      <c r="AF1795" s="132"/>
      <c r="AG1795" s="128" t="b">
        <v>0</v>
      </c>
      <c r="AH1795" s="128"/>
      <c r="AI1795" s="128"/>
      <c r="AJ1795" s="128"/>
      <c r="AK1795" s="128"/>
      <c r="AL1795" s="129"/>
      <c r="AM1795" s="129"/>
      <c r="AN1795" s="139"/>
    </row>
    <row r="1796">
      <c r="A1796" s="129"/>
      <c r="B1796" s="119"/>
      <c r="C1796" s="128"/>
      <c r="D1796" s="142"/>
      <c r="E1796" s="122"/>
      <c r="F1796" s="136"/>
      <c r="G1796" s="152"/>
      <c r="H1796" s="155"/>
      <c r="I1796" s="155"/>
      <c r="J1796" s="155"/>
      <c r="K1796" s="155"/>
      <c r="L1796" s="155"/>
      <c r="M1796" s="126"/>
      <c r="N1796" s="127"/>
      <c r="O1796" s="127"/>
      <c r="P1796" s="127"/>
      <c r="Q1796" s="126"/>
      <c r="R1796" s="128"/>
      <c r="S1796" s="128"/>
      <c r="T1796" s="128"/>
      <c r="U1796" s="128"/>
      <c r="V1796" s="129"/>
      <c r="W1796" s="129"/>
      <c r="X1796" s="129"/>
      <c r="Y1796" s="129"/>
      <c r="Z1796" s="145" t="b">
        <v>0</v>
      </c>
      <c r="AA1796" s="145"/>
      <c r="AB1796" s="129"/>
      <c r="AC1796" s="129"/>
      <c r="AD1796" s="129"/>
      <c r="AE1796" s="129"/>
      <c r="AF1796" s="132"/>
      <c r="AG1796" s="128" t="b">
        <v>0</v>
      </c>
      <c r="AH1796" s="128"/>
      <c r="AI1796" s="128"/>
      <c r="AJ1796" s="128"/>
      <c r="AK1796" s="128"/>
      <c r="AL1796" s="129"/>
      <c r="AM1796" s="129"/>
      <c r="AN1796" s="139"/>
    </row>
    <row r="1797">
      <c r="A1797" s="129"/>
      <c r="B1797" s="119"/>
      <c r="C1797" s="128"/>
      <c r="D1797" s="142"/>
      <c r="E1797" s="122"/>
      <c r="F1797" s="136"/>
      <c r="G1797" s="152"/>
      <c r="H1797" s="155"/>
      <c r="I1797" s="155"/>
      <c r="J1797" s="155"/>
      <c r="K1797" s="155"/>
      <c r="L1797" s="155"/>
      <c r="M1797" s="126"/>
      <c r="N1797" s="127"/>
      <c r="O1797" s="127"/>
      <c r="P1797" s="127"/>
      <c r="Q1797" s="126"/>
      <c r="R1797" s="128"/>
      <c r="S1797" s="128"/>
      <c r="T1797" s="128"/>
      <c r="U1797" s="128"/>
      <c r="V1797" s="129"/>
      <c r="W1797" s="129"/>
      <c r="X1797" s="129"/>
      <c r="Y1797" s="129"/>
      <c r="Z1797" s="145" t="b">
        <v>0</v>
      </c>
      <c r="AA1797" s="145"/>
      <c r="AB1797" s="129"/>
      <c r="AC1797" s="129"/>
      <c r="AD1797" s="129"/>
      <c r="AE1797" s="129"/>
      <c r="AF1797" s="132"/>
      <c r="AG1797" s="128" t="b">
        <v>0</v>
      </c>
      <c r="AH1797" s="128"/>
      <c r="AI1797" s="128"/>
      <c r="AJ1797" s="128"/>
      <c r="AK1797" s="128"/>
      <c r="AL1797" s="129"/>
      <c r="AM1797" s="129"/>
      <c r="AN1797" s="139"/>
    </row>
    <row r="1798">
      <c r="A1798" s="129"/>
      <c r="B1798" s="119"/>
      <c r="C1798" s="128"/>
      <c r="D1798" s="142"/>
      <c r="E1798" s="122"/>
      <c r="F1798" s="136"/>
      <c r="G1798" s="152"/>
      <c r="H1798" s="155"/>
      <c r="I1798" s="155"/>
      <c r="J1798" s="155"/>
      <c r="K1798" s="155"/>
      <c r="L1798" s="155"/>
      <c r="M1798" s="126"/>
      <c r="N1798" s="127"/>
      <c r="O1798" s="127"/>
      <c r="P1798" s="127"/>
      <c r="Q1798" s="126"/>
      <c r="R1798" s="128"/>
      <c r="S1798" s="128"/>
      <c r="T1798" s="128"/>
      <c r="U1798" s="128"/>
      <c r="V1798" s="129"/>
      <c r="W1798" s="129"/>
      <c r="X1798" s="129"/>
      <c r="Y1798" s="129"/>
      <c r="Z1798" s="145" t="b">
        <v>0</v>
      </c>
      <c r="AA1798" s="145"/>
      <c r="AB1798" s="129"/>
      <c r="AC1798" s="129"/>
      <c r="AD1798" s="129"/>
      <c r="AE1798" s="129"/>
      <c r="AF1798" s="132"/>
      <c r="AG1798" s="128" t="b">
        <v>0</v>
      </c>
      <c r="AH1798" s="128"/>
      <c r="AI1798" s="128"/>
      <c r="AJ1798" s="128"/>
      <c r="AK1798" s="128"/>
      <c r="AL1798" s="129"/>
      <c r="AM1798" s="129"/>
      <c r="AN1798" s="139"/>
    </row>
    <row r="1799">
      <c r="A1799" s="129"/>
      <c r="B1799" s="119"/>
      <c r="C1799" s="128"/>
      <c r="D1799" s="142"/>
      <c r="E1799" s="122"/>
      <c r="F1799" s="136"/>
      <c r="G1799" s="152"/>
      <c r="H1799" s="155"/>
      <c r="I1799" s="155"/>
      <c r="J1799" s="155"/>
      <c r="K1799" s="155"/>
      <c r="L1799" s="155"/>
      <c r="M1799" s="126"/>
      <c r="N1799" s="127"/>
      <c r="O1799" s="127"/>
      <c r="P1799" s="127"/>
      <c r="Q1799" s="126"/>
      <c r="R1799" s="128"/>
      <c r="S1799" s="128"/>
      <c r="T1799" s="128"/>
      <c r="U1799" s="128"/>
      <c r="V1799" s="129"/>
      <c r="W1799" s="129"/>
      <c r="X1799" s="129"/>
      <c r="Y1799" s="129"/>
      <c r="Z1799" s="145" t="b">
        <v>0</v>
      </c>
      <c r="AA1799" s="145"/>
      <c r="AB1799" s="129"/>
      <c r="AC1799" s="129"/>
      <c r="AD1799" s="129"/>
      <c r="AE1799" s="129"/>
      <c r="AF1799" s="132"/>
      <c r="AG1799" s="128" t="b">
        <v>0</v>
      </c>
      <c r="AH1799" s="128"/>
      <c r="AI1799" s="128"/>
      <c r="AJ1799" s="128"/>
      <c r="AK1799" s="128"/>
      <c r="AL1799" s="129"/>
      <c r="AM1799" s="129"/>
      <c r="AN1799" s="139"/>
    </row>
    <row r="1800">
      <c r="A1800" s="129"/>
      <c r="B1800" s="119"/>
      <c r="C1800" s="128"/>
      <c r="D1800" s="142"/>
      <c r="E1800" s="122"/>
      <c r="F1800" s="136"/>
      <c r="G1800" s="152"/>
      <c r="H1800" s="155"/>
      <c r="I1800" s="155"/>
      <c r="J1800" s="155"/>
      <c r="K1800" s="155"/>
      <c r="L1800" s="155"/>
      <c r="M1800" s="126"/>
      <c r="N1800" s="127"/>
      <c r="O1800" s="127"/>
      <c r="P1800" s="127"/>
      <c r="Q1800" s="126"/>
      <c r="R1800" s="128"/>
      <c r="S1800" s="128"/>
      <c r="T1800" s="128"/>
      <c r="U1800" s="128"/>
      <c r="V1800" s="129"/>
      <c r="W1800" s="129"/>
      <c r="X1800" s="129"/>
      <c r="Y1800" s="129"/>
      <c r="Z1800" s="145" t="b">
        <v>0</v>
      </c>
      <c r="AA1800" s="145"/>
      <c r="AB1800" s="129"/>
      <c r="AC1800" s="129"/>
      <c r="AD1800" s="129"/>
      <c r="AE1800" s="129"/>
      <c r="AF1800" s="132"/>
      <c r="AG1800" s="128" t="b">
        <v>0</v>
      </c>
      <c r="AH1800" s="128"/>
      <c r="AI1800" s="128"/>
      <c r="AJ1800" s="128"/>
      <c r="AK1800" s="128"/>
      <c r="AL1800" s="129"/>
      <c r="AM1800" s="129"/>
      <c r="AN1800" s="139"/>
    </row>
    <row r="1801">
      <c r="A1801" s="129"/>
      <c r="B1801" s="119"/>
      <c r="C1801" s="128"/>
      <c r="D1801" s="142"/>
      <c r="E1801" s="122"/>
      <c r="F1801" s="136"/>
      <c r="G1801" s="152"/>
      <c r="H1801" s="155"/>
      <c r="I1801" s="155"/>
      <c r="J1801" s="155"/>
      <c r="K1801" s="155"/>
      <c r="L1801" s="155"/>
      <c r="M1801" s="126"/>
      <c r="N1801" s="127"/>
      <c r="O1801" s="127"/>
      <c r="P1801" s="127"/>
      <c r="Q1801" s="126"/>
      <c r="R1801" s="128"/>
      <c r="S1801" s="128"/>
      <c r="T1801" s="128"/>
      <c r="U1801" s="128"/>
      <c r="V1801" s="129"/>
      <c r="W1801" s="129"/>
      <c r="X1801" s="129"/>
      <c r="Y1801" s="129"/>
      <c r="Z1801" s="145" t="b">
        <v>0</v>
      </c>
      <c r="AA1801" s="145"/>
      <c r="AB1801" s="129"/>
      <c r="AC1801" s="129"/>
      <c r="AD1801" s="129"/>
      <c r="AE1801" s="129"/>
      <c r="AF1801" s="132"/>
      <c r="AG1801" s="128" t="b">
        <v>0</v>
      </c>
      <c r="AH1801" s="128"/>
      <c r="AI1801" s="128"/>
      <c r="AJ1801" s="128"/>
      <c r="AK1801" s="128"/>
      <c r="AL1801" s="129"/>
      <c r="AM1801" s="129"/>
      <c r="AN1801" s="139"/>
    </row>
    <row r="1802">
      <c r="A1802" s="129"/>
      <c r="B1802" s="119"/>
      <c r="C1802" s="128"/>
      <c r="D1802" s="142"/>
      <c r="E1802" s="122"/>
      <c r="F1802" s="136"/>
      <c r="G1802" s="152"/>
      <c r="H1802" s="155"/>
      <c r="I1802" s="155"/>
      <c r="J1802" s="155"/>
      <c r="K1802" s="155"/>
      <c r="L1802" s="155"/>
      <c r="M1802" s="126"/>
      <c r="N1802" s="127"/>
      <c r="O1802" s="127"/>
      <c r="P1802" s="127"/>
      <c r="Q1802" s="126"/>
      <c r="R1802" s="128"/>
      <c r="S1802" s="128"/>
      <c r="T1802" s="128"/>
      <c r="U1802" s="128"/>
      <c r="V1802" s="129"/>
      <c r="W1802" s="129"/>
      <c r="X1802" s="129"/>
      <c r="Y1802" s="129"/>
      <c r="Z1802" s="145" t="b">
        <v>0</v>
      </c>
      <c r="AA1802" s="145"/>
      <c r="AB1802" s="129"/>
      <c r="AC1802" s="129"/>
      <c r="AD1802" s="129"/>
      <c r="AE1802" s="129"/>
      <c r="AF1802" s="132"/>
      <c r="AG1802" s="128" t="b">
        <v>0</v>
      </c>
      <c r="AH1802" s="128"/>
      <c r="AI1802" s="128"/>
      <c r="AJ1802" s="128"/>
      <c r="AK1802" s="128"/>
      <c r="AL1802" s="129"/>
      <c r="AM1802" s="129"/>
      <c r="AN1802" s="139"/>
    </row>
    <row r="1803">
      <c r="A1803" s="129"/>
      <c r="B1803" s="119"/>
      <c r="C1803" s="128"/>
      <c r="D1803" s="142"/>
      <c r="E1803" s="122"/>
      <c r="F1803" s="136"/>
      <c r="G1803" s="152"/>
      <c r="H1803" s="155"/>
      <c r="I1803" s="155"/>
      <c r="J1803" s="155"/>
      <c r="K1803" s="155"/>
      <c r="L1803" s="155"/>
      <c r="M1803" s="126"/>
      <c r="N1803" s="127"/>
      <c r="O1803" s="127"/>
      <c r="P1803" s="127"/>
      <c r="Q1803" s="126"/>
      <c r="R1803" s="128"/>
      <c r="S1803" s="128"/>
      <c r="T1803" s="128"/>
      <c r="U1803" s="128"/>
      <c r="V1803" s="129"/>
      <c r="W1803" s="129"/>
      <c r="X1803" s="129"/>
      <c r="Y1803" s="129"/>
      <c r="Z1803" s="145" t="b">
        <v>0</v>
      </c>
      <c r="AA1803" s="145"/>
      <c r="AB1803" s="129"/>
      <c r="AC1803" s="129"/>
      <c r="AD1803" s="129"/>
      <c r="AE1803" s="129"/>
      <c r="AF1803" s="132"/>
      <c r="AG1803" s="128" t="b">
        <v>0</v>
      </c>
      <c r="AH1803" s="128"/>
      <c r="AI1803" s="128"/>
      <c r="AJ1803" s="128"/>
      <c r="AK1803" s="128"/>
      <c r="AL1803" s="129"/>
      <c r="AM1803" s="129"/>
      <c r="AN1803" s="139"/>
    </row>
    <row r="1804">
      <c r="A1804" s="129"/>
      <c r="B1804" s="119"/>
      <c r="C1804" s="128"/>
      <c r="D1804" s="142"/>
      <c r="E1804" s="122"/>
      <c r="F1804" s="136"/>
      <c r="G1804" s="152"/>
      <c r="H1804" s="155"/>
      <c r="I1804" s="155"/>
      <c r="J1804" s="155"/>
      <c r="K1804" s="155"/>
      <c r="L1804" s="155"/>
      <c r="M1804" s="126"/>
      <c r="N1804" s="127"/>
      <c r="O1804" s="127"/>
      <c r="P1804" s="127"/>
      <c r="Q1804" s="126"/>
      <c r="R1804" s="128"/>
      <c r="S1804" s="128"/>
      <c r="T1804" s="128"/>
      <c r="U1804" s="128"/>
      <c r="V1804" s="129"/>
      <c r="W1804" s="129"/>
      <c r="X1804" s="129"/>
      <c r="Y1804" s="129"/>
      <c r="Z1804" s="145" t="b">
        <v>0</v>
      </c>
      <c r="AA1804" s="145"/>
      <c r="AB1804" s="129"/>
      <c r="AC1804" s="129"/>
      <c r="AD1804" s="129"/>
      <c r="AE1804" s="129"/>
      <c r="AF1804" s="132"/>
      <c r="AG1804" s="128" t="b">
        <v>0</v>
      </c>
      <c r="AH1804" s="128"/>
      <c r="AI1804" s="128"/>
      <c r="AJ1804" s="128"/>
      <c r="AK1804" s="128"/>
      <c r="AL1804" s="129"/>
      <c r="AM1804" s="129"/>
      <c r="AN1804" s="139"/>
    </row>
    <row r="1805">
      <c r="A1805" s="129"/>
      <c r="B1805" s="119"/>
      <c r="C1805" s="128"/>
      <c r="D1805" s="142"/>
      <c r="E1805" s="122"/>
      <c r="F1805" s="136"/>
      <c r="G1805" s="152"/>
      <c r="H1805" s="155"/>
      <c r="I1805" s="155"/>
      <c r="J1805" s="155"/>
      <c r="K1805" s="155"/>
      <c r="L1805" s="155"/>
      <c r="M1805" s="126"/>
      <c r="N1805" s="127"/>
      <c r="O1805" s="127"/>
      <c r="P1805" s="127"/>
      <c r="Q1805" s="126"/>
      <c r="R1805" s="128"/>
      <c r="S1805" s="128"/>
      <c r="T1805" s="128"/>
      <c r="U1805" s="128"/>
      <c r="V1805" s="129"/>
      <c r="W1805" s="129"/>
      <c r="X1805" s="129"/>
      <c r="Y1805" s="129"/>
      <c r="Z1805" s="145" t="b">
        <v>0</v>
      </c>
      <c r="AA1805" s="145"/>
      <c r="AB1805" s="129"/>
      <c r="AC1805" s="129"/>
      <c r="AD1805" s="129"/>
      <c r="AE1805" s="129"/>
      <c r="AF1805" s="132"/>
      <c r="AG1805" s="128" t="b">
        <v>0</v>
      </c>
      <c r="AH1805" s="128"/>
      <c r="AI1805" s="128"/>
      <c r="AJ1805" s="128"/>
      <c r="AK1805" s="128"/>
      <c r="AL1805" s="129"/>
      <c r="AM1805" s="129"/>
      <c r="AN1805" s="139"/>
    </row>
    <row r="1806">
      <c r="A1806" s="129"/>
      <c r="B1806" s="119"/>
      <c r="C1806" s="128"/>
      <c r="D1806" s="142"/>
      <c r="E1806" s="122"/>
      <c r="F1806" s="136"/>
      <c r="G1806" s="152"/>
      <c r="H1806" s="155"/>
      <c r="I1806" s="155"/>
      <c r="J1806" s="155"/>
      <c r="K1806" s="155"/>
      <c r="L1806" s="155"/>
      <c r="M1806" s="126"/>
      <c r="N1806" s="127"/>
      <c r="O1806" s="127"/>
      <c r="P1806" s="127"/>
      <c r="Q1806" s="126"/>
      <c r="R1806" s="128"/>
      <c r="S1806" s="128"/>
      <c r="T1806" s="128"/>
      <c r="U1806" s="128"/>
      <c r="V1806" s="129"/>
      <c r="W1806" s="129"/>
      <c r="X1806" s="129"/>
      <c r="Y1806" s="129"/>
      <c r="Z1806" s="145" t="b">
        <v>0</v>
      </c>
      <c r="AA1806" s="145"/>
      <c r="AB1806" s="129"/>
      <c r="AC1806" s="129"/>
      <c r="AD1806" s="129"/>
      <c r="AE1806" s="129"/>
      <c r="AF1806" s="132"/>
      <c r="AG1806" s="128" t="b">
        <v>0</v>
      </c>
      <c r="AH1806" s="128"/>
      <c r="AI1806" s="128"/>
      <c r="AJ1806" s="128"/>
      <c r="AK1806" s="128"/>
      <c r="AL1806" s="129"/>
      <c r="AM1806" s="129"/>
      <c r="AN1806" s="139"/>
    </row>
    <row r="1807">
      <c r="A1807" s="129"/>
      <c r="B1807" s="119"/>
      <c r="C1807" s="128"/>
      <c r="D1807" s="142"/>
      <c r="E1807" s="122"/>
      <c r="F1807" s="136"/>
      <c r="G1807" s="152"/>
      <c r="H1807" s="155"/>
      <c r="I1807" s="155"/>
      <c r="J1807" s="155"/>
      <c r="K1807" s="155"/>
      <c r="L1807" s="155"/>
      <c r="M1807" s="126"/>
      <c r="N1807" s="127"/>
      <c r="O1807" s="127"/>
      <c r="P1807" s="127"/>
      <c r="Q1807" s="126"/>
      <c r="R1807" s="128"/>
      <c r="S1807" s="128"/>
      <c r="T1807" s="128"/>
      <c r="U1807" s="128"/>
      <c r="V1807" s="129"/>
      <c r="W1807" s="129"/>
      <c r="X1807" s="129"/>
      <c r="Y1807" s="129"/>
      <c r="Z1807" s="145" t="b">
        <v>0</v>
      </c>
      <c r="AA1807" s="145"/>
      <c r="AB1807" s="129"/>
      <c r="AC1807" s="129"/>
      <c r="AD1807" s="129"/>
      <c r="AE1807" s="129"/>
      <c r="AF1807" s="132"/>
      <c r="AG1807" s="128" t="b">
        <v>0</v>
      </c>
      <c r="AH1807" s="128"/>
      <c r="AI1807" s="128"/>
      <c r="AJ1807" s="128"/>
      <c r="AK1807" s="128"/>
      <c r="AL1807" s="129"/>
      <c r="AM1807" s="129"/>
      <c r="AN1807" s="139"/>
    </row>
    <row r="1808">
      <c r="A1808" s="129"/>
      <c r="B1808" s="119"/>
      <c r="C1808" s="128"/>
      <c r="D1808" s="142"/>
      <c r="E1808" s="122"/>
      <c r="F1808" s="136"/>
      <c r="G1808" s="152"/>
      <c r="H1808" s="155"/>
      <c r="I1808" s="155"/>
      <c r="J1808" s="155"/>
      <c r="K1808" s="155"/>
      <c r="L1808" s="155"/>
      <c r="M1808" s="126"/>
      <c r="N1808" s="127"/>
      <c r="O1808" s="127"/>
      <c r="P1808" s="127"/>
      <c r="Q1808" s="126"/>
      <c r="R1808" s="128"/>
      <c r="S1808" s="128"/>
      <c r="T1808" s="128"/>
      <c r="U1808" s="128"/>
      <c r="V1808" s="129"/>
      <c r="W1808" s="129"/>
      <c r="X1808" s="129"/>
      <c r="Y1808" s="129"/>
      <c r="Z1808" s="145" t="b">
        <v>0</v>
      </c>
      <c r="AA1808" s="145"/>
      <c r="AB1808" s="129"/>
      <c r="AC1808" s="129"/>
      <c r="AD1808" s="129"/>
      <c r="AE1808" s="129"/>
      <c r="AF1808" s="132"/>
      <c r="AG1808" s="128" t="b">
        <v>0</v>
      </c>
      <c r="AH1808" s="128"/>
      <c r="AI1808" s="128"/>
      <c r="AJ1808" s="128"/>
      <c r="AK1808" s="128"/>
      <c r="AL1808" s="129"/>
      <c r="AM1808" s="129"/>
      <c r="AN1808" s="139"/>
    </row>
    <row r="1809">
      <c r="A1809" s="129"/>
      <c r="B1809" s="119"/>
      <c r="C1809" s="128"/>
      <c r="D1809" s="142"/>
      <c r="E1809" s="122"/>
      <c r="F1809" s="136"/>
      <c r="G1809" s="152"/>
      <c r="H1809" s="155"/>
      <c r="I1809" s="155"/>
      <c r="J1809" s="155"/>
      <c r="K1809" s="155"/>
      <c r="L1809" s="155"/>
      <c r="M1809" s="126"/>
      <c r="N1809" s="127"/>
      <c r="O1809" s="127"/>
      <c r="P1809" s="127"/>
      <c r="Q1809" s="126"/>
      <c r="R1809" s="128"/>
      <c r="S1809" s="128"/>
      <c r="T1809" s="128"/>
      <c r="U1809" s="128"/>
      <c r="V1809" s="129"/>
      <c r="W1809" s="129"/>
      <c r="X1809" s="129"/>
      <c r="Y1809" s="129"/>
      <c r="Z1809" s="145" t="b">
        <v>0</v>
      </c>
      <c r="AA1809" s="145"/>
      <c r="AB1809" s="129"/>
      <c r="AC1809" s="129"/>
      <c r="AD1809" s="129"/>
      <c r="AE1809" s="129"/>
      <c r="AF1809" s="132"/>
      <c r="AG1809" s="128" t="b">
        <v>0</v>
      </c>
      <c r="AH1809" s="128"/>
      <c r="AI1809" s="128"/>
      <c r="AJ1809" s="128"/>
      <c r="AK1809" s="128"/>
      <c r="AL1809" s="129"/>
      <c r="AM1809" s="129"/>
      <c r="AN1809" s="139"/>
    </row>
    <row r="1810">
      <c r="A1810" s="129"/>
      <c r="B1810" s="119"/>
      <c r="C1810" s="128"/>
      <c r="D1810" s="142"/>
      <c r="E1810" s="122"/>
      <c r="F1810" s="136"/>
      <c r="G1810" s="152"/>
      <c r="H1810" s="155"/>
      <c r="I1810" s="155"/>
      <c r="J1810" s="155"/>
      <c r="K1810" s="155"/>
      <c r="L1810" s="155"/>
      <c r="M1810" s="126"/>
      <c r="N1810" s="127"/>
      <c r="O1810" s="127"/>
      <c r="P1810" s="127"/>
      <c r="Q1810" s="126"/>
      <c r="R1810" s="128"/>
      <c r="S1810" s="128"/>
      <c r="T1810" s="128"/>
      <c r="U1810" s="128"/>
      <c r="V1810" s="129"/>
      <c r="W1810" s="129"/>
      <c r="X1810" s="129"/>
      <c r="Y1810" s="129"/>
      <c r="Z1810" s="145" t="b">
        <v>0</v>
      </c>
      <c r="AA1810" s="145"/>
      <c r="AB1810" s="129"/>
      <c r="AC1810" s="129"/>
      <c r="AD1810" s="129"/>
      <c r="AE1810" s="129"/>
      <c r="AF1810" s="132"/>
      <c r="AG1810" s="128" t="b">
        <v>0</v>
      </c>
      <c r="AH1810" s="128"/>
      <c r="AI1810" s="128"/>
      <c r="AJ1810" s="128"/>
      <c r="AK1810" s="128"/>
      <c r="AL1810" s="129"/>
      <c r="AM1810" s="129"/>
      <c r="AN1810" s="139"/>
    </row>
    <row r="1811">
      <c r="A1811" s="129"/>
      <c r="B1811" s="119"/>
      <c r="C1811" s="128"/>
      <c r="D1811" s="142"/>
      <c r="E1811" s="122"/>
      <c r="F1811" s="136"/>
      <c r="G1811" s="152"/>
      <c r="H1811" s="155"/>
      <c r="I1811" s="155"/>
      <c r="J1811" s="155"/>
      <c r="K1811" s="155"/>
      <c r="L1811" s="155"/>
      <c r="M1811" s="126"/>
      <c r="N1811" s="127"/>
      <c r="O1811" s="127"/>
      <c r="P1811" s="127"/>
      <c r="Q1811" s="126"/>
      <c r="R1811" s="128"/>
      <c r="S1811" s="128"/>
      <c r="T1811" s="128"/>
      <c r="U1811" s="128"/>
      <c r="V1811" s="129"/>
      <c r="W1811" s="129"/>
      <c r="X1811" s="129"/>
      <c r="Y1811" s="129"/>
      <c r="Z1811" s="145" t="b">
        <v>0</v>
      </c>
      <c r="AA1811" s="145"/>
      <c r="AB1811" s="129"/>
      <c r="AC1811" s="129"/>
      <c r="AD1811" s="129"/>
      <c r="AE1811" s="129"/>
      <c r="AF1811" s="132"/>
      <c r="AG1811" s="128" t="b">
        <v>0</v>
      </c>
      <c r="AH1811" s="128"/>
      <c r="AI1811" s="128"/>
      <c r="AJ1811" s="128"/>
      <c r="AK1811" s="128"/>
      <c r="AL1811" s="129"/>
      <c r="AM1811" s="129"/>
      <c r="AN1811" s="139"/>
    </row>
    <row r="1812">
      <c r="A1812" s="129"/>
      <c r="B1812" s="119"/>
      <c r="C1812" s="128"/>
      <c r="D1812" s="142"/>
      <c r="E1812" s="122"/>
      <c r="F1812" s="136"/>
      <c r="G1812" s="152"/>
      <c r="H1812" s="155"/>
      <c r="I1812" s="155"/>
      <c r="J1812" s="155"/>
      <c r="K1812" s="155"/>
      <c r="L1812" s="155"/>
      <c r="M1812" s="126"/>
      <c r="N1812" s="127"/>
      <c r="O1812" s="127"/>
      <c r="P1812" s="127"/>
      <c r="Q1812" s="126"/>
      <c r="R1812" s="128"/>
      <c r="S1812" s="128"/>
      <c r="T1812" s="128"/>
      <c r="U1812" s="128"/>
      <c r="V1812" s="129"/>
      <c r="W1812" s="129"/>
      <c r="X1812" s="129"/>
      <c r="Y1812" s="129"/>
      <c r="Z1812" s="145" t="b">
        <v>0</v>
      </c>
      <c r="AA1812" s="145"/>
      <c r="AB1812" s="129"/>
      <c r="AC1812" s="129"/>
      <c r="AD1812" s="129"/>
      <c r="AE1812" s="129"/>
      <c r="AF1812" s="132"/>
      <c r="AG1812" s="128" t="b">
        <v>0</v>
      </c>
      <c r="AH1812" s="128"/>
      <c r="AI1812" s="128"/>
      <c r="AJ1812" s="128"/>
      <c r="AK1812" s="128"/>
      <c r="AL1812" s="129"/>
      <c r="AM1812" s="129"/>
      <c r="AN1812" s="139"/>
    </row>
    <row r="1813">
      <c r="A1813" s="129"/>
      <c r="B1813" s="119"/>
      <c r="C1813" s="128"/>
      <c r="D1813" s="142"/>
      <c r="E1813" s="122"/>
      <c r="F1813" s="136"/>
      <c r="G1813" s="152"/>
      <c r="H1813" s="155"/>
      <c r="I1813" s="155"/>
      <c r="J1813" s="155"/>
      <c r="K1813" s="155"/>
      <c r="L1813" s="155"/>
      <c r="M1813" s="126"/>
      <c r="N1813" s="127"/>
      <c r="O1813" s="127"/>
      <c r="P1813" s="127"/>
      <c r="Q1813" s="126"/>
      <c r="R1813" s="128"/>
      <c r="S1813" s="128"/>
      <c r="T1813" s="128"/>
      <c r="U1813" s="128"/>
      <c r="V1813" s="129"/>
      <c r="W1813" s="129"/>
      <c r="X1813" s="129"/>
      <c r="Y1813" s="129"/>
      <c r="Z1813" s="145" t="b">
        <v>0</v>
      </c>
      <c r="AA1813" s="145"/>
      <c r="AB1813" s="129"/>
      <c r="AC1813" s="129"/>
      <c r="AD1813" s="129"/>
      <c r="AE1813" s="129"/>
      <c r="AF1813" s="132"/>
      <c r="AG1813" s="128" t="b">
        <v>0</v>
      </c>
      <c r="AH1813" s="128"/>
      <c r="AI1813" s="128"/>
      <c r="AJ1813" s="128"/>
      <c r="AK1813" s="128"/>
      <c r="AL1813" s="129"/>
      <c r="AM1813" s="129"/>
      <c r="AN1813" s="139"/>
    </row>
    <row r="1814">
      <c r="A1814" s="129"/>
      <c r="B1814" s="119"/>
      <c r="C1814" s="128"/>
      <c r="D1814" s="142"/>
      <c r="E1814" s="122"/>
      <c r="F1814" s="136"/>
      <c r="G1814" s="152"/>
      <c r="H1814" s="155"/>
      <c r="I1814" s="155"/>
      <c r="J1814" s="155"/>
      <c r="K1814" s="155"/>
      <c r="L1814" s="155"/>
      <c r="M1814" s="126"/>
      <c r="N1814" s="127"/>
      <c r="O1814" s="127"/>
      <c r="P1814" s="127"/>
      <c r="Q1814" s="126"/>
      <c r="R1814" s="128"/>
      <c r="S1814" s="128"/>
      <c r="T1814" s="128"/>
      <c r="U1814" s="128"/>
      <c r="V1814" s="129"/>
      <c r="W1814" s="129"/>
      <c r="X1814" s="129"/>
      <c r="Y1814" s="129"/>
      <c r="Z1814" s="145" t="b">
        <v>0</v>
      </c>
      <c r="AA1814" s="145"/>
      <c r="AB1814" s="129"/>
      <c r="AC1814" s="129"/>
      <c r="AD1814" s="129"/>
      <c r="AE1814" s="129"/>
      <c r="AF1814" s="132"/>
      <c r="AG1814" s="128" t="b">
        <v>0</v>
      </c>
      <c r="AH1814" s="128"/>
      <c r="AI1814" s="128"/>
      <c r="AJ1814" s="128"/>
      <c r="AK1814" s="128"/>
      <c r="AL1814" s="129"/>
      <c r="AM1814" s="129"/>
      <c r="AN1814" s="139"/>
    </row>
    <row r="1815">
      <c r="A1815" s="129"/>
      <c r="B1815" s="119"/>
      <c r="C1815" s="128"/>
      <c r="D1815" s="142"/>
      <c r="E1815" s="122"/>
      <c r="F1815" s="136"/>
      <c r="G1815" s="152"/>
      <c r="H1815" s="155"/>
      <c r="I1815" s="155"/>
      <c r="J1815" s="155"/>
      <c r="K1815" s="155"/>
      <c r="L1815" s="155"/>
      <c r="M1815" s="126"/>
      <c r="N1815" s="127"/>
      <c r="O1815" s="127"/>
      <c r="P1815" s="127"/>
      <c r="Q1815" s="126"/>
      <c r="R1815" s="128"/>
      <c r="S1815" s="128"/>
      <c r="T1815" s="128"/>
      <c r="U1815" s="128"/>
      <c r="V1815" s="129"/>
      <c r="W1815" s="129"/>
      <c r="X1815" s="129"/>
      <c r="Y1815" s="129"/>
      <c r="Z1815" s="145" t="b">
        <v>0</v>
      </c>
      <c r="AA1815" s="145"/>
      <c r="AB1815" s="129"/>
      <c r="AC1815" s="129"/>
      <c r="AD1815" s="129"/>
      <c r="AE1815" s="129"/>
      <c r="AF1815" s="132"/>
      <c r="AG1815" s="128" t="b">
        <v>0</v>
      </c>
      <c r="AH1815" s="128"/>
      <c r="AI1815" s="128"/>
      <c r="AJ1815" s="128"/>
      <c r="AK1815" s="128"/>
      <c r="AL1815" s="129"/>
      <c r="AM1815" s="129"/>
      <c r="AN1815" s="139"/>
    </row>
    <row r="1816">
      <c r="A1816" s="129"/>
      <c r="B1816" s="119"/>
      <c r="C1816" s="128"/>
      <c r="D1816" s="142"/>
      <c r="E1816" s="122"/>
      <c r="F1816" s="136"/>
      <c r="G1816" s="152"/>
      <c r="H1816" s="155"/>
      <c r="I1816" s="155"/>
      <c r="J1816" s="155"/>
      <c r="K1816" s="155"/>
      <c r="L1816" s="155"/>
      <c r="M1816" s="126"/>
      <c r="N1816" s="127"/>
      <c r="O1816" s="127"/>
      <c r="P1816" s="127"/>
      <c r="Q1816" s="126"/>
      <c r="R1816" s="128"/>
      <c r="S1816" s="128"/>
      <c r="T1816" s="128"/>
      <c r="U1816" s="128"/>
      <c r="V1816" s="129"/>
      <c r="W1816" s="129"/>
      <c r="X1816" s="129"/>
      <c r="Y1816" s="129"/>
      <c r="Z1816" s="145" t="b">
        <v>0</v>
      </c>
      <c r="AA1816" s="145"/>
      <c r="AB1816" s="129"/>
      <c r="AC1816" s="129"/>
      <c r="AD1816" s="129"/>
      <c r="AE1816" s="129"/>
      <c r="AF1816" s="132"/>
      <c r="AG1816" s="128" t="b">
        <v>0</v>
      </c>
      <c r="AH1816" s="128"/>
      <c r="AI1816" s="128"/>
      <c r="AJ1816" s="128"/>
      <c r="AK1816" s="128"/>
      <c r="AL1816" s="129"/>
      <c r="AM1816" s="129"/>
      <c r="AN1816" s="139"/>
    </row>
    <row r="1817">
      <c r="A1817" s="129"/>
      <c r="B1817" s="119"/>
      <c r="C1817" s="128"/>
      <c r="D1817" s="142"/>
      <c r="E1817" s="122"/>
      <c r="F1817" s="136"/>
      <c r="G1817" s="152"/>
      <c r="H1817" s="155"/>
      <c r="I1817" s="155"/>
      <c r="J1817" s="155"/>
      <c r="K1817" s="155"/>
      <c r="L1817" s="155"/>
      <c r="M1817" s="126"/>
      <c r="N1817" s="127"/>
      <c r="O1817" s="127"/>
      <c r="P1817" s="127"/>
      <c r="Q1817" s="126"/>
      <c r="R1817" s="128"/>
      <c r="S1817" s="128"/>
      <c r="T1817" s="128"/>
      <c r="U1817" s="128"/>
      <c r="V1817" s="129"/>
      <c r="W1817" s="129"/>
      <c r="X1817" s="129"/>
      <c r="Y1817" s="129"/>
      <c r="Z1817" s="145" t="b">
        <v>0</v>
      </c>
      <c r="AA1817" s="145"/>
      <c r="AB1817" s="129"/>
      <c r="AC1817" s="129"/>
      <c r="AD1817" s="129"/>
      <c r="AE1817" s="129"/>
      <c r="AF1817" s="132"/>
      <c r="AG1817" s="128" t="b">
        <v>0</v>
      </c>
      <c r="AH1817" s="128"/>
      <c r="AI1817" s="128"/>
      <c r="AJ1817" s="128"/>
      <c r="AK1817" s="128"/>
      <c r="AL1817" s="129"/>
      <c r="AM1817" s="129"/>
      <c r="AN1817" s="139"/>
    </row>
    <row r="1818">
      <c r="A1818" s="129"/>
      <c r="B1818" s="119"/>
      <c r="C1818" s="128"/>
      <c r="D1818" s="142"/>
      <c r="E1818" s="122"/>
      <c r="F1818" s="136"/>
      <c r="G1818" s="152"/>
      <c r="H1818" s="155"/>
      <c r="I1818" s="155"/>
      <c r="J1818" s="155"/>
      <c r="K1818" s="155"/>
      <c r="L1818" s="155"/>
      <c r="M1818" s="126"/>
      <c r="N1818" s="127"/>
      <c r="O1818" s="127"/>
      <c r="P1818" s="127"/>
      <c r="Q1818" s="126"/>
      <c r="R1818" s="128"/>
      <c r="S1818" s="128"/>
      <c r="T1818" s="128"/>
      <c r="U1818" s="128"/>
      <c r="V1818" s="129"/>
      <c r="W1818" s="129"/>
      <c r="X1818" s="129"/>
      <c r="Y1818" s="129"/>
      <c r="Z1818" s="145" t="b">
        <v>0</v>
      </c>
      <c r="AA1818" s="145"/>
      <c r="AB1818" s="129"/>
      <c r="AC1818" s="129"/>
      <c r="AD1818" s="129"/>
      <c r="AE1818" s="129"/>
      <c r="AF1818" s="132"/>
      <c r="AG1818" s="128" t="b">
        <v>0</v>
      </c>
      <c r="AH1818" s="128"/>
      <c r="AI1818" s="128"/>
      <c r="AJ1818" s="128"/>
      <c r="AK1818" s="128"/>
      <c r="AL1818" s="129"/>
      <c r="AM1818" s="129"/>
      <c r="AN1818" s="139"/>
    </row>
    <row r="1819">
      <c r="A1819" s="129"/>
      <c r="B1819" s="119"/>
      <c r="C1819" s="128"/>
      <c r="D1819" s="142"/>
      <c r="E1819" s="122"/>
      <c r="F1819" s="136"/>
      <c r="G1819" s="152"/>
      <c r="H1819" s="155"/>
      <c r="I1819" s="155"/>
      <c r="J1819" s="155"/>
      <c r="K1819" s="155"/>
      <c r="L1819" s="155"/>
      <c r="M1819" s="126"/>
      <c r="N1819" s="127"/>
      <c r="O1819" s="127"/>
      <c r="P1819" s="127"/>
      <c r="Q1819" s="126"/>
      <c r="R1819" s="128"/>
      <c r="S1819" s="128"/>
      <c r="T1819" s="128"/>
      <c r="U1819" s="128"/>
      <c r="V1819" s="129"/>
      <c r="W1819" s="129"/>
      <c r="X1819" s="129"/>
      <c r="Y1819" s="129"/>
      <c r="Z1819" s="145" t="b">
        <v>0</v>
      </c>
      <c r="AA1819" s="145"/>
      <c r="AB1819" s="129"/>
      <c r="AC1819" s="129"/>
      <c r="AD1819" s="129"/>
      <c r="AE1819" s="129"/>
      <c r="AF1819" s="132"/>
      <c r="AG1819" s="128" t="b">
        <v>0</v>
      </c>
      <c r="AH1819" s="128"/>
      <c r="AI1819" s="128"/>
      <c r="AJ1819" s="128"/>
      <c r="AK1819" s="128"/>
      <c r="AL1819" s="129"/>
      <c r="AM1819" s="129"/>
      <c r="AN1819" s="139"/>
    </row>
    <row r="1820">
      <c r="A1820" s="129"/>
      <c r="B1820" s="119"/>
      <c r="C1820" s="128"/>
      <c r="D1820" s="142"/>
      <c r="E1820" s="122"/>
      <c r="F1820" s="136"/>
      <c r="G1820" s="152"/>
      <c r="H1820" s="155"/>
      <c r="I1820" s="155"/>
      <c r="J1820" s="155"/>
      <c r="K1820" s="155"/>
      <c r="L1820" s="155"/>
      <c r="M1820" s="126"/>
      <c r="N1820" s="127"/>
      <c r="O1820" s="127"/>
      <c r="P1820" s="127"/>
      <c r="Q1820" s="126"/>
      <c r="R1820" s="128"/>
      <c r="S1820" s="128"/>
      <c r="T1820" s="128"/>
      <c r="U1820" s="128"/>
      <c r="V1820" s="129"/>
      <c r="W1820" s="129"/>
      <c r="X1820" s="129"/>
      <c r="Y1820" s="129"/>
      <c r="Z1820" s="145" t="b">
        <v>0</v>
      </c>
      <c r="AA1820" s="145"/>
      <c r="AB1820" s="129"/>
      <c r="AC1820" s="129"/>
      <c r="AD1820" s="129"/>
      <c r="AE1820" s="129"/>
      <c r="AF1820" s="132"/>
      <c r="AG1820" s="128" t="b">
        <v>0</v>
      </c>
      <c r="AH1820" s="128"/>
      <c r="AI1820" s="128"/>
      <c r="AJ1820" s="128"/>
      <c r="AK1820" s="128"/>
      <c r="AL1820" s="129"/>
      <c r="AM1820" s="129"/>
      <c r="AN1820" s="139"/>
    </row>
    <row r="1821">
      <c r="A1821" s="129"/>
      <c r="B1821" s="119"/>
      <c r="C1821" s="128"/>
      <c r="D1821" s="142"/>
      <c r="E1821" s="122"/>
      <c r="F1821" s="136"/>
      <c r="G1821" s="152"/>
      <c r="H1821" s="155"/>
      <c r="I1821" s="155"/>
      <c r="J1821" s="155"/>
      <c r="K1821" s="155"/>
      <c r="L1821" s="155"/>
      <c r="M1821" s="126"/>
      <c r="N1821" s="127"/>
      <c r="O1821" s="127"/>
      <c r="P1821" s="127"/>
      <c r="Q1821" s="126"/>
      <c r="R1821" s="128"/>
      <c r="S1821" s="128"/>
      <c r="T1821" s="128"/>
      <c r="U1821" s="128"/>
      <c r="V1821" s="129"/>
      <c r="W1821" s="129"/>
      <c r="X1821" s="129"/>
      <c r="Y1821" s="129"/>
      <c r="Z1821" s="145" t="b">
        <v>0</v>
      </c>
      <c r="AA1821" s="145"/>
      <c r="AB1821" s="129"/>
      <c r="AC1821" s="129"/>
      <c r="AD1821" s="129"/>
      <c r="AE1821" s="129"/>
      <c r="AF1821" s="132"/>
      <c r="AG1821" s="128" t="b">
        <v>0</v>
      </c>
      <c r="AH1821" s="128"/>
      <c r="AI1821" s="128"/>
      <c r="AJ1821" s="128"/>
      <c r="AK1821" s="128"/>
      <c r="AL1821" s="129"/>
      <c r="AM1821" s="129"/>
      <c r="AN1821" s="139"/>
    </row>
    <row r="1822">
      <c r="A1822" s="129"/>
      <c r="B1822" s="119"/>
      <c r="C1822" s="128"/>
      <c r="D1822" s="142"/>
      <c r="E1822" s="122"/>
      <c r="F1822" s="136"/>
      <c r="G1822" s="152"/>
      <c r="H1822" s="155"/>
      <c r="I1822" s="155"/>
      <c r="J1822" s="155"/>
      <c r="K1822" s="155"/>
      <c r="L1822" s="155"/>
      <c r="M1822" s="126"/>
      <c r="N1822" s="127"/>
      <c r="O1822" s="127"/>
      <c r="P1822" s="127"/>
      <c r="Q1822" s="126"/>
      <c r="R1822" s="128"/>
      <c r="S1822" s="128"/>
      <c r="T1822" s="128"/>
      <c r="U1822" s="128"/>
      <c r="V1822" s="129"/>
      <c r="W1822" s="129"/>
      <c r="X1822" s="129"/>
      <c r="Y1822" s="129"/>
      <c r="Z1822" s="145" t="b">
        <v>0</v>
      </c>
      <c r="AA1822" s="145"/>
      <c r="AB1822" s="129"/>
      <c r="AC1822" s="129"/>
      <c r="AD1822" s="129"/>
      <c r="AE1822" s="129"/>
      <c r="AF1822" s="132"/>
      <c r="AG1822" s="128" t="b">
        <v>0</v>
      </c>
      <c r="AH1822" s="128"/>
      <c r="AI1822" s="128"/>
      <c r="AJ1822" s="128"/>
      <c r="AK1822" s="128"/>
      <c r="AL1822" s="129"/>
      <c r="AM1822" s="129"/>
      <c r="AN1822" s="139"/>
    </row>
    <row r="1823">
      <c r="A1823" s="129"/>
      <c r="B1823" s="119"/>
      <c r="C1823" s="128"/>
      <c r="D1823" s="142"/>
      <c r="E1823" s="122"/>
      <c r="F1823" s="136"/>
      <c r="G1823" s="152"/>
      <c r="H1823" s="155"/>
      <c r="I1823" s="155"/>
      <c r="J1823" s="155"/>
      <c r="K1823" s="155"/>
      <c r="L1823" s="155"/>
      <c r="M1823" s="126"/>
      <c r="N1823" s="127"/>
      <c r="O1823" s="127"/>
      <c r="P1823" s="127"/>
      <c r="Q1823" s="126"/>
      <c r="R1823" s="128"/>
      <c r="S1823" s="128"/>
      <c r="T1823" s="128"/>
      <c r="U1823" s="128"/>
      <c r="V1823" s="129"/>
      <c r="W1823" s="129"/>
      <c r="X1823" s="129"/>
      <c r="Y1823" s="129"/>
      <c r="Z1823" s="145" t="b">
        <v>0</v>
      </c>
      <c r="AA1823" s="145"/>
      <c r="AB1823" s="129"/>
      <c r="AC1823" s="129"/>
      <c r="AD1823" s="129"/>
      <c r="AE1823" s="129"/>
      <c r="AF1823" s="132"/>
      <c r="AG1823" s="128" t="b">
        <v>0</v>
      </c>
      <c r="AH1823" s="128"/>
      <c r="AI1823" s="128"/>
      <c r="AJ1823" s="128"/>
      <c r="AK1823" s="128"/>
      <c r="AL1823" s="129"/>
      <c r="AM1823" s="129"/>
      <c r="AN1823" s="139"/>
    </row>
    <row r="1824">
      <c r="A1824" s="129"/>
      <c r="B1824" s="119"/>
      <c r="C1824" s="128"/>
      <c r="D1824" s="142"/>
      <c r="E1824" s="122"/>
      <c r="F1824" s="136"/>
      <c r="G1824" s="152"/>
      <c r="H1824" s="155"/>
      <c r="I1824" s="155"/>
      <c r="J1824" s="155"/>
      <c r="K1824" s="155"/>
      <c r="L1824" s="155"/>
      <c r="M1824" s="126"/>
      <c r="N1824" s="127"/>
      <c r="O1824" s="127"/>
      <c r="P1824" s="127"/>
      <c r="Q1824" s="126"/>
      <c r="R1824" s="128"/>
      <c r="S1824" s="128"/>
      <c r="T1824" s="128"/>
      <c r="U1824" s="128"/>
      <c r="V1824" s="129"/>
      <c r="W1824" s="129"/>
      <c r="X1824" s="129"/>
      <c r="Y1824" s="129"/>
      <c r="Z1824" s="145" t="b">
        <v>0</v>
      </c>
      <c r="AA1824" s="145"/>
      <c r="AB1824" s="129"/>
      <c r="AC1824" s="129"/>
      <c r="AD1824" s="129"/>
      <c r="AE1824" s="129"/>
      <c r="AF1824" s="132"/>
      <c r="AG1824" s="128" t="b">
        <v>0</v>
      </c>
      <c r="AH1824" s="128"/>
      <c r="AI1824" s="128"/>
      <c r="AJ1824" s="128"/>
      <c r="AK1824" s="128"/>
      <c r="AL1824" s="129"/>
      <c r="AM1824" s="129"/>
      <c r="AN1824" s="139"/>
    </row>
    <row r="1825">
      <c r="A1825" s="129"/>
      <c r="B1825" s="119"/>
      <c r="C1825" s="128"/>
      <c r="D1825" s="142"/>
      <c r="E1825" s="122"/>
      <c r="F1825" s="136"/>
      <c r="G1825" s="152"/>
      <c r="H1825" s="155"/>
      <c r="I1825" s="155"/>
      <c r="J1825" s="155"/>
      <c r="K1825" s="155"/>
      <c r="L1825" s="155"/>
      <c r="M1825" s="126"/>
      <c r="N1825" s="127"/>
      <c r="O1825" s="127"/>
      <c r="P1825" s="127"/>
      <c r="Q1825" s="126"/>
      <c r="R1825" s="128"/>
      <c r="S1825" s="128"/>
      <c r="T1825" s="128"/>
      <c r="U1825" s="128"/>
      <c r="V1825" s="129"/>
      <c r="W1825" s="129"/>
      <c r="X1825" s="129"/>
      <c r="Y1825" s="129"/>
      <c r="Z1825" s="145" t="b">
        <v>0</v>
      </c>
      <c r="AA1825" s="145"/>
      <c r="AB1825" s="129"/>
      <c r="AC1825" s="129"/>
      <c r="AD1825" s="129"/>
      <c r="AE1825" s="129"/>
      <c r="AF1825" s="132"/>
      <c r="AG1825" s="128" t="b">
        <v>0</v>
      </c>
      <c r="AH1825" s="128"/>
      <c r="AI1825" s="128"/>
      <c r="AJ1825" s="128"/>
      <c r="AK1825" s="128"/>
      <c r="AL1825" s="129"/>
      <c r="AM1825" s="129"/>
      <c r="AN1825" s="139"/>
    </row>
    <row r="1826">
      <c r="A1826" s="129"/>
      <c r="B1826" s="119"/>
      <c r="C1826" s="128"/>
      <c r="D1826" s="142"/>
      <c r="E1826" s="122"/>
      <c r="F1826" s="136"/>
      <c r="G1826" s="152"/>
      <c r="H1826" s="155"/>
      <c r="I1826" s="155"/>
      <c r="J1826" s="155"/>
      <c r="K1826" s="155"/>
      <c r="L1826" s="155"/>
      <c r="M1826" s="126"/>
      <c r="N1826" s="127"/>
      <c r="O1826" s="127"/>
      <c r="P1826" s="127"/>
      <c r="Q1826" s="126"/>
      <c r="R1826" s="128"/>
      <c r="S1826" s="128"/>
      <c r="T1826" s="128"/>
      <c r="U1826" s="128"/>
      <c r="V1826" s="129"/>
      <c r="W1826" s="129"/>
      <c r="X1826" s="129"/>
      <c r="Y1826" s="129"/>
      <c r="Z1826" s="145" t="b">
        <v>0</v>
      </c>
      <c r="AA1826" s="145"/>
      <c r="AB1826" s="129"/>
      <c r="AC1826" s="129"/>
      <c r="AD1826" s="129"/>
      <c r="AE1826" s="129"/>
      <c r="AF1826" s="132"/>
      <c r="AG1826" s="128" t="b">
        <v>0</v>
      </c>
      <c r="AH1826" s="128"/>
      <c r="AI1826" s="128"/>
      <c r="AJ1826" s="128"/>
      <c r="AK1826" s="128"/>
      <c r="AL1826" s="129"/>
      <c r="AM1826" s="129"/>
      <c r="AN1826" s="139"/>
    </row>
    <row r="1827">
      <c r="A1827" s="129"/>
      <c r="B1827" s="119"/>
      <c r="C1827" s="128"/>
      <c r="D1827" s="142"/>
      <c r="E1827" s="122"/>
      <c r="F1827" s="136"/>
      <c r="G1827" s="152"/>
      <c r="H1827" s="155"/>
      <c r="I1827" s="155"/>
      <c r="J1827" s="155"/>
      <c r="K1827" s="155"/>
      <c r="L1827" s="155"/>
      <c r="M1827" s="126"/>
      <c r="N1827" s="127"/>
      <c r="O1827" s="127"/>
      <c r="P1827" s="127"/>
      <c r="Q1827" s="126"/>
      <c r="R1827" s="128"/>
      <c r="S1827" s="128"/>
      <c r="T1827" s="128"/>
      <c r="U1827" s="128"/>
      <c r="V1827" s="129"/>
      <c r="W1827" s="129"/>
      <c r="X1827" s="129"/>
      <c r="Y1827" s="129"/>
      <c r="Z1827" s="145" t="b">
        <v>0</v>
      </c>
      <c r="AA1827" s="145"/>
      <c r="AB1827" s="129"/>
      <c r="AC1827" s="129"/>
      <c r="AD1827" s="129"/>
      <c r="AE1827" s="129"/>
      <c r="AF1827" s="132"/>
      <c r="AG1827" s="128" t="b">
        <v>0</v>
      </c>
      <c r="AH1827" s="128"/>
      <c r="AI1827" s="128"/>
      <c r="AJ1827" s="128"/>
      <c r="AK1827" s="128"/>
      <c r="AL1827" s="129"/>
      <c r="AM1827" s="129"/>
      <c r="AN1827" s="139"/>
    </row>
    <row r="1828">
      <c r="A1828" s="129"/>
      <c r="B1828" s="119"/>
      <c r="C1828" s="128"/>
      <c r="D1828" s="142"/>
      <c r="E1828" s="122"/>
      <c r="F1828" s="136"/>
      <c r="G1828" s="152"/>
      <c r="H1828" s="155"/>
      <c r="I1828" s="155"/>
      <c r="J1828" s="155"/>
      <c r="K1828" s="155"/>
      <c r="L1828" s="155"/>
      <c r="M1828" s="126"/>
      <c r="N1828" s="127"/>
      <c r="O1828" s="127"/>
      <c r="P1828" s="127"/>
      <c r="Q1828" s="126"/>
      <c r="R1828" s="128"/>
      <c r="S1828" s="128"/>
      <c r="T1828" s="128"/>
      <c r="U1828" s="128"/>
      <c r="V1828" s="129"/>
      <c r="W1828" s="129"/>
      <c r="X1828" s="129"/>
      <c r="Y1828" s="129"/>
      <c r="Z1828" s="145" t="b">
        <v>0</v>
      </c>
      <c r="AA1828" s="145"/>
      <c r="AB1828" s="129"/>
      <c r="AC1828" s="129"/>
      <c r="AD1828" s="129"/>
      <c r="AE1828" s="129"/>
      <c r="AF1828" s="132"/>
      <c r="AG1828" s="128" t="b">
        <v>0</v>
      </c>
      <c r="AH1828" s="128"/>
      <c r="AI1828" s="128"/>
      <c r="AJ1828" s="128"/>
      <c r="AK1828" s="128"/>
      <c r="AL1828" s="129"/>
      <c r="AM1828" s="129"/>
      <c r="AN1828" s="139"/>
    </row>
    <row r="1829">
      <c r="A1829" s="129"/>
      <c r="B1829" s="119"/>
      <c r="C1829" s="128"/>
      <c r="D1829" s="142"/>
      <c r="E1829" s="122"/>
      <c r="F1829" s="136"/>
      <c r="G1829" s="152"/>
      <c r="H1829" s="155"/>
      <c r="I1829" s="155"/>
      <c r="J1829" s="155"/>
      <c r="K1829" s="155"/>
      <c r="L1829" s="155"/>
      <c r="M1829" s="126"/>
      <c r="N1829" s="127"/>
      <c r="O1829" s="127"/>
      <c r="P1829" s="127"/>
      <c r="Q1829" s="126"/>
      <c r="R1829" s="128"/>
      <c r="S1829" s="128"/>
      <c r="T1829" s="128"/>
      <c r="U1829" s="128"/>
      <c r="V1829" s="129"/>
      <c r="W1829" s="129"/>
      <c r="X1829" s="129"/>
      <c r="Y1829" s="129"/>
      <c r="Z1829" s="145" t="b">
        <v>0</v>
      </c>
      <c r="AA1829" s="145"/>
      <c r="AB1829" s="129"/>
      <c r="AC1829" s="129"/>
      <c r="AD1829" s="129"/>
      <c r="AE1829" s="129"/>
      <c r="AF1829" s="132"/>
      <c r="AG1829" s="128" t="b">
        <v>0</v>
      </c>
      <c r="AH1829" s="128"/>
      <c r="AI1829" s="128"/>
      <c r="AJ1829" s="128"/>
      <c r="AK1829" s="128"/>
      <c r="AL1829" s="129"/>
      <c r="AM1829" s="129"/>
      <c r="AN1829" s="139"/>
    </row>
    <row r="1830">
      <c r="A1830" s="129"/>
      <c r="B1830" s="119"/>
      <c r="C1830" s="128"/>
      <c r="D1830" s="142"/>
      <c r="E1830" s="122"/>
      <c r="F1830" s="136"/>
      <c r="G1830" s="152"/>
      <c r="H1830" s="155"/>
      <c r="I1830" s="155"/>
      <c r="J1830" s="155"/>
      <c r="K1830" s="155"/>
      <c r="L1830" s="155"/>
      <c r="M1830" s="126"/>
      <c r="N1830" s="127"/>
      <c r="O1830" s="127"/>
      <c r="P1830" s="127"/>
      <c r="Q1830" s="126"/>
      <c r="R1830" s="128"/>
      <c r="S1830" s="128"/>
      <c r="T1830" s="128"/>
      <c r="U1830" s="128"/>
      <c r="V1830" s="129"/>
      <c r="W1830" s="129"/>
      <c r="X1830" s="129"/>
      <c r="Y1830" s="129"/>
      <c r="Z1830" s="145" t="b">
        <v>0</v>
      </c>
      <c r="AA1830" s="145"/>
      <c r="AB1830" s="129"/>
      <c r="AC1830" s="129"/>
      <c r="AD1830" s="129"/>
      <c r="AE1830" s="129"/>
      <c r="AF1830" s="132"/>
      <c r="AG1830" s="128" t="b">
        <v>0</v>
      </c>
      <c r="AH1830" s="128"/>
      <c r="AI1830" s="128"/>
      <c r="AJ1830" s="128"/>
      <c r="AK1830" s="128"/>
      <c r="AL1830" s="129"/>
      <c r="AM1830" s="129"/>
      <c r="AN1830" s="139"/>
    </row>
    <row r="1831">
      <c r="A1831" s="129"/>
      <c r="B1831" s="119"/>
      <c r="C1831" s="128"/>
      <c r="D1831" s="142"/>
      <c r="E1831" s="122"/>
      <c r="F1831" s="136"/>
      <c r="G1831" s="152"/>
      <c r="H1831" s="155"/>
      <c r="I1831" s="155"/>
      <c r="J1831" s="155"/>
      <c r="K1831" s="155"/>
      <c r="L1831" s="155"/>
      <c r="M1831" s="126"/>
      <c r="N1831" s="127"/>
      <c r="O1831" s="127"/>
      <c r="P1831" s="127"/>
      <c r="Q1831" s="126"/>
      <c r="R1831" s="128"/>
      <c r="S1831" s="128"/>
      <c r="T1831" s="128"/>
      <c r="U1831" s="128"/>
      <c r="V1831" s="129"/>
      <c r="W1831" s="129"/>
      <c r="X1831" s="129"/>
      <c r="Y1831" s="129"/>
      <c r="Z1831" s="145" t="b">
        <v>0</v>
      </c>
      <c r="AA1831" s="145"/>
      <c r="AB1831" s="129"/>
      <c r="AC1831" s="129"/>
      <c r="AD1831" s="129"/>
      <c r="AE1831" s="129"/>
      <c r="AF1831" s="132"/>
      <c r="AG1831" s="128" t="b">
        <v>0</v>
      </c>
      <c r="AH1831" s="128"/>
      <c r="AI1831" s="128"/>
      <c r="AJ1831" s="128"/>
      <c r="AK1831" s="128"/>
      <c r="AL1831" s="129"/>
      <c r="AM1831" s="129"/>
      <c r="AN1831" s="139"/>
    </row>
    <row r="1832">
      <c r="A1832" s="129"/>
      <c r="B1832" s="119"/>
      <c r="C1832" s="128"/>
      <c r="D1832" s="142"/>
      <c r="E1832" s="122"/>
      <c r="F1832" s="136"/>
      <c r="G1832" s="152"/>
      <c r="H1832" s="155"/>
      <c r="I1832" s="155"/>
      <c r="J1832" s="155"/>
      <c r="K1832" s="155"/>
      <c r="L1832" s="155"/>
      <c r="M1832" s="126"/>
      <c r="N1832" s="127"/>
      <c r="O1832" s="127"/>
      <c r="P1832" s="127"/>
      <c r="Q1832" s="126"/>
      <c r="R1832" s="128"/>
      <c r="S1832" s="128"/>
      <c r="T1832" s="128"/>
      <c r="U1832" s="128"/>
      <c r="V1832" s="129"/>
      <c r="W1832" s="129"/>
      <c r="X1832" s="129"/>
      <c r="Y1832" s="129"/>
      <c r="Z1832" s="145" t="b">
        <v>0</v>
      </c>
      <c r="AA1832" s="145"/>
      <c r="AB1832" s="129"/>
      <c r="AC1832" s="129"/>
      <c r="AD1832" s="129"/>
      <c r="AE1832" s="129"/>
      <c r="AF1832" s="132"/>
      <c r="AG1832" s="128" t="b">
        <v>0</v>
      </c>
      <c r="AH1832" s="128"/>
      <c r="AI1832" s="128"/>
      <c r="AJ1832" s="128"/>
      <c r="AK1832" s="128"/>
      <c r="AL1832" s="129"/>
      <c r="AM1832" s="129"/>
      <c r="AN1832" s="139"/>
    </row>
    <row r="1833">
      <c r="A1833" s="129"/>
      <c r="B1833" s="119"/>
      <c r="C1833" s="128"/>
      <c r="D1833" s="142"/>
      <c r="E1833" s="122"/>
      <c r="F1833" s="136"/>
      <c r="G1833" s="152"/>
      <c r="H1833" s="155"/>
      <c r="I1833" s="155"/>
      <c r="J1833" s="155"/>
      <c r="K1833" s="155"/>
      <c r="L1833" s="155"/>
      <c r="M1833" s="126"/>
      <c r="N1833" s="127"/>
      <c r="O1833" s="127"/>
      <c r="P1833" s="127"/>
      <c r="Q1833" s="126"/>
      <c r="R1833" s="128"/>
      <c r="S1833" s="128"/>
      <c r="T1833" s="128"/>
      <c r="U1833" s="128"/>
      <c r="V1833" s="129"/>
      <c r="W1833" s="129"/>
      <c r="X1833" s="129"/>
      <c r="Y1833" s="129"/>
      <c r="Z1833" s="145" t="b">
        <v>0</v>
      </c>
      <c r="AA1833" s="145"/>
      <c r="AB1833" s="129"/>
      <c r="AC1833" s="129"/>
      <c r="AD1833" s="129"/>
      <c r="AE1833" s="129"/>
      <c r="AF1833" s="132"/>
      <c r="AG1833" s="128" t="b">
        <v>0</v>
      </c>
      <c r="AH1833" s="128"/>
      <c r="AI1833" s="128"/>
      <c r="AJ1833" s="128"/>
      <c r="AK1833" s="128"/>
      <c r="AL1833" s="129"/>
      <c r="AM1833" s="129"/>
      <c r="AN1833" s="139"/>
    </row>
    <row r="1834">
      <c r="A1834" s="129"/>
      <c r="B1834" s="119"/>
      <c r="C1834" s="128"/>
      <c r="D1834" s="142"/>
      <c r="E1834" s="122"/>
      <c r="F1834" s="136"/>
      <c r="G1834" s="152"/>
      <c r="H1834" s="155"/>
      <c r="I1834" s="155"/>
      <c r="J1834" s="155"/>
      <c r="K1834" s="155"/>
      <c r="L1834" s="155"/>
      <c r="M1834" s="126"/>
      <c r="N1834" s="127"/>
      <c r="O1834" s="127"/>
      <c r="P1834" s="127"/>
      <c r="Q1834" s="126"/>
      <c r="R1834" s="128"/>
      <c r="S1834" s="128"/>
      <c r="T1834" s="128"/>
      <c r="U1834" s="128"/>
      <c r="V1834" s="129"/>
      <c r="W1834" s="129"/>
      <c r="X1834" s="129"/>
      <c r="Y1834" s="129"/>
      <c r="Z1834" s="145" t="b">
        <v>0</v>
      </c>
      <c r="AA1834" s="145"/>
      <c r="AB1834" s="129"/>
      <c r="AC1834" s="129"/>
      <c r="AD1834" s="129"/>
      <c r="AE1834" s="129"/>
      <c r="AF1834" s="132"/>
      <c r="AG1834" s="128" t="b">
        <v>0</v>
      </c>
      <c r="AH1834" s="128"/>
      <c r="AI1834" s="128"/>
      <c r="AJ1834" s="128"/>
      <c r="AK1834" s="128"/>
      <c r="AL1834" s="129"/>
      <c r="AM1834" s="129"/>
      <c r="AN1834" s="139"/>
    </row>
    <row r="1835">
      <c r="A1835" s="129"/>
      <c r="B1835" s="119"/>
      <c r="C1835" s="128"/>
      <c r="D1835" s="142"/>
      <c r="E1835" s="122"/>
      <c r="F1835" s="136"/>
      <c r="G1835" s="152"/>
      <c r="H1835" s="155"/>
      <c r="I1835" s="155"/>
      <c r="J1835" s="155"/>
      <c r="K1835" s="155"/>
      <c r="L1835" s="155"/>
      <c r="M1835" s="126"/>
      <c r="N1835" s="127"/>
      <c r="O1835" s="127"/>
      <c r="P1835" s="127"/>
      <c r="Q1835" s="126"/>
      <c r="R1835" s="128"/>
      <c r="S1835" s="128"/>
      <c r="T1835" s="128"/>
      <c r="U1835" s="128"/>
      <c r="V1835" s="129"/>
      <c r="W1835" s="129"/>
      <c r="X1835" s="129"/>
      <c r="Y1835" s="129"/>
      <c r="Z1835" s="145" t="b">
        <v>0</v>
      </c>
      <c r="AA1835" s="145"/>
      <c r="AB1835" s="129"/>
      <c r="AC1835" s="129"/>
      <c r="AD1835" s="129"/>
      <c r="AE1835" s="129"/>
      <c r="AF1835" s="132"/>
      <c r="AG1835" s="128" t="b">
        <v>0</v>
      </c>
      <c r="AH1835" s="128"/>
      <c r="AI1835" s="128"/>
      <c r="AJ1835" s="128"/>
      <c r="AK1835" s="128"/>
      <c r="AL1835" s="129"/>
      <c r="AM1835" s="129"/>
      <c r="AN1835" s="139"/>
    </row>
    <row r="1836">
      <c r="A1836" s="129"/>
      <c r="B1836" s="119"/>
      <c r="C1836" s="128"/>
      <c r="D1836" s="142"/>
      <c r="E1836" s="122"/>
      <c r="F1836" s="136"/>
      <c r="G1836" s="152"/>
      <c r="H1836" s="155"/>
      <c r="I1836" s="155"/>
      <c r="J1836" s="155"/>
      <c r="K1836" s="155"/>
      <c r="L1836" s="155"/>
      <c r="M1836" s="126"/>
      <c r="N1836" s="127"/>
      <c r="O1836" s="127"/>
      <c r="P1836" s="127"/>
      <c r="Q1836" s="126"/>
      <c r="R1836" s="128"/>
      <c r="S1836" s="128"/>
      <c r="T1836" s="128"/>
      <c r="U1836" s="128"/>
      <c r="V1836" s="129"/>
      <c r="W1836" s="129"/>
      <c r="X1836" s="129"/>
      <c r="Y1836" s="129"/>
      <c r="Z1836" s="145" t="b">
        <v>0</v>
      </c>
      <c r="AA1836" s="145"/>
      <c r="AB1836" s="129"/>
      <c r="AC1836" s="129"/>
      <c r="AD1836" s="129"/>
      <c r="AE1836" s="129"/>
      <c r="AF1836" s="132"/>
      <c r="AG1836" s="128" t="b">
        <v>0</v>
      </c>
      <c r="AH1836" s="128"/>
      <c r="AI1836" s="128"/>
      <c r="AJ1836" s="128"/>
      <c r="AK1836" s="128"/>
      <c r="AL1836" s="129"/>
      <c r="AM1836" s="129"/>
      <c r="AN1836" s="139"/>
    </row>
    <row r="1837">
      <c r="A1837" s="129"/>
      <c r="B1837" s="119"/>
      <c r="C1837" s="128"/>
      <c r="D1837" s="142"/>
      <c r="E1837" s="122"/>
      <c r="F1837" s="136"/>
      <c r="G1837" s="152"/>
      <c r="H1837" s="155"/>
      <c r="I1837" s="155"/>
      <c r="J1837" s="155"/>
      <c r="K1837" s="155"/>
      <c r="L1837" s="155"/>
      <c r="M1837" s="126"/>
      <c r="N1837" s="127"/>
      <c r="O1837" s="127"/>
      <c r="P1837" s="127"/>
      <c r="Q1837" s="126"/>
      <c r="R1837" s="128"/>
      <c r="S1837" s="128"/>
      <c r="T1837" s="128"/>
      <c r="U1837" s="128"/>
      <c r="V1837" s="129"/>
      <c r="W1837" s="129"/>
      <c r="X1837" s="129"/>
      <c r="Y1837" s="129"/>
      <c r="Z1837" s="145" t="b">
        <v>0</v>
      </c>
      <c r="AA1837" s="145"/>
      <c r="AB1837" s="129"/>
      <c r="AC1837" s="129"/>
      <c r="AD1837" s="129"/>
      <c r="AE1837" s="129"/>
      <c r="AF1837" s="132"/>
      <c r="AG1837" s="128" t="b">
        <v>0</v>
      </c>
      <c r="AH1837" s="128"/>
      <c r="AI1837" s="128"/>
      <c r="AJ1837" s="128"/>
      <c r="AK1837" s="128"/>
      <c r="AL1837" s="129"/>
      <c r="AM1837" s="129"/>
      <c r="AN1837" s="139"/>
    </row>
    <row r="1838">
      <c r="A1838" s="129"/>
      <c r="B1838" s="119"/>
      <c r="C1838" s="128"/>
      <c r="D1838" s="142"/>
      <c r="E1838" s="122"/>
      <c r="F1838" s="136"/>
      <c r="G1838" s="152"/>
      <c r="H1838" s="155"/>
      <c r="I1838" s="155"/>
      <c r="J1838" s="155"/>
      <c r="K1838" s="155"/>
      <c r="L1838" s="155"/>
      <c r="M1838" s="126"/>
      <c r="N1838" s="127"/>
      <c r="O1838" s="127"/>
      <c r="P1838" s="127"/>
      <c r="Q1838" s="126"/>
      <c r="R1838" s="128"/>
      <c r="S1838" s="128"/>
      <c r="T1838" s="128"/>
      <c r="U1838" s="128"/>
      <c r="V1838" s="129"/>
      <c r="W1838" s="129"/>
      <c r="X1838" s="129"/>
      <c r="Y1838" s="129"/>
      <c r="Z1838" s="145" t="b">
        <v>0</v>
      </c>
      <c r="AA1838" s="145"/>
      <c r="AB1838" s="129"/>
      <c r="AC1838" s="129"/>
      <c r="AD1838" s="129"/>
      <c r="AE1838" s="129"/>
      <c r="AF1838" s="132"/>
      <c r="AG1838" s="128" t="b">
        <v>0</v>
      </c>
      <c r="AH1838" s="128"/>
      <c r="AI1838" s="128"/>
      <c r="AJ1838" s="128"/>
      <c r="AK1838" s="128"/>
      <c r="AL1838" s="129"/>
      <c r="AM1838" s="129"/>
      <c r="AN1838" s="139"/>
    </row>
    <row r="1839">
      <c r="A1839" s="129"/>
      <c r="B1839" s="119"/>
      <c r="C1839" s="128"/>
      <c r="D1839" s="142"/>
      <c r="E1839" s="122"/>
      <c r="F1839" s="136"/>
      <c r="G1839" s="152"/>
      <c r="H1839" s="155"/>
      <c r="I1839" s="155"/>
      <c r="J1839" s="155"/>
      <c r="K1839" s="155"/>
      <c r="L1839" s="155"/>
      <c r="M1839" s="126"/>
      <c r="N1839" s="127"/>
      <c r="O1839" s="127"/>
      <c r="P1839" s="127"/>
      <c r="Q1839" s="126"/>
      <c r="R1839" s="128"/>
      <c r="S1839" s="128"/>
      <c r="T1839" s="128"/>
      <c r="U1839" s="128"/>
      <c r="V1839" s="129"/>
      <c r="W1839" s="129"/>
      <c r="X1839" s="129"/>
      <c r="Y1839" s="129"/>
      <c r="Z1839" s="145" t="b">
        <v>0</v>
      </c>
      <c r="AA1839" s="145"/>
      <c r="AB1839" s="129"/>
      <c r="AC1839" s="129"/>
      <c r="AD1839" s="129"/>
      <c r="AE1839" s="129"/>
      <c r="AF1839" s="132"/>
      <c r="AG1839" s="128" t="b">
        <v>0</v>
      </c>
      <c r="AH1839" s="128"/>
      <c r="AI1839" s="128"/>
      <c r="AJ1839" s="128"/>
      <c r="AK1839" s="128"/>
      <c r="AL1839" s="129"/>
      <c r="AM1839" s="129"/>
      <c r="AN1839" s="139"/>
    </row>
    <row r="1840">
      <c r="A1840" s="129"/>
      <c r="B1840" s="119"/>
      <c r="C1840" s="128"/>
      <c r="D1840" s="142"/>
      <c r="E1840" s="122"/>
      <c r="F1840" s="136"/>
      <c r="G1840" s="152"/>
      <c r="H1840" s="155"/>
      <c r="I1840" s="155"/>
      <c r="J1840" s="155"/>
      <c r="K1840" s="155"/>
      <c r="L1840" s="155"/>
      <c r="M1840" s="126"/>
      <c r="N1840" s="127"/>
      <c r="O1840" s="127"/>
      <c r="P1840" s="127"/>
      <c r="Q1840" s="126"/>
      <c r="R1840" s="128"/>
      <c r="S1840" s="128"/>
      <c r="T1840" s="128"/>
      <c r="U1840" s="128"/>
      <c r="V1840" s="129"/>
      <c r="W1840" s="129"/>
      <c r="X1840" s="129"/>
      <c r="Y1840" s="129"/>
      <c r="Z1840" s="145" t="b">
        <v>0</v>
      </c>
      <c r="AA1840" s="145"/>
      <c r="AB1840" s="129"/>
      <c r="AC1840" s="129"/>
      <c r="AD1840" s="129"/>
      <c r="AE1840" s="129"/>
      <c r="AF1840" s="132"/>
      <c r="AG1840" s="128" t="b">
        <v>0</v>
      </c>
      <c r="AH1840" s="128"/>
      <c r="AI1840" s="128"/>
      <c r="AJ1840" s="128"/>
      <c r="AK1840" s="128"/>
      <c r="AL1840" s="129"/>
      <c r="AM1840" s="129"/>
      <c r="AN1840" s="139"/>
    </row>
    <row r="1841">
      <c r="A1841" s="129"/>
      <c r="B1841" s="119"/>
      <c r="C1841" s="128"/>
      <c r="D1841" s="142"/>
      <c r="E1841" s="122"/>
      <c r="F1841" s="136"/>
      <c r="G1841" s="152"/>
      <c r="H1841" s="155"/>
      <c r="I1841" s="155"/>
      <c r="J1841" s="155"/>
      <c r="K1841" s="155"/>
      <c r="L1841" s="155"/>
      <c r="M1841" s="126"/>
      <c r="N1841" s="127"/>
      <c r="O1841" s="127"/>
      <c r="P1841" s="127"/>
      <c r="Q1841" s="126"/>
      <c r="R1841" s="128"/>
      <c r="S1841" s="128"/>
      <c r="T1841" s="128"/>
      <c r="U1841" s="128"/>
      <c r="V1841" s="129"/>
      <c r="W1841" s="129"/>
      <c r="X1841" s="129"/>
      <c r="Y1841" s="129"/>
      <c r="Z1841" s="145" t="b">
        <v>0</v>
      </c>
      <c r="AA1841" s="145"/>
      <c r="AB1841" s="129"/>
      <c r="AC1841" s="129"/>
      <c r="AD1841" s="129"/>
      <c r="AE1841" s="129"/>
      <c r="AF1841" s="132"/>
      <c r="AG1841" s="128" t="b">
        <v>0</v>
      </c>
      <c r="AH1841" s="128"/>
      <c r="AI1841" s="128"/>
      <c r="AJ1841" s="128"/>
      <c r="AK1841" s="128"/>
      <c r="AL1841" s="129"/>
      <c r="AM1841" s="129"/>
      <c r="AN1841" s="139"/>
    </row>
    <row r="1842">
      <c r="A1842" s="129"/>
      <c r="B1842" s="119"/>
      <c r="C1842" s="128"/>
      <c r="D1842" s="142"/>
      <c r="E1842" s="122"/>
      <c r="F1842" s="136"/>
      <c r="G1842" s="152"/>
      <c r="H1842" s="155"/>
      <c r="I1842" s="155"/>
      <c r="J1842" s="155"/>
      <c r="K1842" s="155"/>
      <c r="L1842" s="155"/>
      <c r="M1842" s="126"/>
      <c r="N1842" s="127"/>
      <c r="O1842" s="127"/>
      <c r="P1842" s="127"/>
      <c r="Q1842" s="126"/>
      <c r="R1842" s="128"/>
      <c r="S1842" s="128"/>
      <c r="T1842" s="128"/>
      <c r="U1842" s="128"/>
      <c r="V1842" s="129"/>
      <c r="W1842" s="129"/>
      <c r="X1842" s="129"/>
      <c r="Y1842" s="129"/>
      <c r="Z1842" s="145" t="b">
        <v>0</v>
      </c>
      <c r="AA1842" s="145"/>
      <c r="AB1842" s="129"/>
      <c r="AC1842" s="129"/>
      <c r="AD1842" s="129"/>
      <c r="AE1842" s="129"/>
      <c r="AF1842" s="132"/>
      <c r="AG1842" s="128" t="b">
        <v>0</v>
      </c>
      <c r="AH1842" s="128"/>
      <c r="AI1842" s="128"/>
      <c r="AJ1842" s="128"/>
      <c r="AK1842" s="128"/>
      <c r="AL1842" s="129"/>
      <c r="AM1842" s="129"/>
      <c r="AN1842" s="139"/>
    </row>
    <row r="1843">
      <c r="A1843" s="129"/>
      <c r="B1843" s="119"/>
      <c r="C1843" s="128"/>
      <c r="D1843" s="142"/>
      <c r="E1843" s="122"/>
      <c r="F1843" s="136"/>
      <c r="G1843" s="152"/>
      <c r="H1843" s="155"/>
      <c r="I1843" s="155"/>
      <c r="J1843" s="155"/>
      <c r="K1843" s="155"/>
      <c r="L1843" s="155"/>
      <c r="M1843" s="126"/>
      <c r="N1843" s="127"/>
      <c r="O1843" s="127"/>
      <c r="P1843" s="127"/>
      <c r="Q1843" s="126"/>
      <c r="R1843" s="128"/>
      <c r="S1843" s="128"/>
      <c r="T1843" s="128"/>
      <c r="U1843" s="128"/>
      <c r="V1843" s="129"/>
      <c r="W1843" s="129"/>
      <c r="X1843" s="129"/>
      <c r="Y1843" s="129"/>
      <c r="Z1843" s="145" t="b">
        <v>0</v>
      </c>
      <c r="AA1843" s="145"/>
      <c r="AB1843" s="129"/>
      <c r="AC1843" s="129"/>
      <c r="AD1843" s="129"/>
      <c r="AE1843" s="129"/>
      <c r="AF1843" s="132"/>
      <c r="AG1843" s="128" t="b">
        <v>0</v>
      </c>
      <c r="AH1843" s="128"/>
      <c r="AI1843" s="128"/>
      <c r="AJ1843" s="128"/>
      <c r="AK1843" s="128"/>
      <c r="AL1843" s="129"/>
      <c r="AM1843" s="129"/>
      <c r="AN1843" s="139"/>
    </row>
    <row r="1844">
      <c r="A1844" s="129"/>
      <c r="B1844" s="119"/>
      <c r="C1844" s="128"/>
      <c r="D1844" s="142"/>
      <c r="E1844" s="122"/>
      <c r="F1844" s="136"/>
      <c r="G1844" s="152"/>
      <c r="H1844" s="155"/>
      <c r="I1844" s="155"/>
      <c r="J1844" s="155"/>
      <c r="K1844" s="155"/>
      <c r="L1844" s="155"/>
      <c r="M1844" s="126"/>
      <c r="N1844" s="127"/>
      <c r="O1844" s="127"/>
      <c r="P1844" s="127"/>
      <c r="Q1844" s="126"/>
      <c r="R1844" s="128"/>
      <c r="S1844" s="128"/>
      <c r="T1844" s="128"/>
      <c r="U1844" s="128"/>
      <c r="V1844" s="129"/>
      <c r="W1844" s="129"/>
      <c r="X1844" s="129"/>
      <c r="Y1844" s="129"/>
      <c r="Z1844" s="145" t="b">
        <v>0</v>
      </c>
      <c r="AA1844" s="145"/>
      <c r="AB1844" s="129"/>
      <c r="AC1844" s="129"/>
      <c r="AD1844" s="129"/>
      <c r="AE1844" s="129"/>
      <c r="AF1844" s="132"/>
      <c r="AG1844" s="128" t="b">
        <v>0</v>
      </c>
      <c r="AH1844" s="128"/>
      <c r="AI1844" s="128"/>
      <c r="AJ1844" s="128"/>
      <c r="AK1844" s="128"/>
      <c r="AL1844" s="129"/>
      <c r="AM1844" s="129"/>
      <c r="AN1844" s="139"/>
    </row>
    <row r="1845">
      <c r="A1845" s="129"/>
      <c r="B1845" s="119"/>
      <c r="C1845" s="128"/>
      <c r="D1845" s="142"/>
      <c r="E1845" s="122"/>
      <c r="F1845" s="136"/>
      <c r="G1845" s="152"/>
      <c r="H1845" s="155"/>
      <c r="I1845" s="155"/>
      <c r="J1845" s="155"/>
      <c r="K1845" s="155"/>
      <c r="L1845" s="155"/>
      <c r="M1845" s="126"/>
      <c r="N1845" s="127"/>
      <c r="O1845" s="127"/>
      <c r="P1845" s="127"/>
      <c r="Q1845" s="126"/>
      <c r="R1845" s="128"/>
      <c r="S1845" s="128"/>
      <c r="T1845" s="128"/>
      <c r="U1845" s="128"/>
      <c r="V1845" s="129"/>
      <c r="W1845" s="129"/>
      <c r="X1845" s="129"/>
      <c r="Y1845" s="129"/>
      <c r="Z1845" s="145" t="b">
        <v>0</v>
      </c>
      <c r="AA1845" s="145"/>
      <c r="AB1845" s="129"/>
      <c r="AC1845" s="129"/>
      <c r="AD1845" s="129"/>
      <c r="AE1845" s="129"/>
      <c r="AF1845" s="132"/>
      <c r="AG1845" s="128" t="b">
        <v>0</v>
      </c>
      <c r="AH1845" s="128"/>
      <c r="AI1845" s="128"/>
      <c r="AJ1845" s="128"/>
      <c r="AK1845" s="128"/>
      <c r="AL1845" s="129"/>
      <c r="AM1845" s="129"/>
      <c r="AN1845" s="139"/>
    </row>
    <row r="1846">
      <c r="A1846" s="129"/>
      <c r="B1846" s="119"/>
      <c r="C1846" s="128"/>
      <c r="D1846" s="142"/>
      <c r="E1846" s="122"/>
      <c r="F1846" s="136"/>
      <c r="G1846" s="152"/>
      <c r="H1846" s="155"/>
      <c r="I1846" s="155"/>
      <c r="J1846" s="155"/>
      <c r="K1846" s="155"/>
      <c r="L1846" s="155"/>
      <c r="M1846" s="126"/>
      <c r="N1846" s="127"/>
      <c r="O1846" s="127"/>
      <c r="P1846" s="127"/>
      <c r="Q1846" s="126"/>
      <c r="R1846" s="128"/>
      <c r="S1846" s="128"/>
      <c r="T1846" s="128"/>
      <c r="U1846" s="128"/>
      <c r="V1846" s="129"/>
      <c r="W1846" s="129"/>
      <c r="X1846" s="129"/>
      <c r="Y1846" s="129"/>
      <c r="Z1846" s="145" t="b">
        <v>0</v>
      </c>
      <c r="AA1846" s="145"/>
      <c r="AB1846" s="129"/>
      <c r="AC1846" s="129"/>
      <c r="AD1846" s="129"/>
      <c r="AE1846" s="129"/>
      <c r="AF1846" s="132"/>
      <c r="AG1846" s="128" t="b">
        <v>0</v>
      </c>
      <c r="AH1846" s="128"/>
      <c r="AI1846" s="128"/>
      <c r="AJ1846" s="128"/>
      <c r="AK1846" s="128"/>
      <c r="AL1846" s="129"/>
      <c r="AM1846" s="129"/>
      <c r="AN1846" s="139"/>
    </row>
    <row r="1847">
      <c r="A1847" s="129"/>
      <c r="B1847" s="119"/>
      <c r="C1847" s="128"/>
      <c r="D1847" s="142"/>
      <c r="E1847" s="122"/>
      <c r="F1847" s="136"/>
      <c r="G1847" s="152"/>
      <c r="H1847" s="155"/>
      <c r="I1847" s="155"/>
      <c r="J1847" s="155"/>
      <c r="K1847" s="155"/>
      <c r="L1847" s="155"/>
      <c r="M1847" s="126"/>
      <c r="N1847" s="127"/>
      <c r="O1847" s="127"/>
      <c r="P1847" s="127"/>
      <c r="Q1847" s="126"/>
      <c r="R1847" s="128"/>
      <c r="S1847" s="128"/>
      <c r="T1847" s="128"/>
      <c r="U1847" s="128"/>
      <c r="V1847" s="129"/>
      <c r="W1847" s="129"/>
      <c r="X1847" s="129"/>
      <c r="Y1847" s="129"/>
      <c r="Z1847" s="145" t="b">
        <v>0</v>
      </c>
      <c r="AA1847" s="145"/>
      <c r="AB1847" s="129"/>
      <c r="AC1847" s="129"/>
      <c r="AD1847" s="129"/>
      <c r="AE1847" s="129"/>
      <c r="AF1847" s="132"/>
      <c r="AG1847" s="128" t="b">
        <v>0</v>
      </c>
      <c r="AH1847" s="128"/>
      <c r="AI1847" s="128"/>
      <c r="AJ1847" s="128"/>
      <c r="AK1847" s="128"/>
      <c r="AL1847" s="129"/>
      <c r="AM1847" s="129"/>
      <c r="AN1847" s="139"/>
    </row>
    <row r="1848">
      <c r="A1848" s="129"/>
      <c r="B1848" s="119"/>
      <c r="C1848" s="128"/>
      <c r="D1848" s="142"/>
      <c r="E1848" s="122"/>
      <c r="F1848" s="136"/>
      <c r="G1848" s="152"/>
      <c r="H1848" s="155"/>
      <c r="I1848" s="155"/>
      <c r="J1848" s="155"/>
      <c r="K1848" s="155"/>
      <c r="L1848" s="155"/>
      <c r="M1848" s="126"/>
      <c r="N1848" s="127"/>
      <c r="O1848" s="127"/>
      <c r="P1848" s="127"/>
      <c r="Q1848" s="126"/>
      <c r="R1848" s="128"/>
      <c r="S1848" s="128"/>
      <c r="T1848" s="128"/>
      <c r="U1848" s="128"/>
      <c r="V1848" s="129"/>
      <c r="W1848" s="129"/>
      <c r="X1848" s="129"/>
      <c r="Y1848" s="129"/>
      <c r="Z1848" s="145" t="b">
        <v>0</v>
      </c>
      <c r="AA1848" s="145"/>
      <c r="AB1848" s="129"/>
      <c r="AC1848" s="129"/>
      <c r="AD1848" s="129"/>
      <c r="AE1848" s="129"/>
      <c r="AF1848" s="132"/>
      <c r="AG1848" s="128" t="b">
        <v>0</v>
      </c>
      <c r="AH1848" s="128"/>
      <c r="AI1848" s="128"/>
      <c r="AJ1848" s="128"/>
      <c r="AK1848" s="128"/>
      <c r="AL1848" s="129"/>
      <c r="AM1848" s="129"/>
      <c r="AN1848" s="139"/>
    </row>
    <row r="1849">
      <c r="A1849" s="129"/>
      <c r="B1849" s="119"/>
      <c r="C1849" s="128"/>
      <c r="D1849" s="142"/>
      <c r="E1849" s="122"/>
      <c r="F1849" s="136"/>
      <c r="G1849" s="152"/>
      <c r="H1849" s="155"/>
      <c r="I1849" s="155"/>
      <c r="J1849" s="155"/>
      <c r="K1849" s="155"/>
      <c r="L1849" s="155"/>
      <c r="M1849" s="126"/>
      <c r="N1849" s="127"/>
      <c r="O1849" s="127"/>
      <c r="P1849" s="127"/>
      <c r="Q1849" s="126"/>
      <c r="R1849" s="128"/>
      <c r="S1849" s="128"/>
      <c r="T1849" s="128"/>
      <c r="U1849" s="128"/>
      <c r="V1849" s="129"/>
      <c r="W1849" s="129"/>
      <c r="X1849" s="129"/>
      <c r="Y1849" s="129"/>
      <c r="Z1849" s="145" t="b">
        <v>0</v>
      </c>
      <c r="AA1849" s="145"/>
      <c r="AB1849" s="129"/>
      <c r="AC1849" s="129"/>
      <c r="AD1849" s="129"/>
      <c r="AE1849" s="129"/>
      <c r="AF1849" s="132"/>
      <c r="AG1849" s="128" t="b">
        <v>0</v>
      </c>
      <c r="AH1849" s="128"/>
      <c r="AI1849" s="128"/>
      <c r="AJ1849" s="128"/>
      <c r="AK1849" s="128"/>
      <c r="AL1849" s="129"/>
      <c r="AM1849" s="129"/>
      <c r="AN1849" s="139"/>
    </row>
    <row r="1850">
      <c r="A1850" s="129"/>
      <c r="B1850" s="119"/>
      <c r="C1850" s="128"/>
      <c r="D1850" s="142"/>
      <c r="E1850" s="122"/>
      <c r="F1850" s="136"/>
      <c r="G1850" s="152"/>
      <c r="H1850" s="155"/>
      <c r="I1850" s="155"/>
      <c r="J1850" s="155"/>
      <c r="K1850" s="155"/>
      <c r="L1850" s="155"/>
      <c r="M1850" s="126"/>
      <c r="N1850" s="127"/>
      <c r="O1850" s="127"/>
      <c r="P1850" s="127"/>
      <c r="Q1850" s="126"/>
      <c r="R1850" s="128"/>
      <c r="S1850" s="128"/>
      <c r="T1850" s="128"/>
      <c r="U1850" s="128"/>
      <c r="V1850" s="129"/>
      <c r="W1850" s="129"/>
      <c r="X1850" s="129"/>
      <c r="Y1850" s="129"/>
      <c r="Z1850" s="145" t="b">
        <v>0</v>
      </c>
      <c r="AA1850" s="145"/>
      <c r="AB1850" s="129"/>
      <c r="AC1850" s="129"/>
      <c r="AD1850" s="129"/>
      <c r="AE1850" s="129"/>
      <c r="AF1850" s="132"/>
      <c r="AG1850" s="128" t="b">
        <v>0</v>
      </c>
      <c r="AH1850" s="128"/>
      <c r="AI1850" s="128"/>
      <c r="AJ1850" s="128"/>
      <c r="AK1850" s="128"/>
      <c r="AL1850" s="129"/>
      <c r="AM1850" s="129"/>
      <c r="AN1850" s="139"/>
    </row>
    <row r="1851">
      <c r="A1851" s="129"/>
      <c r="B1851" s="119"/>
      <c r="C1851" s="128"/>
      <c r="D1851" s="142"/>
      <c r="E1851" s="122"/>
      <c r="F1851" s="136"/>
      <c r="G1851" s="152"/>
      <c r="H1851" s="155"/>
      <c r="I1851" s="155"/>
      <c r="J1851" s="155"/>
      <c r="K1851" s="155"/>
      <c r="L1851" s="155"/>
      <c r="M1851" s="126"/>
      <c r="N1851" s="127"/>
      <c r="O1851" s="127"/>
      <c r="P1851" s="127"/>
      <c r="Q1851" s="126"/>
      <c r="R1851" s="128"/>
      <c r="S1851" s="128"/>
      <c r="T1851" s="128"/>
      <c r="U1851" s="128"/>
      <c r="V1851" s="129"/>
      <c r="W1851" s="129"/>
      <c r="X1851" s="129"/>
      <c r="Y1851" s="129"/>
      <c r="Z1851" s="145" t="b">
        <v>0</v>
      </c>
      <c r="AA1851" s="145"/>
      <c r="AB1851" s="129"/>
      <c r="AC1851" s="129"/>
      <c r="AD1851" s="129"/>
      <c r="AE1851" s="129"/>
      <c r="AF1851" s="132"/>
      <c r="AG1851" s="128" t="b">
        <v>0</v>
      </c>
      <c r="AH1851" s="128"/>
      <c r="AI1851" s="128"/>
      <c r="AJ1851" s="128"/>
      <c r="AK1851" s="128"/>
      <c r="AL1851" s="129"/>
      <c r="AM1851" s="129"/>
      <c r="AN1851" s="139"/>
    </row>
    <row r="1852">
      <c r="A1852" s="129"/>
      <c r="B1852" s="119"/>
      <c r="C1852" s="128"/>
      <c r="D1852" s="142"/>
      <c r="E1852" s="122"/>
      <c r="F1852" s="136"/>
      <c r="G1852" s="152"/>
      <c r="H1852" s="155"/>
      <c r="I1852" s="155"/>
      <c r="J1852" s="155"/>
      <c r="K1852" s="155"/>
      <c r="L1852" s="155"/>
      <c r="M1852" s="126"/>
      <c r="N1852" s="127"/>
      <c r="O1852" s="127"/>
      <c r="P1852" s="127"/>
      <c r="Q1852" s="126"/>
      <c r="R1852" s="128"/>
      <c r="S1852" s="128"/>
      <c r="T1852" s="128"/>
      <c r="U1852" s="128"/>
      <c r="V1852" s="129"/>
      <c r="W1852" s="129"/>
      <c r="X1852" s="129"/>
      <c r="Y1852" s="129"/>
      <c r="Z1852" s="145" t="b">
        <v>0</v>
      </c>
      <c r="AA1852" s="145"/>
      <c r="AB1852" s="129"/>
      <c r="AC1852" s="129"/>
      <c r="AD1852" s="129"/>
      <c r="AE1852" s="129"/>
      <c r="AF1852" s="132"/>
      <c r="AG1852" s="128" t="b">
        <v>0</v>
      </c>
      <c r="AH1852" s="128"/>
      <c r="AI1852" s="128"/>
      <c r="AJ1852" s="128"/>
      <c r="AK1852" s="128"/>
      <c r="AL1852" s="129"/>
      <c r="AM1852" s="129"/>
      <c r="AN1852" s="139"/>
    </row>
    <row r="1853">
      <c r="A1853" s="129"/>
      <c r="B1853" s="119"/>
      <c r="C1853" s="128"/>
      <c r="D1853" s="142"/>
      <c r="E1853" s="122"/>
      <c r="F1853" s="136"/>
      <c r="G1853" s="152"/>
      <c r="H1853" s="155"/>
      <c r="I1853" s="155"/>
      <c r="J1853" s="155"/>
      <c r="K1853" s="155"/>
      <c r="L1853" s="155"/>
      <c r="M1853" s="126"/>
      <c r="N1853" s="127"/>
      <c r="O1853" s="127"/>
      <c r="P1853" s="127"/>
      <c r="Q1853" s="126"/>
      <c r="R1853" s="128"/>
      <c r="S1853" s="128"/>
      <c r="T1853" s="128"/>
      <c r="U1853" s="128"/>
      <c r="V1853" s="129"/>
      <c r="W1853" s="129"/>
      <c r="X1853" s="129"/>
      <c r="Y1853" s="129"/>
      <c r="Z1853" s="145" t="b">
        <v>0</v>
      </c>
      <c r="AA1853" s="145"/>
      <c r="AB1853" s="129"/>
      <c r="AC1853" s="129"/>
      <c r="AD1853" s="129"/>
      <c r="AE1853" s="129"/>
      <c r="AF1853" s="132"/>
      <c r="AG1853" s="128" t="b">
        <v>0</v>
      </c>
      <c r="AH1853" s="128"/>
      <c r="AI1853" s="128"/>
      <c r="AJ1853" s="128"/>
      <c r="AK1853" s="128"/>
      <c r="AL1853" s="129"/>
      <c r="AM1853" s="129"/>
      <c r="AN1853" s="139"/>
    </row>
    <row r="1854">
      <c r="A1854" s="129"/>
      <c r="B1854" s="119"/>
      <c r="C1854" s="128"/>
      <c r="D1854" s="142"/>
      <c r="E1854" s="122"/>
      <c r="F1854" s="136"/>
      <c r="G1854" s="152"/>
      <c r="H1854" s="155"/>
      <c r="I1854" s="155"/>
      <c r="J1854" s="155"/>
      <c r="K1854" s="155"/>
      <c r="L1854" s="155"/>
      <c r="M1854" s="126"/>
      <c r="N1854" s="127"/>
      <c r="O1854" s="127"/>
      <c r="P1854" s="127"/>
      <c r="Q1854" s="126"/>
      <c r="R1854" s="128"/>
      <c r="S1854" s="128"/>
      <c r="T1854" s="128"/>
      <c r="U1854" s="128"/>
      <c r="V1854" s="129"/>
      <c r="W1854" s="129"/>
      <c r="X1854" s="129"/>
      <c r="Y1854" s="129"/>
      <c r="Z1854" s="145" t="b">
        <v>0</v>
      </c>
      <c r="AA1854" s="145"/>
      <c r="AB1854" s="129"/>
      <c r="AC1854" s="129"/>
      <c r="AD1854" s="129"/>
      <c r="AE1854" s="129"/>
      <c r="AF1854" s="132"/>
      <c r="AG1854" s="128" t="b">
        <v>0</v>
      </c>
      <c r="AH1854" s="128"/>
      <c r="AI1854" s="128"/>
      <c r="AJ1854" s="128"/>
      <c r="AK1854" s="128"/>
      <c r="AL1854" s="129"/>
      <c r="AM1854" s="129"/>
      <c r="AN1854" s="139"/>
    </row>
    <row r="1855">
      <c r="A1855" s="129"/>
      <c r="B1855" s="119"/>
      <c r="C1855" s="128"/>
      <c r="D1855" s="142"/>
      <c r="E1855" s="122"/>
      <c r="F1855" s="136"/>
      <c r="G1855" s="152"/>
      <c r="H1855" s="155"/>
      <c r="I1855" s="155"/>
      <c r="J1855" s="155"/>
      <c r="K1855" s="155"/>
      <c r="L1855" s="155"/>
      <c r="M1855" s="126"/>
      <c r="N1855" s="127"/>
      <c r="O1855" s="127"/>
      <c r="P1855" s="127"/>
      <c r="Q1855" s="126"/>
      <c r="R1855" s="128"/>
      <c r="S1855" s="128"/>
      <c r="T1855" s="128"/>
      <c r="U1855" s="128"/>
      <c r="V1855" s="129"/>
      <c r="W1855" s="129"/>
      <c r="X1855" s="129"/>
      <c r="Y1855" s="129"/>
      <c r="Z1855" s="145" t="b">
        <v>0</v>
      </c>
      <c r="AA1855" s="145"/>
      <c r="AB1855" s="129"/>
      <c r="AC1855" s="129"/>
      <c r="AD1855" s="129"/>
      <c r="AE1855" s="129"/>
      <c r="AF1855" s="132"/>
      <c r="AG1855" s="128" t="b">
        <v>0</v>
      </c>
      <c r="AH1855" s="128"/>
      <c r="AI1855" s="128"/>
      <c r="AJ1855" s="128"/>
      <c r="AK1855" s="128"/>
      <c r="AL1855" s="129"/>
      <c r="AM1855" s="129"/>
      <c r="AN1855" s="139"/>
    </row>
    <row r="1856">
      <c r="A1856" s="129"/>
      <c r="B1856" s="119"/>
      <c r="C1856" s="128"/>
      <c r="D1856" s="142"/>
      <c r="E1856" s="122"/>
      <c r="F1856" s="136"/>
      <c r="G1856" s="152"/>
      <c r="H1856" s="155"/>
      <c r="I1856" s="155"/>
      <c r="J1856" s="155"/>
      <c r="K1856" s="155"/>
      <c r="L1856" s="155"/>
      <c r="M1856" s="126"/>
      <c r="N1856" s="127"/>
      <c r="O1856" s="127"/>
      <c r="P1856" s="127"/>
      <c r="Q1856" s="126"/>
      <c r="R1856" s="128"/>
      <c r="S1856" s="128"/>
      <c r="T1856" s="128"/>
      <c r="U1856" s="128"/>
      <c r="V1856" s="129"/>
      <c r="W1856" s="129"/>
      <c r="X1856" s="129"/>
      <c r="Y1856" s="129"/>
      <c r="Z1856" s="145" t="b">
        <v>0</v>
      </c>
      <c r="AA1856" s="145"/>
      <c r="AB1856" s="129"/>
      <c r="AC1856" s="129"/>
      <c r="AD1856" s="129"/>
      <c r="AE1856" s="129"/>
      <c r="AF1856" s="132"/>
      <c r="AG1856" s="128" t="b">
        <v>0</v>
      </c>
      <c r="AH1856" s="128"/>
      <c r="AI1856" s="128"/>
      <c r="AJ1856" s="128"/>
      <c r="AK1856" s="128"/>
      <c r="AL1856" s="129"/>
      <c r="AM1856" s="129"/>
      <c r="AN1856" s="139"/>
    </row>
    <row r="1857">
      <c r="A1857" s="129"/>
      <c r="B1857" s="119"/>
      <c r="C1857" s="128"/>
      <c r="D1857" s="142"/>
      <c r="E1857" s="122"/>
      <c r="F1857" s="136"/>
      <c r="G1857" s="152"/>
      <c r="H1857" s="155"/>
      <c r="I1857" s="155"/>
      <c r="J1857" s="155"/>
      <c r="K1857" s="155"/>
      <c r="L1857" s="155"/>
      <c r="M1857" s="126"/>
      <c r="N1857" s="127"/>
      <c r="O1857" s="127"/>
      <c r="P1857" s="127"/>
      <c r="Q1857" s="126"/>
      <c r="R1857" s="128"/>
      <c r="S1857" s="128"/>
      <c r="T1857" s="128"/>
      <c r="U1857" s="128"/>
      <c r="V1857" s="129"/>
      <c r="W1857" s="129"/>
      <c r="X1857" s="129"/>
      <c r="Y1857" s="129"/>
      <c r="Z1857" s="145" t="b">
        <v>0</v>
      </c>
      <c r="AA1857" s="145"/>
      <c r="AB1857" s="129"/>
      <c r="AC1857" s="129"/>
      <c r="AD1857" s="129"/>
      <c r="AE1857" s="129"/>
      <c r="AF1857" s="132"/>
      <c r="AG1857" s="128" t="b">
        <v>0</v>
      </c>
      <c r="AH1857" s="128"/>
      <c r="AI1857" s="128"/>
      <c r="AJ1857" s="128"/>
      <c r="AK1857" s="128"/>
      <c r="AL1857" s="129"/>
      <c r="AM1857" s="129"/>
      <c r="AN1857" s="139"/>
    </row>
    <row r="1858">
      <c r="A1858" s="129"/>
      <c r="B1858" s="119"/>
      <c r="C1858" s="128"/>
      <c r="D1858" s="142"/>
      <c r="E1858" s="122"/>
      <c r="F1858" s="136"/>
      <c r="G1858" s="152"/>
      <c r="H1858" s="155"/>
      <c r="I1858" s="155"/>
      <c r="J1858" s="155"/>
      <c r="K1858" s="155"/>
      <c r="L1858" s="155"/>
      <c r="M1858" s="126"/>
      <c r="N1858" s="127"/>
      <c r="O1858" s="127"/>
      <c r="P1858" s="127"/>
      <c r="Q1858" s="126"/>
      <c r="R1858" s="128"/>
      <c r="S1858" s="128"/>
      <c r="T1858" s="128"/>
      <c r="U1858" s="128"/>
      <c r="V1858" s="129"/>
      <c r="W1858" s="129"/>
      <c r="X1858" s="129"/>
      <c r="Y1858" s="129"/>
      <c r="Z1858" s="145" t="b">
        <v>0</v>
      </c>
      <c r="AA1858" s="145"/>
      <c r="AB1858" s="129"/>
      <c r="AC1858" s="129"/>
      <c r="AD1858" s="129"/>
      <c r="AE1858" s="129"/>
      <c r="AF1858" s="132"/>
      <c r="AG1858" s="128" t="b">
        <v>0</v>
      </c>
      <c r="AH1858" s="128"/>
      <c r="AI1858" s="128"/>
      <c r="AJ1858" s="128"/>
      <c r="AK1858" s="128"/>
      <c r="AL1858" s="129"/>
      <c r="AM1858" s="129"/>
      <c r="AN1858" s="139"/>
    </row>
    <row r="1859">
      <c r="A1859" s="129"/>
      <c r="B1859" s="119"/>
      <c r="C1859" s="128"/>
      <c r="D1859" s="142"/>
      <c r="E1859" s="122"/>
      <c r="F1859" s="136"/>
      <c r="G1859" s="152"/>
      <c r="H1859" s="155"/>
      <c r="I1859" s="155"/>
      <c r="J1859" s="155"/>
      <c r="K1859" s="155"/>
      <c r="L1859" s="155"/>
      <c r="M1859" s="126"/>
      <c r="N1859" s="127"/>
      <c r="O1859" s="127"/>
      <c r="P1859" s="127"/>
      <c r="Q1859" s="126"/>
      <c r="R1859" s="128"/>
      <c r="S1859" s="128"/>
      <c r="T1859" s="128"/>
      <c r="U1859" s="128"/>
      <c r="V1859" s="129"/>
      <c r="W1859" s="129"/>
      <c r="X1859" s="129"/>
      <c r="Y1859" s="129"/>
      <c r="Z1859" s="145" t="b">
        <v>0</v>
      </c>
      <c r="AA1859" s="145"/>
      <c r="AB1859" s="129"/>
      <c r="AC1859" s="129"/>
      <c r="AD1859" s="129"/>
      <c r="AE1859" s="129"/>
      <c r="AF1859" s="132"/>
      <c r="AG1859" s="128" t="b">
        <v>0</v>
      </c>
      <c r="AH1859" s="128"/>
      <c r="AI1859" s="128"/>
      <c r="AJ1859" s="128"/>
      <c r="AK1859" s="128"/>
      <c r="AL1859" s="129"/>
      <c r="AM1859" s="129"/>
      <c r="AN1859" s="139"/>
    </row>
    <row r="1860">
      <c r="A1860" s="129"/>
      <c r="B1860" s="119"/>
      <c r="C1860" s="128"/>
      <c r="D1860" s="142"/>
      <c r="E1860" s="122"/>
      <c r="F1860" s="136"/>
      <c r="G1860" s="152"/>
      <c r="H1860" s="155"/>
      <c r="I1860" s="155"/>
      <c r="J1860" s="155"/>
      <c r="K1860" s="155"/>
      <c r="L1860" s="155"/>
      <c r="M1860" s="126"/>
      <c r="N1860" s="127"/>
      <c r="O1860" s="127"/>
      <c r="P1860" s="127"/>
      <c r="Q1860" s="126"/>
      <c r="R1860" s="128"/>
      <c r="S1860" s="128"/>
      <c r="T1860" s="128"/>
      <c r="U1860" s="128"/>
      <c r="V1860" s="129"/>
      <c r="W1860" s="129"/>
      <c r="X1860" s="129"/>
      <c r="Y1860" s="129"/>
      <c r="Z1860" s="145" t="b">
        <v>0</v>
      </c>
      <c r="AA1860" s="145"/>
      <c r="AB1860" s="129"/>
      <c r="AC1860" s="129"/>
      <c r="AD1860" s="129"/>
      <c r="AE1860" s="129"/>
      <c r="AF1860" s="132"/>
      <c r="AG1860" s="128" t="b">
        <v>0</v>
      </c>
      <c r="AH1860" s="128"/>
      <c r="AI1860" s="128"/>
      <c r="AJ1860" s="128"/>
      <c r="AK1860" s="128"/>
      <c r="AL1860" s="129"/>
      <c r="AM1860" s="129"/>
      <c r="AN1860" s="139"/>
    </row>
    <row r="1861">
      <c r="A1861" s="129"/>
      <c r="B1861" s="119"/>
      <c r="C1861" s="128"/>
      <c r="D1861" s="142"/>
      <c r="E1861" s="122"/>
      <c r="F1861" s="136"/>
      <c r="G1861" s="152"/>
      <c r="H1861" s="155"/>
      <c r="I1861" s="155"/>
      <c r="J1861" s="155"/>
      <c r="K1861" s="155"/>
      <c r="L1861" s="155"/>
      <c r="M1861" s="126"/>
      <c r="N1861" s="127"/>
      <c r="O1861" s="127"/>
      <c r="P1861" s="127"/>
      <c r="Q1861" s="126"/>
      <c r="R1861" s="128"/>
      <c r="S1861" s="128"/>
      <c r="T1861" s="128"/>
      <c r="U1861" s="128"/>
      <c r="V1861" s="129"/>
      <c r="W1861" s="129"/>
      <c r="X1861" s="129"/>
      <c r="Y1861" s="129"/>
      <c r="Z1861" s="145" t="b">
        <v>0</v>
      </c>
      <c r="AA1861" s="145"/>
      <c r="AB1861" s="129"/>
      <c r="AC1861" s="129"/>
      <c r="AD1861" s="129"/>
      <c r="AE1861" s="129"/>
      <c r="AF1861" s="132"/>
      <c r="AG1861" s="128" t="b">
        <v>0</v>
      </c>
      <c r="AH1861" s="128"/>
      <c r="AI1861" s="128"/>
      <c r="AJ1861" s="128"/>
      <c r="AK1861" s="128"/>
      <c r="AL1861" s="129"/>
      <c r="AM1861" s="129"/>
      <c r="AN1861" s="139"/>
    </row>
    <row r="1862">
      <c r="A1862" s="129"/>
      <c r="B1862" s="119"/>
      <c r="C1862" s="128"/>
      <c r="D1862" s="142"/>
      <c r="E1862" s="122"/>
      <c r="F1862" s="136"/>
      <c r="G1862" s="152"/>
      <c r="H1862" s="155"/>
      <c r="I1862" s="155"/>
      <c r="J1862" s="155"/>
      <c r="K1862" s="155"/>
      <c r="L1862" s="155"/>
      <c r="M1862" s="126"/>
      <c r="N1862" s="127"/>
      <c r="O1862" s="127"/>
      <c r="P1862" s="127"/>
      <c r="Q1862" s="126"/>
      <c r="R1862" s="128"/>
      <c r="S1862" s="128"/>
      <c r="T1862" s="128"/>
      <c r="U1862" s="128"/>
      <c r="V1862" s="129"/>
      <c r="W1862" s="129"/>
      <c r="X1862" s="129"/>
      <c r="Y1862" s="129"/>
      <c r="Z1862" s="145" t="b">
        <v>0</v>
      </c>
      <c r="AA1862" s="145"/>
      <c r="AB1862" s="129"/>
      <c r="AC1862" s="129"/>
      <c r="AD1862" s="129"/>
      <c r="AE1862" s="129"/>
      <c r="AF1862" s="132"/>
      <c r="AG1862" s="128" t="b">
        <v>0</v>
      </c>
      <c r="AH1862" s="128"/>
      <c r="AI1862" s="128"/>
      <c r="AJ1862" s="128"/>
      <c r="AK1862" s="128"/>
      <c r="AL1862" s="129"/>
      <c r="AM1862" s="129"/>
      <c r="AN1862" s="139"/>
    </row>
    <row r="1863">
      <c r="A1863" s="129"/>
      <c r="B1863" s="119"/>
      <c r="C1863" s="128"/>
      <c r="D1863" s="142"/>
      <c r="E1863" s="122"/>
      <c r="F1863" s="136"/>
      <c r="G1863" s="152"/>
      <c r="H1863" s="155"/>
      <c r="I1863" s="155"/>
      <c r="J1863" s="155"/>
      <c r="K1863" s="155"/>
      <c r="L1863" s="155"/>
      <c r="M1863" s="126"/>
      <c r="N1863" s="127"/>
      <c r="O1863" s="127"/>
      <c r="P1863" s="127"/>
      <c r="Q1863" s="126"/>
      <c r="R1863" s="128"/>
      <c r="S1863" s="128"/>
      <c r="T1863" s="128"/>
      <c r="U1863" s="128"/>
      <c r="V1863" s="129"/>
      <c r="W1863" s="129"/>
      <c r="X1863" s="129"/>
      <c r="Y1863" s="129"/>
      <c r="Z1863" s="145" t="b">
        <v>0</v>
      </c>
      <c r="AA1863" s="145"/>
      <c r="AB1863" s="129"/>
      <c r="AC1863" s="129"/>
      <c r="AD1863" s="129"/>
      <c r="AE1863" s="129"/>
      <c r="AF1863" s="132"/>
      <c r="AG1863" s="128" t="b">
        <v>0</v>
      </c>
      <c r="AH1863" s="128"/>
      <c r="AI1863" s="128"/>
      <c r="AJ1863" s="128"/>
      <c r="AK1863" s="128"/>
      <c r="AL1863" s="129"/>
      <c r="AM1863" s="129"/>
      <c r="AN1863" s="139"/>
    </row>
    <row r="1864">
      <c r="A1864" s="129"/>
      <c r="B1864" s="119"/>
      <c r="C1864" s="128"/>
      <c r="D1864" s="142"/>
      <c r="E1864" s="122"/>
      <c r="F1864" s="136"/>
      <c r="G1864" s="152"/>
      <c r="H1864" s="155"/>
      <c r="I1864" s="155"/>
      <c r="J1864" s="155"/>
      <c r="K1864" s="155"/>
      <c r="L1864" s="155"/>
      <c r="M1864" s="126"/>
      <c r="N1864" s="127"/>
      <c r="O1864" s="127"/>
      <c r="P1864" s="127"/>
      <c r="Q1864" s="126"/>
      <c r="R1864" s="128"/>
      <c r="S1864" s="128"/>
      <c r="T1864" s="128"/>
      <c r="U1864" s="128"/>
      <c r="V1864" s="129"/>
      <c r="W1864" s="129"/>
      <c r="X1864" s="129"/>
      <c r="Y1864" s="129"/>
      <c r="Z1864" s="145" t="b">
        <v>0</v>
      </c>
      <c r="AA1864" s="145"/>
      <c r="AB1864" s="129"/>
      <c r="AC1864" s="129"/>
      <c r="AD1864" s="129"/>
      <c r="AE1864" s="129"/>
      <c r="AF1864" s="132"/>
      <c r="AG1864" s="128" t="b">
        <v>0</v>
      </c>
      <c r="AH1864" s="128"/>
      <c r="AI1864" s="128"/>
      <c r="AJ1864" s="128"/>
      <c r="AK1864" s="128"/>
      <c r="AL1864" s="129"/>
      <c r="AM1864" s="129"/>
      <c r="AN1864" s="139"/>
    </row>
    <row r="1865">
      <c r="A1865" s="129"/>
      <c r="B1865" s="119"/>
      <c r="C1865" s="128"/>
      <c r="D1865" s="142"/>
      <c r="E1865" s="122"/>
      <c r="F1865" s="136"/>
      <c r="G1865" s="152"/>
      <c r="H1865" s="155"/>
      <c r="I1865" s="155"/>
      <c r="J1865" s="155"/>
      <c r="K1865" s="155"/>
      <c r="L1865" s="155"/>
      <c r="M1865" s="126"/>
      <c r="N1865" s="127"/>
      <c r="O1865" s="127"/>
      <c r="P1865" s="127"/>
      <c r="Q1865" s="126"/>
      <c r="R1865" s="128"/>
      <c r="S1865" s="128"/>
      <c r="T1865" s="128"/>
      <c r="U1865" s="128"/>
      <c r="V1865" s="129"/>
      <c r="W1865" s="129"/>
      <c r="X1865" s="129"/>
      <c r="Y1865" s="129"/>
      <c r="Z1865" s="145" t="b">
        <v>0</v>
      </c>
      <c r="AA1865" s="145"/>
      <c r="AB1865" s="129"/>
      <c r="AC1865" s="129"/>
      <c r="AD1865" s="129"/>
      <c r="AE1865" s="129"/>
      <c r="AF1865" s="132"/>
      <c r="AG1865" s="128" t="b">
        <v>0</v>
      </c>
      <c r="AH1865" s="128"/>
      <c r="AI1865" s="128"/>
      <c r="AJ1865" s="128"/>
      <c r="AK1865" s="128"/>
      <c r="AL1865" s="129"/>
      <c r="AM1865" s="129"/>
      <c r="AN1865" s="139"/>
    </row>
    <row r="1866">
      <c r="A1866" s="129"/>
      <c r="B1866" s="119"/>
      <c r="C1866" s="128"/>
      <c r="D1866" s="142"/>
      <c r="E1866" s="122"/>
      <c r="F1866" s="136"/>
      <c r="G1866" s="152"/>
      <c r="H1866" s="155"/>
      <c r="I1866" s="155"/>
      <c r="J1866" s="155"/>
      <c r="K1866" s="155"/>
      <c r="L1866" s="155"/>
      <c r="M1866" s="126"/>
      <c r="N1866" s="127"/>
      <c r="O1866" s="127"/>
      <c r="P1866" s="127"/>
      <c r="Q1866" s="126"/>
      <c r="R1866" s="128"/>
      <c r="S1866" s="128"/>
      <c r="T1866" s="128"/>
      <c r="U1866" s="128"/>
      <c r="V1866" s="129"/>
      <c r="W1866" s="129"/>
      <c r="X1866" s="129"/>
      <c r="Y1866" s="129"/>
      <c r="Z1866" s="145" t="b">
        <v>0</v>
      </c>
      <c r="AA1866" s="145"/>
      <c r="AB1866" s="129"/>
      <c r="AC1866" s="129"/>
      <c r="AD1866" s="129"/>
      <c r="AE1866" s="129"/>
      <c r="AF1866" s="132"/>
      <c r="AG1866" s="128" t="b">
        <v>0</v>
      </c>
      <c r="AH1866" s="128"/>
      <c r="AI1866" s="128"/>
      <c r="AJ1866" s="128"/>
      <c r="AK1866" s="128"/>
      <c r="AL1866" s="129"/>
      <c r="AM1866" s="129"/>
      <c r="AN1866" s="139"/>
    </row>
    <row r="1867">
      <c r="A1867" s="129"/>
      <c r="B1867" s="119"/>
      <c r="C1867" s="128"/>
      <c r="D1867" s="142"/>
      <c r="E1867" s="122"/>
      <c r="F1867" s="136"/>
      <c r="G1867" s="152"/>
      <c r="H1867" s="155"/>
      <c r="I1867" s="155"/>
      <c r="J1867" s="155"/>
      <c r="K1867" s="155"/>
      <c r="L1867" s="155"/>
      <c r="M1867" s="126"/>
      <c r="N1867" s="127"/>
      <c r="O1867" s="127"/>
      <c r="P1867" s="127"/>
      <c r="Q1867" s="126"/>
      <c r="R1867" s="128"/>
      <c r="S1867" s="128"/>
      <c r="T1867" s="128"/>
      <c r="U1867" s="128"/>
      <c r="V1867" s="129"/>
      <c r="W1867" s="129"/>
      <c r="X1867" s="129"/>
      <c r="Y1867" s="129"/>
      <c r="Z1867" s="145" t="b">
        <v>0</v>
      </c>
      <c r="AA1867" s="145"/>
      <c r="AB1867" s="129"/>
      <c r="AC1867" s="129"/>
      <c r="AD1867" s="129"/>
      <c r="AE1867" s="129"/>
      <c r="AF1867" s="132"/>
      <c r="AG1867" s="128" t="b">
        <v>0</v>
      </c>
      <c r="AH1867" s="128"/>
      <c r="AI1867" s="128"/>
      <c r="AJ1867" s="128"/>
      <c r="AK1867" s="128"/>
      <c r="AL1867" s="129"/>
      <c r="AM1867" s="129"/>
      <c r="AN1867" s="139"/>
    </row>
    <row r="1868">
      <c r="A1868" s="129"/>
      <c r="B1868" s="119"/>
      <c r="C1868" s="128"/>
      <c r="D1868" s="142"/>
      <c r="E1868" s="122"/>
      <c r="F1868" s="136"/>
      <c r="G1868" s="152"/>
      <c r="H1868" s="155"/>
      <c r="I1868" s="155"/>
      <c r="J1868" s="155"/>
      <c r="K1868" s="155"/>
      <c r="L1868" s="155"/>
      <c r="M1868" s="126"/>
      <c r="N1868" s="127"/>
      <c r="O1868" s="127"/>
      <c r="P1868" s="127"/>
      <c r="Q1868" s="126"/>
      <c r="R1868" s="128"/>
      <c r="S1868" s="128"/>
      <c r="T1868" s="128"/>
      <c r="U1868" s="128"/>
      <c r="V1868" s="129"/>
      <c r="W1868" s="129"/>
      <c r="X1868" s="129"/>
      <c r="Y1868" s="129"/>
      <c r="Z1868" s="145" t="b">
        <v>0</v>
      </c>
      <c r="AA1868" s="145"/>
      <c r="AB1868" s="129"/>
      <c r="AC1868" s="129"/>
      <c r="AD1868" s="129"/>
      <c r="AE1868" s="129"/>
      <c r="AF1868" s="132"/>
      <c r="AG1868" s="128" t="b">
        <v>0</v>
      </c>
      <c r="AH1868" s="128"/>
      <c r="AI1868" s="128"/>
      <c r="AJ1868" s="128"/>
      <c r="AK1868" s="128"/>
      <c r="AL1868" s="129"/>
      <c r="AM1868" s="129"/>
      <c r="AN1868" s="139"/>
    </row>
    <row r="1869">
      <c r="A1869" s="129"/>
      <c r="B1869" s="119"/>
      <c r="C1869" s="128"/>
      <c r="D1869" s="142"/>
      <c r="E1869" s="122"/>
      <c r="F1869" s="136"/>
      <c r="G1869" s="152"/>
      <c r="H1869" s="155"/>
      <c r="I1869" s="155"/>
      <c r="J1869" s="155"/>
      <c r="K1869" s="155"/>
      <c r="L1869" s="155"/>
      <c r="M1869" s="126"/>
      <c r="N1869" s="127"/>
      <c r="O1869" s="127"/>
      <c r="P1869" s="127"/>
      <c r="Q1869" s="126"/>
      <c r="R1869" s="128"/>
      <c r="S1869" s="128"/>
      <c r="T1869" s="128"/>
      <c r="U1869" s="128"/>
      <c r="V1869" s="129"/>
      <c r="W1869" s="129"/>
      <c r="X1869" s="129"/>
      <c r="Y1869" s="129"/>
      <c r="Z1869" s="145" t="b">
        <v>0</v>
      </c>
      <c r="AA1869" s="145"/>
      <c r="AB1869" s="129"/>
      <c r="AC1869" s="129"/>
      <c r="AD1869" s="129"/>
      <c r="AE1869" s="129"/>
      <c r="AF1869" s="132"/>
      <c r="AG1869" s="128" t="b">
        <v>0</v>
      </c>
      <c r="AH1869" s="128"/>
      <c r="AI1869" s="128"/>
      <c r="AJ1869" s="128"/>
      <c r="AK1869" s="128"/>
      <c r="AL1869" s="129"/>
      <c r="AM1869" s="129"/>
      <c r="AN1869" s="139"/>
    </row>
    <row r="1870">
      <c r="A1870" s="129"/>
      <c r="B1870" s="119"/>
      <c r="C1870" s="128"/>
      <c r="D1870" s="142"/>
      <c r="E1870" s="122"/>
      <c r="F1870" s="136"/>
      <c r="G1870" s="152"/>
      <c r="H1870" s="155"/>
      <c r="I1870" s="155"/>
      <c r="J1870" s="155"/>
      <c r="K1870" s="155"/>
      <c r="L1870" s="155"/>
      <c r="M1870" s="126"/>
      <c r="N1870" s="127"/>
      <c r="O1870" s="127"/>
      <c r="P1870" s="127"/>
      <c r="Q1870" s="126"/>
      <c r="R1870" s="128"/>
      <c r="S1870" s="128"/>
      <c r="T1870" s="128"/>
      <c r="U1870" s="128"/>
      <c r="V1870" s="129"/>
      <c r="W1870" s="129"/>
      <c r="X1870" s="129"/>
      <c r="Y1870" s="129"/>
      <c r="Z1870" s="145" t="b">
        <v>0</v>
      </c>
      <c r="AA1870" s="145"/>
      <c r="AB1870" s="129"/>
      <c r="AC1870" s="129"/>
      <c r="AD1870" s="129"/>
      <c r="AE1870" s="129"/>
      <c r="AF1870" s="132"/>
      <c r="AG1870" s="128" t="b">
        <v>0</v>
      </c>
      <c r="AH1870" s="128"/>
      <c r="AI1870" s="128"/>
      <c r="AJ1870" s="128"/>
      <c r="AK1870" s="128"/>
      <c r="AL1870" s="129"/>
      <c r="AM1870" s="129"/>
      <c r="AN1870" s="139"/>
    </row>
    <row r="1871">
      <c r="A1871" s="129"/>
      <c r="B1871" s="119"/>
      <c r="C1871" s="128"/>
      <c r="D1871" s="142"/>
      <c r="E1871" s="122"/>
      <c r="F1871" s="136"/>
      <c r="G1871" s="152"/>
      <c r="H1871" s="155"/>
      <c r="I1871" s="155"/>
      <c r="J1871" s="155"/>
      <c r="K1871" s="155"/>
      <c r="L1871" s="155"/>
      <c r="M1871" s="126"/>
      <c r="N1871" s="127"/>
      <c r="O1871" s="127"/>
      <c r="P1871" s="127"/>
      <c r="Q1871" s="126"/>
      <c r="R1871" s="128"/>
      <c r="S1871" s="128"/>
      <c r="T1871" s="128"/>
      <c r="U1871" s="128"/>
      <c r="V1871" s="129"/>
      <c r="W1871" s="129"/>
      <c r="X1871" s="129"/>
      <c r="Y1871" s="129"/>
      <c r="Z1871" s="145" t="b">
        <v>0</v>
      </c>
      <c r="AA1871" s="145"/>
      <c r="AB1871" s="129"/>
      <c r="AC1871" s="129"/>
      <c r="AD1871" s="129"/>
      <c r="AE1871" s="129"/>
      <c r="AF1871" s="132"/>
      <c r="AG1871" s="128" t="b">
        <v>0</v>
      </c>
      <c r="AH1871" s="128"/>
      <c r="AI1871" s="128"/>
      <c r="AJ1871" s="128"/>
      <c r="AK1871" s="128"/>
      <c r="AL1871" s="129"/>
      <c r="AM1871" s="129"/>
      <c r="AN1871" s="139"/>
    </row>
    <row r="1872">
      <c r="A1872" s="129"/>
      <c r="B1872" s="119"/>
      <c r="C1872" s="128"/>
      <c r="D1872" s="142"/>
      <c r="E1872" s="122"/>
      <c r="F1872" s="136"/>
      <c r="G1872" s="152"/>
      <c r="H1872" s="155"/>
      <c r="I1872" s="155"/>
      <c r="J1872" s="155"/>
      <c r="K1872" s="155"/>
      <c r="L1872" s="155"/>
      <c r="M1872" s="126"/>
      <c r="N1872" s="127"/>
      <c r="O1872" s="127"/>
      <c r="P1872" s="127"/>
      <c r="Q1872" s="126"/>
      <c r="R1872" s="128"/>
      <c r="S1872" s="128"/>
      <c r="T1872" s="128"/>
      <c r="U1872" s="128"/>
      <c r="V1872" s="129"/>
      <c r="W1872" s="129"/>
      <c r="X1872" s="129"/>
      <c r="Y1872" s="129"/>
      <c r="Z1872" s="145" t="b">
        <v>0</v>
      </c>
      <c r="AA1872" s="145"/>
      <c r="AB1872" s="129"/>
      <c r="AC1872" s="129"/>
      <c r="AD1872" s="129"/>
      <c r="AE1872" s="129"/>
      <c r="AF1872" s="132"/>
      <c r="AG1872" s="128" t="b">
        <v>0</v>
      </c>
      <c r="AH1872" s="128"/>
      <c r="AI1872" s="128"/>
      <c r="AJ1872" s="128"/>
      <c r="AK1872" s="128"/>
      <c r="AL1872" s="129"/>
      <c r="AM1872" s="129"/>
      <c r="AN1872" s="139"/>
    </row>
    <row r="1873">
      <c r="A1873" s="129"/>
      <c r="B1873" s="119"/>
      <c r="C1873" s="128"/>
      <c r="D1873" s="142"/>
      <c r="E1873" s="122"/>
      <c r="F1873" s="136"/>
      <c r="G1873" s="152"/>
      <c r="H1873" s="155"/>
      <c r="I1873" s="155"/>
      <c r="J1873" s="155"/>
      <c r="K1873" s="155"/>
      <c r="L1873" s="155"/>
      <c r="M1873" s="126"/>
      <c r="N1873" s="127"/>
      <c r="O1873" s="127"/>
      <c r="P1873" s="127"/>
      <c r="Q1873" s="126"/>
      <c r="R1873" s="128"/>
      <c r="S1873" s="128"/>
      <c r="T1873" s="128"/>
      <c r="U1873" s="128"/>
      <c r="V1873" s="129"/>
      <c r="W1873" s="129"/>
      <c r="X1873" s="129"/>
      <c r="Y1873" s="129"/>
      <c r="Z1873" s="145" t="b">
        <v>0</v>
      </c>
      <c r="AA1873" s="145"/>
      <c r="AB1873" s="129"/>
      <c r="AC1873" s="129"/>
      <c r="AD1873" s="129"/>
      <c r="AE1873" s="129"/>
      <c r="AF1873" s="132"/>
      <c r="AG1873" s="128" t="b">
        <v>0</v>
      </c>
      <c r="AH1873" s="128"/>
      <c r="AI1873" s="128"/>
      <c r="AJ1873" s="128"/>
      <c r="AK1873" s="128"/>
      <c r="AL1873" s="129"/>
      <c r="AM1873" s="129"/>
      <c r="AN1873" s="139"/>
    </row>
    <row r="1874">
      <c r="A1874" s="129"/>
      <c r="B1874" s="119"/>
      <c r="C1874" s="128"/>
      <c r="D1874" s="142"/>
      <c r="E1874" s="122"/>
      <c r="F1874" s="136"/>
      <c r="G1874" s="152"/>
      <c r="H1874" s="155"/>
      <c r="I1874" s="155"/>
      <c r="J1874" s="155"/>
      <c r="K1874" s="155"/>
      <c r="L1874" s="155"/>
      <c r="M1874" s="126"/>
      <c r="N1874" s="127"/>
      <c r="O1874" s="127"/>
      <c r="P1874" s="127"/>
      <c r="Q1874" s="126"/>
      <c r="R1874" s="128"/>
      <c r="S1874" s="128"/>
      <c r="T1874" s="128"/>
      <c r="U1874" s="128"/>
      <c r="V1874" s="129"/>
      <c r="W1874" s="129"/>
      <c r="X1874" s="129"/>
      <c r="Y1874" s="129"/>
      <c r="Z1874" s="145" t="b">
        <v>0</v>
      </c>
      <c r="AA1874" s="145"/>
      <c r="AB1874" s="129"/>
      <c r="AC1874" s="129"/>
      <c r="AD1874" s="129"/>
      <c r="AE1874" s="129"/>
      <c r="AF1874" s="132"/>
      <c r="AG1874" s="128" t="b">
        <v>0</v>
      </c>
      <c r="AH1874" s="128"/>
      <c r="AI1874" s="128"/>
      <c r="AJ1874" s="128"/>
      <c r="AK1874" s="128"/>
      <c r="AL1874" s="129"/>
      <c r="AM1874" s="129"/>
      <c r="AN1874" s="139"/>
    </row>
    <row r="1875">
      <c r="A1875" s="129"/>
      <c r="B1875" s="119"/>
      <c r="C1875" s="128"/>
      <c r="D1875" s="142"/>
      <c r="E1875" s="122"/>
      <c r="F1875" s="136"/>
      <c r="G1875" s="152"/>
      <c r="H1875" s="155"/>
      <c r="I1875" s="155"/>
      <c r="J1875" s="155"/>
      <c r="K1875" s="155"/>
      <c r="L1875" s="155"/>
      <c r="M1875" s="126"/>
      <c r="N1875" s="127"/>
      <c r="O1875" s="127"/>
      <c r="P1875" s="127"/>
      <c r="Q1875" s="126"/>
      <c r="R1875" s="128"/>
      <c r="S1875" s="128"/>
      <c r="T1875" s="128"/>
      <c r="U1875" s="128"/>
      <c r="V1875" s="129"/>
      <c r="W1875" s="129"/>
      <c r="X1875" s="129"/>
      <c r="Y1875" s="129"/>
      <c r="Z1875" s="145" t="b">
        <v>0</v>
      </c>
      <c r="AA1875" s="145"/>
      <c r="AB1875" s="129"/>
      <c r="AC1875" s="129"/>
      <c r="AD1875" s="129"/>
      <c r="AE1875" s="129"/>
      <c r="AF1875" s="132"/>
      <c r="AG1875" s="128" t="b">
        <v>0</v>
      </c>
      <c r="AH1875" s="128"/>
      <c r="AI1875" s="128"/>
      <c r="AJ1875" s="128"/>
      <c r="AK1875" s="128"/>
      <c r="AL1875" s="129"/>
      <c r="AM1875" s="129"/>
      <c r="AN1875" s="139"/>
    </row>
    <row r="1876">
      <c r="A1876" s="129"/>
      <c r="B1876" s="119"/>
      <c r="C1876" s="128"/>
      <c r="D1876" s="142"/>
      <c r="E1876" s="122"/>
      <c r="F1876" s="136"/>
      <c r="G1876" s="152"/>
      <c r="H1876" s="155"/>
      <c r="I1876" s="155"/>
      <c r="J1876" s="155"/>
      <c r="K1876" s="155"/>
      <c r="L1876" s="155"/>
      <c r="M1876" s="126"/>
      <c r="N1876" s="127"/>
      <c r="O1876" s="127"/>
      <c r="P1876" s="127"/>
      <c r="Q1876" s="126"/>
      <c r="R1876" s="128"/>
      <c r="S1876" s="128"/>
      <c r="T1876" s="128"/>
      <c r="U1876" s="128"/>
      <c r="V1876" s="129"/>
      <c r="W1876" s="129"/>
      <c r="X1876" s="129"/>
      <c r="Y1876" s="129"/>
      <c r="Z1876" s="145" t="b">
        <v>0</v>
      </c>
      <c r="AA1876" s="145"/>
      <c r="AB1876" s="129"/>
      <c r="AC1876" s="129"/>
      <c r="AD1876" s="129"/>
      <c r="AE1876" s="129"/>
      <c r="AF1876" s="132"/>
      <c r="AG1876" s="128" t="b">
        <v>0</v>
      </c>
      <c r="AH1876" s="128"/>
      <c r="AI1876" s="128"/>
      <c r="AJ1876" s="128"/>
      <c r="AK1876" s="128"/>
      <c r="AL1876" s="129"/>
      <c r="AM1876" s="129"/>
      <c r="AN1876" s="139"/>
    </row>
    <row r="1877">
      <c r="A1877" s="129"/>
      <c r="B1877" s="119"/>
      <c r="C1877" s="128"/>
      <c r="D1877" s="142"/>
      <c r="E1877" s="122"/>
      <c r="F1877" s="136"/>
      <c r="G1877" s="152"/>
      <c r="H1877" s="155"/>
      <c r="I1877" s="155"/>
      <c r="J1877" s="155"/>
      <c r="K1877" s="155"/>
      <c r="L1877" s="155"/>
      <c r="M1877" s="126"/>
      <c r="N1877" s="127"/>
      <c r="O1877" s="127"/>
      <c r="P1877" s="127"/>
      <c r="Q1877" s="126"/>
      <c r="R1877" s="128"/>
      <c r="S1877" s="128"/>
      <c r="T1877" s="128"/>
      <c r="U1877" s="128"/>
      <c r="V1877" s="129"/>
      <c r="W1877" s="129"/>
      <c r="X1877" s="129"/>
      <c r="Y1877" s="129"/>
      <c r="Z1877" s="145" t="b">
        <v>0</v>
      </c>
      <c r="AA1877" s="145"/>
      <c r="AB1877" s="129"/>
      <c r="AC1877" s="129"/>
      <c r="AD1877" s="129"/>
      <c r="AE1877" s="129"/>
      <c r="AF1877" s="132"/>
      <c r="AG1877" s="128" t="b">
        <v>0</v>
      </c>
      <c r="AH1877" s="128"/>
      <c r="AI1877" s="128"/>
      <c r="AJ1877" s="128"/>
      <c r="AK1877" s="128"/>
      <c r="AL1877" s="129"/>
      <c r="AM1877" s="129"/>
      <c r="AN1877" s="139"/>
    </row>
    <row r="1878">
      <c r="A1878" s="129"/>
      <c r="B1878" s="119"/>
      <c r="C1878" s="128"/>
      <c r="D1878" s="142"/>
      <c r="E1878" s="122"/>
      <c r="F1878" s="136"/>
      <c r="G1878" s="152"/>
      <c r="H1878" s="155"/>
      <c r="I1878" s="155"/>
      <c r="J1878" s="155"/>
      <c r="K1878" s="155"/>
      <c r="L1878" s="155"/>
      <c r="M1878" s="126"/>
      <c r="N1878" s="127"/>
      <c r="O1878" s="127"/>
      <c r="P1878" s="127"/>
      <c r="Q1878" s="126"/>
      <c r="R1878" s="128"/>
      <c r="S1878" s="128"/>
      <c r="T1878" s="128"/>
      <c r="U1878" s="128"/>
      <c r="V1878" s="129"/>
      <c r="W1878" s="129"/>
      <c r="X1878" s="129"/>
      <c r="Y1878" s="129"/>
      <c r="Z1878" s="145" t="b">
        <v>0</v>
      </c>
      <c r="AA1878" s="145"/>
      <c r="AB1878" s="129"/>
      <c r="AC1878" s="129"/>
      <c r="AD1878" s="129"/>
      <c r="AE1878" s="129"/>
      <c r="AF1878" s="132"/>
      <c r="AG1878" s="128" t="b">
        <v>0</v>
      </c>
      <c r="AH1878" s="128"/>
      <c r="AI1878" s="128"/>
      <c r="AJ1878" s="128"/>
      <c r="AK1878" s="128"/>
      <c r="AL1878" s="129"/>
      <c r="AM1878" s="129"/>
      <c r="AN1878" s="139"/>
    </row>
    <row r="1879">
      <c r="A1879" s="129"/>
      <c r="B1879" s="119"/>
      <c r="C1879" s="128"/>
      <c r="D1879" s="142"/>
      <c r="E1879" s="122"/>
      <c r="F1879" s="136"/>
      <c r="G1879" s="152"/>
      <c r="H1879" s="155"/>
      <c r="I1879" s="155"/>
      <c r="J1879" s="155"/>
      <c r="K1879" s="155"/>
      <c r="L1879" s="155"/>
      <c r="M1879" s="126"/>
      <c r="N1879" s="127"/>
      <c r="O1879" s="127"/>
      <c r="P1879" s="127"/>
      <c r="Q1879" s="126"/>
      <c r="R1879" s="128"/>
      <c r="S1879" s="128"/>
      <c r="T1879" s="128"/>
      <c r="U1879" s="128"/>
      <c r="V1879" s="129"/>
      <c r="W1879" s="129"/>
      <c r="X1879" s="129"/>
      <c r="Y1879" s="129"/>
      <c r="Z1879" s="145" t="b">
        <v>0</v>
      </c>
      <c r="AA1879" s="145"/>
      <c r="AB1879" s="129"/>
      <c r="AC1879" s="129"/>
      <c r="AD1879" s="129"/>
      <c r="AE1879" s="129"/>
      <c r="AF1879" s="132"/>
      <c r="AG1879" s="128" t="b">
        <v>0</v>
      </c>
      <c r="AH1879" s="128"/>
      <c r="AI1879" s="128"/>
      <c r="AJ1879" s="128"/>
      <c r="AK1879" s="128"/>
      <c r="AL1879" s="129"/>
      <c r="AM1879" s="129"/>
      <c r="AN1879" s="139"/>
    </row>
    <row r="1880">
      <c r="A1880" s="129"/>
      <c r="B1880" s="119"/>
      <c r="C1880" s="128"/>
      <c r="D1880" s="142"/>
      <c r="E1880" s="122"/>
      <c r="F1880" s="136"/>
      <c r="G1880" s="152"/>
      <c r="H1880" s="155"/>
      <c r="I1880" s="155"/>
      <c r="J1880" s="155"/>
      <c r="K1880" s="155"/>
      <c r="L1880" s="155"/>
      <c r="M1880" s="126"/>
      <c r="N1880" s="127"/>
      <c r="O1880" s="127"/>
      <c r="P1880" s="127"/>
      <c r="Q1880" s="126"/>
      <c r="R1880" s="128"/>
      <c r="S1880" s="128"/>
      <c r="T1880" s="128"/>
      <c r="U1880" s="128"/>
      <c r="V1880" s="129"/>
      <c r="W1880" s="129"/>
      <c r="X1880" s="129"/>
      <c r="Y1880" s="129"/>
      <c r="Z1880" s="145" t="b">
        <v>0</v>
      </c>
      <c r="AA1880" s="145"/>
      <c r="AB1880" s="129"/>
      <c r="AC1880" s="129"/>
      <c r="AD1880" s="129"/>
      <c r="AE1880" s="129"/>
      <c r="AF1880" s="132"/>
      <c r="AG1880" s="128" t="b">
        <v>0</v>
      </c>
      <c r="AH1880" s="128"/>
      <c r="AI1880" s="128"/>
      <c r="AJ1880" s="128"/>
      <c r="AK1880" s="128"/>
      <c r="AL1880" s="129"/>
      <c r="AM1880" s="129"/>
      <c r="AN1880" s="139"/>
    </row>
    <row r="1881">
      <c r="A1881" s="129"/>
      <c r="B1881" s="119"/>
      <c r="C1881" s="128"/>
      <c r="D1881" s="142"/>
      <c r="E1881" s="122"/>
      <c r="F1881" s="136"/>
      <c r="G1881" s="152"/>
      <c r="H1881" s="155"/>
      <c r="I1881" s="155"/>
      <c r="J1881" s="155"/>
      <c r="K1881" s="155"/>
      <c r="L1881" s="155"/>
      <c r="M1881" s="126"/>
      <c r="N1881" s="127"/>
      <c r="O1881" s="127"/>
      <c r="P1881" s="127"/>
      <c r="Q1881" s="126"/>
      <c r="R1881" s="128"/>
      <c r="S1881" s="128"/>
      <c r="T1881" s="128"/>
      <c r="U1881" s="128"/>
      <c r="V1881" s="129"/>
      <c r="W1881" s="129"/>
      <c r="X1881" s="129"/>
      <c r="Y1881" s="129"/>
      <c r="Z1881" s="145" t="b">
        <v>0</v>
      </c>
      <c r="AA1881" s="145"/>
      <c r="AB1881" s="129"/>
      <c r="AC1881" s="129"/>
      <c r="AD1881" s="129"/>
      <c r="AE1881" s="129"/>
      <c r="AF1881" s="132"/>
      <c r="AG1881" s="128" t="b">
        <v>0</v>
      </c>
      <c r="AH1881" s="128"/>
      <c r="AI1881" s="128"/>
      <c r="AJ1881" s="128"/>
      <c r="AK1881" s="128"/>
      <c r="AL1881" s="129"/>
      <c r="AM1881" s="129"/>
      <c r="AN1881" s="139"/>
    </row>
    <row r="1882">
      <c r="A1882" s="129"/>
      <c r="B1882" s="119"/>
      <c r="C1882" s="128"/>
      <c r="D1882" s="142"/>
      <c r="E1882" s="122"/>
      <c r="F1882" s="136"/>
      <c r="G1882" s="152"/>
      <c r="H1882" s="155"/>
      <c r="I1882" s="155"/>
      <c r="J1882" s="155"/>
      <c r="K1882" s="155"/>
      <c r="L1882" s="155"/>
      <c r="M1882" s="126"/>
      <c r="N1882" s="127"/>
      <c r="O1882" s="127"/>
      <c r="P1882" s="127"/>
      <c r="Q1882" s="126"/>
      <c r="R1882" s="128"/>
      <c r="S1882" s="128"/>
      <c r="T1882" s="128"/>
      <c r="U1882" s="128"/>
      <c r="V1882" s="129"/>
      <c r="W1882" s="129"/>
      <c r="X1882" s="129"/>
      <c r="Y1882" s="129"/>
      <c r="Z1882" s="145" t="b">
        <v>0</v>
      </c>
      <c r="AA1882" s="145"/>
      <c r="AB1882" s="129"/>
      <c r="AC1882" s="129"/>
      <c r="AD1882" s="129"/>
      <c r="AE1882" s="129"/>
      <c r="AF1882" s="132"/>
      <c r="AG1882" s="128" t="b">
        <v>0</v>
      </c>
      <c r="AH1882" s="128"/>
      <c r="AI1882" s="128"/>
      <c r="AJ1882" s="128"/>
      <c r="AK1882" s="128"/>
      <c r="AL1882" s="129"/>
      <c r="AM1882" s="129"/>
      <c r="AN1882" s="139"/>
    </row>
    <row r="1883">
      <c r="A1883" s="129"/>
      <c r="B1883" s="119"/>
      <c r="C1883" s="128"/>
      <c r="D1883" s="142"/>
      <c r="E1883" s="122"/>
      <c r="F1883" s="136"/>
      <c r="G1883" s="152"/>
      <c r="H1883" s="155"/>
      <c r="I1883" s="155"/>
      <c r="J1883" s="155"/>
      <c r="K1883" s="155"/>
      <c r="L1883" s="155"/>
      <c r="M1883" s="126"/>
      <c r="N1883" s="127"/>
      <c r="O1883" s="127"/>
      <c r="P1883" s="127"/>
      <c r="Q1883" s="126"/>
      <c r="R1883" s="128"/>
      <c r="S1883" s="128"/>
      <c r="T1883" s="128"/>
      <c r="U1883" s="128"/>
      <c r="V1883" s="129"/>
      <c r="W1883" s="129"/>
      <c r="X1883" s="129"/>
      <c r="Y1883" s="129"/>
      <c r="Z1883" s="145" t="b">
        <v>0</v>
      </c>
      <c r="AA1883" s="145"/>
      <c r="AB1883" s="129"/>
      <c r="AC1883" s="129"/>
      <c r="AD1883" s="129"/>
      <c r="AE1883" s="129"/>
      <c r="AF1883" s="132"/>
      <c r="AG1883" s="128" t="b">
        <v>0</v>
      </c>
      <c r="AH1883" s="128"/>
      <c r="AI1883" s="128"/>
      <c r="AJ1883" s="128"/>
      <c r="AK1883" s="128"/>
      <c r="AL1883" s="129"/>
      <c r="AM1883" s="129"/>
      <c r="AN1883" s="139"/>
    </row>
    <row r="1884">
      <c r="A1884" s="129"/>
      <c r="B1884" s="119"/>
      <c r="C1884" s="128"/>
      <c r="D1884" s="142"/>
      <c r="E1884" s="122"/>
      <c r="F1884" s="136"/>
      <c r="G1884" s="152"/>
      <c r="H1884" s="155"/>
      <c r="I1884" s="155"/>
      <c r="J1884" s="155"/>
      <c r="K1884" s="155"/>
      <c r="L1884" s="155"/>
      <c r="M1884" s="126"/>
      <c r="N1884" s="127"/>
      <c r="O1884" s="127"/>
      <c r="P1884" s="127"/>
      <c r="Q1884" s="126"/>
      <c r="R1884" s="128"/>
      <c r="S1884" s="128"/>
      <c r="T1884" s="128"/>
      <c r="U1884" s="128"/>
      <c r="V1884" s="129"/>
      <c r="W1884" s="129"/>
      <c r="X1884" s="129"/>
      <c r="Y1884" s="129"/>
      <c r="Z1884" s="145" t="b">
        <v>0</v>
      </c>
      <c r="AA1884" s="145"/>
      <c r="AB1884" s="129"/>
      <c r="AC1884" s="129"/>
      <c r="AD1884" s="129"/>
      <c r="AE1884" s="129"/>
      <c r="AF1884" s="132"/>
      <c r="AG1884" s="128" t="b">
        <v>0</v>
      </c>
      <c r="AH1884" s="128"/>
      <c r="AI1884" s="128"/>
      <c r="AJ1884" s="128"/>
      <c r="AK1884" s="128"/>
      <c r="AL1884" s="129"/>
      <c r="AM1884" s="129"/>
      <c r="AN1884" s="139"/>
    </row>
    <row r="1885">
      <c r="A1885" s="129"/>
      <c r="B1885" s="119"/>
      <c r="C1885" s="128"/>
      <c r="D1885" s="142"/>
      <c r="E1885" s="122"/>
      <c r="F1885" s="136"/>
      <c r="G1885" s="152"/>
      <c r="H1885" s="155"/>
      <c r="I1885" s="155"/>
      <c r="J1885" s="155"/>
      <c r="K1885" s="155"/>
      <c r="L1885" s="155"/>
      <c r="M1885" s="126"/>
      <c r="N1885" s="127"/>
      <c r="O1885" s="127"/>
      <c r="P1885" s="127"/>
      <c r="Q1885" s="126"/>
      <c r="R1885" s="128"/>
      <c r="S1885" s="128"/>
      <c r="T1885" s="128"/>
      <c r="U1885" s="128"/>
      <c r="V1885" s="129"/>
      <c r="W1885" s="129"/>
      <c r="X1885" s="129"/>
      <c r="Y1885" s="129"/>
      <c r="Z1885" s="145" t="b">
        <v>0</v>
      </c>
      <c r="AA1885" s="145"/>
      <c r="AB1885" s="129"/>
      <c r="AC1885" s="129"/>
      <c r="AD1885" s="129"/>
      <c r="AE1885" s="129"/>
      <c r="AF1885" s="132"/>
      <c r="AG1885" s="128" t="b">
        <v>0</v>
      </c>
      <c r="AH1885" s="128"/>
      <c r="AI1885" s="128"/>
      <c r="AJ1885" s="128"/>
      <c r="AK1885" s="128"/>
      <c r="AL1885" s="129"/>
      <c r="AM1885" s="129"/>
      <c r="AN1885" s="139"/>
    </row>
    <row r="1886">
      <c r="A1886" s="129"/>
      <c r="B1886" s="119"/>
      <c r="C1886" s="128"/>
      <c r="D1886" s="142"/>
      <c r="E1886" s="122"/>
      <c r="F1886" s="136"/>
      <c r="G1886" s="152"/>
      <c r="H1886" s="155"/>
      <c r="I1886" s="155"/>
      <c r="J1886" s="155"/>
      <c r="K1886" s="155"/>
      <c r="L1886" s="155"/>
      <c r="M1886" s="126"/>
      <c r="N1886" s="127"/>
      <c r="O1886" s="127"/>
      <c r="P1886" s="127"/>
      <c r="Q1886" s="126"/>
      <c r="R1886" s="128"/>
      <c r="S1886" s="128"/>
      <c r="T1886" s="128"/>
      <c r="U1886" s="128"/>
      <c r="V1886" s="129"/>
      <c r="W1886" s="129"/>
      <c r="X1886" s="129"/>
      <c r="Y1886" s="129"/>
      <c r="Z1886" s="145" t="b">
        <v>0</v>
      </c>
      <c r="AA1886" s="145"/>
      <c r="AB1886" s="129"/>
      <c r="AC1886" s="129"/>
      <c r="AD1886" s="129"/>
      <c r="AE1886" s="129"/>
      <c r="AF1886" s="132"/>
      <c r="AG1886" s="128" t="b">
        <v>0</v>
      </c>
      <c r="AH1886" s="128"/>
      <c r="AI1886" s="128"/>
      <c r="AJ1886" s="128"/>
      <c r="AK1886" s="128"/>
      <c r="AL1886" s="129"/>
      <c r="AM1886" s="129"/>
      <c r="AN1886" s="139"/>
    </row>
    <row r="1887">
      <c r="A1887" s="129"/>
      <c r="B1887" s="119"/>
      <c r="C1887" s="128"/>
      <c r="D1887" s="142"/>
      <c r="E1887" s="122"/>
      <c r="F1887" s="136"/>
      <c r="G1887" s="152"/>
      <c r="H1887" s="155"/>
      <c r="I1887" s="155"/>
      <c r="J1887" s="155"/>
      <c r="K1887" s="155"/>
      <c r="L1887" s="155"/>
      <c r="M1887" s="126"/>
      <c r="N1887" s="127"/>
      <c r="O1887" s="127"/>
      <c r="P1887" s="127"/>
      <c r="Q1887" s="126"/>
      <c r="R1887" s="128"/>
      <c r="S1887" s="128"/>
      <c r="T1887" s="128"/>
      <c r="U1887" s="128"/>
      <c r="V1887" s="129"/>
      <c r="W1887" s="129"/>
      <c r="X1887" s="129"/>
      <c r="Y1887" s="129"/>
      <c r="Z1887" s="145" t="b">
        <v>0</v>
      </c>
      <c r="AA1887" s="145"/>
      <c r="AB1887" s="129"/>
      <c r="AC1887" s="129"/>
      <c r="AD1887" s="129"/>
      <c r="AE1887" s="129"/>
      <c r="AF1887" s="132"/>
      <c r="AG1887" s="128" t="b">
        <v>0</v>
      </c>
      <c r="AH1887" s="128"/>
      <c r="AI1887" s="128"/>
      <c r="AJ1887" s="128"/>
      <c r="AK1887" s="128"/>
      <c r="AL1887" s="129"/>
      <c r="AM1887" s="129"/>
      <c r="AN1887" s="139"/>
    </row>
    <row r="1888">
      <c r="A1888" s="129"/>
      <c r="B1888" s="119"/>
      <c r="C1888" s="128"/>
      <c r="D1888" s="142"/>
      <c r="E1888" s="122"/>
      <c r="F1888" s="136"/>
      <c r="G1888" s="152"/>
      <c r="H1888" s="155"/>
      <c r="I1888" s="155"/>
      <c r="J1888" s="155"/>
      <c r="K1888" s="155"/>
      <c r="L1888" s="155"/>
      <c r="M1888" s="126"/>
      <c r="N1888" s="127"/>
      <c r="O1888" s="127"/>
      <c r="P1888" s="127"/>
      <c r="Q1888" s="126"/>
      <c r="R1888" s="128"/>
      <c r="S1888" s="128"/>
      <c r="T1888" s="128"/>
      <c r="U1888" s="128"/>
      <c r="V1888" s="129"/>
      <c r="W1888" s="129"/>
      <c r="X1888" s="129"/>
      <c r="Y1888" s="129"/>
      <c r="Z1888" s="145" t="b">
        <v>0</v>
      </c>
      <c r="AA1888" s="145"/>
      <c r="AB1888" s="129"/>
      <c r="AC1888" s="129"/>
      <c r="AD1888" s="129"/>
      <c r="AE1888" s="129"/>
      <c r="AF1888" s="132"/>
      <c r="AG1888" s="128" t="b">
        <v>0</v>
      </c>
      <c r="AH1888" s="128"/>
      <c r="AI1888" s="128"/>
      <c r="AJ1888" s="128"/>
      <c r="AK1888" s="128"/>
      <c r="AL1888" s="129"/>
      <c r="AM1888" s="129"/>
      <c r="AN1888" s="139"/>
    </row>
    <row r="1889">
      <c r="A1889" s="129"/>
      <c r="B1889" s="119"/>
      <c r="C1889" s="128"/>
      <c r="D1889" s="142"/>
      <c r="E1889" s="122"/>
      <c r="F1889" s="136"/>
      <c r="G1889" s="152"/>
      <c r="H1889" s="155"/>
      <c r="I1889" s="155"/>
      <c r="J1889" s="155"/>
      <c r="K1889" s="155"/>
      <c r="L1889" s="155"/>
      <c r="M1889" s="126"/>
      <c r="N1889" s="127"/>
      <c r="O1889" s="127"/>
      <c r="P1889" s="127"/>
      <c r="Q1889" s="126"/>
      <c r="R1889" s="128"/>
      <c r="S1889" s="128"/>
      <c r="T1889" s="128"/>
      <c r="U1889" s="128"/>
      <c r="V1889" s="129"/>
      <c r="W1889" s="129"/>
      <c r="X1889" s="129"/>
      <c r="Y1889" s="129"/>
      <c r="Z1889" s="145" t="b">
        <v>0</v>
      </c>
      <c r="AA1889" s="145"/>
      <c r="AB1889" s="129"/>
      <c r="AC1889" s="129"/>
      <c r="AD1889" s="129"/>
      <c r="AE1889" s="129"/>
      <c r="AF1889" s="132"/>
      <c r="AG1889" s="128" t="b">
        <v>0</v>
      </c>
      <c r="AH1889" s="128"/>
      <c r="AI1889" s="128"/>
      <c r="AJ1889" s="128"/>
      <c r="AK1889" s="128"/>
      <c r="AL1889" s="129"/>
      <c r="AM1889" s="129"/>
      <c r="AN1889" s="139"/>
    </row>
    <row r="1890">
      <c r="A1890" s="129"/>
      <c r="B1890" s="119"/>
      <c r="C1890" s="128"/>
      <c r="D1890" s="142"/>
      <c r="E1890" s="122"/>
      <c r="F1890" s="136"/>
      <c r="G1890" s="152"/>
      <c r="H1890" s="155"/>
      <c r="I1890" s="155"/>
      <c r="J1890" s="155"/>
      <c r="K1890" s="155"/>
      <c r="L1890" s="155"/>
      <c r="M1890" s="126"/>
      <c r="N1890" s="127"/>
      <c r="O1890" s="127"/>
      <c r="P1890" s="127"/>
      <c r="Q1890" s="126"/>
      <c r="R1890" s="128"/>
      <c r="S1890" s="128"/>
      <c r="T1890" s="128"/>
      <c r="U1890" s="128"/>
      <c r="V1890" s="129"/>
      <c r="W1890" s="129"/>
      <c r="X1890" s="129"/>
      <c r="Y1890" s="129"/>
      <c r="Z1890" s="145" t="b">
        <v>0</v>
      </c>
      <c r="AA1890" s="145"/>
      <c r="AB1890" s="129"/>
      <c r="AC1890" s="129"/>
      <c r="AD1890" s="129"/>
      <c r="AE1890" s="129"/>
      <c r="AF1890" s="132"/>
      <c r="AG1890" s="128" t="b">
        <v>0</v>
      </c>
      <c r="AH1890" s="128"/>
      <c r="AI1890" s="128"/>
      <c r="AJ1890" s="128"/>
      <c r="AK1890" s="128"/>
      <c r="AL1890" s="129"/>
      <c r="AM1890" s="129"/>
      <c r="AN1890" s="139"/>
    </row>
    <row r="1891">
      <c r="A1891" s="129"/>
      <c r="B1891" s="119"/>
      <c r="C1891" s="128"/>
      <c r="D1891" s="142"/>
      <c r="E1891" s="122"/>
      <c r="F1891" s="136"/>
      <c r="G1891" s="152"/>
      <c r="H1891" s="155"/>
      <c r="I1891" s="155"/>
      <c r="J1891" s="155"/>
      <c r="K1891" s="155"/>
      <c r="L1891" s="155"/>
      <c r="M1891" s="126"/>
      <c r="N1891" s="127"/>
      <c r="O1891" s="127"/>
      <c r="P1891" s="127"/>
      <c r="Q1891" s="126"/>
      <c r="R1891" s="128"/>
      <c r="S1891" s="128"/>
      <c r="T1891" s="128"/>
      <c r="U1891" s="128"/>
      <c r="V1891" s="129"/>
      <c r="W1891" s="129"/>
      <c r="X1891" s="129"/>
      <c r="Y1891" s="129"/>
      <c r="Z1891" s="145" t="b">
        <v>0</v>
      </c>
      <c r="AA1891" s="145"/>
      <c r="AB1891" s="129"/>
      <c r="AC1891" s="129"/>
      <c r="AD1891" s="129"/>
      <c r="AE1891" s="129"/>
      <c r="AF1891" s="132"/>
      <c r="AG1891" s="128" t="b">
        <v>0</v>
      </c>
      <c r="AH1891" s="128"/>
      <c r="AI1891" s="128"/>
      <c r="AJ1891" s="128"/>
      <c r="AK1891" s="128"/>
      <c r="AL1891" s="129"/>
      <c r="AM1891" s="129"/>
      <c r="AN1891" s="139"/>
    </row>
    <row r="1892">
      <c r="A1892" s="129"/>
      <c r="B1892" s="119"/>
      <c r="C1892" s="128"/>
      <c r="D1892" s="142"/>
      <c r="E1892" s="122"/>
      <c r="F1892" s="136"/>
      <c r="G1892" s="152"/>
      <c r="H1892" s="155"/>
      <c r="I1892" s="155"/>
      <c r="J1892" s="155"/>
      <c r="K1892" s="155"/>
      <c r="L1892" s="155"/>
      <c r="M1892" s="126"/>
      <c r="N1892" s="127"/>
      <c r="O1892" s="127"/>
      <c r="P1892" s="127"/>
      <c r="Q1892" s="126"/>
      <c r="R1892" s="128"/>
      <c r="S1892" s="128"/>
      <c r="T1892" s="128"/>
      <c r="U1892" s="128"/>
      <c r="V1892" s="129"/>
      <c r="W1892" s="129"/>
      <c r="X1892" s="129"/>
      <c r="Y1892" s="129"/>
      <c r="Z1892" s="145" t="b">
        <v>0</v>
      </c>
      <c r="AA1892" s="145"/>
      <c r="AB1892" s="129"/>
      <c r="AC1892" s="129"/>
      <c r="AD1892" s="129"/>
      <c r="AE1892" s="129"/>
      <c r="AF1892" s="132"/>
      <c r="AG1892" s="128" t="b">
        <v>0</v>
      </c>
      <c r="AH1892" s="128"/>
      <c r="AI1892" s="128"/>
      <c r="AJ1892" s="128"/>
      <c r="AK1892" s="128"/>
      <c r="AL1892" s="129"/>
      <c r="AM1892" s="129"/>
      <c r="AN1892" s="139"/>
    </row>
    <row r="1893">
      <c r="A1893" s="129"/>
      <c r="B1893" s="119"/>
      <c r="C1893" s="128"/>
      <c r="D1893" s="142"/>
      <c r="E1893" s="122"/>
      <c r="F1893" s="136"/>
      <c r="G1893" s="152"/>
      <c r="H1893" s="155"/>
      <c r="I1893" s="155"/>
      <c r="J1893" s="155"/>
      <c r="K1893" s="155"/>
      <c r="L1893" s="155"/>
      <c r="M1893" s="126"/>
      <c r="N1893" s="127"/>
      <c r="O1893" s="127"/>
      <c r="P1893" s="127"/>
      <c r="Q1893" s="126"/>
      <c r="R1893" s="128"/>
      <c r="S1893" s="128"/>
      <c r="T1893" s="128"/>
      <c r="U1893" s="128"/>
      <c r="V1893" s="129"/>
      <c r="W1893" s="129"/>
      <c r="X1893" s="129"/>
      <c r="Y1893" s="129"/>
      <c r="Z1893" s="145" t="b">
        <v>0</v>
      </c>
      <c r="AA1893" s="145"/>
      <c r="AB1893" s="129"/>
      <c r="AC1893" s="129"/>
      <c r="AD1893" s="129"/>
      <c r="AE1893" s="129"/>
      <c r="AF1893" s="132"/>
      <c r="AG1893" s="128" t="b">
        <v>0</v>
      </c>
      <c r="AH1893" s="128"/>
      <c r="AI1893" s="128"/>
      <c r="AJ1893" s="128"/>
      <c r="AK1893" s="128"/>
      <c r="AL1893" s="129"/>
      <c r="AM1893" s="129"/>
      <c r="AN1893" s="139"/>
    </row>
    <row r="1894">
      <c r="A1894" s="129"/>
      <c r="B1894" s="119"/>
      <c r="C1894" s="128"/>
      <c r="D1894" s="142"/>
      <c r="E1894" s="122"/>
      <c r="F1894" s="136"/>
      <c r="G1894" s="152"/>
      <c r="H1894" s="155"/>
      <c r="I1894" s="155"/>
      <c r="J1894" s="155"/>
      <c r="K1894" s="155"/>
      <c r="L1894" s="155"/>
      <c r="M1894" s="126"/>
      <c r="N1894" s="127"/>
      <c r="O1894" s="127"/>
      <c r="P1894" s="127"/>
      <c r="Q1894" s="126"/>
      <c r="R1894" s="128"/>
      <c r="S1894" s="128"/>
      <c r="T1894" s="128"/>
      <c r="U1894" s="128"/>
      <c r="V1894" s="129"/>
      <c r="W1894" s="129"/>
      <c r="X1894" s="129"/>
      <c r="Y1894" s="129"/>
      <c r="Z1894" s="145" t="b">
        <v>0</v>
      </c>
      <c r="AA1894" s="145"/>
      <c r="AB1894" s="129"/>
      <c r="AC1894" s="129"/>
      <c r="AD1894" s="129"/>
      <c r="AE1894" s="129"/>
      <c r="AF1894" s="132"/>
      <c r="AG1894" s="128" t="b">
        <v>0</v>
      </c>
      <c r="AH1894" s="128"/>
      <c r="AI1894" s="128"/>
      <c r="AJ1894" s="128"/>
      <c r="AK1894" s="128"/>
      <c r="AL1894" s="129"/>
      <c r="AM1894" s="129"/>
      <c r="AN1894" s="139"/>
    </row>
    <row r="1895">
      <c r="A1895" s="129"/>
      <c r="B1895" s="119"/>
      <c r="C1895" s="128"/>
      <c r="D1895" s="142"/>
      <c r="E1895" s="122"/>
      <c r="F1895" s="136"/>
      <c r="G1895" s="152"/>
      <c r="H1895" s="155"/>
      <c r="I1895" s="155"/>
      <c r="J1895" s="155"/>
      <c r="K1895" s="155"/>
      <c r="L1895" s="155"/>
      <c r="M1895" s="126"/>
      <c r="N1895" s="127"/>
      <c r="O1895" s="127"/>
      <c r="P1895" s="127"/>
      <c r="Q1895" s="126"/>
      <c r="R1895" s="128"/>
      <c r="S1895" s="128"/>
      <c r="T1895" s="128"/>
      <c r="U1895" s="128"/>
      <c r="V1895" s="129"/>
      <c r="W1895" s="129"/>
      <c r="X1895" s="129"/>
      <c r="Y1895" s="129"/>
      <c r="Z1895" s="145" t="b">
        <v>0</v>
      </c>
      <c r="AA1895" s="145"/>
      <c r="AB1895" s="129"/>
      <c r="AC1895" s="129"/>
      <c r="AD1895" s="129"/>
      <c r="AE1895" s="129"/>
      <c r="AF1895" s="132"/>
      <c r="AG1895" s="128" t="b">
        <v>0</v>
      </c>
      <c r="AH1895" s="128"/>
      <c r="AI1895" s="128"/>
      <c r="AJ1895" s="128"/>
      <c r="AK1895" s="128"/>
      <c r="AL1895" s="129"/>
      <c r="AM1895" s="129"/>
      <c r="AN1895" s="139"/>
    </row>
    <row r="1896">
      <c r="A1896" s="129"/>
      <c r="B1896" s="119"/>
      <c r="C1896" s="128"/>
      <c r="D1896" s="142"/>
      <c r="E1896" s="122"/>
      <c r="F1896" s="136"/>
      <c r="G1896" s="152"/>
      <c r="H1896" s="155"/>
      <c r="I1896" s="155"/>
      <c r="J1896" s="155"/>
      <c r="K1896" s="155"/>
      <c r="L1896" s="155"/>
      <c r="M1896" s="126"/>
      <c r="N1896" s="127"/>
      <c r="O1896" s="127"/>
      <c r="P1896" s="127"/>
      <c r="Q1896" s="126"/>
      <c r="R1896" s="128"/>
      <c r="S1896" s="128"/>
      <c r="T1896" s="128"/>
      <c r="U1896" s="128"/>
      <c r="V1896" s="129"/>
      <c r="W1896" s="129"/>
      <c r="X1896" s="129"/>
      <c r="Y1896" s="129"/>
      <c r="Z1896" s="145" t="b">
        <v>0</v>
      </c>
      <c r="AA1896" s="145"/>
      <c r="AB1896" s="129"/>
      <c r="AC1896" s="129"/>
      <c r="AD1896" s="129"/>
      <c r="AE1896" s="129"/>
      <c r="AF1896" s="132"/>
      <c r="AG1896" s="128" t="b">
        <v>0</v>
      </c>
      <c r="AH1896" s="128"/>
      <c r="AI1896" s="128"/>
      <c r="AJ1896" s="128"/>
      <c r="AK1896" s="128"/>
      <c r="AL1896" s="129"/>
      <c r="AM1896" s="129"/>
      <c r="AN1896" s="139"/>
    </row>
    <row r="1897">
      <c r="A1897" s="129"/>
      <c r="B1897" s="119"/>
      <c r="C1897" s="128"/>
      <c r="D1897" s="142"/>
      <c r="E1897" s="122"/>
      <c r="F1897" s="136"/>
      <c r="G1897" s="152"/>
      <c r="H1897" s="155"/>
      <c r="I1897" s="155"/>
      <c r="J1897" s="155"/>
      <c r="K1897" s="155"/>
      <c r="L1897" s="155"/>
      <c r="M1897" s="126"/>
      <c r="N1897" s="127"/>
      <c r="O1897" s="127"/>
      <c r="P1897" s="127"/>
      <c r="Q1897" s="126"/>
      <c r="R1897" s="128"/>
      <c r="S1897" s="128"/>
      <c r="T1897" s="128"/>
      <c r="U1897" s="128"/>
      <c r="V1897" s="129"/>
      <c r="W1897" s="129"/>
      <c r="X1897" s="129"/>
      <c r="Y1897" s="129"/>
      <c r="Z1897" s="145" t="b">
        <v>0</v>
      </c>
      <c r="AA1897" s="145"/>
      <c r="AB1897" s="129"/>
      <c r="AC1897" s="129"/>
      <c r="AD1897" s="129"/>
      <c r="AE1897" s="129"/>
      <c r="AF1897" s="132"/>
      <c r="AG1897" s="128" t="b">
        <v>0</v>
      </c>
      <c r="AH1897" s="128"/>
      <c r="AI1897" s="128"/>
      <c r="AJ1897" s="128"/>
      <c r="AK1897" s="128"/>
      <c r="AL1897" s="129"/>
      <c r="AM1897" s="129"/>
      <c r="AN1897" s="139"/>
    </row>
    <row r="1898">
      <c r="A1898" s="129"/>
      <c r="B1898" s="119"/>
      <c r="C1898" s="128"/>
      <c r="D1898" s="142"/>
      <c r="E1898" s="122"/>
      <c r="F1898" s="136"/>
      <c r="G1898" s="152"/>
      <c r="H1898" s="155"/>
      <c r="I1898" s="155"/>
      <c r="J1898" s="155"/>
      <c r="K1898" s="155"/>
      <c r="L1898" s="155"/>
      <c r="M1898" s="126"/>
      <c r="N1898" s="127"/>
      <c r="O1898" s="127"/>
      <c r="P1898" s="127"/>
      <c r="Q1898" s="126"/>
      <c r="R1898" s="128"/>
      <c r="S1898" s="128"/>
      <c r="T1898" s="128"/>
      <c r="U1898" s="128"/>
      <c r="V1898" s="129"/>
      <c r="W1898" s="129"/>
      <c r="X1898" s="129"/>
      <c r="Y1898" s="129"/>
      <c r="Z1898" s="145" t="b">
        <v>0</v>
      </c>
      <c r="AA1898" s="145"/>
      <c r="AB1898" s="129"/>
      <c r="AC1898" s="129"/>
      <c r="AD1898" s="129"/>
      <c r="AE1898" s="129"/>
      <c r="AF1898" s="132"/>
      <c r="AG1898" s="128" t="b">
        <v>0</v>
      </c>
      <c r="AH1898" s="128"/>
      <c r="AI1898" s="128"/>
      <c r="AJ1898" s="128"/>
      <c r="AK1898" s="128"/>
      <c r="AL1898" s="129"/>
      <c r="AM1898" s="129"/>
      <c r="AN1898" s="139"/>
    </row>
    <row r="1899">
      <c r="A1899" s="129"/>
      <c r="B1899" s="119"/>
      <c r="C1899" s="128"/>
      <c r="D1899" s="142"/>
      <c r="E1899" s="122"/>
      <c r="F1899" s="136"/>
      <c r="G1899" s="152"/>
      <c r="H1899" s="155"/>
      <c r="I1899" s="155"/>
      <c r="J1899" s="155"/>
      <c r="K1899" s="155"/>
      <c r="L1899" s="155"/>
      <c r="M1899" s="126"/>
      <c r="N1899" s="127"/>
      <c r="O1899" s="127"/>
      <c r="P1899" s="127"/>
      <c r="Q1899" s="126"/>
      <c r="R1899" s="128"/>
      <c r="S1899" s="128"/>
      <c r="T1899" s="128"/>
      <c r="U1899" s="128"/>
      <c r="V1899" s="129"/>
      <c r="W1899" s="129"/>
      <c r="X1899" s="129"/>
      <c r="Y1899" s="129"/>
      <c r="Z1899" s="145" t="b">
        <v>0</v>
      </c>
      <c r="AA1899" s="145"/>
      <c r="AB1899" s="129"/>
      <c r="AC1899" s="129"/>
      <c r="AD1899" s="129"/>
      <c r="AE1899" s="129"/>
      <c r="AF1899" s="132"/>
      <c r="AG1899" s="128" t="b">
        <v>0</v>
      </c>
      <c r="AH1899" s="128"/>
      <c r="AI1899" s="128"/>
      <c r="AJ1899" s="128"/>
      <c r="AK1899" s="128"/>
      <c r="AL1899" s="129"/>
      <c r="AM1899" s="129"/>
      <c r="AN1899" s="139"/>
    </row>
    <row r="1900">
      <c r="A1900" s="129"/>
      <c r="B1900" s="119"/>
      <c r="C1900" s="128"/>
      <c r="D1900" s="142"/>
      <c r="E1900" s="122"/>
      <c r="F1900" s="136"/>
      <c r="G1900" s="152"/>
      <c r="H1900" s="155"/>
      <c r="I1900" s="155"/>
      <c r="J1900" s="155"/>
      <c r="K1900" s="155"/>
      <c r="L1900" s="155"/>
      <c r="M1900" s="126"/>
      <c r="N1900" s="127"/>
      <c r="O1900" s="127"/>
      <c r="P1900" s="127"/>
      <c r="Q1900" s="126"/>
      <c r="R1900" s="128"/>
      <c r="S1900" s="128"/>
      <c r="T1900" s="128"/>
      <c r="U1900" s="128"/>
      <c r="V1900" s="129"/>
      <c r="W1900" s="129"/>
      <c r="X1900" s="129"/>
      <c r="Y1900" s="129"/>
      <c r="Z1900" s="145" t="b">
        <v>0</v>
      </c>
      <c r="AA1900" s="145"/>
      <c r="AB1900" s="129"/>
      <c r="AC1900" s="129"/>
      <c r="AD1900" s="129"/>
      <c r="AE1900" s="129"/>
      <c r="AF1900" s="132"/>
      <c r="AG1900" s="128" t="b">
        <v>0</v>
      </c>
      <c r="AH1900" s="128"/>
      <c r="AI1900" s="128"/>
      <c r="AJ1900" s="128"/>
      <c r="AK1900" s="128"/>
      <c r="AL1900" s="129"/>
      <c r="AM1900" s="129"/>
      <c r="AN1900" s="139"/>
    </row>
    <row r="1901">
      <c r="A1901" s="129"/>
      <c r="B1901" s="119"/>
      <c r="C1901" s="128"/>
      <c r="D1901" s="142"/>
      <c r="E1901" s="122"/>
      <c r="F1901" s="136"/>
      <c r="G1901" s="152"/>
      <c r="H1901" s="155"/>
      <c r="I1901" s="155"/>
      <c r="J1901" s="155"/>
      <c r="K1901" s="155"/>
      <c r="L1901" s="155"/>
      <c r="M1901" s="126"/>
      <c r="N1901" s="127"/>
      <c r="O1901" s="127"/>
      <c r="P1901" s="127"/>
      <c r="Q1901" s="126"/>
      <c r="R1901" s="128"/>
      <c r="S1901" s="128"/>
      <c r="T1901" s="128"/>
      <c r="U1901" s="128"/>
      <c r="V1901" s="129"/>
      <c r="W1901" s="129"/>
      <c r="X1901" s="129"/>
      <c r="Y1901" s="129"/>
      <c r="Z1901" s="145" t="b">
        <v>0</v>
      </c>
      <c r="AA1901" s="145"/>
      <c r="AB1901" s="129"/>
      <c r="AC1901" s="129"/>
      <c r="AD1901" s="129"/>
      <c r="AE1901" s="129"/>
      <c r="AF1901" s="132"/>
      <c r="AG1901" s="128" t="b">
        <v>0</v>
      </c>
      <c r="AH1901" s="128"/>
      <c r="AI1901" s="128"/>
      <c r="AJ1901" s="128"/>
      <c r="AK1901" s="128"/>
      <c r="AL1901" s="129"/>
      <c r="AM1901" s="129"/>
      <c r="AN1901" s="139"/>
    </row>
    <row r="1902">
      <c r="A1902" s="129"/>
      <c r="B1902" s="119"/>
      <c r="C1902" s="128"/>
      <c r="D1902" s="142"/>
      <c r="E1902" s="122"/>
      <c r="F1902" s="136"/>
      <c r="G1902" s="152"/>
      <c r="H1902" s="155"/>
      <c r="I1902" s="155"/>
      <c r="J1902" s="155"/>
      <c r="K1902" s="155"/>
      <c r="L1902" s="155"/>
      <c r="M1902" s="126"/>
      <c r="N1902" s="127"/>
      <c r="O1902" s="127"/>
      <c r="P1902" s="127"/>
      <c r="Q1902" s="126"/>
      <c r="R1902" s="128"/>
      <c r="S1902" s="128"/>
      <c r="T1902" s="128"/>
      <c r="U1902" s="128"/>
      <c r="V1902" s="129"/>
      <c r="W1902" s="129"/>
      <c r="X1902" s="129"/>
      <c r="Y1902" s="129"/>
      <c r="Z1902" s="145" t="b">
        <v>0</v>
      </c>
      <c r="AA1902" s="145"/>
      <c r="AB1902" s="129"/>
      <c r="AC1902" s="129"/>
      <c r="AD1902" s="129"/>
      <c r="AE1902" s="129"/>
      <c r="AF1902" s="132"/>
      <c r="AG1902" s="128" t="b">
        <v>0</v>
      </c>
      <c r="AH1902" s="128"/>
      <c r="AI1902" s="128"/>
      <c r="AJ1902" s="128"/>
      <c r="AK1902" s="128"/>
      <c r="AL1902" s="129"/>
      <c r="AM1902" s="129"/>
      <c r="AN1902" s="139"/>
    </row>
    <row r="1903">
      <c r="A1903" s="129"/>
      <c r="B1903" s="119"/>
      <c r="C1903" s="128"/>
      <c r="D1903" s="142"/>
      <c r="E1903" s="122"/>
      <c r="F1903" s="136"/>
      <c r="G1903" s="152"/>
      <c r="H1903" s="155"/>
      <c r="I1903" s="155"/>
      <c r="J1903" s="155"/>
      <c r="K1903" s="155"/>
      <c r="L1903" s="155"/>
      <c r="M1903" s="126"/>
      <c r="N1903" s="127"/>
      <c r="O1903" s="127"/>
      <c r="P1903" s="127"/>
      <c r="Q1903" s="126"/>
      <c r="R1903" s="128"/>
      <c r="S1903" s="128"/>
      <c r="T1903" s="128"/>
      <c r="U1903" s="128"/>
      <c r="V1903" s="129"/>
      <c r="W1903" s="129"/>
      <c r="X1903" s="129"/>
      <c r="Y1903" s="129"/>
      <c r="Z1903" s="145" t="b">
        <v>0</v>
      </c>
      <c r="AA1903" s="145"/>
      <c r="AB1903" s="129"/>
      <c r="AC1903" s="129"/>
      <c r="AD1903" s="129"/>
      <c r="AE1903" s="129"/>
      <c r="AF1903" s="132"/>
      <c r="AG1903" s="128" t="b">
        <v>0</v>
      </c>
      <c r="AH1903" s="128"/>
      <c r="AI1903" s="128"/>
      <c r="AJ1903" s="128"/>
      <c r="AK1903" s="128"/>
      <c r="AL1903" s="129"/>
      <c r="AM1903" s="129"/>
      <c r="AN1903" s="139"/>
    </row>
    <row r="1904">
      <c r="A1904" s="129"/>
      <c r="B1904" s="119"/>
      <c r="C1904" s="128"/>
      <c r="D1904" s="142"/>
      <c r="E1904" s="122"/>
      <c r="F1904" s="136"/>
      <c r="G1904" s="152"/>
      <c r="H1904" s="155"/>
      <c r="I1904" s="155"/>
      <c r="J1904" s="155"/>
      <c r="K1904" s="155"/>
      <c r="L1904" s="155"/>
      <c r="M1904" s="126"/>
      <c r="N1904" s="127"/>
      <c r="O1904" s="127"/>
      <c r="P1904" s="127"/>
      <c r="Q1904" s="126"/>
      <c r="R1904" s="128"/>
      <c r="S1904" s="128"/>
      <c r="T1904" s="128"/>
      <c r="U1904" s="128"/>
      <c r="V1904" s="129"/>
      <c r="W1904" s="129"/>
      <c r="X1904" s="129"/>
      <c r="Y1904" s="129"/>
      <c r="Z1904" s="145" t="b">
        <v>0</v>
      </c>
      <c r="AA1904" s="145"/>
      <c r="AB1904" s="129"/>
      <c r="AC1904" s="129"/>
      <c r="AD1904" s="129"/>
      <c r="AE1904" s="129"/>
      <c r="AF1904" s="132"/>
      <c r="AG1904" s="128" t="b">
        <v>0</v>
      </c>
      <c r="AH1904" s="128"/>
      <c r="AI1904" s="128"/>
      <c r="AJ1904" s="128"/>
      <c r="AK1904" s="128"/>
      <c r="AL1904" s="129"/>
      <c r="AM1904" s="129"/>
      <c r="AN1904" s="139"/>
    </row>
    <row r="1905">
      <c r="A1905" s="129"/>
      <c r="B1905" s="119"/>
      <c r="C1905" s="128"/>
      <c r="D1905" s="142"/>
      <c r="E1905" s="122"/>
      <c r="F1905" s="136"/>
      <c r="G1905" s="152"/>
      <c r="H1905" s="155"/>
      <c r="I1905" s="155"/>
      <c r="J1905" s="155"/>
      <c r="K1905" s="155"/>
      <c r="L1905" s="155"/>
      <c r="M1905" s="126"/>
      <c r="N1905" s="127"/>
      <c r="O1905" s="127"/>
      <c r="P1905" s="127"/>
      <c r="Q1905" s="126"/>
      <c r="R1905" s="128"/>
      <c r="S1905" s="128"/>
      <c r="T1905" s="128"/>
      <c r="U1905" s="128"/>
      <c r="V1905" s="129"/>
      <c r="W1905" s="129"/>
      <c r="X1905" s="129"/>
      <c r="Y1905" s="129"/>
      <c r="Z1905" s="145" t="b">
        <v>0</v>
      </c>
      <c r="AA1905" s="145"/>
      <c r="AB1905" s="129"/>
      <c r="AC1905" s="129"/>
      <c r="AD1905" s="129"/>
      <c r="AE1905" s="129"/>
      <c r="AF1905" s="132"/>
      <c r="AG1905" s="128" t="b">
        <v>0</v>
      </c>
      <c r="AH1905" s="128"/>
      <c r="AI1905" s="128"/>
      <c r="AJ1905" s="128"/>
      <c r="AK1905" s="128"/>
      <c r="AL1905" s="129"/>
      <c r="AM1905" s="129"/>
      <c r="AN1905" s="139"/>
    </row>
    <row r="1906">
      <c r="A1906" s="129"/>
      <c r="B1906" s="119"/>
      <c r="C1906" s="128"/>
      <c r="D1906" s="142"/>
      <c r="E1906" s="122"/>
      <c r="F1906" s="136"/>
      <c r="G1906" s="152"/>
      <c r="H1906" s="155"/>
      <c r="I1906" s="155"/>
      <c r="J1906" s="155"/>
      <c r="K1906" s="155"/>
      <c r="L1906" s="155"/>
      <c r="M1906" s="126"/>
      <c r="N1906" s="127"/>
      <c r="O1906" s="127"/>
      <c r="P1906" s="127"/>
      <c r="Q1906" s="126"/>
      <c r="R1906" s="128"/>
      <c r="S1906" s="128"/>
      <c r="T1906" s="128"/>
      <c r="U1906" s="128"/>
      <c r="V1906" s="129"/>
      <c r="W1906" s="129"/>
      <c r="X1906" s="129"/>
      <c r="Y1906" s="129"/>
      <c r="Z1906" s="145" t="b">
        <v>0</v>
      </c>
      <c r="AA1906" s="145"/>
      <c r="AB1906" s="129"/>
      <c r="AC1906" s="129"/>
      <c r="AD1906" s="129"/>
      <c r="AE1906" s="129"/>
      <c r="AF1906" s="132"/>
      <c r="AG1906" s="128" t="b">
        <v>0</v>
      </c>
      <c r="AH1906" s="128"/>
      <c r="AI1906" s="128"/>
      <c r="AJ1906" s="128"/>
      <c r="AK1906" s="128"/>
      <c r="AL1906" s="129"/>
      <c r="AM1906" s="129"/>
      <c r="AN1906" s="139"/>
    </row>
    <row r="1907">
      <c r="A1907" s="129"/>
      <c r="B1907" s="119"/>
      <c r="C1907" s="128"/>
      <c r="D1907" s="142"/>
      <c r="E1907" s="122"/>
      <c r="F1907" s="136"/>
      <c r="G1907" s="152"/>
      <c r="H1907" s="155"/>
      <c r="I1907" s="155"/>
      <c r="J1907" s="155"/>
      <c r="K1907" s="155"/>
      <c r="L1907" s="155"/>
      <c r="M1907" s="126"/>
      <c r="N1907" s="127"/>
      <c r="O1907" s="127"/>
      <c r="P1907" s="127"/>
      <c r="Q1907" s="126"/>
      <c r="R1907" s="128"/>
      <c r="S1907" s="128"/>
      <c r="T1907" s="128"/>
      <c r="U1907" s="128"/>
      <c r="V1907" s="129"/>
      <c r="W1907" s="129"/>
      <c r="X1907" s="129"/>
      <c r="Y1907" s="129"/>
      <c r="Z1907" s="145" t="b">
        <v>0</v>
      </c>
      <c r="AA1907" s="145"/>
      <c r="AB1907" s="129"/>
      <c r="AC1907" s="129"/>
      <c r="AD1907" s="129"/>
      <c r="AE1907" s="129"/>
      <c r="AF1907" s="132"/>
      <c r="AG1907" s="128" t="b">
        <v>0</v>
      </c>
      <c r="AH1907" s="128"/>
      <c r="AI1907" s="128"/>
      <c r="AJ1907" s="128"/>
      <c r="AK1907" s="128"/>
      <c r="AL1907" s="129"/>
      <c r="AM1907" s="129"/>
      <c r="AN1907" s="139"/>
    </row>
    <row r="1908">
      <c r="A1908" s="129"/>
      <c r="B1908" s="119"/>
      <c r="C1908" s="128"/>
      <c r="D1908" s="142"/>
      <c r="E1908" s="122"/>
      <c r="F1908" s="136"/>
      <c r="G1908" s="152"/>
      <c r="H1908" s="155"/>
      <c r="I1908" s="155"/>
      <c r="J1908" s="155"/>
      <c r="K1908" s="155"/>
      <c r="L1908" s="155"/>
      <c r="M1908" s="126"/>
      <c r="N1908" s="127"/>
      <c r="O1908" s="127"/>
      <c r="P1908" s="127"/>
      <c r="Q1908" s="126"/>
      <c r="R1908" s="128"/>
      <c r="S1908" s="128"/>
      <c r="T1908" s="128"/>
      <c r="U1908" s="128"/>
      <c r="V1908" s="129"/>
      <c r="W1908" s="129"/>
      <c r="X1908" s="129"/>
      <c r="Y1908" s="129"/>
      <c r="Z1908" s="145" t="b">
        <v>0</v>
      </c>
      <c r="AA1908" s="145"/>
      <c r="AB1908" s="129"/>
      <c r="AC1908" s="129"/>
      <c r="AD1908" s="129"/>
      <c r="AE1908" s="129"/>
      <c r="AF1908" s="132"/>
      <c r="AG1908" s="128" t="b">
        <v>0</v>
      </c>
      <c r="AH1908" s="128"/>
      <c r="AI1908" s="128"/>
      <c r="AJ1908" s="128"/>
      <c r="AK1908" s="128"/>
      <c r="AL1908" s="129"/>
      <c r="AM1908" s="129"/>
      <c r="AN1908" s="139"/>
    </row>
    <row r="1909">
      <c r="A1909" s="129"/>
      <c r="B1909" s="119"/>
      <c r="C1909" s="128"/>
      <c r="D1909" s="142"/>
      <c r="E1909" s="122"/>
      <c r="F1909" s="136"/>
      <c r="G1909" s="152"/>
      <c r="H1909" s="155"/>
      <c r="I1909" s="155"/>
      <c r="J1909" s="155"/>
      <c r="K1909" s="155"/>
      <c r="L1909" s="155"/>
      <c r="M1909" s="126"/>
      <c r="N1909" s="127"/>
      <c r="O1909" s="127"/>
      <c r="P1909" s="127"/>
      <c r="Q1909" s="126"/>
      <c r="R1909" s="128"/>
      <c r="S1909" s="128"/>
      <c r="T1909" s="128"/>
      <c r="U1909" s="128"/>
      <c r="V1909" s="129"/>
      <c r="W1909" s="129"/>
      <c r="X1909" s="129"/>
      <c r="Y1909" s="129"/>
      <c r="Z1909" s="145" t="b">
        <v>0</v>
      </c>
      <c r="AA1909" s="145"/>
      <c r="AB1909" s="129"/>
      <c r="AC1909" s="129"/>
      <c r="AD1909" s="129"/>
      <c r="AE1909" s="129"/>
      <c r="AF1909" s="132"/>
      <c r="AG1909" s="128" t="b">
        <v>0</v>
      </c>
      <c r="AH1909" s="128"/>
      <c r="AI1909" s="128"/>
      <c r="AJ1909" s="128"/>
      <c r="AK1909" s="128"/>
      <c r="AL1909" s="129"/>
      <c r="AM1909" s="129"/>
      <c r="AN1909" s="139"/>
    </row>
    <row r="1910">
      <c r="A1910" s="129"/>
      <c r="B1910" s="119"/>
      <c r="C1910" s="128"/>
      <c r="D1910" s="142"/>
      <c r="E1910" s="122"/>
      <c r="F1910" s="136"/>
      <c r="G1910" s="152"/>
      <c r="H1910" s="155"/>
      <c r="I1910" s="155"/>
      <c r="J1910" s="155"/>
      <c r="K1910" s="155"/>
      <c r="L1910" s="155"/>
      <c r="M1910" s="126"/>
      <c r="N1910" s="127"/>
      <c r="O1910" s="127"/>
      <c r="P1910" s="127"/>
      <c r="Q1910" s="126"/>
      <c r="R1910" s="128"/>
      <c r="S1910" s="128"/>
      <c r="T1910" s="128"/>
      <c r="U1910" s="128"/>
      <c r="V1910" s="129"/>
      <c r="W1910" s="129"/>
      <c r="X1910" s="129"/>
      <c r="Y1910" s="129"/>
      <c r="Z1910" s="145" t="b">
        <v>0</v>
      </c>
      <c r="AA1910" s="145"/>
      <c r="AB1910" s="129"/>
      <c r="AC1910" s="129"/>
      <c r="AD1910" s="129"/>
      <c r="AE1910" s="129"/>
      <c r="AF1910" s="132"/>
      <c r="AG1910" s="128" t="b">
        <v>0</v>
      </c>
      <c r="AH1910" s="128"/>
      <c r="AI1910" s="128"/>
      <c r="AJ1910" s="128"/>
      <c r="AK1910" s="128"/>
      <c r="AL1910" s="129"/>
      <c r="AM1910" s="129"/>
      <c r="AN1910" s="139"/>
    </row>
    <row r="1911">
      <c r="A1911" s="129"/>
      <c r="B1911" s="119"/>
      <c r="C1911" s="128"/>
      <c r="D1911" s="142"/>
      <c r="E1911" s="122"/>
      <c r="F1911" s="136"/>
      <c r="G1911" s="152"/>
      <c r="H1911" s="155"/>
      <c r="I1911" s="155"/>
      <c r="J1911" s="155"/>
      <c r="K1911" s="155"/>
      <c r="L1911" s="155"/>
      <c r="M1911" s="126"/>
      <c r="N1911" s="127"/>
      <c r="O1911" s="127"/>
      <c r="P1911" s="127"/>
      <c r="Q1911" s="126"/>
      <c r="R1911" s="128"/>
      <c r="S1911" s="128"/>
      <c r="T1911" s="128"/>
      <c r="U1911" s="128"/>
      <c r="V1911" s="129"/>
      <c r="W1911" s="129"/>
      <c r="X1911" s="129"/>
      <c r="Y1911" s="129"/>
      <c r="Z1911" s="145" t="b">
        <v>0</v>
      </c>
      <c r="AA1911" s="145"/>
      <c r="AB1911" s="129"/>
      <c r="AC1911" s="129"/>
      <c r="AD1911" s="129"/>
      <c r="AE1911" s="129"/>
      <c r="AF1911" s="132"/>
      <c r="AG1911" s="128" t="b">
        <v>0</v>
      </c>
      <c r="AH1911" s="128"/>
      <c r="AI1911" s="128"/>
      <c r="AJ1911" s="128"/>
      <c r="AK1911" s="128"/>
      <c r="AL1911" s="129"/>
      <c r="AM1911" s="129"/>
      <c r="AN1911" s="139"/>
    </row>
    <row r="1912">
      <c r="A1912" s="129"/>
      <c r="B1912" s="119"/>
      <c r="C1912" s="128"/>
      <c r="D1912" s="142"/>
      <c r="E1912" s="122"/>
      <c r="F1912" s="136"/>
      <c r="G1912" s="152"/>
      <c r="H1912" s="155"/>
      <c r="I1912" s="155"/>
      <c r="J1912" s="155"/>
      <c r="K1912" s="155"/>
      <c r="L1912" s="155"/>
      <c r="M1912" s="126"/>
      <c r="N1912" s="127"/>
      <c r="O1912" s="127"/>
      <c r="P1912" s="127"/>
      <c r="Q1912" s="126"/>
      <c r="R1912" s="128"/>
      <c r="S1912" s="128"/>
      <c r="T1912" s="128"/>
      <c r="U1912" s="128"/>
      <c r="V1912" s="129"/>
      <c r="W1912" s="129"/>
      <c r="X1912" s="129"/>
      <c r="Y1912" s="129"/>
      <c r="Z1912" s="145" t="b">
        <v>0</v>
      </c>
      <c r="AA1912" s="145"/>
      <c r="AB1912" s="129"/>
      <c r="AC1912" s="129"/>
      <c r="AD1912" s="129"/>
      <c r="AE1912" s="129"/>
      <c r="AF1912" s="132"/>
      <c r="AG1912" s="128" t="b">
        <v>0</v>
      </c>
      <c r="AH1912" s="128"/>
      <c r="AI1912" s="128"/>
      <c r="AJ1912" s="128"/>
      <c r="AK1912" s="128"/>
      <c r="AL1912" s="129"/>
      <c r="AM1912" s="129"/>
      <c r="AN1912" s="139"/>
    </row>
    <row r="1913">
      <c r="A1913" s="129"/>
      <c r="B1913" s="119"/>
      <c r="C1913" s="128"/>
      <c r="D1913" s="142"/>
      <c r="E1913" s="122"/>
      <c r="F1913" s="136"/>
      <c r="G1913" s="152"/>
      <c r="H1913" s="155"/>
      <c r="I1913" s="155"/>
      <c r="J1913" s="155"/>
      <c r="K1913" s="155"/>
      <c r="L1913" s="155"/>
      <c r="M1913" s="126"/>
      <c r="N1913" s="127"/>
      <c r="O1913" s="127"/>
      <c r="P1913" s="127"/>
      <c r="Q1913" s="126"/>
      <c r="R1913" s="128"/>
      <c r="S1913" s="128"/>
      <c r="T1913" s="128"/>
      <c r="U1913" s="128"/>
      <c r="V1913" s="129"/>
      <c r="W1913" s="129"/>
      <c r="X1913" s="129"/>
      <c r="Y1913" s="129"/>
      <c r="Z1913" s="145" t="b">
        <v>0</v>
      </c>
      <c r="AA1913" s="145"/>
      <c r="AB1913" s="129"/>
      <c r="AC1913" s="129"/>
      <c r="AD1913" s="129"/>
      <c r="AE1913" s="129"/>
      <c r="AF1913" s="132"/>
      <c r="AG1913" s="128" t="b">
        <v>0</v>
      </c>
      <c r="AH1913" s="128"/>
      <c r="AI1913" s="128"/>
      <c r="AJ1913" s="128"/>
      <c r="AK1913" s="128"/>
      <c r="AL1913" s="129"/>
      <c r="AM1913" s="129"/>
      <c r="AN1913" s="139"/>
    </row>
    <row r="1914">
      <c r="A1914" s="129"/>
      <c r="B1914" s="119"/>
      <c r="C1914" s="128"/>
      <c r="D1914" s="142"/>
      <c r="E1914" s="122"/>
      <c r="F1914" s="136"/>
      <c r="G1914" s="152"/>
      <c r="H1914" s="155"/>
      <c r="I1914" s="155"/>
      <c r="J1914" s="155"/>
      <c r="K1914" s="155"/>
      <c r="L1914" s="155"/>
      <c r="M1914" s="126"/>
      <c r="N1914" s="127"/>
      <c r="O1914" s="127"/>
      <c r="P1914" s="127"/>
      <c r="Q1914" s="126"/>
      <c r="R1914" s="128"/>
      <c r="S1914" s="128"/>
      <c r="T1914" s="128"/>
      <c r="U1914" s="128"/>
      <c r="V1914" s="129"/>
      <c r="W1914" s="129"/>
      <c r="X1914" s="129"/>
      <c r="Y1914" s="129"/>
      <c r="Z1914" s="145" t="b">
        <v>0</v>
      </c>
      <c r="AA1914" s="145"/>
      <c r="AB1914" s="129"/>
      <c r="AC1914" s="129"/>
      <c r="AD1914" s="129"/>
      <c r="AE1914" s="129"/>
      <c r="AF1914" s="132"/>
      <c r="AG1914" s="128" t="b">
        <v>0</v>
      </c>
      <c r="AH1914" s="128"/>
      <c r="AI1914" s="128"/>
      <c r="AJ1914" s="128"/>
      <c r="AK1914" s="128"/>
      <c r="AL1914" s="129"/>
      <c r="AM1914" s="129"/>
      <c r="AN1914" s="139"/>
    </row>
    <row r="1915">
      <c r="A1915" s="129"/>
      <c r="B1915" s="119"/>
      <c r="C1915" s="128"/>
      <c r="D1915" s="142"/>
      <c r="E1915" s="122"/>
      <c r="F1915" s="136"/>
      <c r="G1915" s="152"/>
      <c r="H1915" s="155"/>
      <c r="I1915" s="155"/>
      <c r="J1915" s="155"/>
      <c r="K1915" s="155"/>
      <c r="L1915" s="155"/>
      <c r="M1915" s="126"/>
      <c r="N1915" s="127"/>
      <c r="O1915" s="127"/>
      <c r="P1915" s="127"/>
      <c r="Q1915" s="126"/>
      <c r="R1915" s="128"/>
      <c r="S1915" s="128"/>
      <c r="T1915" s="128"/>
      <c r="U1915" s="128"/>
      <c r="V1915" s="129"/>
      <c r="W1915" s="129"/>
      <c r="X1915" s="129"/>
      <c r="Y1915" s="129"/>
      <c r="Z1915" s="145" t="b">
        <v>0</v>
      </c>
      <c r="AA1915" s="145"/>
      <c r="AB1915" s="129"/>
      <c r="AC1915" s="129"/>
      <c r="AD1915" s="129"/>
      <c r="AE1915" s="129"/>
      <c r="AF1915" s="132"/>
      <c r="AG1915" s="128" t="b">
        <v>0</v>
      </c>
      <c r="AH1915" s="128"/>
      <c r="AI1915" s="128"/>
      <c r="AJ1915" s="128"/>
      <c r="AK1915" s="128"/>
      <c r="AL1915" s="129"/>
      <c r="AM1915" s="129"/>
      <c r="AN1915" s="139"/>
    </row>
    <row r="1916">
      <c r="A1916" s="129"/>
      <c r="B1916" s="119"/>
      <c r="C1916" s="128"/>
      <c r="D1916" s="142"/>
      <c r="E1916" s="122"/>
      <c r="F1916" s="136"/>
      <c r="G1916" s="152"/>
      <c r="H1916" s="155"/>
      <c r="I1916" s="155"/>
      <c r="J1916" s="155"/>
      <c r="K1916" s="155"/>
      <c r="L1916" s="155"/>
      <c r="M1916" s="126"/>
      <c r="N1916" s="127"/>
      <c r="O1916" s="127"/>
      <c r="P1916" s="127"/>
      <c r="Q1916" s="126"/>
      <c r="R1916" s="128"/>
      <c r="S1916" s="128"/>
      <c r="T1916" s="128"/>
      <c r="U1916" s="128"/>
      <c r="V1916" s="129"/>
      <c r="W1916" s="129"/>
      <c r="X1916" s="129"/>
      <c r="Y1916" s="129"/>
      <c r="Z1916" s="145" t="b">
        <v>0</v>
      </c>
      <c r="AA1916" s="145"/>
      <c r="AB1916" s="129"/>
      <c r="AC1916" s="129"/>
      <c r="AD1916" s="129"/>
      <c r="AE1916" s="129"/>
      <c r="AF1916" s="132"/>
      <c r="AG1916" s="128" t="b">
        <v>0</v>
      </c>
      <c r="AH1916" s="128"/>
      <c r="AI1916" s="128"/>
      <c r="AJ1916" s="128"/>
      <c r="AK1916" s="128"/>
      <c r="AL1916" s="129"/>
      <c r="AM1916" s="129"/>
      <c r="AN1916" s="139"/>
    </row>
    <row r="1917">
      <c r="A1917" s="129"/>
      <c r="B1917" s="119"/>
      <c r="C1917" s="128"/>
      <c r="D1917" s="142"/>
      <c r="E1917" s="122"/>
      <c r="F1917" s="136"/>
      <c r="G1917" s="152"/>
      <c r="H1917" s="155"/>
      <c r="I1917" s="155"/>
      <c r="J1917" s="155"/>
      <c r="K1917" s="155"/>
      <c r="L1917" s="155"/>
      <c r="M1917" s="126"/>
      <c r="N1917" s="127"/>
      <c r="O1917" s="127"/>
      <c r="P1917" s="127"/>
      <c r="Q1917" s="126"/>
      <c r="R1917" s="128"/>
      <c r="S1917" s="128"/>
      <c r="T1917" s="128"/>
      <c r="U1917" s="128"/>
      <c r="V1917" s="129"/>
      <c r="W1917" s="129"/>
      <c r="X1917" s="129"/>
      <c r="Y1917" s="129"/>
      <c r="Z1917" s="145" t="b">
        <v>0</v>
      </c>
      <c r="AA1917" s="145"/>
      <c r="AB1917" s="129"/>
      <c r="AC1917" s="129"/>
      <c r="AD1917" s="129"/>
      <c r="AE1917" s="129"/>
      <c r="AF1917" s="132"/>
      <c r="AG1917" s="128" t="b">
        <v>0</v>
      </c>
      <c r="AH1917" s="128"/>
      <c r="AI1917" s="128"/>
      <c r="AJ1917" s="128"/>
      <c r="AK1917" s="128"/>
      <c r="AL1917" s="129"/>
      <c r="AM1917" s="129"/>
      <c r="AN1917" s="139"/>
    </row>
    <row r="1918">
      <c r="A1918" s="129"/>
      <c r="B1918" s="119"/>
      <c r="C1918" s="128"/>
      <c r="D1918" s="142"/>
      <c r="E1918" s="122"/>
      <c r="F1918" s="136"/>
      <c r="G1918" s="152"/>
      <c r="H1918" s="155"/>
      <c r="I1918" s="155"/>
      <c r="J1918" s="155"/>
      <c r="K1918" s="155"/>
      <c r="L1918" s="155"/>
      <c r="M1918" s="126"/>
      <c r="N1918" s="127"/>
      <c r="O1918" s="127"/>
      <c r="P1918" s="127"/>
      <c r="Q1918" s="126"/>
      <c r="R1918" s="128"/>
      <c r="S1918" s="128"/>
      <c r="T1918" s="128"/>
      <c r="U1918" s="128"/>
      <c r="V1918" s="129"/>
      <c r="W1918" s="129"/>
      <c r="X1918" s="129"/>
      <c r="Y1918" s="129"/>
      <c r="Z1918" s="145" t="b">
        <v>0</v>
      </c>
      <c r="AA1918" s="145"/>
      <c r="AB1918" s="129"/>
      <c r="AC1918" s="129"/>
      <c r="AD1918" s="129"/>
      <c r="AE1918" s="129"/>
      <c r="AF1918" s="132"/>
      <c r="AG1918" s="128" t="b">
        <v>0</v>
      </c>
      <c r="AH1918" s="128"/>
      <c r="AI1918" s="128"/>
      <c r="AJ1918" s="128"/>
      <c r="AK1918" s="128"/>
      <c r="AL1918" s="129"/>
      <c r="AM1918" s="129"/>
      <c r="AN1918" s="139"/>
    </row>
    <row r="1919">
      <c r="A1919" s="129"/>
      <c r="B1919" s="119"/>
      <c r="C1919" s="128"/>
      <c r="D1919" s="142"/>
      <c r="E1919" s="122"/>
      <c r="F1919" s="136"/>
      <c r="G1919" s="152"/>
      <c r="H1919" s="155"/>
      <c r="I1919" s="155"/>
      <c r="J1919" s="155"/>
      <c r="K1919" s="155"/>
      <c r="L1919" s="155"/>
      <c r="M1919" s="126"/>
      <c r="N1919" s="127"/>
      <c r="O1919" s="127"/>
      <c r="P1919" s="127"/>
      <c r="Q1919" s="126"/>
      <c r="R1919" s="128"/>
      <c r="S1919" s="128"/>
      <c r="T1919" s="128"/>
      <c r="U1919" s="128"/>
      <c r="V1919" s="129"/>
      <c r="W1919" s="129"/>
      <c r="X1919" s="129"/>
      <c r="Y1919" s="129"/>
      <c r="Z1919" s="145" t="b">
        <v>0</v>
      </c>
      <c r="AA1919" s="145"/>
      <c r="AB1919" s="129"/>
      <c r="AC1919" s="129"/>
      <c r="AD1919" s="129"/>
      <c r="AE1919" s="129"/>
      <c r="AF1919" s="132"/>
      <c r="AG1919" s="128" t="b">
        <v>0</v>
      </c>
      <c r="AH1919" s="128"/>
      <c r="AI1919" s="128"/>
      <c r="AJ1919" s="128"/>
      <c r="AK1919" s="128"/>
      <c r="AL1919" s="129"/>
      <c r="AM1919" s="129"/>
      <c r="AN1919" s="139"/>
    </row>
    <row r="1920">
      <c r="A1920" s="129"/>
      <c r="B1920" s="119"/>
      <c r="C1920" s="128"/>
      <c r="D1920" s="142"/>
      <c r="E1920" s="122"/>
      <c r="F1920" s="136"/>
      <c r="G1920" s="152"/>
      <c r="H1920" s="155"/>
      <c r="I1920" s="155"/>
      <c r="J1920" s="155"/>
      <c r="K1920" s="155"/>
      <c r="L1920" s="155"/>
      <c r="M1920" s="126"/>
      <c r="N1920" s="127"/>
      <c r="O1920" s="127"/>
      <c r="P1920" s="127"/>
      <c r="Q1920" s="126"/>
      <c r="R1920" s="128"/>
      <c r="S1920" s="128"/>
      <c r="T1920" s="128"/>
      <c r="U1920" s="128"/>
      <c r="V1920" s="129"/>
      <c r="W1920" s="129"/>
      <c r="X1920" s="129"/>
      <c r="Y1920" s="129"/>
      <c r="Z1920" s="145" t="b">
        <v>0</v>
      </c>
      <c r="AA1920" s="145"/>
      <c r="AB1920" s="129"/>
      <c r="AC1920" s="129"/>
      <c r="AD1920" s="129"/>
      <c r="AE1920" s="129"/>
      <c r="AF1920" s="132"/>
      <c r="AG1920" s="128" t="b">
        <v>0</v>
      </c>
      <c r="AH1920" s="128"/>
      <c r="AI1920" s="128"/>
      <c r="AJ1920" s="128"/>
      <c r="AK1920" s="128"/>
      <c r="AL1920" s="129"/>
      <c r="AM1920" s="129"/>
      <c r="AN1920" s="139"/>
    </row>
    <row r="1921">
      <c r="A1921" s="129"/>
      <c r="B1921" s="119"/>
      <c r="C1921" s="128"/>
      <c r="D1921" s="142"/>
      <c r="E1921" s="122"/>
      <c r="F1921" s="136"/>
      <c r="G1921" s="152"/>
      <c r="H1921" s="155"/>
      <c r="I1921" s="155"/>
      <c r="J1921" s="155"/>
      <c r="K1921" s="155"/>
      <c r="L1921" s="155"/>
      <c r="M1921" s="126"/>
      <c r="N1921" s="127"/>
      <c r="O1921" s="127"/>
      <c r="P1921" s="127"/>
      <c r="Q1921" s="126"/>
      <c r="R1921" s="128"/>
      <c r="S1921" s="128"/>
      <c r="T1921" s="128"/>
      <c r="U1921" s="128"/>
      <c r="V1921" s="129"/>
      <c r="W1921" s="129"/>
      <c r="X1921" s="129"/>
      <c r="Y1921" s="129"/>
      <c r="Z1921" s="145" t="b">
        <v>0</v>
      </c>
      <c r="AA1921" s="145"/>
      <c r="AB1921" s="129"/>
      <c r="AC1921" s="129"/>
      <c r="AD1921" s="129"/>
      <c r="AE1921" s="129"/>
      <c r="AF1921" s="132"/>
      <c r="AG1921" s="128" t="b">
        <v>0</v>
      </c>
      <c r="AH1921" s="128"/>
      <c r="AI1921" s="128"/>
      <c r="AJ1921" s="128"/>
      <c r="AK1921" s="128"/>
      <c r="AL1921" s="129"/>
      <c r="AM1921" s="129"/>
      <c r="AN1921" s="139"/>
    </row>
    <row r="1922">
      <c r="A1922" s="129"/>
      <c r="B1922" s="119"/>
      <c r="C1922" s="128"/>
      <c r="D1922" s="142"/>
      <c r="E1922" s="122"/>
      <c r="F1922" s="136"/>
      <c r="G1922" s="152"/>
      <c r="H1922" s="155"/>
      <c r="I1922" s="155"/>
      <c r="J1922" s="155"/>
      <c r="K1922" s="155"/>
      <c r="L1922" s="155"/>
      <c r="M1922" s="126"/>
      <c r="N1922" s="127"/>
      <c r="O1922" s="127"/>
      <c r="P1922" s="127"/>
      <c r="Q1922" s="126"/>
      <c r="R1922" s="128"/>
      <c r="S1922" s="128"/>
      <c r="T1922" s="128"/>
      <c r="U1922" s="128"/>
      <c r="V1922" s="129"/>
      <c r="W1922" s="129"/>
      <c r="X1922" s="129"/>
      <c r="Y1922" s="129"/>
      <c r="Z1922" s="145" t="b">
        <v>0</v>
      </c>
      <c r="AA1922" s="145"/>
      <c r="AB1922" s="129"/>
      <c r="AC1922" s="129"/>
      <c r="AD1922" s="129"/>
      <c r="AE1922" s="129"/>
      <c r="AF1922" s="132"/>
      <c r="AG1922" s="128" t="b">
        <v>0</v>
      </c>
      <c r="AH1922" s="128"/>
      <c r="AI1922" s="128"/>
      <c r="AJ1922" s="128"/>
      <c r="AK1922" s="128"/>
      <c r="AL1922" s="129"/>
      <c r="AM1922" s="129"/>
      <c r="AN1922" s="139"/>
    </row>
    <row r="1923">
      <c r="A1923" s="129"/>
      <c r="B1923" s="119"/>
      <c r="C1923" s="128"/>
      <c r="D1923" s="142"/>
      <c r="E1923" s="122"/>
      <c r="F1923" s="136"/>
      <c r="G1923" s="152"/>
      <c r="H1923" s="155"/>
      <c r="I1923" s="155"/>
      <c r="J1923" s="155"/>
      <c r="K1923" s="155"/>
      <c r="L1923" s="155"/>
      <c r="M1923" s="126"/>
      <c r="N1923" s="127"/>
      <c r="O1923" s="127"/>
      <c r="P1923" s="127"/>
      <c r="Q1923" s="126"/>
      <c r="R1923" s="128"/>
      <c r="S1923" s="128"/>
      <c r="T1923" s="128"/>
      <c r="U1923" s="128"/>
      <c r="V1923" s="129"/>
      <c r="W1923" s="129"/>
      <c r="X1923" s="129"/>
      <c r="Y1923" s="129"/>
      <c r="Z1923" s="145" t="b">
        <v>0</v>
      </c>
      <c r="AA1923" s="145"/>
      <c r="AB1923" s="129"/>
      <c r="AC1923" s="129"/>
      <c r="AD1923" s="129"/>
      <c r="AE1923" s="129"/>
      <c r="AF1923" s="132"/>
      <c r="AG1923" s="128" t="b">
        <v>0</v>
      </c>
      <c r="AH1923" s="128"/>
      <c r="AI1923" s="128"/>
      <c r="AJ1923" s="128"/>
      <c r="AK1923" s="128"/>
      <c r="AL1923" s="129"/>
      <c r="AM1923" s="129"/>
      <c r="AN1923" s="139"/>
    </row>
    <row r="1924">
      <c r="A1924" s="129"/>
      <c r="B1924" s="119"/>
      <c r="C1924" s="128"/>
      <c r="D1924" s="142"/>
      <c r="E1924" s="122"/>
      <c r="F1924" s="136"/>
      <c r="G1924" s="152"/>
      <c r="H1924" s="155"/>
      <c r="I1924" s="155"/>
      <c r="J1924" s="155"/>
      <c r="K1924" s="155"/>
      <c r="L1924" s="155"/>
      <c r="M1924" s="126"/>
      <c r="N1924" s="127"/>
      <c r="O1924" s="127"/>
      <c r="P1924" s="127"/>
      <c r="Q1924" s="126"/>
      <c r="R1924" s="128"/>
      <c r="S1924" s="128"/>
      <c r="T1924" s="128"/>
      <c r="U1924" s="128"/>
      <c r="V1924" s="129"/>
      <c r="W1924" s="129"/>
      <c r="X1924" s="129"/>
      <c r="Y1924" s="129"/>
      <c r="Z1924" s="145" t="b">
        <v>0</v>
      </c>
      <c r="AA1924" s="145"/>
      <c r="AB1924" s="129"/>
      <c r="AC1924" s="129"/>
      <c r="AD1924" s="129"/>
      <c r="AE1924" s="129"/>
      <c r="AF1924" s="132"/>
      <c r="AG1924" s="128" t="b">
        <v>0</v>
      </c>
      <c r="AH1924" s="128"/>
      <c r="AI1924" s="128"/>
      <c r="AJ1924" s="128"/>
      <c r="AK1924" s="128"/>
      <c r="AL1924" s="129"/>
      <c r="AM1924" s="129"/>
      <c r="AN1924" s="139"/>
    </row>
    <row r="1925">
      <c r="A1925" s="129"/>
      <c r="B1925" s="119"/>
      <c r="C1925" s="128"/>
      <c r="D1925" s="142"/>
      <c r="E1925" s="122"/>
      <c r="F1925" s="136"/>
      <c r="G1925" s="152"/>
      <c r="H1925" s="155"/>
      <c r="I1925" s="155"/>
      <c r="J1925" s="155"/>
      <c r="K1925" s="155"/>
      <c r="L1925" s="155"/>
      <c r="M1925" s="126"/>
      <c r="N1925" s="127"/>
      <c r="O1925" s="127"/>
      <c r="P1925" s="127"/>
      <c r="Q1925" s="126"/>
      <c r="R1925" s="128"/>
      <c r="S1925" s="128"/>
      <c r="T1925" s="128"/>
      <c r="U1925" s="128"/>
      <c r="V1925" s="129"/>
      <c r="W1925" s="129"/>
      <c r="X1925" s="129"/>
      <c r="Y1925" s="129"/>
      <c r="Z1925" s="145" t="b">
        <v>0</v>
      </c>
      <c r="AA1925" s="145"/>
      <c r="AB1925" s="129"/>
      <c r="AC1925" s="129"/>
      <c r="AD1925" s="129"/>
      <c r="AE1925" s="129"/>
      <c r="AF1925" s="132"/>
      <c r="AG1925" s="128" t="b">
        <v>0</v>
      </c>
      <c r="AH1925" s="128"/>
      <c r="AI1925" s="128"/>
      <c r="AJ1925" s="128"/>
      <c r="AK1925" s="128"/>
      <c r="AL1925" s="129"/>
      <c r="AM1925" s="129"/>
      <c r="AN1925" s="139"/>
    </row>
    <row r="1926">
      <c r="A1926" s="129"/>
      <c r="B1926" s="119"/>
      <c r="C1926" s="128"/>
      <c r="D1926" s="142"/>
      <c r="E1926" s="122"/>
      <c r="F1926" s="136"/>
      <c r="G1926" s="152"/>
      <c r="H1926" s="155"/>
      <c r="I1926" s="155"/>
      <c r="J1926" s="155"/>
      <c r="K1926" s="155"/>
      <c r="L1926" s="155"/>
      <c r="M1926" s="126"/>
      <c r="N1926" s="127"/>
      <c r="O1926" s="127"/>
      <c r="P1926" s="127"/>
      <c r="Q1926" s="126"/>
      <c r="R1926" s="128"/>
      <c r="S1926" s="128"/>
      <c r="T1926" s="128"/>
      <c r="U1926" s="128"/>
      <c r="V1926" s="129"/>
      <c r="W1926" s="129"/>
      <c r="X1926" s="129"/>
      <c r="Y1926" s="129"/>
      <c r="Z1926" s="145" t="b">
        <v>0</v>
      </c>
      <c r="AA1926" s="145"/>
      <c r="AB1926" s="129"/>
      <c r="AC1926" s="129"/>
      <c r="AD1926" s="129"/>
      <c r="AE1926" s="129"/>
      <c r="AF1926" s="132"/>
      <c r="AG1926" s="128" t="b">
        <v>0</v>
      </c>
      <c r="AH1926" s="128"/>
      <c r="AI1926" s="128"/>
      <c r="AJ1926" s="128"/>
      <c r="AK1926" s="128"/>
      <c r="AL1926" s="129"/>
      <c r="AM1926" s="129"/>
      <c r="AN1926" s="139"/>
    </row>
    <row r="1927">
      <c r="A1927" s="129"/>
      <c r="B1927" s="119"/>
      <c r="C1927" s="128"/>
      <c r="D1927" s="142"/>
      <c r="E1927" s="122"/>
      <c r="F1927" s="136"/>
      <c r="G1927" s="152"/>
      <c r="H1927" s="155"/>
      <c r="I1927" s="155"/>
      <c r="J1927" s="155"/>
      <c r="K1927" s="155"/>
      <c r="L1927" s="155"/>
      <c r="M1927" s="126"/>
      <c r="N1927" s="127"/>
      <c r="O1927" s="127"/>
      <c r="P1927" s="127"/>
      <c r="Q1927" s="126"/>
      <c r="R1927" s="128"/>
      <c r="S1927" s="128"/>
      <c r="T1927" s="128"/>
      <c r="U1927" s="128"/>
      <c r="V1927" s="129"/>
      <c r="W1927" s="129"/>
      <c r="X1927" s="129"/>
      <c r="Y1927" s="129"/>
      <c r="Z1927" s="145" t="b">
        <v>0</v>
      </c>
      <c r="AA1927" s="145"/>
      <c r="AB1927" s="129"/>
      <c r="AC1927" s="129"/>
      <c r="AD1927" s="129"/>
      <c r="AE1927" s="129"/>
      <c r="AF1927" s="132"/>
      <c r="AG1927" s="128" t="b">
        <v>0</v>
      </c>
      <c r="AH1927" s="128"/>
      <c r="AI1927" s="128"/>
      <c r="AJ1927" s="128"/>
      <c r="AK1927" s="128"/>
      <c r="AL1927" s="129"/>
      <c r="AM1927" s="129"/>
      <c r="AN1927" s="139"/>
    </row>
    <row r="1928">
      <c r="A1928" s="129"/>
      <c r="B1928" s="119"/>
      <c r="C1928" s="128"/>
      <c r="D1928" s="142"/>
      <c r="E1928" s="122"/>
      <c r="F1928" s="136"/>
      <c r="G1928" s="152"/>
      <c r="H1928" s="155"/>
      <c r="I1928" s="155"/>
      <c r="J1928" s="155"/>
      <c r="K1928" s="155"/>
      <c r="L1928" s="155"/>
      <c r="M1928" s="126"/>
      <c r="N1928" s="127"/>
      <c r="O1928" s="127"/>
      <c r="P1928" s="127"/>
      <c r="Q1928" s="126"/>
      <c r="R1928" s="128"/>
      <c r="S1928" s="128"/>
      <c r="T1928" s="128"/>
      <c r="U1928" s="128"/>
      <c r="V1928" s="129"/>
      <c r="W1928" s="129"/>
      <c r="X1928" s="129"/>
      <c r="Y1928" s="129"/>
      <c r="Z1928" s="145" t="b">
        <v>0</v>
      </c>
      <c r="AA1928" s="145"/>
      <c r="AB1928" s="129"/>
      <c r="AC1928" s="129"/>
      <c r="AD1928" s="129"/>
      <c r="AE1928" s="129"/>
      <c r="AF1928" s="132"/>
      <c r="AG1928" s="128" t="b">
        <v>0</v>
      </c>
      <c r="AH1928" s="128"/>
      <c r="AI1928" s="128"/>
      <c r="AJ1928" s="128"/>
      <c r="AK1928" s="128"/>
      <c r="AL1928" s="129"/>
      <c r="AM1928" s="129"/>
      <c r="AN1928" s="139"/>
    </row>
    <row r="1929">
      <c r="A1929" s="129"/>
      <c r="B1929" s="119"/>
      <c r="C1929" s="128"/>
      <c r="D1929" s="142"/>
      <c r="E1929" s="122"/>
      <c r="F1929" s="136"/>
      <c r="G1929" s="152"/>
      <c r="H1929" s="155"/>
      <c r="I1929" s="155"/>
      <c r="J1929" s="155"/>
      <c r="K1929" s="155"/>
      <c r="L1929" s="155"/>
      <c r="M1929" s="126"/>
      <c r="N1929" s="127"/>
      <c r="O1929" s="127"/>
      <c r="P1929" s="127"/>
      <c r="Q1929" s="126"/>
      <c r="R1929" s="128"/>
      <c r="S1929" s="128"/>
      <c r="T1929" s="128"/>
      <c r="U1929" s="128"/>
      <c r="V1929" s="129"/>
      <c r="W1929" s="129"/>
      <c r="X1929" s="129"/>
      <c r="Y1929" s="129"/>
      <c r="Z1929" s="145" t="b">
        <v>0</v>
      </c>
      <c r="AA1929" s="145"/>
      <c r="AB1929" s="129"/>
      <c r="AC1929" s="129"/>
      <c r="AD1929" s="129"/>
      <c r="AE1929" s="129"/>
      <c r="AF1929" s="132"/>
      <c r="AG1929" s="128" t="b">
        <v>0</v>
      </c>
      <c r="AH1929" s="128"/>
      <c r="AI1929" s="128"/>
      <c r="AJ1929" s="128"/>
      <c r="AK1929" s="128"/>
      <c r="AL1929" s="129"/>
      <c r="AM1929" s="129"/>
      <c r="AN1929" s="139"/>
    </row>
    <row r="1930">
      <c r="A1930" s="129"/>
      <c r="B1930" s="119"/>
      <c r="C1930" s="128"/>
      <c r="D1930" s="142"/>
      <c r="E1930" s="122"/>
      <c r="F1930" s="136"/>
      <c r="G1930" s="152"/>
      <c r="H1930" s="155"/>
      <c r="I1930" s="155"/>
      <c r="J1930" s="155"/>
      <c r="K1930" s="155"/>
      <c r="L1930" s="155"/>
      <c r="M1930" s="126"/>
      <c r="N1930" s="127"/>
      <c r="O1930" s="127"/>
      <c r="P1930" s="127"/>
      <c r="Q1930" s="126"/>
      <c r="R1930" s="128"/>
      <c r="S1930" s="128"/>
      <c r="T1930" s="128"/>
      <c r="U1930" s="128"/>
      <c r="V1930" s="129"/>
      <c r="W1930" s="129"/>
      <c r="X1930" s="129"/>
      <c r="Y1930" s="129"/>
      <c r="Z1930" s="145" t="b">
        <v>0</v>
      </c>
      <c r="AA1930" s="145"/>
      <c r="AB1930" s="129"/>
      <c r="AC1930" s="129"/>
      <c r="AD1930" s="129"/>
      <c r="AE1930" s="129"/>
      <c r="AF1930" s="132"/>
      <c r="AG1930" s="128" t="b">
        <v>0</v>
      </c>
      <c r="AH1930" s="128"/>
      <c r="AI1930" s="128"/>
      <c r="AJ1930" s="128"/>
      <c r="AK1930" s="128"/>
      <c r="AL1930" s="129"/>
      <c r="AM1930" s="129"/>
      <c r="AN1930" s="139"/>
    </row>
    <row r="1931">
      <c r="A1931" s="129"/>
      <c r="B1931" s="119"/>
      <c r="C1931" s="128"/>
      <c r="D1931" s="142"/>
      <c r="E1931" s="122"/>
      <c r="F1931" s="136"/>
      <c r="G1931" s="152"/>
      <c r="H1931" s="155"/>
      <c r="I1931" s="155"/>
      <c r="J1931" s="155"/>
      <c r="K1931" s="155"/>
      <c r="L1931" s="155"/>
      <c r="M1931" s="126"/>
      <c r="N1931" s="127"/>
      <c r="O1931" s="127"/>
      <c r="P1931" s="127"/>
      <c r="Q1931" s="126"/>
      <c r="R1931" s="128"/>
      <c r="S1931" s="128"/>
      <c r="T1931" s="128"/>
      <c r="U1931" s="128"/>
      <c r="V1931" s="129"/>
      <c r="W1931" s="129"/>
      <c r="X1931" s="129"/>
      <c r="Y1931" s="129"/>
      <c r="Z1931" s="145" t="b">
        <v>0</v>
      </c>
      <c r="AA1931" s="145"/>
      <c r="AB1931" s="129"/>
      <c r="AC1931" s="129"/>
      <c r="AD1931" s="129"/>
      <c r="AE1931" s="129"/>
      <c r="AF1931" s="132"/>
      <c r="AG1931" s="128" t="b">
        <v>0</v>
      </c>
      <c r="AH1931" s="128"/>
      <c r="AI1931" s="128"/>
      <c r="AJ1931" s="128"/>
      <c r="AK1931" s="128"/>
      <c r="AL1931" s="129"/>
      <c r="AM1931" s="129"/>
      <c r="AN1931" s="139"/>
    </row>
    <row r="1932">
      <c r="A1932" s="129"/>
      <c r="B1932" s="119"/>
      <c r="C1932" s="128"/>
      <c r="D1932" s="142"/>
      <c r="E1932" s="122"/>
      <c r="F1932" s="136"/>
      <c r="G1932" s="152"/>
      <c r="H1932" s="155"/>
      <c r="I1932" s="155"/>
      <c r="J1932" s="155"/>
      <c r="K1932" s="155"/>
      <c r="L1932" s="155"/>
      <c r="M1932" s="126"/>
      <c r="N1932" s="127"/>
      <c r="O1932" s="127"/>
      <c r="P1932" s="127"/>
      <c r="Q1932" s="126"/>
      <c r="R1932" s="128"/>
      <c r="S1932" s="128"/>
      <c r="T1932" s="128"/>
      <c r="U1932" s="128"/>
      <c r="V1932" s="129"/>
      <c r="W1932" s="129"/>
      <c r="X1932" s="129"/>
      <c r="Y1932" s="129"/>
      <c r="Z1932" s="145" t="b">
        <v>0</v>
      </c>
      <c r="AA1932" s="145"/>
      <c r="AB1932" s="129"/>
      <c r="AC1932" s="129"/>
      <c r="AD1932" s="129"/>
      <c r="AE1932" s="129"/>
      <c r="AF1932" s="132"/>
      <c r="AG1932" s="128" t="b">
        <v>0</v>
      </c>
      <c r="AH1932" s="128"/>
      <c r="AI1932" s="128"/>
      <c r="AJ1932" s="128"/>
      <c r="AK1932" s="128"/>
      <c r="AL1932" s="129"/>
      <c r="AM1932" s="129"/>
      <c r="AN1932" s="139"/>
    </row>
    <row r="1933">
      <c r="A1933" s="129"/>
      <c r="B1933" s="119"/>
      <c r="C1933" s="128"/>
      <c r="D1933" s="142"/>
      <c r="E1933" s="122"/>
      <c r="F1933" s="136"/>
      <c r="G1933" s="152"/>
      <c r="H1933" s="155"/>
      <c r="I1933" s="155"/>
      <c r="J1933" s="155"/>
      <c r="K1933" s="155"/>
      <c r="L1933" s="155"/>
      <c r="M1933" s="126"/>
      <c r="N1933" s="127"/>
      <c r="O1933" s="127"/>
      <c r="P1933" s="127"/>
      <c r="Q1933" s="126"/>
      <c r="R1933" s="128"/>
      <c r="S1933" s="128"/>
      <c r="T1933" s="128"/>
      <c r="U1933" s="128"/>
      <c r="V1933" s="129"/>
      <c r="W1933" s="129"/>
      <c r="X1933" s="129"/>
      <c r="Y1933" s="129"/>
      <c r="Z1933" s="145" t="b">
        <v>0</v>
      </c>
      <c r="AA1933" s="145"/>
      <c r="AB1933" s="129"/>
      <c r="AC1933" s="129"/>
      <c r="AD1933" s="129"/>
      <c r="AE1933" s="129"/>
      <c r="AF1933" s="132"/>
      <c r="AG1933" s="128" t="b">
        <v>0</v>
      </c>
      <c r="AH1933" s="128"/>
      <c r="AI1933" s="128"/>
      <c r="AJ1933" s="128"/>
      <c r="AK1933" s="128"/>
      <c r="AL1933" s="129"/>
      <c r="AM1933" s="129"/>
      <c r="AN1933" s="139"/>
    </row>
    <row r="1934">
      <c r="A1934" s="129"/>
      <c r="B1934" s="119"/>
      <c r="C1934" s="128"/>
      <c r="D1934" s="142"/>
      <c r="E1934" s="122"/>
      <c r="F1934" s="136"/>
      <c r="G1934" s="152"/>
      <c r="H1934" s="155"/>
      <c r="I1934" s="155"/>
      <c r="J1934" s="155"/>
      <c r="K1934" s="155"/>
      <c r="L1934" s="155"/>
      <c r="M1934" s="126"/>
      <c r="N1934" s="127"/>
      <c r="O1934" s="127"/>
      <c r="P1934" s="127"/>
      <c r="Q1934" s="126"/>
      <c r="R1934" s="128"/>
      <c r="S1934" s="128"/>
      <c r="T1934" s="128"/>
      <c r="U1934" s="128"/>
      <c r="V1934" s="129"/>
      <c r="W1934" s="129"/>
      <c r="X1934" s="129"/>
      <c r="Y1934" s="129"/>
      <c r="Z1934" s="145" t="b">
        <v>0</v>
      </c>
      <c r="AA1934" s="145"/>
      <c r="AB1934" s="129"/>
      <c r="AC1934" s="129"/>
      <c r="AD1934" s="129"/>
      <c r="AE1934" s="129"/>
      <c r="AF1934" s="132"/>
      <c r="AG1934" s="128" t="b">
        <v>0</v>
      </c>
      <c r="AH1934" s="128"/>
      <c r="AI1934" s="128"/>
      <c r="AJ1934" s="128"/>
      <c r="AK1934" s="128"/>
      <c r="AL1934" s="129"/>
      <c r="AM1934" s="129"/>
      <c r="AN1934" s="139"/>
    </row>
    <row r="1935">
      <c r="A1935" s="129"/>
      <c r="B1935" s="119"/>
      <c r="C1935" s="128"/>
      <c r="D1935" s="142"/>
      <c r="E1935" s="122"/>
      <c r="F1935" s="136"/>
      <c r="G1935" s="152"/>
      <c r="H1935" s="155"/>
      <c r="I1935" s="155"/>
      <c r="J1935" s="155"/>
      <c r="K1935" s="155"/>
      <c r="L1935" s="155"/>
      <c r="M1935" s="126"/>
      <c r="N1935" s="127"/>
      <c r="O1935" s="127"/>
      <c r="P1935" s="127"/>
      <c r="Q1935" s="126"/>
      <c r="R1935" s="128"/>
      <c r="S1935" s="128"/>
      <c r="T1935" s="128"/>
      <c r="U1935" s="128"/>
      <c r="V1935" s="129"/>
      <c r="W1935" s="129"/>
      <c r="X1935" s="129"/>
      <c r="Y1935" s="129"/>
      <c r="Z1935" s="145" t="b">
        <v>0</v>
      </c>
      <c r="AA1935" s="145"/>
      <c r="AB1935" s="129"/>
      <c r="AC1935" s="129"/>
      <c r="AD1935" s="129"/>
      <c r="AE1935" s="129"/>
      <c r="AF1935" s="132"/>
      <c r="AG1935" s="128" t="b">
        <v>0</v>
      </c>
      <c r="AH1935" s="128"/>
      <c r="AI1935" s="128"/>
      <c r="AJ1935" s="128"/>
      <c r="AK1935" s="128"/>
      <c r="AL1935" s="129"/>
      <c r="AM1935" s="129"/>
      <c r="AN1935" s="139"/>
    </row>
    <row r="1936">
      <c r="A1936" s="129"/>
      <c r="B1936" s="119"/>
      <c r="C1936" s="128"/>
      <c r="D1936" s="142"/>
      <c r="E1936" s="122"/>
      <c r="F1936" s="136"/>
      <c r="G1936" s="152"/>
      <c r="H1936" s="155"/>
      <c r="I1936" s="155"/>
      <c r="J1936" s="155"/>
      <c r="K1936" s="155"/>
      <c r="L1936" s="155"/>
      <c r="M1936" s="126"/>
      <c r="N1936" s="127"/>
      <c r="O1936" s="127"/>
      <c r="P1936" s="127"/>
      <c r="Q1936" s="126"/>
      <c r="R1936" s="128"/>
      <c r="S1936" s="128"/>
      <c r="T1936" s="128"/>
      <c r="U1936" s="128"/>
      <c r="V1936" s="129"/>
      <c r="W1936" s="129"/>
      <c r="X1936" s="129"/>
      <c r="Y1936" s="129"/>
      <c r="Z1936" s="145" t="b">
        <v>0</v>
      </c>
      <c r="AA1936" s="145"/>
      <c r="AB1936" s="129"/>
      <c r="AC1936" s="129"/>
      <c r="AD1936" s="129"/>
      <c r="AE1936" s="129"/>
      <c r="AF1936" s="132"/>
      <c r="AG1936" s="128" t="b">
        <v>0</v>
      </c>
      <c r="AH1936" s="128"/>
      <c r="AI1936" s="128"/>
      <c r="AJ1936" s="128"/>
      <c r="AK1936" s="128"/>
      <c r="AL1936" s="129"/>
      <c r="AM1936" s="129"/>
      <c r="AN1936" s="139"/>
    </row>
    <row r="1937">
      <c r="A1937" s="129"/>
      <c r="B1937" s="119"/>
      <c r="C1937" s="128"/>
      <c r="D1937" s="142"/>
      <c r="E1937" s="122"/>
      <c r="F1937" s="136"/>
      <c r="G1937" s="152"/>
      <c r="H1937" s="155"/>
      <c r="I1937" s="155"/>
      <c r="J1937" s="155"/>
      <c r="K1937" s="155"/>
      <c r="L1937" s="155"/>
      <c r="M1937" s="126"/>
      <c r="N1937" s="127"/>
      <c r="O1937" s="127"/>
      <c r="P1937" s="127"/>
      <c r="Q1937" s="126"/>
      <c r="R1937" s="128"/>
      <c r="S1937" s="128"/>
      <c r="T1937" s="128"/>
      <c r="U1937" s="128"/>
      <c r="V1937" s="129"/>
      <c r="W1937" s="129"/>
      <c r="X1937" s="129"/>
      <c r="Y1937" s="129"/>
      <c r="Z1937" s="145" t="b">
        <v>0</v>
      </c>
      <c r="AA1937" s="145"/>
      <c r="AB1937" s="129"/>
      <c r="AC1937" s="129"/>
      <c r="AD1937" s="129"/>
      <c r="AE1937" s="129"/>
      <c r="AF1937" s="132"/>
      <c r="AG1937" s="128" t="b">
        <v>0</v>
      </c>
      <c r="AH1937" s="128"/>
      <c r="AI1937" s="128"/>
      <c r="AJ1937" s="128"/>
      <c r="AK1937" s="128"/>
      <c r="AL1937" s="129"/>
      <c r="AM1937" s="129"/>
      <c r="AN1937" s="139"/>
    </row>
    <row r="1938">
      <c r="A1938" s="129"/>
      <c r="B1938" s="119"/>
      <c r="C1938" s="128"/>
      <c r="D1938" s="142"/>
      <c r="E1938" s="122"/>
      <c r="F1938" s="136"/>
      <c r="G1938" s="152"/>
      <c r="H1938" s="155"/>
      <c r="I1938" s="155"/>
      <c r="J1938" s="155"/>
      <c r="K1938" s="155"/>
      <c r="L1938" s="155"/>
      <c r="M1938" s="126"/>
      <c r="N1938" s="127"/>
      <c r="O1938" s="127"/>
      <c r="P1938" s="127"/>
      <c r="Q1938" s="126"/>
      <c r="R1938" s="128"/>
      <c r="S1938" s="128"/>
      <c r="T1938" s="128"/>
      <c r="U1938" s="128"/>
      <c r="V1938" s="129"/>
      <c r="W1938" s="129"/>
      <c r="X1938" s="129"/>
      <c r="Y1938" s="129"/>
      <c r="Z1938" s="145" t="b">
        <v>0</v>
      </c>
      <c r="AA1938" s="145"/>
      <c r="AB1938" s="129"/>
      <c r="AC1938" s="129"/>
      <c r="AD1938" s="129"/>
      <c r="AE1938" s="129"/>
      <c r="AF1938" s="132"/>
      <c r="AG1938" s="128" t="b">
        <v>0</v>
      </c>
      <c r="AH1938" s="128"/>
      <c r="AI1938" s="128"/>
      <c r="AJ1938" s="128"/>
      <c r="AK1938" s="128"/>
      <c r="AL1938" s="129"/>
      <c r="AM1938" s="129"/>
      <c r="AN1938" s="139"/>
    </row>
    <row r="1939">
      <c r="A1939" s="129"/>
      <c r="B1939" s="119"/>
      <c r="C1939" s="128"/>
      <c r="D1939" s="142"/>
      <c r="E1939" s="122"/>
      <c r="F1939" s="136"/>
      <c r="G1939" s="152"/>
      <c r="H1939" s="155"/>
      <c r="I1939" s="155"/>
      <c r="J1939" s="155"/>
      <c r="K1939" s="155"/>
      <c r="L1939" s="155"/>
      <c r="M1939" s="126"/>
      <c r="N1939" s="127"/>
      <c r="O1939" s="127"/>
      <c r="P1939" s="127"/>
      <c r="Q1939" s="126"/>
      <c r="R1939" s="128"/>
      <c r="S1939" s="128"/>
      <c r="T1939" s="128"/>
      <c r="U1939" s="128"/>
      <c r="V1939" s="129"/>
      <c r="W1939" s="129"/>
      <c r="X1939" s="129"/>
      <c r="Y1939" s="129"/>
      <c r="Z1939" s="145" t="b">
        <v>0</v>
      </c>
      <c r="AA1939" s="145"/>
      <c r="AB1939" s="129"/>
      <c r="AC1939" s="129"/>
      <c r="AD1939" s="129"/>
      <c r="AE1939" s="129"/>
      <c r="AF1939" s="132"/>
      <c r="AG1939" s="128" t="b">
        <v>0</v>
      </c>
      <c r="AH1939" s="128"/>
      <c r="AI1939" s="128"/>
      <c r="AJ1939" s="128"/>
      <c r="AK1939" s="128"/>
      <c r="AL1939" s="129"/>
      <c r="AM1939" s="129"/>
      <c r="AN1939" s="139"/>
    </row>
    <row r="1940">
      <c r="A1940" s="129"/>
      <c r="B1940" s="119"/>
      <c r="C1940" s="128"/>
      <c r="D1940" s="142"/>
      <c r="E1940" s="122"/>
      <c r="F1940" s="136"/>
      <c r="G1940" s="152"/>
      <c r="H1940" s="155"/>
      <c r="I1940" s="155"/>
      <c r="J1940" s="155"/>
      <c r="K1940" s="155"/>
      <c r="L1940" s="155"/>
      <c r="M1940" s="126"/>
      <c r="N1940" s="127"/>
      <c r="O1940" s="127"/>
      <c r="P1940" s="127"/>
      <c r="Q1940" s="126"/>
      <c r="R1940" s="128"/>
      <c r="S1940" s="128"/>
      <c r="T1940" s="128"/>
      <c r="U1940" s="128"/>
      <c r="V1940" s="129"/>
      <c r="W1940" s="129"/>
      <c r="X1940" s="129"/>
      <c r="Y1940" s="129"/>
      <c r="Z1940" s="145" t="b">
        <v>0</v>
      </c>
      <c r="AA1940" s="145"/>
      <c r="AB1940" s="129"/>
      <c r="AC1940" s="129"/>
      <c r="AD1940" s="129"/>
      <c r="AE1940" s="129"/>
      <c r="AF1940" s="132"/>
      <c r="AG1940" s="128" t="b">
        <v>0</v>
      </c>
      <c r="AH1940" s="128"/>
      <c r="AI1940" s="128"/>
      <c r="AJ1940" s="128"/>
      <c r="AK1940" s="128"/>
      <c r="AL1940" s="129"/>
      <c r="AM1940" s="129"/>
      <c r="AN1940" s="139"/>
    </row>
    <row r="1941">
      <c r="A1941" s="129"/>
      <c r="B1941" s="119"/>
      <c r="C1941" s="128"/>
      <c r="D1941" s="142"/>
      <c r="E1941" s="122"/>
      <c r="F1941" s="136"/>
      <c r="G1941" s="152"/>
      <c r="H1941" s="155"/>
      <c r="I1941" s="155"/>
      <c r="J1941" s="155"/>
      <c r="K1941" s="155"/>
      <c r="L1941" s="155"/>
      <c r="M1941" s="126"/>
      <c r="N1941" s="127"/>
      <c r="O1941" s="127"/>
      <c r="P1941" s="127"/>
      <c r="Q1941" s="126"/>
      <c r="R1941" s="128"/>
      <c r="S1941" s="128"/>
      <c r="T1941" s="128"/>
      <c r="U1941" s="128"/>
      <c r="V1941" s="129"/>
      <c r="W1941" s="129"/>
      <c r="X1941" s="129"/>
      <c r="Y1941" s="129"/>
      <c r="Z1941" s="145" t="b">
        <v>0</v>
      </c>
      <c r="AA1941" s="145"/>
      <c r="AB1941" s="129"/>
      <c r="AC1941" s="129"/>
      <c r="AD1941" s="129"/>
      <c r="AE1941" s="129"/>
      <c r="AF1941" s="132"/>
      <c r="AG1941" s="128" t="b">
        <v>0</v>
      </c>
      <c r="AH1941" s="128"/>
      <c r="AI1941" s="128"/>
      <c r="AJ1941" s="128"/>
      <c r="AK1941" s="128"/>
      <c r="AL1941" s="129"/>
      <c r="AM1941" s="129"/>
      <c r="AN1941" s="139"/>
    </row>
    <row r="1942">
      <c r="A1942" s="129"/>
      <c r="B1942" s="119"/>
      <c r="C1942" s="128"/>
      <c r="D1942" s="142"/>
      <c r="E1942" s="122"/>
      <c r="F1942" s="136"/>
      <c r="G1942" s="152"/>
      <c r="H1942" s="155"/>
      <c r="I1942" s="155"/>
      <c r="J1942" s="155"/>
      <c r="K1942" s="155"/>
      <c r="L1942" s="155"/>
      <c r="M1942" s="126"/>
      <c r="N1942" s="127"/>
      <c r="O1942" s="127"/>
      <c r="P1942" s="127"/>
      <c r="Q1942" s="126"/>
      <c r="R1942" s="128"/>
      <c r="S1942" s="128"/>
      <c r="T1942" s="128"/>
      <c r="U1942" s="128"/>
      <c r="V1942" s="129"/>
      <c r="W1942" s="129"/>
      <c r="X1942" s="129"/>
      <c r="Y1942" s="129"/>
      <c r="Z1942" s="145" t="b">
        <v>0</v>
      </c>
      <c r="AA1942" s="145"/>
      <c r="AB1942" s="129"/>
      <c r="AC1942" s="129"/>
      <c r="AD1942" s="129"/>
      <c r="AE1942" s="129"/>
      <c r="AF1942" s="132"/>
      <c r="AG1942" s="128" t="b">
        <v>0</v>
      </c>
      <c r="AH1942" s="128"/>
      <c r="AI1942" s="128"/>
      <c r="AJ1942" s="128"/>
      <c r="AK1942" s="128"/>
      <c r="AL1942" s="129"/>
      <c r="AM1942" s="129"/>
      <c r="AN1942" s="139"/>
    </row>
    <row r="1943">
      <c r="A1943" s="129"/>
      <c r="B1943" s="119"/>
      <c r="C1943" s="128"/>
      <c r="D1943" s="142"/>
      <c r="E1943" s="122"/>
      <c r="F1943" s="136"/>
      <c r="G1943" s="152"/>
      <c r="H1943" s="155"/>
      <c r="I1943" s="155"/>
      <c r="J1943" s="155"/>
      <c r="K1943" s="155"/>
      <c r="L1943" s="155"/>
      <c r="M1943" s="126"/>
      <c r="N1943" s="127"/>
      <c r="O1943" s="127"/>
      <c r="P1943" s="127"/>
      <c r="Q1943" s="126"/>
      <c r="R1943" s="128"/>
      <c r="S1943" s="128"/>
      <c r="T1943" s="128"/>
      <c r="U1943" s="128"/>
      <c r="V1943" s="129"/>
      <c r="W1943" s="129"/>
      <c r="X1943" s="129"/>
      <c r="Y1943" s="129"/>
      <c r="Z1943" s="145" t="b">
        <v>0</v>
      </c>
      <c r="AA1943" s="145"/>
      <c r="AB1943" s="129"/>
      <c r="AC1943" s="129"/>
      <c r="AD1943" s="129"/>
      <c r="AE1943" s="129"/>
      <c r="AF1943" s="132"/>
      <c r="AG1943" s="128" t="b">
        <v>0</v>
      </c>
      <c r="AH1943" s="128"/>
      <c r="AI1943" s="128"/>
      <c r="AJ1943" s="128"/>
      <c r="AK1943" s="128"/>
      <c r="AL1943" s="129"/>
      <c r="AM1943" s="129"/>
      <c r="AN1943" s="139"/>
    </row>
    <row r="1944">
      <c r="A1944" s="129"/>
      <c r="B1944" s="119"/>
      <c r="C1944" s="128"/>
      <c r="D1944" s="142"/>
      <c r="E1944" s="122"/>
      <c r="F1944" s="136"/>
      <c r="G1944" s="152"/>
      <c r="H1944" s="155"/>
      <c r="I1944" s="155"/>
      <c r="J1944" s="155"/>
      <c r="K1944" s="155"/>
      <c r="L1944" s="155"/>
      <c r="M1944" s="126"/>
      <c r="N1944" s="127"/>
      <c r="O1944" s="127"/>
      <c r="P1944" s="127"/>
      <c r="Q1944" s="126"/>
      <c r="R1944" s="128"/>
      <c r="S1944" s="128"/>
      <c r="T1944" s="128"/>
      <c r="U1944" s="128"/>
      <c r="V1944" s="129"/>
      <c r="W1944" s="129"/>
      <c r="X1944" s="129"/>
      <c r="Y1944" s="129"/>
      <c r="Z1944" s="145" t="b">
        <v>0</v>
      </c>
      <c r="AA1944" s="145"/>
      <c r="AB1944" s="129"/>
      <c r="AC1944" s="129"/>
      <c r="AD1944" s="129"/>
      <c r="AE1944" s="129"/>
      <c r="AF1944" s="132"/>
      <c r="AG1944" s="128" t="b">
        <v>0</v>
      </c>
      <c r="AH1944" s="128"/>
      <c r="AI1944" s="128"/>
      <c r="AJ1944" s="128"/>
      <c r="AK1944" s="128"/>
      <c r="AL1944" s="129"/>
      <c r="AM1944" s="129"/>
      <c r="AN1944" s="139"/>
    </row>
    <row r="1945">
      <c r="A1945" s="129"/>
      <c r="B1945" s="119"/>
      <c r="C1945" s="128"/>
      <c r="D1945" s="142"/>
      <c r="E1945" s="122"/>
      <c r="F1945" s="136"/>
      <c r="G1945" s="152"/>
      <c r="H1945" s="155"/>
      <c r="I1945" s="155"/>
      <c r="J1945" s="155"/>
      <c r="K1945" s="155"/>
      <c r="L1945" s="155"/>
      <c r="M1945" s="126"/>
      <c r="N1945" s="127"/>
      <c r="O1945" s="127"/>
      <c r="P1945" s="127"/>
      <c r="Q1945" s="126"/>
      <c r="R1945" s="128"/>
      <c r="S1945" s="128"/>
      <c r="T1945" s="128"/>
      <c r="U1945" s="128"/>
      <c r="V1945" s="129"/>
      <c r="W1945" s="129"/>
      <c r="X1945" s="129"/>
      <c r="Y1945" s="129"/>
      <c r="Z1945" s="145" t="b">
        <v>0</v>
      </c>
      <c r="AA1945" s="145"/>
      <c r="AB1945" s="129"/>
      <c r="AC1945" s="129"/>
      <c r="AD1945" s="129"/>
      <c r="AE1945" s="129"/>
      <c r="AF1945" s="132"/>
      <c r="AG1945" s="128" t="b">
        <v>0</v>
      </c>
      <c r="AH1945" s="128"/>
      <c r="AI1945" s="128"/>
      <c r="AJ1945" s="128"/>
      <c r="AK1945" s="128"/>
      <c r="AL1945" s="129"/>
      <c r="AM1945" s="129"/>
      <c r="AN1945" s="139"/>
    </row>
    <row r="1946">
      <c r="A1946" s="129"/>
      <c r="B1946" s="119"/>
      <c r="C1946" s="128"/>
      <c r="D1946" s="142"/>
      <c r="E1946" s="122"/>
      <c r="F1946" s="136"/>
      <c r="G1946" s="152"/>
      <c r="H1946" s="155"/>
      <c r="I1946" s="155"/>
      <c r="J1946" s="155"/>
      <c r="K1946" s="155"/>
      <c r="L1946" s="155"/>
      <c r="M1946" s="126"/>
      <c r="N1946" s="127"/>
      <c r="O1946" s="127"/>
      <c r="P1946" s="127"/>
      <c r="Q1946" s="126"/>
      <c r="R1946" s="128"/>
      <c r="S1946" s="128"/>
      <c r="T1946" s="128"/>
      <c r="U1946" s="128"/>
      <c r="V1946" s="129"/>
      <c r="W1946" s="129"/>
      <c r="X1946" s="129"/>
      <c r="Y1946" s="129"/>
      <c r="Z1946" s="145" t="b">
        <v>0</v>
      </c>
      <c r="AA1946" s="145"/>
      <c r="AB1946" s="129"/>
      <c r="AC1946" s="129"/>
      <c r="AD1946" s="129"/>
      <c r="AE1946" s="129"/>
      <c r="AF1946" s="132"/>
      <c r="AG1946" s="128" t="b">
        <v>0</v>
      </c>
      <c r="AH1946" s="128"/>
      <c r="AI1946" s="128"/>
      <c r="AJ1946" s="128"/>
      <c r="AK1946" s="128"/>
      <c r="AL1946" s="129"/>
      <c r="AM1946" s="129"/>
      <c r="AN1946" s="139"/>
    </row>
    <row r="1947">
      <c r="A1947" s="129"/>
      <c r="B1947" s="119"/>
      <c r="C1947" s="128"/>
      <c r="D1947" s="142"/>
      <c r="E1947" s="122"/>
      <c r="F1947" s="136"/>
      <c r="G1947" s="152"/>
      <c r="H1947" s="155"/>
      <c r="I1947" s="155"/>
      <c r="J1947" s="155"/>
      <c r="K1947" s="155"/>
      <c r="L1947" s="155"/>
      <c r="M1947" s="126"/>
      <c r="N1947" s="127"/>
      <c r="O1947" s="127"/>
      <c r="P1947" s="127"/>
      <c r="Q1947" s="126"/>
      <c r="R1947" s="128"/>
      <c r="S1947" s="128"/>
      <c r="T1947" s="128"/>
      <c r="U1947" s="128"/>
      <c r="V1947" s="129"/>
      <c r="W1947" s="129"/>
      <c r="X1947" s="129"/>
      <c r="Y1947" s="129"/>
      <c r="Z1947" s="145" t="b">
        <v>0</v>
      </c>
      <c r="AA1947" s="145"/>
      <c r="AB1947" s="129"/>
      <c r="AC1947" s="129"/>
      <c r="AD1947" s="129"/>
      <c r="AE1947" s="129"/>
      <c r="AF1947" s="132"/>
      <c r="AG1947" s="128" t="b">
        <v>0</v>
      </c>
      <c r="AH1947" s="128"/>
      <c r="AI1947" s="128"/>
      <c r="AJ1947" s="128"/>
      <c r="AK1947" s="128"/>
      <c r="AL1947" s="129"/>
      <c r="AM1947" s="129"/>
      <c r="AN1947" s="139"/>
    </row>
    <row r="1948">
      <c r="A1948" s="129"/>
      <c r="B1948" s="119"/>
      <c r="C1948" s="128"/>
      <c r="D1948" s="142"/>
      <c r="E1948" s="122"/>
      <c r="F1948" s="136"/>
      <c r="G1948" s="152"/>
      <c r="H1948" s="155"/>
      <c r="I1948" s="155"/>
      <c r="J1948" s="155"/>
      <c r="K1948" s="155"/>
      <c r="L1948" s="155"/>
      <c r="M1948" s="126"/>
      <c r="N1948" s="127"/>
      <c r="O1948" s="127"/>
      <c r="P1948" s="127"/>
      <c r="Q1948" s="126"/>
      <c r="R1948" s="128"/>
      <c r="S1948" s="128"/>
      <c r="T1948" s="128"/>
      <c r="U1948" s="128"/>
      <c r="V1948" s="129"/>
      <c r="W1948" s="129"/>
      <c r="X1948" s="129"/>
      <c r="Y1948" s="129"/>
      <c r="Z1948" s="145" t="b">
        <v>0</v>
      </c>
      <c r="AA1948" s="145"/>
      <c r="AB1948" s="129"/>
      <c r="AC1948" s="129"/>
      <c r="AD1948" s="129"/>
      <c r="AE1948" s="129"/>
      <c r="AF1948" s="132"/>
      <c r="AG1948" s="128" t="b">
        <v>0</v>
      </c>
      <c r="AH1948" s="128"/>
      <c r="AI1948" s="128"/>
      <c r="AJ1948" s="128"/>
      <c r="AK1948" s="128"/>
      <c r="AL1948" s="129"/>
      <c r="AM1948" s="129"/>
      <c r="AN1948" s="139"/>
    </row>
    <row r="1949">
      <c r="A1949" s="129"/>
      <c r="B1949" s="119"/>
      <c r="C1949" s="128"/>
      <c r="D1949" s="142"/>
      <c r="E1949" s="122"/>
      <c r="F1949" s="136"/>
      <c r="G1949" s="152"/>
      <c r="H1949" s="155"/>
      <c r="I1949" s="155"/>
      <c r="J1949" s="155"/>
      <c r="K1949" s="155"/>
      <c r="L1949" s="155"/>
      <c r="M1949" s="126"/>
      <c r="N1949" s="127"/>
      <c r="O1949" s="127"/>
      <c r="P1949" s="127"/>
      <c r="Q1949" s="126"/>
      <c r="R1949" s="128"/>
      <c r="S1949" s="128"/>
      <c r="T1949" s="128"/>
      <c r="U1949" s="128"/>
      <c r="V1949" s="129"/>
      <c r="W1949" s="129"/>
      <c r="X1949" s="129"/>
      <c r="Y1949" s="129"/>
      <c r="Z1949" s="145" t="b">
        <v>0</v>
      </c>
      <c r="AA1949" s="145"/>
      <c r="AB1949" s="129"/>
      <c r="AC1949" s="129"/>
      <c r="AD1949" s="129"/>
      <c r="AE1949" s="129"/>
      <c r="AF1949" s="132"/>
      <c r="AG1949" s="128" t="b">
        <v>0</v>
      </c>
      <c r="AH1949" s="128"/>
      <c r="AI1949" s="128"/>
      <c r="AJ1949" s="128"/>
      <c r="AK1949" s="128"/>
      <c r="AL1949" s="129"/>
      <c r="AM1949" s="129"/>
      <c r="AN1949" s="139"/>
    </row>
    <row r="1950">
      <c r="A1950" s="129"/>
      <c r="B1950" s="119"/>
      <c r="C1950" s="128"/>
      <c r="D1950" s="142"/>
      <c r="E1950" s="122"/>
      <c r="F1950" s="136"/>
      <c r="G1950" s="152"/>
      <c r="H1950" s="155"/>
      <c r="I1950" s="155"/>
      <c r="J1950" s="155"/>
      <c r="K1950" s="155"/>
      <c r="L1950" s="155"/>
      <c r="M1950" s="126"/>
      <c r="N1950" s="127"/>
      <c r="O1950" s="127"/>
      <c r="P1950" s="127"/>
      <c r="Q1950" s="126"/>
      <c r="R1950" s="128"/>
      <c r="S1950" s="128"/>
      <c r="T1950" s="128"/>
      <c r="U1950" s="128"/>
      <c r="V1950" s="129"/>
      <c r="W1950" s="129"/>
      <c r="X1950" s="129"/>
      <c r="Y1950" s="129"/>
      <c r="Z1950" s="145" t="b">
        <v>0</v>
      </c>
      <c r="AA1950" s="145"/>
      <c r="AB1950" s="129"/>
      <c r="AC1950" s="129"/>
      <c r="AD1950" s="129"/>
      <c r="AE1950" s="129"/>
      <c r="AF1950" s="132"/>
      <c r="AG1950" s="128" t="b">
        <v>0</v>
      </c>
      <c r="AH1950" s="128"/>
      <c r="AI1950" s="128"/>
      <c r="AJ1950" s="128"/>
      <c r="AK1950" s="128"/>
      <c r="AL1950" s="129"/>
      <c r="AM1950" s="129"/>
      <c r="AN1950" s="139"/>
    </row>
    <row r="1951">
      <c r="A1951" s="129"/>
      <c r="B1951" s="119"/>
      <c r="C1951" s="128"/>
      <c r="D1951" s="142"/>
      <c r="E1951" s="122"/>
      <c r="F1951" s="136"/>
      <c r="G1951" s="152"/>
      <c r="H1951" s="155"/>
      <c r="I1951" s="155"/>
      <c r="J1951" s="155"/>
      <c r="K1951" s="155"/>
      <c r="L1951" s="155"/>
      <c r="M1951" s="126"/>
      <c r="N1951" s="127"/>
      <c r="O1951" s="127"/>
      <c r="P1951" s="127"/>
      <c r="Q1951" s="126"/>
      <c r="R1951" s="128"/>
      <c r="S1951" s="128"/>
      <c r="T1951" s="128"/>
      <c r="U1951" s="128"/>
      <c r="V1951" s="129"/>
      <c r="W1951" s="129"/>
      <c r="X1951" s="129"/>
      <c r="Y1951" s="129"/>
      <c r="Z1951" s="145" t="b">
        <v>0</v>
      </c>
      <c r="AA1951" s="145"/>
      <c r="AB1951" s="129"/>
      <c r="AC1951" s="129"/>
      <c r="AD1951" s="129"/>
      <c r="AE1951" s="129"/>
      <c r="AF1951" s="132"/>
      <c r="AG1951" s="128" t="b">
        <v>0</v>
      </c>
      <c r="AH1951" s="128"/>
      <c r="AI1951" s="128"/>
      <c r="AJ1951" s="128"/>
      <c r="AK1951" s="128"/>
      <c r="AL1951" s="129"/>
      <c r="AM1951" s="129"/>
      <c r="AN1951" s="139"/>
    </row>
    <row r="1952">
      <c r="A1952" s="129"/>
      <c r="B1952" s="119"/>
      <c r="C1952" s="128"/>
      <c r="D1952" s="142"/>
      <c r="E1952" s="122"/>
      <c r="F1952" s="136"/>
      <c r="G1952" s="152"/>
      <c r="H1952" s="155"/>
      <c r="I1952" s="155"/>
      <c r="J1952" s="155"/>
      <c r="K1952" s="155"/>
      <c r="L1952" s="155"/>
      <c r="M1952" s="126"/>
      <c r="N1952" s="127"/>
      <c r="O1952" s="127"/>
      <c r="P1952" s="127"/>
      <c r="Q1952" s="126"/>
      <c r="R1952" s="128"/>
      <c r="S1952" s="128"/>
      <c r="T1952" s="128"/>
      <c r="U1952" s="128"/>
      <c r="V1952" s="129"/>
      <c r="W1952" s="129"/>
      <c r="X1952" s="129"/>
      <c r="Y1952" s="129"/>
      <c r="Z1952" s="145" t="b">
        <v>0</v>
      </c>
      <c r="AA1952" s="145"/>
      <c r="AB1952" s="129"/>
      <c r="AC1952" s="129"/>
      <c r="AD1952" s="129"/>
      <c r="AE1952" s="129"/>
      <c r="AF1952" s="132"/>
      <c r="AG1952" s="128" t="b">
        <v>0</v>
      </c>
      <c r="AH1952" s="128"/>
      <c r="AI1952" s="128"/>
      <c r="AJ1952" s="128"/>
      <c r="AK1952" s="128"/>
      <c r="AL1952" s="129"/>
      <c r="AM1952" s="129"/>
      <c r="AN1952" s="139"/>
    </row>
    <row r="1953">
      <c r="A1953" s="129"/>
      <c r="B1953" s="119"/>
      <c r="C1953" s="128"/>
      <c r="D1953" s="142"/>
      <c r="E1953" s="122"/>
      <c r="F1953" s="136"/>
      <c r="G1953" s="152"/>
      <c r="H1953" s="155"/>
      <c r="I1953" s="155"/>
      <c r="J1953" s="155"/>
      <c r="K1953" s="155"/>
      <c r="L1953" s="155"/>
      <c r="M1953" s="126"/>
      <c r="N1953" s="127"/>
      <c r="O1953" s="127"/>
      <c r="P1953" s="127"/>
      <c r="Q1953" s="126"/>
      <c r="R1953" s="128"/>
      <c r="S1953" s="128"/>
      <c r="T1953" s="128"/>
      <c r="U1953" s="128"/>
      <c r="V1953" s="129"/>
      <c r="W1953" s="129"/>
      <c r="X1953" s="129"/>
      <c r="Y1953" s="129"/>
      <c r="Z1953" s="145" t="b">
        <v>0</v>
      </c>
      <c r="AA1953" s="145"/>
      <c r="AB1953" s="129"/>
      <c r="AC1953" s="129"/>
      <c r="AD1953" s="129"/>
      <c r="AE1953" s="129"/>
      <c r="AF1953" s="132"/>
      <c r="AG1953" s="128" t="b">
        <v>0</v>
      </c>
      <c r="AH1953" s="128"/>
      <c r="AI1953" s="128"/>
      <c r="AJ1953" s="128"/>
      <c r="AK1953" s="128"/>
      <c r="AL1953" s="129"/>
      <c r="AM1953" s="129"/>
      <c r="AN1953" s="139"/>
    </row>
    <row r="1954">
      <c r="A1954" s="129"/>
      <c r="B1954" s="119"/>
      <c r="C1954" s="128"/>
      <c r="D1954" s="142"/>
      <c r="E1954" s="122"/>
      <c r="F1954" s="136"/>
      <c r="G1954" s="152"/>
      <c r="H1954" s="155"/>
      <c r="I1954" s="155"/>
      <c r="J1954" s="155"/>
      <c r="K1954" s="155"/>
      <c r="L1954" s="155"/>
      <c r="M1954" s="126"/>
      <c r="N1954" s="127"/>
      <c r="O1954" s="127"/>
      <c r="P1954" s="127"/>
      <c r="Q1954" s="126"/>
      <c r="R1954" s="128"/>
      <c r="S1954" s="128"/>
      <c r="T1954" s="128"/>
      <c r="U1954" s="128"/>
      <c r="V1954" s="129"/>
      <c r="W1954" s="129"/>
      <c r="X1954" s="129"/>
      <c r="Y1954" s="129"/>
      <c r="Z1954" s="145" t="b">
        <v>0</v>
      </c>
      <c r="AA1954" s="145"/>
      <c r="AB1954" s="129"/>
      <c r="AC1954" s="129"/>
      <c r="AD1954" s="129"/>
      <c r="AE1954" s="129"/>
      <c r="AF1954" s="132"/>
      <c r="AG1954" s="128" t="b">
        <v>0</v>
      </c>
      <c r="AH1954" s="128"/>
      <c r="AI1954" s="128"/>
      <c r="AJ1954" s="128"/>
      <c r="AK1954" s="128"/>
      <c r="AL1954" s="129"/>
      <c r="AM1954" s="129"/>
      <c r="AN1954" s="139"/>
    </row>
    <row r="1955">
      <c r="A1955" s="129"/>
      <c r="B1955" s="119"/>
      <c r="C1955" s="128"/>
      <c r="D1955" s="142"/>
      <c r="E1955" s="122"/>
      <c r="F1955" s="136"/>
      <c r="G1955" s="152"/>
      <c r="H1955" s="155"/>
      <c r="I1955" s="155"/>
      <c r="J1955" s="155"/>
      <c r="K1955" s="155"/>
      <c r="L1955" s="155"/>
      <c r="M1955" s="126"/>
      <c r="N1955" s="127"/>
      <c r="O1955" s="127"/>
      <c r="P1955" s="127"/>
      <c r="Q1955" s="126"/>
      <c r="R1955" s="128"/>
      <c r="S1955" s="128"/>
      <c r="T1955" s="128"/>
      <c r="U1955" s="128"/>
      <c r="V1955" s="129"/>
      <c r="W1955" s="129"/>
      <c r="X1955" s="129"/>
      <c r="Y1955" s="129"/>
      <c r="Z1955" s="145" t="b">
        <v>0</v>
      </c>
      <c r="AA1955" s="145"/>
      <c r="AB1955" s="129"/>
      <c r="AC1955" s="129"/>
      <c r="AD1955" s="129"/>
      <c r="AE1955" s="129"/>
      <c r="AF1955" s="132"/>
      <c r="AG1955" s="128" t="b">
        <v>0</v>
      </c>
      <c r="AH1955" s="128"/>
      <c r="AI1955" s="128"/>
      <c r="AJ1955" s="128"/>
      <c r="AK1955" s="128"/>
      <c r="AL1955" s="129"/>
      <c r="AM1955" s="129"/>
      <c r="AN1955" s="139"/>
    </row>
    <row r="1956">
      <c r="A1956" s="129"/>
      <c r="B1956" s="119"/>
      <c r="C1956" s="128"/>
      <c r="D1956" s="142"/>
      <c r="E1956" s="122"/>
      <c r="F1956" s="136"/>
      <c r="G1956" s="152"/>
      <c r="H1956" s="155"/>
      <c r="I1956" s="155"/>
      <c r="J1956" s="155"/>
      <c r="K1956" s="155"/>
      <c r="L1956" s="155"/>
      <c r="M1956" s="126"/>
      <c r="N1956" s="127"/>
      <c r="O1956" s="127"/>
      <c r="P1956" s="127"/>
      <c r="Q1956" s="126"/>
      <c r="R1956" s="128"/>
      <c r="S1956" s="128"/>
      <c r="T1956" s="128"/>
      <c r="U1956" s="128"/>
      <c r="V1956" s="129"/>
      <c r="W1956" s="129"/>
      <c r="X1956" s="129"/>
      <c r="Y1956" s="129"/>
      <c r="Z1956" s="145" t="b">
        <v>0</v>
      </c>
      <c r="AA1956" s="145"/>
      <c r="AB1956" s="129"/>
      <c r="AC1956" s="129"/>
      <c r="AD1956" s="129"/>
      <c r="AE1956" s="129"/>
      <c r="AF1956" s="132"/>
      <c r="AG1956" s="128" t="b">
        <v>0</v>
      </c>
      <c r="AH1956" s="128"/>
      <c r="AI1956" s="128"/>
      <c r="AJ1956" s="128"/>
      <c r="AK1956" s="128"/>
      <c r="AL1956" s="129"/>
      <c r="AM1956" s="129"/>
      <c r="AN1956" s="139"/>
    </row>
    <row r="1957">
      <c r="A1957" s="129"/>
      <c r="B1957" s="119"/>
      <c r="C1957" s="128"/>
      <c r="D1957" s="142"/>
      <c r="E1957" s="122"/>
      <c r="F1957" s="136"/>
      <c r="G1957" s="152"/>
      <c r="H1957" s="155"/>
      <c r="I1957" s="155"/>
      <c r="J1957" s="155"/>
      <c r="K1957" s="155"/>
      <c r="L1957" s="155"/>
      <c r="M1957" s="126"/>
      <c r="N1957" s="127"/>
      <c r="O1957" s="127"/>
      <c r="P1957" s="127"/>
      <c r="Q1957" s="126"/>
      <c r="R1957" s="128"/>
      <c r="S1957" s="128"/>
      <c r="T1957" s="128"/>
      <c r="U1957" s="128"/>
      <c r="V1957" s="129"/>
      <c r="W1957" s="129"/>
      <c r="X1957" s="129"/>
      <c r="Y1957" s="129"/>
      <c r="Z1957" s="145" t="b">
        <v>0</v>
      </c>
      <c r="AA1957" s="145"/>
      <c r="AB1957" s="129"/>
      <c r="AC1957" s="129"/>
      <c r="AD1957" s="129"/>
      <c r="AE1957" s="129"/>
      <c r="AF1957" s="132"/>
      <c r="AG1957" s="128" t="b">
        <v>0</v>
      </c>
      <c r="AH1957" s="128"/>
      <c r="AI1957" s="128"/>
      <c r="AJ1957" s="128"/>
      <c r="AK1957" s="128"/>
      <c r="AL1957" s="129"/>
      <c r="AM1957" s="129"/>
      <c r="AN1957" s="139"/>
    </row>
    <row r="1958">
      <c r="A1958" s="129"/>
      <c r="B1958" s="119"/>
      <c r="C1958" s="128"/>
      <c r="D1958" s="142"/>
      <c r="E1958" s="122"/>
      <c r="F1958" s="136"/>
      <c r="G1958" s="152"/>
      <c r="H1958" s="155"/>
      <c r="I1958" s="155"/>
      <c r="J1958" s="155"/>
      <c r="K1958" s="155"/>
      <c r="L1958" s="155"/>
      <c r="M1958" s="126"/>
      <c r="N1958" s="127"/>
      <c r="O1958" s="127"/>
      <c r="P1958" s="127"/>
      <c r="Q1958" s="126"/>
      <c r="R1958" s="128"/>
      <c r="S1958" s="128"/>
      <c r="T1958" s="128"/>
      <c r="U1958" s="128"/>
      <c r="V1958" s="129"/>
      <c r="W1958" s="129"/>
      <c r="X1958" s="129"/>
      <c r="Y1958" s="129"/>
      <c r="Z1958" s="145" t="b">
        <v>0</v>
      </c>
      <c r="AA1958" s="145"/>
      <c r="AB1958" s="129"/>
      <c r="AC1958" s="129"/>
      <c r="AD1958" s="129"/>
      <c r="AE1958" s="129"/>
      <c r="AF1958" s="132"/>
      <c r="AG1958" s="128" t="b">
        <v>0</v>
      </c>
      <c r="AH1958" s="128"/>
      <c r="AI1958" s="128"/>
      <c r="AJ1958" s="128"/>
      <c r="AK1958" s="128"/>
      <c r="AL1958" s="129"/>
      <c r="AM1958" s="129"/>
      <c r="AN1958" s="139"/>
    </row>
    <row r="1959">
      <c r="A1959" s="129"/>
      <c r="B1959" s="119"/>
      <c r="C1959" s="128"/>
      <c r="D1959" s="142"/>
      <c r="E1959" s="122"/>
      <c r="F1959" s="136"/>
      <c r="G1959" s="152"/>
      <c r="H1959" s="155"/>
      <c r="I1959" s="155"/>
      <c r="J1959" s="155"/>
      <c r="K1959" s="155"/>
      <c r="L1959" s="155"/>
      <c r="M1959" s="126"/>
      <c r="N1959" s="127"/>
      <c r="O1959" s="127"/>
      <c r="P1959" s="127"/>
      <c r="Q1959" s="126"/>
      <c r="R1959" s="128"/>
      <c r="S1959" s="128"/>
      <c r="T1959" s="128"/>
      <c r="U1959" s="128"/>
      <c r="V1959" s="129"/>
      <c r="W1959" s="129"/>
      <c r="X1959" s="129"/>
      <c r="Y1959" s="129"/>
      <c r="Z1959" s="145" t="b">
        <v>0</v>
      </c>
      <c r="AA1959" s="145"/>
      <c r="AB1959" s="129"/>
      <c r="AC1959" s="129"/>
      <c r="AD1959" s="129"/>
      <c r="AE1959" s="129"/>
      <c r="AF1959" s="132"/>
      <c r="AG1959" s="128" t="b">
        <v>0</v>
      </c>
      <c r="AH1959" s="128"/>
      <c r="AI1959" s="128"/>
      <c r="AJ1959" s="128"/>
      <c r="AK1959" s="128"/>
      <c r="AL1959" s="129"/>
      <c r="AM1959" s="129"/>
      <c r="AN1959" s="139"/>
    </row>
    <row r="1960">
      <c r="A1960" s="129"/>
      <c r="B1960" s="119"/>
      <c r="C1960" s="128"/>
      <c r="D1960" s="142"/>
      <c r="E1960" s="122"/>
      <c r="F1960" s="136"/>
      <c r="G1960" s="152"/>
      <c r="H1960" s="155"/>
      <c r="I1960" s="155"/>
      <c r="J1960" s="155"/>
      <c r="K1960" s="155"/>
      <c r="L1960" s="155"/>
      <c r="M1960" s="126"/>
      <c r="N1960" s="127"/>
      <c r="O1960" s="127"/>
      <c r="P1960" s="127"/>
      <c r="Q1960" s="126"/>
      <c r="R1960" s="128"/>
      <c r="S1960" s="128"/>
      <c r="T1960" s="128"/>
      <c r="U1960" s="128"/>
      <c r="V1960" s="129"/>
      <c r="W1960" s="129"/>
      <c r="X1960" s="129"/>
      <c r="Y1960" s="129"/>
      <c r="Z1960" s="145" t="b">
        <v>0</v>
      </c>
      <c r="AA1960" s="145"/>
      <c r="AB1960" s="129"/>
      <c r="AC1960" s="129"/>
      <c r="AD1960" s="129"/>
      <c r="AE1960" s="129"/>
      <c r="AF1960" s="132"/>
      <c r="AG1960" s="128" t="b">
        <v>0</v>
      </c>
      <c r="AH1960" s="128"/>
      <c r="AI1960" s="128"/>
      <c r="AJ1960" s="128"/>
      <c r="AK1960" s="128"/>
      <c r="AL1960" s="129"/>
      <c r="AM1960" s="129"/>
      <c r="AN1960" s="139"/>
    </row>
    <row r="1961">
      <c r="A1961" s="129"/>
      <c r="B1961" s="119"/>
      <c r="C1961" s="128"/>
      <c r="D1961" s="142"/>
      <c r="E1961" s="122"/>
      <c r="F1961" s="136"/>
      <c r="G1961" s="152"/>
      <c r="H1961" s="155"/>
      <c r="I1961" s="155"/>
      <c r="J1961" s="155"/>
      <c r="K1961" s="155"/>
      <c r="L1961" s="155"/>
      <c r="M1961" s="126"/>
      <c r="N1961" s="127"/>
      <c r="O1961" s="127"/>
      <c r="P1961" s="127"/>
      <c r="Q1961" s="126"/>
      <c r="R1961" s="128"/>
      <c r="S1961" s="128"/>
      <c r="T1961" s="128"/>
      <c r="U1961" s="128"/>
      <c r="V1961" s="129"/>
      <c r="W1961" s="129"/>
      <c r="X1961" s="129"/>
      <c r="Y1961" s="129"/>
      <c r="Z1961" s="145" t="b">
        <v>0</v>
      </c>
      <c r="AA1961" s="145"/>
      <c r="AB1961" s="129"/>
      <c r="AC1961" s="129"/>
      <c r="AD1961" s="129"/>
      <c r="AE1961" s="129"/>
      <c r="AF1961" s="132"/>
      <c r="AG1961" s="128" t="b">
        <v>0</v>
      </c>
      <c r="AH1961" s="128"/>
      <c r="AI1961" s="128"/>
      <c r="AJ1961" s="128"/>
      <c r="AK1961" s="128"/>
      <c r="AL1961" s="129"/>
      <c r="AM1961" s="129"/>
      <c r="AN1961" s="139"/>
    </row>
    <row r="1962">
      <c r="A1962" s="129"/>
      <c r="B1962" s="119"/>
      <c r="C1962" s="128"/>
      <c r="D1962" s="142"/>
      <c r="E1962" s="122"/>
      <c r="F1962" s="136"/>
      <c r="G1962" s="152"/>
      <c r="H1962" s="155"/>
      <c r="I1962" s="155"/>
      <c r="J1962" s="155"/>
      <c r="K1962" s="155"/>
      <c r="L1962" s="155"/>
      <c r="M1962" s="126"/>
      <c r="N1962" s="127"/>
      <c r="O1962" s="127"/>
      <c r="P1962" s="127"/>
      <c r="Q1962" s="126"/>
      <c r="R1962" s="128"/>
      <c r="S1962" s="128"/>
      <c r="T1962" s="128"/>
      <c r="U1962" s="128"/>
      <c r="V1962" s="129"/>
      <c r="W1962" s="129"/>
      <c r="X1962" s="129"/>
      <c r="Y1962" s="129"/>
      <c r="Z1962" s="145" t="b">
        <v>0</v>
      </c>
      <c r="AA1962" s="145"/>
      <c r="AB1962" s="129"/>
      <c r="AC1962" s="129"/>
      <c r="AD1962" s="129"/>
      <c r="AE1962" s="129"/>
      <c r="AF1962" s="132"/>
      <c r="AG1962" s="128" t="b">
        <v>0</v>
      </c>
      <c r="AH1962" s="128"/>
      <c r="AI1962" s="128"/>
      <c r="AJ1962" s="128"/>
      <c r="AK1962" s="128"/>
      <c r="AL1962" s="129"/>
      <c r="AM1962" s="129"/>
      <c r="AN1962" s="139"/>
    </row>
    <row r="1963">
      <c r="A1963" s="129"/>
      <c r="B1963" s="119"/>
      <c r="C1963" s="128"/>
      <c r="D1963" s="142"/>
      <c r="E1963" s="122"/>
      <c r="F1963" s="136"/>
      <c r="G1963" s="152"/>
      <c r="H1963" s="155"/>
      <c r="I1963" s="155"/>
      <c r="J1963" s="155"/>
      <c r="K1963" s="155"/>
      <c r="L1963" s="155"/>
      <c r="M1963" s="126"/>
      <c r="N1963" s="127"/>
      <c r="O1963" s="127"/>
      <c r="P1963" s="127"/>
      <c r="Q1963" s="126"/>
      <c r="R1963" s="128"/>
      <c r="S1963" s="128"/>
      <c r="T1963" s="128"/>
      <c r="U1963" s="128"/>
      <c r="V1963" s="129"/>
      <c r="W1963" s="129"/>
      <c r="X1963" s="129"/>
      <c r="Y1963" s="129"/>
      <c r="Z1963" s="145" t="b">
        <v>0</v>
      </c>
      <c r="AA1963" s="145"/>
      <c r="AB1963" s="129"/>
      <c r="AC1963" s="129"/>
      <c r="AD1963" s="129"/>
      <c r="AE1963" s="129"/>
      <c r="AF1963" s="132"/>
      <c r="AG1963" s="128" t="b">
        <v>0</v>
      </c>
      <c r="AH1963" s="128"/>
      <c r="AI1963" s="128"/>
      <c r="AJ1963" s="128"/>
      <c r="AK1963" s="128"/>
      <c r="AL1963" s="129"/>
      <c r="AM1963" s="129"/>
      <c r="AN1963" s="139"/>
    </row>
    <row r="1964">
      <c r="A1964" s="129"/>
      <c r="B1964" s="119"/>
      <c r="C1964" s="128"/>
      <c r="D1964" s="142"/>
      <c r="E1964" s="122"/>
      <c r="F1964" s="136"/>
      <c r="G1964" s="152"/>
      <c r="H1964" s="155"/>
      <c r="I1964" s="155"/>
      <c r="J1964" s="155"/>
      <c r="K1964" s="155"/>
      <c r="L1964" s="155"/>
      <c r="M1964" s="126"/>
      <c r="N1964" s="127"/>
      <c r="O1964" s="127"/>
      <c r="P1964" s="127"/>
      <c r="Q1964" s="126"/>
      <c r="R1964" s="128"/>
      <c r="S1964" s="128"/>
      <c r="T1964" s="128"/>
      <c r="U1964" s="128"/>
      <c r="V1964" s="129"/>
      <c r="W1964" s="129"/>
      <c r="X1964" s="129"/>
      <c r="Y1964" s="129"/>
      <c r="Z1964" s="145" t="b">
        <v>0</v>
      </c>
      <c r="AA1964" s="145"/>
      <c r="AB1964" s="129"/>
      <c r="AC1964" s="129"/>
      <c r="AD1964" s="129"/>
      <c r="AE1964" s="129"/>
      <c r="AF1964" s="132"/>
      <c r="AG1964" s="128" t="b">
        <v>0</v>
      </c>
      <c r="AH1964" s="128"/>
      <c r="AI1964" s="128"/>
      <c r="AJ1964" s="128"/>
      <c r="AK1964" s="128"/>
      <c r="AL1964" s="129"/>
      <c r="AM1964" s="129"/>
      <c r="AN1964" s="139"/>
    </row>
    <row r="1965">
      <c r="A1965" s="129"/>
      <c r="B1965" s="119"/>
      <c r="C1965" s="128"/>
      <c r="D1965" s="142"/>
      <c r="E1965" s="122"/>
      <c r="F1965" s="136"/>
      <c r="G1965" s="152"/>
      <c r="H1965" s="155"/>
      <c r="I1965" s="155"/>
      <c r="J1965" s="155"/>
      <c r="K1965" s="155"/>
      <c r="L1965" s="155"/>
      <c r="M1965" s="126"/>
      <c r="N1965" s="127"/>
      <c r="O1965" s="127"/>
      <c r="P1965" s="127"/>
      <c r="Q1965" s="126"/>
      <c r="R1965" s="128"/>
      <c r="S1965" s="128"/>
      <c r="T1965" s="128"/>
      <c r="U1965" s="128"/>
      <c r="V1965" s="129"/>
      <c r="W1965" s="129"/>
      <c r="X1965" s="129"/>
      <c r="Y1965" s="129"/>
      <c r="Z1965" s="145" t="b">
        <v>0</v>
      </c>
      <c r="AA1965" s="145"/>
      <c r="AB1965" s="129"/>
      <c r="AC1965" s="129"/>
      <c r="AD1965" s="129"/>
      <c r="AE1965" s="129"/>
      <c r="AF1965" s="132"/>
      <c r="AG1965" s="128" t="b">
        <v>0</v>
      </c>
      <c r="AH1965" s="128"/>
      <c r="AI1965" s="128"/>
      <c r="AJ1965" s="128"/>
      <c r="AK1965" s="128"/>
      <c r="AL1965" s="129"/>
      <c r="AM1965" s="129"/>
      <c r="AN1965" s="139"/>
    </row>
    <row r="1966">
      <c r="A1966" s="129"/>
      <c r="B1966" s="119"/>
      <c r="C1966" s="128"/>
      <c r="D1966" s="142"/>
      <c r="E1966" s="122"/>
      <c r="F1966" s="136"/>
      <c r="G1966" s="152"/>
      <c r="H1966" s="155"/>
      <c r="I1966" s="155"/>
      <c r="J1966" s="155"/>
      <c r="K1966" s="155"/>
      <c r="L1966" s="155"/>
      <c r="M1966" s="126"/>
      <c r="N1966" s="127"/>
      <c r="O1966" s="127"/>
      <c r="P1966" s="127"/>
      <c r="Q1966" s="126"/>
      <c r="R1966" s="128"/>
      <c r="S1966" s="128"/>
      <c r="T1966" s="128"/>
      <c r="U1966" s="128"/>
      <c r="V1966" s="129"/>
      <c r="W1966" s="129"/>
      <c r="X1966" s="129"/>
      <c r="Y1966" s="129"/>
      <c r="Z1966" s="145" t="b">
        <v>0</v>
      </c>
      <c r="AA1966" s="145"/>
      <c r="AB1966" s="129"/>
      <c r="AC1966" s="129"/>
      <c r="AD1966" s="129"/>
      <c r="AE1966" s="129"/>
      <c r="AF1966" s="132"/>
      <c r="AG1966" s="128" t="b">
        <v>0</v>
      </c>
      <c r="AH1966" s="128"/>
      <c r="AI1966" s="128"/>
      <c r="AJ1966" s="128"/>
      <c r="AK1966" s="128"/>
      <c r="AL1966" s="129"/>
      <c r="AM1966" s="129"/>
      <c r="AN1966" s="139"/>
    </row>
    <row r="1967">
      <c r="A1967" s="129"/>
      <c r="B1967" s="119"/>
      <c r="C1967" s="128"/>
      <c r="D1967" s="142"/>
      <c r="E1967" s="122"/>
      <c r="F1967" s="136"/>
      <c r="G1967" s="152"/>
      <c r="H1967" s="155"/>
      <c r="I1967" s="155"/>
      <c r="J1967" s="155"/>
      <c r="K1967" s="155"/>
      <c r="L1967" s="155"/>
      <c r="M1967" s="126"/>
      <c r="N1967" s="127"/>
      <c r="O1967" s="127"/>
      <c r="P1967" s="127"/>
      <c r="Q1967" s="126"/>
      <c r="R1967" s="128"/>
      <c r="S1967" s="128"/>
      <c r="T1967" s="128"/>
      <c r="U1967" s="128"/>
      <c r="V1967" s="129"/>
      <c r="W1967" s="129"/>
      <c r="X1967" s="129"/>
      <c r="Y1967" s="129"/>
      <c r="Z1967" s="145" t="b">
        <v>0</v>
      </c>
      <c r="AA1967" s="145"/>
      <c r="AB1967" s="129"/>
      <c r="AC1967" s="129"/>
      <c r="AD1967" s="129"/>
      <c r="AE1967" s="129"/>
      <c r="AF1967" s="132"/>
      <c r="AG1967" s="128" t="b">
        <v>0</v>
      </c>
      <c r="AH1967" s="128"/>
      <c r="AI1967" s="128"/>
      <c r="AJ1967" s="128"/>
      <c r="AK1967" s="128"/>
      <c r="AL1967" s="129"/>
      <c r="AM1967" s="129"/>
      <c r="AN1967" s="139"/>
    </row>
    <row r="1968">
      <c r="A1968" s="129"/>
      <c r="B1968" s="119"/>
      <c r="C1968" s="128"/>
      <c r="D1968" s="142"/>
      <c r="E1968" s="122"/>
      <c r="F1968" s="136"/>
      <c r="G1968" s="152"/>
      <c r="H1968" s="155"/>
      <c r="I1968" s="155"/>
      <c r="J1968" s="155"/>
      <c r="K1968" s="155"/>
      <c r="L1968" s="155"/>
      <c r="M1968" s="126"/>
      <c r="N1968" s="127"/>
      <c r="O1968" s="127"/>
      <c r="P1968" s="127"/>
      <c r="Q1968" s="126"/>
      <c r="R1968" s="128"/>
      <c r="S1968" s="128"/>
      <c r="T1968" s="128"/>
      <c r="U1968" s="128"/>
      <c r="V1968" s="129"/>
      <c r="W1968" s="129"/>
      <c r="X1968" s="129"/>
      <c r="Y1968" s="129"/>
      <c r="Z1968" s="145" t="b">
        <v>0</v>
      </c>
      <c r="AA1968" s="145"/>
      <c r="AB1968" s="129"/>
      <c r="AC1968" s="129"/>
      <c r="AD1968" s="129"/>
      <c r="AE1968" s="129"/>
      <c r="AF1968" s="132"/>
      <c r="AG1968" s="128" t="b">
        <v>0</v>
      </c>
      <c r="AH1968" s="128"/>
      <c r="AI1968" s="128"/>
      <c r="AJ1968" s="128"/>
      <c r="AK1968" s="128"/>
      <c r="AL1968" s="129"/>
      <c r="AM1968" s="129"/>
      <c r="AN1968" s="139"/>
    </row>
    <row r="1969">
      <c r="A1969" s="129"/>
      <c r="B1969" s="119"/>
      <c r="C1969" s="128"/>
      <c r="D1969" s="142"/>
      <c r="E1969" s="122"/>
      <c r="F1969" s="136"/>
      <c r="G1969" s="152"/>
      <c r="H1969" s="155"/>
      <c r="I1969" s="155"/>
      <c r="J1969" s="155"/>
      <c r="K1969" s="155"/>
      <c r="L1969" s="155"/>
      <c r="M1969" s="126"/>
      <c r="N1969" s="127"/>
      <c r="O1969" s="127"/>
      <c r="P1969" s="127"/>
      <c r="Q1969" s="126"/>
      <c r="R1969" s="128"/>
      <c r="S1969" s="128"/>
      <c r="T1969" s="128"/>
      <c r="U1969" s="128"/>
      <c r="V1969" s="129"/>
      <c r="W1969" s="129"/>
      <c r="X1969" s="129"/>
      <c r="Y1969" s="129"/>
      <c r="Z1969" s="145" t="b">
        <v>0</v>
      </c>
      <c r="AA1969" s="145"/>
      <c r="AB1969" s="129"/>
      <c r="AC1969" s="129"/>
      <c r="AD1969" s="129"/>
      <c r="AE1969" s="129"/>
      <c r="AF1969" s="132"/>
      <c r="AG1969" s="128" t="b">
        <v>0</v>
      </c>
      <c r="AH1969" s="128"/>
      <c r="AI1969" s="128"/>
      <c r="AJ1969" s="128"/>
      <c r="AK1969" s="128"/>
      <c r="AL1969" s="129"/>
      <c r="AM1969" s="129"/>
      <c r="AN1969" s="139"/>
    </row>
    <row r="1970">
      <c r="A1970" s="129"/>
      <c r="B1970" s="119"/>
      <c r="C1970" s="128"/>
      <c r="D1970" s="142"/>
      <c r="E1970" s="122"/>
      <c r="F1970" s="136"/>
      <c r="G1970" s="152"/>
      <c r="H1970" s="155"/>
      <c r="I1970" s="155"/>
      <c r="J1970" s="155"/>
      <c r="K1970" s="155"/>
      <c r="L1970" s="155"/>
      <c r="M1970" s="126"/>
      <c r="N1970" s="127"/>
      <c r="O1970" s="127"/>
      <c r="P1970" s="127"/>
      <c r="Q1970" s="126"/>
      <c r="R1970" s="128"/>
      <c r="S1970" s="128"/>
      <c r="T1970" s="128"/>
      <c r="U1970" s="128"/>
      <c r="V1970" s="129"/>
      <c r="W1970" s="129"/>
      <c r="X1970" s="129"/>
      <c r="Y1970" s="129"/>
      <c r="Z1970" s="145" t="b">
        <v>0</v>
      </c>
      <c r="AA1970" s="145"/>
      <c r="AB1970" s="129"/>
      <c r="AC1970" s="129"/>
      <c r="AD1970" s="129"/>
      <c r="AE1970" s="129"/>
      <c r="AF1970" s="132"/>
      <c r="AG1970" s="128" t="b">
        <v>0</v>
      </c>
      <c r="AH1970" s="128"/>
      <c r="AI1970" s="128"/>
      <c r="AJ1970" s="128"/>
      <c r="AK1970" s="128"/>
      <c r="AL1970" s="129"/>
      <c r="AM1970" s="129"/>
      <c r="AN1970" s="139"/>
    </row>
    <row r="1971">
      <c r="A1971" s="129"/>
      <c r="B1971" s="119"/>
      <c r="C1971" s="128"/>
      <c r="D1971" s="142"/>
      <c r="E1971" s="122"/>
      <c r="F1971" s="136"/>
      <c r="G1971" s="152"/>
      <c r="H1971" s="155"/>
      <c r="I1971" s="155"/>
      <c r="J1971" s="155"/>
      <c r="K1971" s="155"/>
      <c r="L1971" s="155"/>
      <c r="M1971" s="126"/>
      <c r="N1971" s="127"/>
      <c r="O1971" s="127"/>
      <c r="P1971" s="127"/>
      <c r="Q1971" s="126"/>
      <c r="R1971" s="128"/>
      <c r="S1971" s="128"/>
      <c r="T1971" s="128"/>
      <c r="U1971" s="128"/>
      <c r="V1971" s="129"/>
      <c r="W1971" s="129"/>
      <c r="X1971" s="129"/>
      <c r="Y1971" s="129"/>
      <c r="Z1971" s="145" t="b">
        <v>0</v>
      </c>
      <c r="AA1971" s="145"/>
      <c r="AB1971" s="129"/>
      <c r="AC1971" s="129"/>
      <c r="AD1971" s="129"/>
      <c r="AE1971" s="129"/>
      <c r="AF1971" s="132"/>
      <c r="AG1971" s="128" t="b">
        <v>0</v>
      </c>
      <c r="AH1971" s="128"/>
      <c r="AI1971" s="128"/>
      <c r="AJ1971" s="128"/>
      <c r="AK1971" s="128"/>
      <c r="AL1971" s="129"/>
      <c r="AM1971" s="129"/>
      <c r="AN1971" s="139"/>
    </row>
    <row r="1972">
      <c r="A1972" s="129"/>
      <c r="B1972" s="119"/>
      <c r="C1972" s="128"/>
      <c r="D1972" s="142"/>
      <c r="E1972" s="122"/>
      <c r="F1972" s="136"/>
      <c r="G1972" s="152"/>
      <c r="H1972" s="155"/>
      <c r="I1972" s="155"/>
      <c r="J1972" s="155"/>
      <c r="K1972" s="155"/>
      <c r="L1972" s="155"/>
      <c r="M1972" s="126"/>
      <c r="N1972" s="127"/>
      <c r="O1972" s="127"/>
      <c r="P1972" s="127"/>
      <c r="Q1972" s="126"/>
      <c r="R1972" s="128"/>
      <c r="S1972" s="128"/>
      <c r="T1972" s="128"/>
      <c r="U1972" s="128"/>
      <c r="V1972" s="129"/>
      <c r="W1972" s="129"/>
      <c r="X1972" s="129"/>
      <c r="Y1972" s="129"/>
      <c r="Z1972" s="145" t="b">
        <v>0</v>
      </c>
      <c r="AA1972" s="145"/>
      <c r="AB1972" s="129"/>
      <c r="AC1972" s="129"/>
      <c r="AD1972" s="129"/>
      <c r="AE1972" s="129"/>
      <c r="AF1972" s="132"/>
      <c r="AG1972" s="128" t="b">
        <v>0</v>
      </c>
      <c r="AH1972" s="128"/>
      <c r="AI1972" s="128"/>
      <c r="AJ1972" s="128"/>
      <c r="AK1972" s="128"/>
      <c r="AL1972" s="129"/>
      <c r="AM1972" s="129"/>
      <c r="AN1972" s="139"/>
    </row>
    <row r="1973">
      <c r="A1973" s="129"/>
      <c r="B1973" s="119"/>
      <c r="C1973" s="128"/>
      <c r="D1973" s="142"/>
      <c r="E1973" s="122"/>
      <c r="F1973" s="136"/>
      <c r="G1973" s="152"/>
      <c r="H1973" s="155"/>
      <c r="I1973" s="155"/>
      <c r="J1973" s="155"/>
      <c r="K1973" s="155"/>
      <c r="L1973" s="155"/>
      <c r="M1973" s="126"/>
      <c r="N1973" s="127"/>
      <c r="O1973" s="127"/>
      <c r="P1973" s="127"/>
      <c r="Q1973" s="126"/>
      <c r="R1973" s="128"/>
      <c r="S1973" s="128"/>
      <c r="T1973" s="128"/>
      <c r="U1973" s="128"/>
      <c r="V1973" s="129"/>
      <c r="W1973" s="129"/>
      <c r="X1973" s="129"/>
      <c r="Y1973" s="129"/>
      <c r="Z1973" s="145" t="b">
        <v>0</v>
      </c>
      <c r="AA1973" s="145"/>
      <c r="AB1973" s="129"/>
      <c r="AC1973" s="129"/>
      <c r="AD1973" s="129"/>
      <c r="AE1973" s="129"/>
      <c r="AF1973" s="132"/>
      <c r="AG1973" s="128" t="b">
        <v>0</v>
      </c>
      <c r="AH1973" s="128"/>
      <c r="AI1973" s="128"/>
      <c r="AJ1973" s="128"/>
      <c r="AK1973" s="128"/>
      <c r="AL1973" s="129"/>
      <c r="AM1973" s="129"/>
      <c r="AN1973" s="139"/>
    </row>
    <row r="1974">
      <c r="A1974" s="129"/>
      <c r="B1974" s="119"/>
      <c r="C1974" s="128"/>
      <c r="D1974" s="142"/>
      <c r="E1974" s="122"/>
      <c r="F1974" s="136"/>
      <c r="G1974" s="152"/>
      <c r="H1974" s="155"/>
      <c r="I1974" s="155"/>
      <c r="J1974" s="155"/>
      <c r="K1974" s="155"/>
      <c r="L1974" s="155"/>
      <c r="M1974" s="126"/>
      <c r="N1974" s="127"/>
      <c r="O1974" s="127"/>
      <c r="P1974" s="127"/>
      <c r="Q1974" s="126"/>
      <c r="R1974" s="128"/>
      <c r="S1974" s="128"/>
      <c r="T1974" s="128"/>
      <c r="U1974" s="128"/>
      <c r="V1974" s="129"/>
      <c r="W1974" s="129"/>
      <c r="X1974" s="129"/>
      <c r="Y1974" s="129"/>
      <c r="Z1974" s="145" t="b">
        <v>0</v>
      </c>
      <c r="AA1974" s="145"/>
      <c r="AB1974" s="129"/>
      <c r="AC1974" s="129"/>
      <c r="AD1974" s="129"/>
      <c r="AE1974" s="129"/>
      <c r="AF1974" s="132"/>
      <c r="AG1974" s="128" t="b">
        <v>0</v>
      </c>
      <c r="AH1974" s="128"/>
      <c r="AI1974" s="128"/>
      <c r="AJ1974" s="128"/>
      <c r="AK1974" s="128"/>
      <c r="AL1974" s="129"/>
      <c r="AM1974" s="129"/>
      <c r="AN1974" s="139"/>
    </row>
    <row r="1975">
      <c r="A1975" s="129"/>
      <c r="B1975" s="119"/>
      <c r="C1975" s="128"/>
      <c r="D1975" s="142"/>
      <c r="E1975" s="122"/>
      <c r="F1975" s="136"/>
      <c r="G1975" s="152"/>
      <c r="H1975" s="155"/>
      <c r="I1975" s="155"/>
      <c r="J1975" s="155"/>
      <c r="K1975" s="155"/>
      <c r="L1975" s="155"/>
      <c r="M1975" s="126"/>
      <c r="N1975" s="127"/>
      <c r="O1975" s="127"/>
      <c r="P1975" s="127"/>
      <c r="Q1975" s="126"/>
      <c r="R1975" s="128"/>
      <c r="S1975" s="128"/>
      <c r="T1975" s="128"/>
      <c r="U1975" s="128"/>
      <c r="V1975" s="129"/>
      <c r="W1975" s="129"/>
      <c r="X1975" s="129"/>
      <c r="Y1975" s="129"/>
      <c r="Z1975" s="145" t="b">
        <v>0</v>
      </c>
      <c r="AA1975" s="145"/>
      <c r="AB1975" s="129"/>
      <c r="AC1975" s="129"/>
      <c r="AD1975" s="129"/>
      <c r="AE1975" s="129"/>
      <c r="AF1975" s="132"/>
      <c r="AG1975" s="128" t="b">
        <v>0</v>
      </c>
      <c r="AH1975" s="128"/>
      <c r="AI1975" s="128"/>
      <c r="AJ1975" s="128"/>
      <c r="AK1975" s="128"/>
      <c r="AL1975" s="129"/>
      <c r="AM1975" s="129"/>
      <c r="AN1975" s="139"/>
    </row>
    <row r="1976">
      <c r="A1976" s="129"/>
      <c r="B1976" s="119"/>
      <c r="C1976" s="128"/>
      <c r="D1976" s="142"/>
      <c r="E1976" s="122"/>
      <c r="F1976" s="136"/>
      <c r="G1976" s="152"/>
      <c r="H1976" s="155"/>
      <c r="I1976" s="155"/>
      <c r="J1976" s="155"/>
      <c r="K1976" s="155"/>
      <c r="L1976" s="155"/>
      <c r="M1976" s="126"/>
      <c r="N1976" s="127"/>
      <c r="O1976" s="127"/>
      <c r="P1976" s="127"/>
      <c r="Q1976" s="126"/>
      <c r="R1976" s="128"/>
      <c r="S1976" s="128"/>
      <c r="T1976" s="128"/>
      <c r="U1976" s="128"/>
      <c r="V1976" s="129"/>
      <c r="W1976" s="129"/>
      <c r="X1976" s="129"/>
      <c r="Y1976" s="129"/>
      <c r="Z1976" s="145" t="b">
        <v>0</v>
      </c>
      <c r="AA1976" s="145"/>
      <c r="AB1976" s="129"/>
      <c r="AC1976" s="129"/>
      <c r="AD1976" s="129"/>
      <c r="AE1976" s="129"/>
      <c r="AF1976" s="132"/>
      <c r="AG1976" s="128" t="b">
        <v>0</v>
      </c>
      <c r="AH1976" s="128"/>
      <c r="AI1976" s="128"/>
      <c r="AJ1976" s="128"/>
      <c r="AK1976" s="128"/>
      <c r="AL1976" s="129"/>
      <c r="AM1976" s="129"/>
      <c r="AN1976" s="139"/>
    </row>
    <row r="1977">
      <c r="A1977" s="129"/>
      <c r="B1977" s="119"/>
      <c r="C1977" s="128"/>
      <c r="D1977" s="142"/>
      <c r="E1977" s="122"/>
      <c r="F1977" s="136"/>
      <c r="G1977" s="152"/>
      <c r="H1977" s="155"/>
      <c r="I1977" s="155"/>
      <c r="J1977" s="155"/>
      <c r="K1977" s="155"/>
      <c r="L1977" s="155"/>
      <c r="M1977" s="126"/>
      <c r="N1977" s="127"/>
      <c r="O1977" s="127"/>
      <c r="P1977" s="127"/>
      <c r="Q1977" s="126"/>
      <c r="R1977" s="128"/>
      <c r="S1977" s="128"/>
      <c r="T1977" s="128"/>
      <c r="U1977" s="128"/>
      <c r="V1977" s="129"/>
      <c r="W1977" s="129"/>
      <c r="X1977" s="129"/>
      <c r="Y1977" s="129"/>
      <c r="Z1977" s="145" t="b">
        <v>0</v>
      </c>
      <c r="AA1977" s="145"/>
      <c r="AB1977" s="129"/>
      <c r="AC1977" s="129"/>
      <c r="AD1977" s="129"/>
      <c r="AE1977" s="129"/>
      <c r="AF1977" s="132"/>
      <c r="AG1977" s="128" t="b">
        <v>0</v>
      </c>
      <c r="AH1977" s="128"/>
      <c r="AI1977" s="128"/>
      <c r="AJ1977" s="128"/>
      <c r="AK1977" s="128"/>
      <c r="AL1977" s="129"/>
      <c r="AM1977" s="129"/>
      <c r="AN1977" s="139"/>
    </row>
    <row r="1978">
      <c r="A1978" s="129"/>
      <c r="B1978" s="119"/>
      <c r="C1978" s="128"/>
      <c r="D1978" s="142"/>
      <c r="E1978" s="122"/>
      <c r="F1978" s="136"/>
      <c r="G1978" s="152"/>
      <c r="H1978" s="155"/>
      <c r="I1978" s="155"/>
      <c r="J1978" s="155"/>
      <c r="K1978" s="155"/>
      <c r="L1978" s="155"/>
      <c r="M1978" s="126"/>
      <c r="N1978" s="127"/>
      <c r="O1978" s="127"/>
      <c r="P1978" s="127"/>
      <c r="Q1978" s="126"/>
      <c r="R1978" s="128"/>
      <c r="S1978" s="128"/>
      <c r="T1978" s="128"/>
      <c r="U1978" s="128"/>
      <c r="V1978" s="129"/>
      <c r="W1978" s="129"/>
      <c r="X1978" s="129"/>
      <c r="Y1978" s="129"/>
      <c r="Z1978" s="145" t="b">
        <v>0</v>
      </c>
      <c r="AA1978" s="145"/>
      <c r="AB1978" s="129"/>
      <c r="AC1978" s="129"/>
      <c r="AD1978" s="129"/>
      <c r="AE1978" s="129"/>
      <c r="AF1978" s="132"/>
      <c r="AG1978" s="128" t="b">
        <v>0</v>
      </c>
      <c r="AH1978" s="128"/>
      <c r="AI1978" s="128"/>
      <c r="AJ1978" s="128"/>
      <c r="AK1978" s="128"/>
      <c r="AL1978" s="129"/>
      <c r="AM1978" s="129"/>
      <c r="AN1978" s="139"/>
    </row>
    <row r="1979">
      <c r="A1979" s="129"/>
      <c r="B1979" s="119"/>
      <c r="C1979" s="128"/>
      <c r="D1979" s="142"/>
      <c r="E1979" s="122"/>
      <c r="F1979" s="136"/>
      <c r="G1979" s="152"/>
      <c r="H1979" s="155"/>
      <c r="I1979" s="155"/>
      <c r="J1979" s="155"/>
      <c r="K1979" s="155"/>
      <c r="L1979" s="155"/>
      <c r="M1979" s="126"/>
      <c r="N1979" s="127"/>
      <c r="O1979" s="127"/>
      <c r="P1979" s="127"/>
      <c r="Q1979" s="126"/>
      <c r="R1979" s="128"/>
      <c r="S1979" s="128"/>
      <c r="T1979" s="128"/>
      <c r="U1979" s="128"/>
      <c r="V1979" s="129"/>
      <c r="W1979" s="129"/>
      <c r="X1979" s="129"/>
      <c r="Y1979" s="129"/>
      <c r="Z1979" s="145" t="b">
        <v>0</v>
      </c>
      <c r="AA1979" s="145"/>
      <c r="AB1979" s="129"/>
      <c r="AC1979" s="129"/>
      <c r="AD1979" s="129"/>
      <c r="AE1979" s="129"/>
      <c r="AF1979" s="132"/>
      <c r="AG1979" s="128" t="b">
        <v>0</v>
      </c>
      <c r="AH1979" s="128"/>
      <c r="AI1979" s="128"/>
      <c r="AJ1979" s="128"/>
      <c r="AK1979" s="128"/>
      <c r="AL1979" s="129"/>
      <c r="AM1979" s="129"/>
      <c r="AN1979" s="139"/>
    </row>
    <row r="1980">
      <c r="A1980" s="129"/>
      <c r="B1980" s="119"/>
      <c r="C1980" s="128"/>
      <c r="D1980" s="142"/>
      <c r="E1980" s="122"/>
      <c r="F1980" s="136"/>
      <c r="G1980" s="152"/>
      <c r="H1980" s="155"/>
      <c r="I1980" s="155"/>
      <c r="J1980" s="155"/>
      <c r="K1980" s="155"/>
      <c r="L1980" s="155"/>
      <c r="M1980" s="126"/>
      <c r="N1980" s="127"/>
      <c r="O1980" s="127"/>
      <c r="P1980" s="127"/>
      <c r="Q1980" s="126"/>
      <c r="R1980" s="128"/>
      <c r="S1980" s="128"/>
      <c r="T1980" s="128"/>
      <c r="U1980" s="128"/>
      <c r="V1980" s="129"/>
      <c r="W1980" s="129"/>
      <c r="X1980" s="129"/>
      <c r="Y1980" s="129"/>
      <c r="Z1980" s="145" t="b">
        <v>0</v>
      </c>
      <c r="AA1980" s="145"/>
      <c r="AB1980" s="129"/>
      <c r="AC1980" s="129"/>
      <c r="AD1980" s="129"/>
      <c r="AE1980" s="129"/>
      <c r="AF1980" s="132"/>
      <c r="AG1980" s="128" t="b">
        <v>0</v>
      </c>
      <c r="AH1980" s="128"/>
      <c r="AI1980" s="128"/>
      <c r="AJ1980" s="128"/>
      <c r="AK1980" s="128"/>
      <c r="AL1980" s="129"/>
      <c r="AM1980" s="129"/>
      <c r="AN1980" s="139"/>
    </row>
    <row r="1981">
      <c r="A1981" s="129"/>
      <c r="B1981" s="119"/>
      <c r="C1981" s="128"/>
      <c r="D1981" s="142"/>
      <c r="E1981" s="122"/>
      <c r="F1981" s="136"/>
      <c r="G1981" s="152"/>
      <c r="H1981" s="155"/>
      <c r="I1981" s="155"/>
      <c r="J1981" s="155"/>
      <c r="K1981" s="155"/>
      <c r="L1981" s="155"/>
      <c r="M1981" s="126"/>
      <c r="N1981" s="127"/>
      <c r="O1981" s="127"/>
      <c r="P1981" s="127"/>
      <c r="Q1981" s="126"/>
      <c r="R1981" s="128"/>
      <c r="S1981" s="128"/>
      <c r="T1981" s="128"/>
      <c r="U1981" s="128"/>
      <c r="V1981" s="129"/>
      <c r="W1981" s="129"/>
      <c r="X1981" s="129"/>
      <c r="Y1981" s="129"/>
      <c r="Z1981" s="145" t="b">
        <v>0</v>
      </c>
      <c r="AA1981" s="145"/>
      <c r="AB1981" s="129"/>
      <c r="AC1981" s="129"/>
      <c r="AD1981" s="129"/>
      <c r="AE1981" s="129"/>
      <c r="AF1981" s="132"/>
      <c r="AG1981" s="128" t="b">
        <v>0</v>
      </c>
      <c r="AH1981" s="128"/>
      <c r="AI1981" s="128"/>
      <c r="AJ1981" s="128"/>
      <c r="AK1981" s="128"/>
      <c r="AL1981" s="129"/>
      <c r="AM1981" s="129"/>
      <c r="AN1981" s="139"/>
    </row>
    <row r="1982">
      <c r="A1982" s="129"/>
      <c r="B1982" s="119"/>
      <c r="C1982" s="128"/>
      <c r="D1982" s="142"/>
      <c r="E1982" s="122"/>
      <c r="F1982" s="136"/>
      <c r="G1982" s="152"/>
      <c r="H1982" s="155"/>
      <c r="I1982" s="155"/>
      <c r="J1982" s="155"/>
      <c r="K1982" s="155"/>
      <c r="L1982" s="155"/>
      <c r="M1982" s="126"/>
      <c r="N1982" s="127"/>
      <c r="O1982" s="127"/>
      <c r="P1982" s="127"/>
      <c r="Q1982" s="126"/>
      <c r="R1982" s="128"/>
      <c r="S1982" s="128"/>
      <c r="T1982" s="128"/>
      <c r="U1982" s="128"/>
      <c r="V1982" s="129"/>
      <c r="W1982" s="129"/>
      <c r="X1982" s="129"/>
      <c r="Y1982" s="129"/>
      <c r="Z1982" s="145" t="b">
        <v>0</v>
      </c>
      <c r="AA1982" s="145"/>
      <c r="AB1982" s="129"/>
      <c r="AC1982" s="129"/>
      <c r="AD1982" s="129"/>
      <c r="AE1982" s="129"/>
      <c r="AF1982" s="132"/>
      <c r="AG1982" s="128" t="b">
        <v>0</v>
      </c>
      <c r="AH1982" s="128"/>
      <c r="AI1982" s="128"/>
      <c r="AJ1982" s="128"/>
      <c r="AK1982" s="128"/>
      <c r="AL1982" s="129"/>
      <c r="AM1982" s="129"/>
      <c r="AN1982" s="139"/>
    </row>
    <row r="1983">
      <c r="A1983" s="129"/>
      <c r="B1983" s="119"/>
      <c r="C1983" s="128"/>
      <c r="D1983" s="142"/>
      <c r="E1983" s="122"/>
      <c r="F1983" s="136"/>
      <c r="G1983" s="152"/>
      <c r="H1983" s="155"/>
      <c r="I1983" s="155"/>
      <c r="J1983" s="155"/>
      <c r="K1983" s="155"/>
      <c r="L1983" s="155"/>
      <c r="M1983" s="126"/>
      <c r="N1983" s="127"/>
      <c r="O1983" s="127"/>
      <c r="P1983" s="127"/>
      <c r="Q1983" s="126"/>
      <c r="R1983" s="128"/>
      <c r="S1983" s="128"/>
      <c r="T1983" s="128"/>
      <c r="U1983" s="128"/>
      <c r="V1983" s="129"/>
      <c r="W1983" s="129"/>
      <c r="X1983" s="129"/>
      <c r="Y1983" s="129"/>
      <c r="Z1983" s="145" t="b">
        <v>0</v>
      </c>
      <c r="AA1983" s="145"/>
      <c r="AB1983" s="129"/>
      <c r="AC1983" s="129"/>
      <c r="AD1983" s="129"/>
      <c r="AE1983" s="129"/>
      <c r="AF1983" s="132"/>
      <c r="AG1983" s="128" t="b">
        <v>0</v>
      </c>
      <c r="AH1983" s="128"/>
      <c r="AI1983" s="128"/>
      <c r="AJ1983" s="128"/>
      <c r="AK1983" s="128"/>
      <c r="AL1983" s="129"/>
      <c r="AM1983" s="129"/>
      <c r="AN1983" s="139"/>
    </row>
    <row r="1984">
      <c r="A1984" s="129"/>
      <c r="B1984" s="119"/>
      <c r="C1984" s="128"/>
      <c r="D1984" s="142"/>
      <c r="E1984" s="122"/>
      <c r="F1984" s="136"/>
      <c r="G1984" s="152"/>
      <c r="H1984" s="155"/>
      <c r="I1984" s="155"/>
      <c r="J1984" s="155"/>
      <c r="K1984" s="155"/>
      <c r="L1984" s="155"/>
      <c r="M1984" s="126"/>
      <c r="N1984" s="127"/>
      <c r="O1984" s="127"/>
      <c r="P1984" s="127"/>
      <c r="Q1984" s="126"/>
      <c r="R1984" s="128"/>
      <c r="S1984" s="128"/>
      <c r="T1984" s="128"/>
      <c r="U1984" s="128"/>
      <c r="V1984" s="129"/>
      <c r="W1984" s="129"/>
      <c r="X1984" s="129"/>
      <c r="Y1984" s="129"/>
      <c r="Z1984" s="145" t="b">
        <v>0</v>
      </c>
      <c r="AA1984" s="145"/>
      <c r="AB1984" s="129"/>
      <c r="AC1984" s="129"/>
      <c r="AD1984" s="129"/>
      <c r="AE1984" s="129"/>
      <c r="AF1984" s="132"/>
      <c r="AG1984" s="128" t="b">
        <v>0</v>
      </c>
      <c r="AH1984" s="128"/>
      <c r="AI1984" s="128"/>
      <c r="AJ1984" s="128"/>
      <c r="AK1984" s="128"/>
      <c r="AL1984" s="129"/>
      <c r="AM1984" s="129"/>
      <c r="AN1984" s="139"/>
    </row>
    <row r="1985">
      <c r="A1985" s="129"/>
      <c r="B1985" s="119"/>
      <c r="C1985" s="128"/>
      <c r="D1985" s="142"/>
      <c r="E1985" s="122"/>
      <c r="F1985" s="136"/>
      <c r="G1985" s="152"/>
      <c r="H1985" s="155"/>
      <c r="I1985" s="155"/>
      <c r="J1985" s="155"/>
      <c r="K1985" s="155"/>
      <c r="L1985" s="155"/>
      <c r="M1985" s="126"/>
      <c r="N1985" s="127"/>
      <c r="O1985" s="127"/>
      <c r="P1985" s="127"/>
      <c r="Q1985" s="126"/>
      <c r="R1985" s="128"/>
      <c r="S1985" s="128"/>
      <c r="T1985" s="128"/>
      <c r="U1985" s="128"/>
      <c r="V1985" s="129"/>
      <c r="W1985" s="129"/>
      <c r="X1985" s="129"/>
      <c r="Y1985" s="129"/>
      <c r="Z1985" s="145" t="b">
        <v>0</v>
      </c>
      <c r="AA1985" s="145"/>
      <c r="AB1985" s="129"/>
      <c r="AC1985" s="129"/>
      <c r="AD1985" s="129"/>
      <c r="AE1985" s="129"/>
      <c r="AF1985" s="132"/>
      <c r="AG1985" s="128" t="b">
        <v>0</v>
      </c>
      <c r="AH1985" s="128"/>
      <c r="AI1985" s="128"/>
      <c r="AJ1985" s="128"/>
      <c r="AK1985" s="128"/>
      <c r="AL1985" s="129"/>
      <c r="AM1985" s="129"/>
      <c r="AN1985" s="139"/>
    </row>
    <row r="1986">
      <c r="A1986" s="129"/>
      <c r="B1986" s="119"/>
      <c r="C1986" s="128"/>
      <c r="D1986" s="142"/>
      <c r="E1986" s="122"/>
      <c r="F1986" s="136"/>
      <c r="G1986" s="152"/>
      <c r="H1986" s="155"/>
      <c r="I1986" s="155"/>
      <c r="J1986" s="155"/>
      <c r="K1986" s="155"/>
      <c r="L1986" s="155"/>
      <c r="M1986" s="126"/>
      <c r="N1986" s="127"/>
      <c r="O1986" s="127"/>
      <c r="P1986" s="127"/>
      <c r="Q1986" s="126"/>
      <c r="R1986" s="128"/>
      <c r="S1986" s="128"/>
      <c r="T1986" s="128"/>
      <c r="U1986" s="128"/>
      <c r="V1986" s="129"/>
      <c r="W1986" s="129"/>
      <c r="X1986" s="129"/>
      <c r="Y1986" s="129"/>
      <c r="Z1986" s="145" t="b">
        <v>0</v>
      </c>
      <c r="AA1986" s="145"/>
      <c r="AB1986" s="129"/>
      <c r="AC1986" s="129"/>
      <c r="AD1986" s="129"/>
      <c r="AE1986" s="129"/>
      <c r="AF1986" s="132"/>
      <c r="AG1986" s="128" t="b">
        <v>0</v>
      </c>
      <c r="AH1986" s="128"/>
      <c r="AI1986" s="128"/>
      <c r="AJ1986" s="128"/>
      <c r="AK1986" s="128"/>
      <c r="AL1986" s="129"/>
      <c r="AM1986" s="129"/>
      <c r="AN1986" s="139"/>
    </row>
    <row r="1987">
      <c r="A1987" s="129"/>
      <c r="B1987" s="119"/>
      <c r="C1987" s="128"/>
      <c r="D1987" s="142"/>
      <c r="E1987" s="122"/>
      <c r="F1987" s="136"/>
      <c r="G1987" s="152"/>
      <c r="H1987" s="155"/>
      <c r="I1987" s="155"/>
      <c r="J1987" s="155"/>
      <c r="K1987" s="155"/>
      <c r="L1987" s="155"/>
      <c r="M1987" s="126"/>
      <c r="N1987" s="127"/>
      <c r="O1987" s="127"/>
      <c r="P1987" s="127"/>
      <c r="Q1987" s="126"/>
      <c r="R1987" s="128"/>
      <c r="S1987" s="128"/>
      <c r="T1987" s="128"/>
      <c r="U1987" s="128"/>
      <c r="V1987" s="129"/>
      <c r="W1987" s="129"/>
      <c r="X1987" s="129"/>
      <c r="Y1987" s="129"/>
      <c r="Z1987" s="145" t="b">
        <v>0</v>
      </c>
      <c r="AA1987" s="145"/>
      <c r="AB1987" s="129"/>
      <c r="AC1987" s="129"/>
      <c r="AD1987" s="129"/>
      <c r="AE1987" s="129"/>
      <c r="AF1987" s="132"/>
      <c r="AG1987" s="128" t="b">
        <v>0</v>
      </c>
      <c r="AH1987" s="128"/>
      <c r="AI1987" s="128"/>
      <c r="AJ1987" s="128"/>
      <c r="AK1987" s="128"/>
      <c r="AL1987" s="129"/>
      <c r="AM1987" s="129"/>
      <c r="AN1987" s="139"/>
    </row>
    <row r="1988">
      <c r="A1988" s="129"/>
      <c r="B1988" s="119"/>
      <c r="C1988" s="128"/>
      <c r="D1988" s="142"/>
      <c r="E1988" s="122"/>
      <c r="F1988" s="136"/>
      <c r="G1988" s="152"/>
      <c r="H1988" s="155"/>
      <c r="I1988" s="155"/>
      <c r="J1988" s="155"/>
      <c r="K1988" s="155"/>
      <c r="L1988" s="155"/>
      <c r="M1988" s="126"/>
      <c r="N1988" s="127"/>
      <c r="O1988" s="127"/>
      <c r="P1988" s="127"/>
      <c r="Q1988" s="126"/>
      <c r="R1988" s="128"/>
      <c r="S1988" s="128"/>
      <c r="T1988" s="128"/>
      <c r="U1988" s="128"/>
      <c r="V1988" s="129"/>
      <c r="W1988" s="129"/>
      <c r="X1988" s="129"/>
      <c r="Y1988" s="129"/>
      <c r="Z1988" s="145" t="b">
        <v>0</v>
      </c>
      <c r="AA1988" s="145"/>
      <c r="AB1988" s="129"/>
      <c r="AC1988" s="129"/>
      <c r="AD1988" s="129"/>
      <c r="AE1988" s="129"/>
      <c r="AF1988" s="132"/>
      <c r="AG1988" s="128" t="b">
        <v>0</v>
      </c>
      <c r="AH1988" s="128"/>
      <c r="AI1988" s="128"/>
      <c r="AJ1988" s="128"/>
      <c r="AK1988" s="128"/>
      <c r="AL1988" s="129"/>
      <c r="AM1988" s="129"/>
      <c r="AN1988" s="139"/>
    </row>
    <row r="1989">
      <c r="A1989" s="129"/>
      <c r="B1989" s="119"/>
      <c r="C1989" s="128"/>
      <c r="D1989" s="142"/>
      <c r="E1989" s="122"/>
      <c r="F1989" s="136"/>
      <c r="G1989" s="152"/>
      <c r="H1989" s="155"/>
      <c r="I1989" s="155"/>
      <c r="J1989" s="155"/>
      <c r="K1989" s="155"/>
      <c r="L1989" s="155"/>
      <c r="M1989" s="126"/>
      <c r="N1989" s="127"/>
      <c r="O1989" s="127"/>
      <c r="P1989" s="127"/>
      <c r="Q1989" s="126"/>
      <c r="R1989" s="128"/>
      <c r="S1989" s="128"/>
      <c r="T1989" s="128"/>
      <c r="U1989" s="128"/>
      <c r="V1989" s="129"/>
      <c r="W1989" s="129"/>
      <c r="X1989" s="129"/>
      <c r="Y1989" s="129"/>
      <c r="Z1989" s="145" t="b">
        <v>0</v>
      </c>
      <c r="AA1989" s="145"/>
      <c r="AB1989" s="129"/>
      <c r="AC1989" s="129"/>
      <c r="AD1989" s="129"/>
      <c r="AE1989" s="129"/>
      <c r="AF1989" s="132"/>
      <c r="AG1989" s="128" t="b">
        <v>0</v>
      </c>
      <c r="AH1989" s="128"/>
      <c r="AI1989" s="128"/>
      <c r="AJ1989" s="128"/>
      <c r="AK1989" s="128"/>
      <c r="AL1989" s="129"/>
      <c r="AM1989" s="129"/>
      <c r="AN1989" s="139"/>
    </row>
    <row r="1990">
      <c r="A1990" s="129"/>
      <c r="B1990" s="119"/>
      <c r="C1990" s="128"/>
      <c r="D1990" s="142"/>
      <c r="E1990" s="122"/>
      <c r="F1990" s="136"/>
      <c r="G1990" s="152"/>
      <c r="H1990" s="155"/>
      <c r="I1990" s="155"/>
      <c r="J1990" s="155"/>
      <c r="K1990" s="155"/>
      <c r="L1990" s="155"/>
      <c r="M1990" s="126"/>
      <c r="N1990" s="127"/>
      <c r="O1990" s="127"/>
      <c r="P1990" s="127"/>
      <c r="Q1990" s="126"/>
      <c r="R1990" s="128"/>
      <c r="S1990" s="128"/>
      <c r="T1990" s="128"/>
      <c r="U1990" s="128"/>
      <c r="V1990" s="129"/>
      <c r="W1990" s="129"/>
      <c r="X1990" s="129"/>
      <c r="Y1990" s="129"/>
      <c r="Z1990" s="145" t="b">
        <v>0</v>
      </c>
      <c r="AA1990" s="145"/>
      <c r="AB1990" s="129"/>
      <c r="AC1990" s="129"/>
      <c r="AD1990" s="129"/>
      <c r="AE1990" s="129"/>
      <c r="AF1990" s="132"/>
      <c r="AG1990" s="128" t="b">
        <v>0</v>
      </c>
      <c r="AH1990" s="128"/>
      <c r="AI1990" s="128"/>
      <c r="AJ1990" s="128"/>
      <c r="AK1990" s="128"/>
      <c r="AL1990" s="129"/>
      <c r="AM1990" s="129"/>
      <c r="AN1990" s="139"/>
    </row>
    <row r="1991">
      <c r="A1991" s="129"/>
      <c r="B1991" s="119"/>
      <c r="C1991" s="128"/>
      <c r="D1991" s="142"/>
      <c r="E1991" s="122"/>
      <c r="F1991" s="136"/>
      <c r="G1991" s="152"/>
      <c r="H1991" s="155"/>
      <c r="I1991" s="155"/>
      <c r="J1991" s="155"/>
      <c r="K1991" s="155"/>
      <c r="L1991" s="155"/>
      <c r="M1991" s="126"/>
      <c r="N1991" s="127"/>
      <c r="O1991" s="127"/>
      <c r="P1991" s="127"/>
      <c r="Q1991" s="126"/>
      <c r="R1991" s="128"/>
      <c r="S1991" s="128"/>
      <c r="T1991" s="128"/>
      <c r="U1991" s="128"/>
      <c r="V1991" s="129"/>
      <c r="W1991" s="129"/>
      <c r="X1991" s="129"/>
      <c r="Y1991" s="129"/>
      <c r="Z1991" s="145" t="b">
        <v>0</v>
      </c>
      <c r="AA1991" s="145"/>
      <c r="AB1991" s="129"/>
      <c r="AC1991" s="129"/>
      <c r="AD1991" s="129"/>
      <c r="AE1991" s="129"/>
      <c r="AF1991" s="132"/>
      <c r="AG1991" s="128" t="b">
        <v>0</v>
      </c>
      <c r="AH1991" s="128"/>
      <c r="AI1991" s="128"/>
      <c r="AJ1991" s="128"/>
      <c r="AK1991" s="128"/>
      <c r="AL1991" s="129"/>
      <c r="AM1991" s="129"/>
      <c r="AN1991" s="139"/>
    </row>
    <row r="1992">
      <c r="A1992" s="129"/>
      <c r="B1992" s="119"/>
      <c r="C1992" s="128"/>
      <c r="D1992" s="142"/>
      <c r="E1992" s="122"/>
      <c r="F1992" s="136"/>
      <c r="G1992" s="152"/>
      <c r="H1992" s="155"/>
      <c r="I1992" s="155"/>
      <c r="J1992" s="155"/>
      <c r="K1992" s="155"/>
      <c r="L1992" s="155"/>
      <c r="M1992" s="126"/>
      <c r="N1992" s="127"/>
      <c r="O1992" s="127"/>
      <c r="P1992" s="127"/>
      <c r="Q1992" s="126"/>
      <c r="R1992" s="128"/>
      <c r="S1992" s="128"/>
      <c r="T1992" s="128"/>
      <c r="U1992" s="128"/>
      <c r="V1992" s="129"/>
      <c r="W1992" s="129"/>
      <c r="X1992" s="129"/>
      <c r="Y1992" s="129"/>
      <c r="Z1992" s="145" t="b">
        <v>0</v>
      </c>
      <c r="AA1992" s="145"/>
      <c r="AB1992" s="129"/>
      <c r="AC1992" s="129"/>
      <c r="AD1992" s="129"/>
      <c r="AE1992" s="129"/>
      <c r="AF1992" s="132"/>
      <c r="AG1992" s="128" t="b">
        <v>0</v>
      </c>
      <c r="AH1992" s="128"/>
      <c r="AI1992" s="128"/>
      <c r="AJ1992" s="128"/>
      <c r="AK1992" s="128"/>
      <c r="AL1992" s="129"/>
      <c r="AM1992" s="129"/>
      <c r="AN1992" s="139"/>
    </row>
    <row r="1993">
      <c r="A1993" s="129"/>
      <c r="B1993" s="119"/>
      <c r="C1993" s="128"/>
      <c r="D1993" s="142"/>
      <c r="E1993" s="122"/>
      <c r="F1993" s="136"/>
      <c r="G1993" s="152"/>
      <c r="H1993" s="155"/>
      <c r="I1993" s="155"/>
      <c r="J1993" s="155"/>
      <c r="K1993" s="155"/>
      <c r="L1993" s="155"/>
      <c r="M1993" s="126"/>
      <c r="N1993" s="127"/>
      <c r="O1993" s="127"/>
      <c r="P1993" s="127"/>
      <c r="Q1993" s="126"/>
      <c r="R1993" s="128"/>
      <c r="S1993" s="128"/>
      <c r="T1993" s="128"/>
      <c r="U1993" s="128"/>
      <c r="V1993" s="129"/>
      <c r="W1993" s="129"/>
      <c r="X1993" s="129"/>
      <c r="Y1993" s="129"/>
      <c r="Z1993" s="145" t="b">
        <v>0</v>
      </c>
      <c r="AA1993" s="145"/>
      <c r="AB1993" s="129"/>
      <c r="AC1993" s="129"/>
      <c r="AD1993" s="129"/>
      <c r="AE1993" s="129"/>
      <c r="AF1993" s="132"/>
      <c r="AG1993" s="128" t="b">
        <v>0</v>
      </c>
      <c r="AH1993" s="128"/>
      <c r="AI1993" s="128"/>
      <c r="AJ1993" s="128"/>
      <c r="AK1993" s="128"/>
      <c r="AL1993" s="129"/>
      <c r="AM1993" s="129"/>
      <c r="AN1993" s="139"/>
    </row>
  </sheetData>
  <autoFilter ref="$A$1:$AN$993">
    <filterColumn colId="21">
      <filters blank="1">
        <filter val="16+ Allowed"/>
        <filter val="Clothing Optional, Couples Only"/>
        <filter val="Max 2 per Room"/>
        <filter val="Clothing Optional"/>
        <filter val="No Reviews"/>
        <filter val="Max 3 per Room, Non Refundable"/>
        <filter val="Max 3 per Room, No Reviews"/>
        <filter val="Alcohol not included"/>
        <filter val="Vegan"/>
        <filter val="Optional Topless Areas"/>
        <filter val="Not Open Yet"/>
        <filter val="Couples Only"/>
        <filter val="Clothing Optional, Nude Areas"/>
        <filter val="No TV"/>
        <filter val="Temporarily Closed"/>
        <filter val="Non Refundable"/>
        <filter val="Children 11+, Max 2 per Room"/>
        <filter val="Nude Areas, Couples Only"/>
        <filter val="Max 3 per Room"/>
        <filter val="Can't Book Kids Online"/>
        <filter val="No Alcohol"/>
        <filter val="No AC or Pool"/>
        <filter val="2 per Room"/>
        <filter val="Children 12+"/>
      </filters>
    </filterColumn>
    <sortState ref="A1:AN993">
      <sortCondition descending="1" ref="B1:B993"/>
      <sortCondition ref="D1:D993"/>
      <sortCondition ref="A1:A993"/>
      <sortCondition ref="V1:V993"/>
      <sortCondition ref="Y1:Y993"/>
      <sortCondition ref="C1:C993"/>
    </sortState>
  </autoFilter>
  <conditionalFormatting sqref="B2:B1993 E2:F1993 M2:M1993 Q2:Q1993">
    <cfRule type="expression" dxfId="2" priority="1">
      <formula>MOD(ROW($A2),2)</formula>
    </cfRule>
  </conditionalFormatting>
  <conditionalFormatting sqref="D2:D1993 H2:P1993">
    <cfRule type="expression" dxfId="5" priority="2">
      <formula>MOD(ROW($A2),2)</formula>
    </cfRule>
  </conditionalFormatting>
  <conditionalFormatting sqref="G1:G1993">
    <cfRule type="cellIs" dxfId="6" priority="3" operator="lessThan">
      <formula>1000</formula>
    </cfRule>
  </conditionalFormatting>
  <conditionalFormatting sqref="AG2:AG1993">
    <cfRule type="cellIs" dxfId="1" priority="4" operator="equal">
      <formula>"TRUE"</formula>
    </cfRule>
  </conditionalFormatting>
  <conditionalFormatting sqref="AJ1:AJ1993">
    <cfRule type="cellIs" dxfId="7" priority="5" operator="lessThan">
      <formula>100</formula>
    </cfRule>
  </conditionalFormatting>
  <conditionalFormatting sqref="AM1:AM1993">
    <cfRule type="expression" dxfId="8" priority="6">
      <formula>ISERR(AM1)</formula>
    </cfRule>
  </conditionalFormatting>
  <conditionalFormatting sqref="Z2:Z1993">
    <cfRule type="expression" dxfId="0" priority="7">
      <formula>Z2</formula>
    </cfRule>
  </conditionalFormatting>
  <conditionalFormatting sqref="A2:AN1993">
    <cfRule type="expression" dxfId="4" priority="8">
      <formula>MOD(ROW($A2),2)</formula>
    </cfRule>
  </conditionalFormatting>
  <dataValidations>
    <dataValidation type="list" allowBlank="1" showErrorMessage="1" sqref="C2:C1993">
      <formula1>DataDD!$A$2:$A1993</formula1>
    </dataValidation>
    <dataValidation type="list" allowBlank="1" showErrorMessage="1" sqref="X2:X1993">
      <formula1>DataDD!$E$2:$E1993</formula1>
    </dataValidation>
    <dataValidation type="list" allowBlank="1" showErrorMessage="1" sqref="Y2:Y1993">
      <formula1>DataDD!$F$2:$F1993</formula1>
    </dataValidation>
    <dataValidation type="list" allowBlank="1" showErrorMessage="1" sqref="AB2:AB1993">
      <formula1>DataDD!$G$2:$G1993</formula1>
    </dataValidation>
    <dataValidation type="list" allowBlank="1" showErrorMessage="1" sqref="AD2:AD1993">
      <formula1>DataDD!$I$2:$I1993</formula1>
    </dataValidation>
    <dataValidation type="list" allowBlank="1" showErrorMessage="1" sqref="W2:W1993">
      <formula1>DataDD!$D$2:$D1993</formula1>
    </dataValidation>
    <dataValidation type="list" allowBlank="1" showErrorMessage="1" sqref="AE2:AE1993">
      <formula1>DataDD!$J$2:$J1993</formula1>
    </dataValidation>
    <dataValidation type="list" allowBlank="1" showErrorMessage="1" sqref="AF2:AF1993">
      <formula1>DataDD!$K$2:$K1993</formula1>
    </dataValidation>
    <dataValidation type="list" allowBlank="1" showErrorMessage="1" sqref="V2:V1993">
      <formula1>DataDD!$C$2:$C1993</formula1>
    </dataValidation>
    <dataValidation type="list" allowBlank="1" showErrorMessage="1" sqref="AC2:AC1993">
      <formula1>DataDD!$H$2:$H1993</formula1>
    </dataValidation>
  </dataValidations>
  <hyperlinks>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69"/>
    <hyperlink r:id="rId70" ref="A70"/>
    <hyperlink r:id="rId71" ref="A71"/>
    <hyperlink r:id="rId72" ref="A72"/>
    <hyperlink r:id="rId73" ref="A73"/>
    <hyperlink r:id="rId74" ref="A74"/>
    <hyperlink r:id="rId75" ref="A75"/>
    <hyperlink r:id="rId76" ref="A76"/>
    <hyperlink r:id="rId77" ref="A77"/>
    <hyperlink r:id="rId78" ref="A78"/>
    <hyperlink r:id="rId79" ref="A79"/>
    <hyperlink r:id="rId80" ref="A80"/>
    <hyperlink r:id="rId81" ref="A81"/>
    <hyperlink r:id="rId82" ref="A82"/>
    <hyperlink r:id="rId83" ref="A83"/>
    <hyperlink r:id="rId84" ref="A84"/>
    <hyperlink r:id="rId85" ref="A85"/>
    <hyperlink r:id="rId86" ref="A86"/>
    <hyperlink r:id="rId87" ref="A87"/>
    <hyperlink r:id="rId88" ref="A88"/>
    <hyperlink r:id="rId89" ref="A89"/>
    <hyperlink r:id="rId90" ref="A90"/>
    <hyperlink r:id="rId91" ref="A91"/>
    <hyperlink r:id="rId92" ref="A92"/>
    <hyperlink r:id="rId93" ref="A93"/>
    <hyperlink r:id="rId94" ref="A94"/>
    <hyperlink r:id="rId95" ref="A95"/>
    <hyperlink r:id="rId96" ref="A96"/>
    <hyperlink r:id="rId97" ref="A97"/>
    <hyperlink r:id="rId98" ref="A98"/>
    <hyperlink r:id="rId99" ref="A99"/>
    <hyperlink r:id="rId100" ref="A100"/>
    <hyperlink r:id="rId101" ref="A101"/>
    <hyperlink r:id="rId102" ref="A102"/>
    <hyperlink r:id="rId103" ref="A103"/>
    <hyperlink r:id="rId104" ref="A104"/>
    <hyperlink r:id="rId105" ref="A105"/>
    <hyperlink r:id="rId106" ref="A106"/>
    <hyperlink r:id="rId107" ref="A107"/>
    <hyperlink r:id="rId108" ref="A108"/>
    <hyperlink r:id="rId109" ref="A109"/>
    <hyperlink r:id="rId110" ref="A110"/>
    <hyperlink r:id="rId111" ref="A111"/>
    <hyperlink r:id="rId112" ref="A112"/>
    <hyperlink r:id="rId113" ref="A113"/>
    <hyperlink r:id="rId114" ref="A114"/>
    <hyperlink r:id="rId115" ref="A115"/>
    <hyperlink r:id="rId116" ref="A116"/>
    <hyperlink r:id="rId117" ref="A117"/>
    <hyperlink r:id="rId118" ref="A118"/>
    <hyperlink r:id="rId119" ref="A119"/>
    <hyperlink r:id="rId120" ref="A120"/>
    <hyperlink r:id="rId121" ref="A121"/>
    <hyperlink r:id="rId122" ref="A122"/>
    <hyperlink r:id="rId123" ref="A123"/>
    <hyperlink r:id="rId124" ref="A124"/>
    <hyperlink r:id="rId125" ref="A125"/>
    <hyperlink r:id="rId126" ref="A126"/>
    <hyperlink r:id="rId127" ref="A127"/>
    <hyperlink r:id="rId128" ref="A128"/>
    <hyperlink r:id="rId129" ref="A129"/>
    <hyperlink r:id="rId130" ref="A130"/>
    <hyperlink r:id="rId131" ref="A131"/>
    <hyperlink r:id="rId132" ref="A132"/>
    <hyperlink r:id="rId133" ref="A133"/>
    <hyperlink r:id="rId134" ref="A134"/>
    <hyperlink r:id="rId135" ref="A135"/>
    <hyperlink r:id="rId136" ref="A136"/>
    <hyperlink r:id="rId137" ref="A137"/>
    <hyperlink r:id="rId138" ref="A138"/>
    <hyperlink r:id="rId139" ref="A139"/>
    <hyperlink r:id="rId140" ref="A140"/>
    <hyperlink r:id="rId141" ref="A141"/>
    <hyperlink r:id="rId142" ref="A142"/>
    <hyperlink r:id="rId143" ref="A143"/>
    <hyperlink r:id="rId144" ref="A144"/>
    <hyperlink r:id="rId145" ref="A145"/>
    <hyperlink r:id="rId146" ref="A146"/>
    <hyperlink r:id="rId147" ref="A147"/>
    <hyperlink r:id="rId148" ref="A148"/>
    <hyperlink r:id="rId149" ref="A149"/>
    <hyperlink r:id="rId150" ref="A150"/>
    <hyperlink r:id="rId151" ref="A151"/>
    <hyperlink r:id="rId152" ref="A152"/>
    <hyperlink r:id="rId153" ref="A153"/>
    <hyperlink r:id="rId154" ref="A154"/>
    <hyperlink r:id="rId155" ref="A155"/>
    <hyperlink r:id="rId156" ref="A156"/>
    <hyperlink r:id="rId157" ref="A157"/>
    <hyperlink r:id="rId158" ref="A158"/>
    <hyperlink r:id="rId159" ref="A159"/>
    <hyperlink r:id="rId160" ref="A160"/>
    <hyperlink r:id="rId161" ref="A161"/>
    <hyperlink r:id="rId162" ref="A162"/>
    <hyperlink r:id="rId163" ref="A163"/>
    <hyperlink r:id="rId164" ref="A164"/>
    <hyperlink r:id="rId165" ref="A165"/>
    <hyperlink r:id="rId166" ref="A166"/>
    <hyperlink r:id="rId167" ref="A167"/>
    <hyperlink r:id="rId168" ref="A168"/>
    <hyperlink r:id="rId169" ref="A169"/>
    <hyperlink r:id="rId170" ref="A170"/>
    <hyperlink r:id="rId171" ref="A171"/>
    <hyperlink r:id="rId172" ref="A172"/>
    <hyperlink r:id="rId173" ref="A173"/>
    <hyperlink r:id="rId174" ref="A174"/>
    <hyperlink r:id="rId175" ref="A175"/>
    <hyperlink r:id="rId176" ref="A176"/>
    <hyperlink r:id="rId177" ref="A177"/>
    <hyperlink r:id="rId178" ref="A178"/>
    <hyperlink r:id="rId179" ref="A179"/>
    <hyperlink r:id="rId180" ref="A180"/>
    <hyperlink r:id="rId181" ref="A181"/>
    <hyperlink r:id="rId182" ref="A182"/>
    <hyperlink r:id="rId183" ref="A183"/>
    <hyperlink r:id="rId184" ref="A184"/>
    <hyperlink r:id="rId185" ref="A185"/>
    <hyperlink r:id="rId186" ref="A186"/>
    <hyperlink r:id="rId187" ref="A187"/>
    <hyperlink r:id="rId188" ref="A188"/>
    <hyperlink r:id="rId189" ref="A189"/>
    <hyperlink r:id="rId190" ref="A190"/>
    <hyperlink r:id="rId191" ref="A191"/>
    <hyperlink r:id="rId192" ref="A192"/>
    <hyperlink r:id="rId193" ref="A193"/>
    <hyperlink r:id="rId194" ref="A194"/>
    <hyperlink r:id="rId195" ref="A195"/>
    <hyperlink r:id="rId196" ref="A196"/>
    <hyperlink r:id="rId197" ref="A197"/>
    <hyperlink r:id="rId198" ref="A198"/>
    <hyperlink r:id="rId199" ref="A199"/>
    <hyperlink r:id="rId200" ref="A200"/>
    <hyperlink r:id="rId201" ref="A201"/>
    <hyperlink r:id="rId202" ref="A202"/>
    <hyperlink r:id="rId203" ref="A203"/>
    <hyperlink r:id="rId204" ref="A204"/>
    <hyperlink r:id="rId205" ref="A205"/>
    <hyperlink r:id="rId206" ref="A206"/>
    <hyperlink r:id="rId207" ref="A207"/>
    <hyperlink r:id="rId208" ref="A208"/>
    <hyperlink r:id="rId209" ref="A209"/>
    <hyperlink r:id="rId210" ref="A210"/>
    <hyperlink r:id="rId211" ref="A211"/>
    <hyperlink r:id="rId212" ref="A212"/>
    <hyperlink r:id="rId213" ref="A213"/>
    <hyperlink r:id="rId214" ref="A214"/>
    <hyperlink r:id="rId215" ref="A215"/>
    <hyperlink r:id="rId216" ref="A216"/>
    <hyperlink r:id="rId217" ref="A217"/>
    <hyperlink r:id="rId218" ref="A218"/>
    <hyperlink r:id="rId219" ref="A219"/>
    <hyperlink r:id="rId220" ref="A220"/>
    <hyperlink r:id="rId221" ref="A221"/>
    <hyperlink r:id="rId222" ref="A222"/>
    <hyperlink r:id="rId223" ref="A223"/>
    <hyperlink r:id="rId224" ref="A224"/>
    <hyperlink r:id="rId225" ref="A225"/>
    <hyperlink r:id="rId226" ref="A226"/>
    <hyperlink r:id="rId227" ref="A227"/>
    <hyperlink r:id="rId228" ref="A228"/>
    <hyperlink r:id="rId229" ref="A229"/>
    <hyperlink r:id="rId230" ref="A230"/>
    <hyperlink r:id="rId231" ref="A231"/>
    <hyperlink r:id="rId232" ref="A232"/>
    <hyperlink r:id="rId233" ref="A233"/>
    <hyperlink r:id="rId234" ref="A234"/>
    <hyperlink r:id="rId235" ref="A235"/>
    <hyperlink r:id="rId236" ref="A236"/>
    <hyperlink r:id="rId237" ref="A237"/>
    <hyperlink r:id="rId238" ref="A238"/>
    <hyperlink r:id="rId239" ref="A239"/>
    <hyperlink r:id="rId240" ref="A240"/>
    <hyperlink r:id="rId241" ref="A241"/>
    <hyperlink r:id="rId242" ref="A242"/>
    <hyperlink r:id="rId243" ref="A243"/>
    <hyperlink r:id="rId244" ref="A244"/>
    <hyperlink r:id="rId245" ref="A245"/>
    <hyperlink r:id="rId246" ref="A246"/>
    <hyperlink r:id="rId247" ref="A247"/>
    <hyperlink r:id="rId248" ref="A248"/>
    <hyperlink r:id="rId249" ref="A249"/>
    <hyperlink r:id="rId250" ref="A250"/>
    <hyperlink r:id="rId251" ref="A251"/>
    <hyperlink r:id="rId252" ref="A252"/>
    <hyperlink r:id="rId253" ref="A253"/>
    <hyperlink r:id="rId254" ref="A254"/>
    <hyperlink r:id="rId255" ref="A255"/>
    <hyperlink r:id="rId256" ref="A256"/>
    <hyperlink r:id="rId257" ref="A257"/>
    <hyperlink r:id="rId258" ref="A258"/>
    <hyperlink r:id="rId259" ref="A259"/>
    <hyperlink r:id="rId260" ref="A260"/>
    <hyperlink r:id="rId261" ref="A261"/>
    <hyperlink r:id="rId262" ref="A262"/>
    <hyperlink r:id="rId263" ref="A263"/>
    <hyperlink r:id="rId264" ref="A264"/>
    <hyperlink r:id="rId265" ref="A265"/>
    <hyperlink r:id="rId266" ref="A266"/>
    <hyperlink r:id="rId267" ref="A267"/>
    <hyperlink r:id="rId268" ref="A268"/>
    <hyperlink r:id="rId269" ref="A269"/>
    <hyperlink r:id="rId270" ref="A270"/>
    <hyperlink r:id="rId271" ref="A271"/>
    <hyperlink r:id="rId272" ref="A272"/>
    <hyperlink r:id="rId273" ref="A273"/>
    <hyperlink r:id="rId274" ref="A274"/>
    <hyperlink r:id="rId275" ref="A275"/>
    <hyperlink r:id="rId276" ref="A276"/>
    <hyperlink r:id="rId277" ref="A277"/>
    <hyperlink r:id="rId278" ref="A278"/>
    <hyperlink r:id="rId279" ref="A279"/>
    <hyperlink r:id="rId280" ref="A280"/>
    <hyperlink r:id="rId281" ref="A281"/>
    <hyperlink r:id="rId282" ref="A282"/>
    <hyperlink r:id="rId283" ref="A283"/>
    <hyperlink r:id="rId284" ref="A284"/>
    <hyperlink r:id="rId285" ref="A285"/>
    <hyperlink r:id="rId286" ref="A286"/>
    <hyperlink r:id="rId287" ref="A287"/>
    <hyperlink r:id="rId288" ref="A288"/>
    <hyperlink r:id="rId289" ref="A289"/>
    <hyperlink r:id="rId290" ref="A290"/>
    <hyperlink r:id="rId291" ref="A291"/>
    <hyperlink r:id="rId292" ref="A292"/>
    <hyperlink r:id="rId293" ref="A293"/>
    <hyperlink r:id="rId294" ref="A294"/>
    <hyperlink r:id="rId295" ref="A295"/>
    <hyperlink r:id="rId296" ref="A296"/>
    <hyperlink r:id="rId297" ref="A297"/>
    <hyperlink r:id="rId298" ref="A298"/>
    <hyperlink r:id="rId299" ref="A299"/>
    <hyperlink r:id="rId300" ref="A300"/>
    <hyperlink r:id="rId301" ref="A301"/>
    <hyperlink r:id="rId302" ref="A302"/>
    <hyperlink r:id="rId303" ref="A303"/>
    <hyperlink r:id="rId304" ref="A304"/>
    <hyperlink r:id="rId305" ref="A305"/>
    <hyperlink r:id="rId306" ref="A306"/>
    <hyperlink r:id="rId307" ref="A307"/>
    <hyperlink r:id="rId308" ref="A308"/>
    <hyperlink r:id="rId309" ref="A309"/>
    <hyperlink r:id="rId310" ref="A310"/>
    <hyperlink r:id="rId311" ref="A311"/>
    <hyperlink r:id="rId312" ref="A312"/>
    <hyperlink r:id="rId313" ref="A313"/>
    <hyperlink r:id="rId314" ref="A314"/>
    <hyperlink r:id="rId315" ref="A315"/>
    <hyperlink r:id="rId316" ref="A316"/>
    <hyperlink r:id="rId317" ref="A317"/>
    <hyperlink r:id="rId318" ref="A318"/>
    <hyperlink r:id="rId319" ref="A319"/>
    <hyperlink r:id="rId320" ref="A320"/>
    <hyperlink r:id="rId321" ref="A321"/>
    <hyperlink r:id="rId322" ref="A322"/>
    <hyperlink r:id="rId323" ref="A323"/>
    <hyperlink r:id="rId324" ref="A324"/>
    <hyperlink r:id="rId325" ref="A325"/>
    <hyperlink r:id="rId326" ref="A326"/>
    <hyperlink r:id="rId327" ref="A327"/>
    <hyperlink r:id="rId328" ref="A328"/>
    <hyperlink r:id="rId329" ref="A329"/>
    <hyperlink r:id="rId330" ref="A330"/>
    <hyperlink r:id="rId331" ref="A331"/>
    <hyperlink r:id="rId332" ref="A332"/>
    <hyperlink r:id="rId333" ref="A333"/>
    <hyperlink r:id="rId334" ref="A334"/>
    <hyperlink r:id="rId335" ref="A335"/>
    <hyperlink r:id="rId336" ref="A336"/>
    <hyperlink r:id="rId337" ref="A337"/>
    <hyperlink r:id="rId338" ref="A338"/>
    <hyperlink r:id="rId339" ref="A339"/>
    <hyperlink r:id="rId340" ref="A340"/>
    <hyperlink r:id="rId341" ref="A341"/>
    <hyperlink r:id="rId342" ref="A342"/>
    <hyperlink r:id="rId343" ref="A343"/>
    <hyperlink r:id="rId344" ref="A344"/>
    <hyperlink r:id="rId345" ref="A345"/>
    <hyperlink r:id="rId346" ref="A346"/>
    <hyperlink r:id="rId347" ref="A347"/>
    <hyperlink r:id="rId348" ref="A348"/>
    <hyperlink r:id="rId349" ref="A349"/>
    <hyperlink r:id="rId350" ref="A350"/>
    <hyperlink r:id="rId351" ref="A351"/>
    <hyperlink r:id="rId352" ref="A352"/>
    <hyperlink r:id="rId353" ref="A353"/>
    <hyperlink r:id="rId354" ref="A354"/>
    <hyperlink r:id="rId355" ref="A355"/>
    <hyperlink r:id="rId356" ref="A356"/>
    <hyperlink r:id="rId357" ref="A357"/>
    <hyperlink r:id="rId358" ref="A358"/>
    <hyperlink r:id="rId359" ref="A359"/>
    <hyperlink r:id="rId360" ref="A360"/>
    <hyperlink r:id="rId361" ref="A361"/>
    <hyperlink r:id="rId362" ref="A362"/>
    <hyperlink r:id="rId363" ref="A363"/>
    <hyperlink r:id="rId364" ref="A364"/>
    <hyperlink r:id="rId365" ref="A365"/>
    <hyperlink r:id="rId366" ref="A366"/>
    <hyperlink r:id="rId367" ref="A367"/>
    <hyperlink r:id="rId368" ref="A368"/>
    <hyperlink r:id="rId369" ref="A369"/>
    <hyperlink r:id="rId370" ref="A370"/>
    <hyperlink r:id="rId371" ref="A371"/>
    <hyperlink r:id="rId372" ref="A372"/>
    <hyperlink r:id="rId373" ref="A373"/>
    <hyperlink r:id="rId374" ref="A374"/>
    <hyperlink r:id="rId375" ref="A375"/>
    <hyperlink r:id="rId376" ref="A376"/>
    <hyperlink r:id="rId377" ref="A377"/>
    <hyperlink r:id="rId378" ref="A378"/>
    <hyperlink r:id="rId379" ref="A379"/>
    <hyperlink r:id="rId380" ref="A380"/>
    <hyperlink r:id="rId381" ref="A381"/>
    <hyperlink r:id="rId382" ref="A382"/>
    <hyperlink r:id="rId383" ref="A383"/>
    <hyperlink r:id="rId384" ref="A384"/>
    <hyperlink r:id="rId385" ref="A385"/>
    <hyperlink r:id="rId386" ref="A386"/>
    <hyperlink r:id="rId387" ref="A387"/>
    <hyperlink r:id="rId388" ref="A388"/>
    <hyperlink r:id="rId389" ref="A389"/>
    <hyperlink r:id="rId390" ref="A390"/>
    <hyperlink r:id="rId391" ref="A391"/>
    <hyperlink r:id="rId392" ref="A392"/>
    <hyperlink r:id="rId393" ref="A393"/>
    <hyperlink r:id="rId394" ref="A394"/>
    <hyperlink r:id="rId395" ref="A395"/>
    <hyperlink r:id="rId396" ref="A396"/>
    <hyperlink r:id="rId397" ref="A397"/>
    <hyperlink r:id="rId398" ref="A398"/>
    <hyperlink r:id="rId399" ref="A399"/>
    <hyperlink r:id="rId400" ref="A400"/>
    <hyperlink r:id="rId401" ref="A401"/>
    <hyperlink r:id="rId402" ref="A402"/>
    <hyperlink r:id="rId403" ref="A403"/>
    <hyperlink r:id="rId404" ref="A404"/>
    <hyperlink r:id="rId405" ref="A405"/>
    <hyperlink r:id="rId406" ref="A406"/>
    <hyperlink r:id="rId407" ref="A407"/>
    <hyperlink r:id="rId408" ref="A408"/>
    <hyperlink r:id="rId409" ref="A409"/>
    <hyperlink r:id="rId410" ref="A410"/>
    <hyperlink r:id="rId411" ref="A411"/>
    <hyperlink r:id="rId412" ref="A412"/>
    <hyperlink r:id="rId413" ref="A413"/>
    <hyperlink r:id="rId414" ref="A414"/>
    <hyperlink r:id="rId415" ref="A415"/>
    <hyperlink r:id="rId416" ref="A416"/>
    <hyperlink r:id="rId417" ref="A417"/>
    <hyperlink r:id="rId418" ref="A418"/>
    <hyperlink r:id="rId419" ref="A419"/>
    <hyperlink r:id="rId420" ref="A420"/>
    <hyperlink r:id="rId421" ref="A421"/>
    <hyperlink r:id="rId422" ref="A422"/>
    <hyperlink r:id="rId423" ref="A423"/>
    <hyperlink r:id="rId424" ref="A424"/>
    <hyperlink r:id="rId425" ref="A425"/>
    <hyperlink r:id="rId426" ref="A426"/>
    <hyperlink r:id="rId427" ref="A427"/>
    <hyperlink r:id="rId428" ref="A428"/>
    <hyperlink r:id="rId429" ref="A429"/>
    <hyperlink r:id="rId430" ref="A430"/>
    <hyperlink r:id="rId431" ref="A431"/>
    <hyperlink r:id="rId432" ref="A432"/>
    <hyperlink r:id="rId433" ref="A433"/>
    <hyperlink r:id="rId434" ref="A434"/>
    <hyperlink r:id="rId435" ref="A435"/>
    <hyperlink r:id="rId436" ref="A436"/>
    <hyperlink r:id="rId437" ref="A437"/>
    <hyperlink r:id="rId438" ref="A438"/>
    <hyperlink r:id="rId439" ref="A439"/>
    <hyperlink r:id="rId440" ref="A440"/>
    <hyperlink r:id="rId441" ref="A441"/>
    <hyperlink r:id="rId442" ref="A442"/>
    <hyperlink r:id="rId443" ref="A443"/>
    <hyperlink r:id="rId444" ref="A444"/>
    <hyperlink r:id="rId445" ref="A445"/>
    <hyperlink r:id="rId446" ref="A446"/>
    <hyperlink r:id="rId447" ref="A447"/>
    <hyperlink r:id="rId448" ref="A448"/>
    <hyperlink r:id="rId449" ref="A449"/>
    <hyperlink r:id="rId450" ref="A450"/>
    <hyperlink r:id="rId451" ref="A451"/>
    <hyperlink r:id="rId452" ref="A452"/>
    <hyperlink r:id="rId453" ref="A453"/>
    <hyperlink r:id="rId454" ref="A454"/>
    <hyperlink r:id="rId455" ref="A455"/>
    <hyperlink r:id="rId456" ref="A456"/>
    <hyperlink r:id="rId457" ref="A457"/>
    <hyperlink r:id="rId458" ref="A458"/>
    <hyperlink r:id="rId459" ref="A459"/>
    <hyperlink r:id="rId460" ref="A460"/>
    <hyperlink r:id="rId461" ref="A461"/>
    <hyperlink r:id="rId462" ref="A462"/>
    <hyperlink r:id="rId463" ref="A463"/>
    <hyperlink r:id="rId464" ref="A464"/>
    <hyperlink r:id="rId465" ref="A465"/>
    <hyperlink r:id="rId466" ref="A466"/>
    <hyperlink r:id="rId467" ref="A467"/>
    <hyperlink r:id="rId468" ref="A468"/>
    <hyperlink r:id="rId469" ref="A469"/>
    <hyperlink r:id="rId470" ref="A470"/>
    <hyperlink r:id="rId471" ref="A471"/>
    <hyperlink r:id="rId472" ref="A472"/>
    <hyperlink r:id="rId473" ref="A473"/>
    <hyperlink r:id="rId474" ref="A474"/>
    <hyperlink r:id="rId475" ref="A475"/>
    <hyperlink r:id="rId476" ref="A476"/>
    <hyperlink r:id="rId477" ref="A477"/>
    <hyperlink r:id="rId478" ref="A478"/>
    <hyperlink r:id="rId479" ref="A479"/>
    <hyperlink r:id="rId480" ref="A480"/>
    <hyperlink r:id="rId481" ref="A481"/>
    <hyperlink r:id="rId482" ref="A482"/>
    <hyperlink r:id="rId483" ref="A483"/>
    <hyperlink r:id="rId484" ref="A484"/>
    <hyperlink r:id="rId485" ref="A485"/>
    <hyperlink r:id="rId486" ref="A486"/>
    <hyperlink r:id="rId487" ref="A487"/>
    <hyperlink r:id="rId488" ref="A488"/>
    <hyperlink r:id="rId489" ref="A489"/>
    <hyperlink r:id="rId490" ref="A490"/>
    <hyperlink r:id="rId491" ref="A491"/>
    <hyperlink r:id="rId492" ref="A492"/>
    <hyperlink r:id="rId493" ref="A493"/>
    <hyperlink r:id="rId494" ref="A494"/>
    <hyperlink r:id="rId495" ref="A495"/>
    <hyperlink r:id="rId496" ref="A496"/>
    <hyperlink r:id="rId497" ref="A497"/>
    <hyperlink r:id="rId498" ref="A498"/>
    <hyperlink r:id="rId499" ref="A499"/>
    <hyperlink r:id="rId500" ref="A500"/>
    <hyperlink r:id="rId501" ref="A501"/>
    <hyperlink r:id="rId502" ref="A502"/>
    <hyperlink r:id="rId503" ref="A503"/>
    <hyperlink r:id="rId504" ref="A504"/>
    <hyperlink r:id="rId505" ref="A505"/>
    <hyperlink r:id="rId506" ref="A506"/>
    <hyperlink r:id="rId507" ref="A507"/>
    <hyperlink r:id="rId508" ref="A508"/>
    <hyperlink r:id="rId509" ref="A509"/>
    <hyperlink r:id="rId510" ref="A510"/>
    <hyperlink r:id="rId511" ref="A511"/>
    <hyperlink r:id="rId512" ref="A512"/>
    <hyperlink r:id="rId513" ref="A513"/>
    <hyperlink r:id="rId514" ref="A514"/>
    <hyperlink r:id="rId515" ref="A515"/>
    <hyperlink r:id="rId516" ref="A516"/>
    <hyperlink r:id="rId517" ref="A517"/>
    <hyperlink r:id="rId518" ref="A518"/>
    <hyperlink r:id="rId519" ref="A519"/>
    <hyperlink r:id="rId520" ref="A520"/>
    <hyperlink r:id="rId521" ref="A521"/>
    <hyperlink r:id="rId522" ref="A522"/>
    <hyperlink r:id="rId523" ref="A523"/>
    <hyperlink r:id="rId524" ref="A524"/>
    <hyperlink r:id="rId525" ref="A525"/>
    <hyperlink r:id="rId526" ref="A526"/>
    <hyperlink r:id="rId527" ref="A527"/>
    <hyperlink r:id="rId528" ref="A528"/>
    <hyperlink r:id="rId529" ref="A529"/>
    <hyperlink r:id="rId530" ref="A530"/>
    <hyperlink r:id="rId531" ref="A531"/>
    <hyperlink r:id="rId532" ref="A532"/>
    <hyperlink r:id="rId533" ref="A533"/>
    <hyperlink r:id="rId534" ref="A534"/>
    <hyperlink r:id="rId535" ref="A535"/>
    <hyperlink r:id="rId536" location="/media/501418/565130389:p/?albumid=106&amp;type=0&amp;category=106" ref="A536"/>
    <hyperlink r:id="rId537" ref="A537"/>
    <hyperlink r:id="rId538" ref="A538"/>
    <hyperlink r:id="rId539" ref="A539"/>
    <hyperlink r:id="rId540" location="/media/154448/381768904:p/?albumid=106&amp;type=0&amp;category=106" ref="A540"/>
    <hyperlink r:id="rId541" ref="A541"/>
    <hyperlink r:id="rId542" ref="A542"/>
    <hyperlink r:id="rId543" ref="A543"/>
    <hyperlink r:id="rId544" ref="A544"/>
    <hyperlink r:id="rId545" ref="A545"/>
    <hyperlink r:id="rId546" ref="A546"/>
    <hyperlink r:id="rId547" ref="A547"/>
    <hyperlink r:id="rId548" ref="A548"/>
    <hyperlink r:id="rId549" ref="A549"/>
    <hyperlink r:id="rId550" ref="A550"/>
    <hyperlink r:id="rId551" ref="A551"/>
    <hyperlink r:id="rId552" ref="A552"/>
    <hyperlink r:id="rId553" location="/media/151277/71775:pano/?albumid=106&amp;type=0&amp;category=106" ref="A553"/>
    <hyperlink r:id="rId554" ref="A554"/>
    <hyperlink r:id="rId555" ref="A555"/>
    <hyperlink r:id="rId556" ref="A556"/>
    <hyperlink r:id="rId557" ref="A557"/>
    <hyperlink r:id="rId558" ref="A558"/>
    <hyperlink r:id="rId559" ref="A559"/>
    <hyperlink r:id="rId560" ref="A560"/>
    <hyperlink r:id="rId561" ref="A561"/>
    <hyperlink r:id="rId562" ref="A562"/>
    <hyperlink r:id="rId563" ref="A563"/>
    <hyperlink r:id="rId564" ref="A564"/>
    <hyperlink r:id="rId565" ref="A565"/>
    <hyperlink r:id="rId566" ref="A566"/>
    <hyperlink r:id="rId567" ref="A567"/>
    <hyperlink r:id="rId568" ref="A568"/>
    <hyperlink r:id="rId569" ref="A569"/>
    <hyperlink r:id="rId570" ref="A570"/>
    <hyperlink r:id="rId571" ref="A571"/>
    <hyperlink r:id="rId572" ref="A572"/>
    <hyperlink r:id="rId573" ref="A573"/>
    <hyperlink r:id="rId574" ref="A574"/>
    <hyperlink r:id="rId575" ref="A575"/>
    <hyperlink r:id="rId576" ref="A576"/>
    <hyperlink r:id="rId577" ref="A577"/>
    <hyperlink r:id="rId578" ref="A578"/>
    <hyperlink r:id="rId579" ref="A579"/>
    <hyperlink r:id="rId580" ref="A580"/>
    <hyperlink r:id="rId581" ref="A581"/>
    <hyperlink r:id="rId582" ref="A582"/>
    <hyperlink r:id="rId583" ref="A583"/>
    <hyperlink r:id="rId584" ref="A584"/>
    <hyperlink r:id="rId585" ref="A585"/>
    <hyperlink r:id="rId586" ref="A586"/>
    <hyperlink r:id="rId587" ref="A587"/>
    <hyperlink r:id="rId588" ref="A588"/>
    <hyperlink r:id="rId589" ref="A589"/>
    <hyperlink r:id="rId590" ref="A590"/>
    <hyperlink r:id="rId591" ref="A591"/>
    <hyperlink r:id="rId592" ref="A592"/>
    <hyperlink r:id="rId593" ref="A593"/>
    <hyperlink r:id="rId594" ref="A594"/>
    <hyperlink r:id="rId595" ref="A595"/>
    <hyperlink r:id="rId596" ref="A596"/>
    <hyperlink r:id="rId597" ref="A597"/>
    <hyperlink r:id="rId598" ref="A598"/>
    <hyperlink r:id="rId599" ref="A599"/>
    <hyperlink r:id="rId600" ref="A600"/>
    <hyperlink r:id="rId601" ref="A601"/>
    <hyperlink r:id="rId602" ref="A602"/>
    <hyperlink r:id="rId603" ref="A603"/>
    <hyperlink r:id="rId604" ref="A604"/>
    <hyperlink r:id="rId605" ref="A605"/>
    <hyperlink r:id="rId606" ref="A606"/>
    <hyperlink r:id="rId607" ref="A607"/>
    <hyperlink r:id="rId608" ref="A608"/>
    <hyperlink r:id="rId609" ref="A609"/>
    <hyperlink r:id="rId610" ref="A610"/>
    <hyperlink r:id="rId611" ref="A611"/>
    <hyperlink r:id="rId612" ref="A612"/>
    <hyperlink r:id="rId613" ref="A613"/>
    <hyperlink r:id="rId614" ref="A614"/>
    <hyperlink r:id="rId615" ref="A615"/>
    <hyperlink r:id="rId616" ref="A616"/>
    <hyperlink r:id="rId617" ref="A617"/>
    <hyperlink r:id="rId618" ref="A618"/>
    <hyperlink r:id="rId619" ref="A619"/>
    <hyperlink r:id="rId620" ref="A620"/>
    <hyperlink r:id="rId621" ref="A621"/>
    <hyperlink r:id="rId622" ref="A622"/>
    <hyperlink r:id="rId623" ref="A623"/>
    <hyperlink r:id="rId624" ref="A624"/>
    <hyperlink r:id="rId625" ref="A625"/>
    <hyperlink r:id="rId626" ref="A626"/>
    <hyperlink r:id="rId627" ref="A627"/>
    <hyperlink r:id="rId628" ref="A628"/>
    <hyperlink r:id="rId629" ref="A629"/>
    <hyperlink r:id="rId630" ref="A630"/>
    <hyperlink r:id="rId631" ref="A631"/>
    <hyperlink r:id="rId632" ref="A632"/>
    <hyperlink r:id="rId633" ref="A633"/>
    <hyperlink r:id="rId634" ref="A634"/>
    <hyperlink r:id="rId635" ref="A635"/>
    <hyperlink r:id="rId636" ref="A636"/>
    <hyperlink r:id="rId637" ref="A637"/>
    <hyperlink r:id="rId638" ref="A638"/>
    <hyperlink r:id="rId639" ref="A639"/>
    <hyperlink r:id="rId640" ref="A640"/>
    <hyperlink r:id="rId641" ref="A641"/>
    <hyperlink r:id="rId642" ref="A642"/>
    <hyperlink r:id="rId643" ref="A643"/>
    <hyperlink r:id="rId644" ref="A644"/>
    <hyperlink r:id="rId645" ref="A645"/>
    <hyperlink r:id="rId646" ref="A646"/>
    <hyperlink r:id="rId647" ref="A647"/>
    <hyperlink r:id="rId648" ref="A648"/>
    <hyperlink r:id="rId649" ref="A649"/>
    <hyperlink r:id="rId650" ref="A650"/>
    <hyperlink r:id="rId651" ref="A651"/>
    <hyperlink r:id="rId652" ref="A652"/>
    <hyperlink r:id="rId653" ref="A653"/>
    <hyperlink r:id="rId654" ref="A654"/>
    <hyperlink r:id="rId655" ref="A655"/>
    <hyperlink r:id="rId656" ref="A656"/>
    <hyperlink r:id="rId657" ref="A657"/>
    <hyperlink r:id="rId658" ref="A658"/>
    <hyperlink r:id="rId659" ref="A659"/>
    <hyperlink r:id="rId660" ref="A660"/>
    <hyperlink r:id="rId661" ref="A661"/>
    <hyperlink r:id="rId662" ref="A662"/>
    <hyperlink r:id="rId663" ref="A663"/>
    <hyperlink r:id="rId664" ref="A664"/>
    <hyperlink r:id="rId665" ref="A665"/>
    <hyperlink r:id="rId666" ref="A666"/>
    <hyperlink r:id="rId667" ref="A667"/>
    <hyperlink r:id="rId668" ref="A668"/>
    <hyperlink r:id="rId669" ref="A669"/>
    <hyperlink r:id="rId670" ref="A670"/>
    <hyperlink r:id="rId671" ref="A671"/>
    <hyperlink r:id="rId672" ref="A672"/>
    <hyperlink r:id="rId673" ref="A673"/>
    <hyperlink r:id="rId674" ref="A674"/>
    <hyperlink r:id="rId675" ref="A675"/>
    <hyperlink r:id="rId676" ref="A676"/>
    <hyperlink r:id="rId677" ref="A677"/>
    <hyperlink r:id="rId678" ref="A678"/>
    <hyperlink r:id="rId679" ref="A679"/>
    <hyperlink r:id="rId680" ref="A680"/>
    <hyperlink r:id="rId681" ref="A681"/>
    <hyperlink r:id="rId682" ref="A682"/>
    <hyperlink r:id="rId683" ref="A683"/>
    <hyperlink r:id="rId684" ref="A684"/>
    <hyperlink r:id="rId685" ref="A685"/>
    <hyperlink r:id="rId686" ref="A686"/>
    <hyperlink r:id="rId687" ref="A687"/>
    <hyperlink r:id="rId688" ref="A688"/>
    <hyperlink r:id="rId689" ref="A689"/>
    <hyperlink r:id="rId690" ref="A690"/>
    <hyperlink r:id="rId691" ref="A691"/>
    <hyperlink r:id="rId692" ref="A692"/>
    <hyperlink r:id="rId693" ref="A693"/>
    <hyperlink r:id="rId694" ref="A694"/>
    <hyperlink r:id="rId695" ref="A695"/>
    <hyperlink r:id="rId696" ref="A696"/>
    <hyperlink r:id="rId697" ref="A697"/>
    <hyperlink r:id="rId698" ref="A698"/>
    <hyperlink r:id="rId699" ref="A699"/>
    <hyperlink r:id="rId700" ref="A700"/>
    <hyperlink r:id="rId701" ref="A701"/>
    <hyperlink r:id="rId702" ref="A702"/>
    <hyperlink r:id="rId703" ref="A703"/>
    <hyperlink r:id="rId704" ref="A704"/>
    <hyperlink r:id="rId705" location="REVIEWS" ref="A705"/>
    <hyperlink r:id="rId706" ref="A706"/>
    <hyperlink r:id="rId707" ref="A707"/>
    <hyperlink r:id="rId708" ref="A708"/>
    <hyperlink r:id="rId709" ref="A709"/>
    <hyperlink r:id="rId710" ref="A710"/>
    <hyperlink r:id="rId711" ref="A711"/>
    <hyperlink r:id="rId712" ref="A712"/>
    <hyperlink r:id="rId713" ref="A713"/>
    <hyperlink r:id="rId714" ref="A714"/>
    <hyperlink r:id="rId715" ref="A715"/>
    <hyperlink r:id="rId716" ref="A716"/>
    <hyperlink r:id="rId717" ref="A717"/>
    <hyperlink r:id="rId718" ref="A718"/>
    <hyperlink r:id="rId719" ref="A719"/>
    <hyperlink r:id="rId720" ref="A720"/>
    <hyperlink r:id="rId721" ref="A721"/>
    <hyperlink r:id="rId722" ref="A722"/>
    <hyperlink r:id="rId723" ref="A723"/>
    <hyperlink r:id="rId724" ref="A724"/>
    <hyperlink r:id="rId725" ref="A725"/>
    <hyperlink r:id="rId726" ref="A726"/>
    <hyperlink r:id="rId727" ref="A727"/>
    <hyperlink r:id="rId728" ref="A728"/>
    <hyperlink r:id="rId729" ref="A729"/>
    <hyperlink r:id="rId730" ref="A730"/>
    <hyperlink r:id="rId731" ref="A731"/>
    <hyperlink r:id="rId732" ref="A732"/>
    <hyperlink r:id="rId733" ref="A733"/>
    <hyperlink r:id="rId734" ref="A734"/>
    <hyperlink r:id="rId735" ref="A735"/>
    <hyperlink r:id="rId736" ref="A736"/>
    <hyperlink r:id="rId737" ref="A737"/>
    <hyperlink r:id="rId738" ref="A738"/>
    <hyperlink r:id="rId739" ref="A739"/>
    <hyperlink r:id="rId740" ref="A740"/>
    <hyperlink r:id="rId741" ref="A741"/>
    <hyperlink r:id="rId742" ref="A742"/>
    <hyperlink r:id="rId743" ref="A743"/>
    <hyperlink r:id="rId744" ref="A744"/>
    <hyperlink r:id="rId745" ref="A745"/>
    <hyperlink r:id="rId746" ref="A746"/>
    <hyperlink r:id="rId747" ref="A747"/>
    <hyperlink r:id="rId748" ref="A748"/>
    <hyperlink r:id="rId749" ref="A749"/>
    <hyperlink r:id="rId750" ref="A750"/>
    <hyperlink r:id="rId751" ref="A751"/>
    <hyperlink r:id="rId752" ref="A752"/>
    <hyperlink r:id="rId753" ref="A753"/>
    <hyperlink r:id="rId754" ref="A754"/>
    <hyperlink r:id="rId755" ref="A755"/>
    <hyperlink r:id="rId756" ref="A756"/>
    <hyperlink r:id="rId757" ref="A757"/>
    <hyperlink r:id="rId758" ref="A758"/>
    <hyperlink r:id="rId759" ref="A759"/>
    <hyperlink r:id="rId760" ref="A760"/>
    <hyperlink r:id="rId761" ref="A761"/>
    <hyperlink r:id="rId762" ref="A762"/>
    <hyperlink r:id="rId763" ref="A763"/>
    <hyperlink r:id="rId764" ref="A764"/>
    <hyperlink r:id="rId765" ref="A765"/>
    <hyperlink r:id="rId766" ref="A766"/>
    <hyperlink r:id="rId767" ref="A767"/>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9"/>
    <hyperlink r:id="rId803" ref="A810"/>
    <hyperlink r:id="rId804" ref="A812"/>
    <hyperlink r:id="rId805" ref="A813"/>
    <hyperlink r:id="rId806" ref="A814"/>
    <hyperlink r:id="rId807" ref="A815"/>
    <hyperlink r:id="rId808" ref="A816"/>
    <hyperlink r:id="rId809" ref="A817"/>
    <hyperlink r:id="rId810" ref="A818"/>
    <hyperlink r:id="rId811" ref="A819"/>
    <hyperlink r:id="rId812" ref="A820"/>
    <hyperlink r:id="rId813" ref="A821"/>
    <hyperlink r:id="rId814" ref="A822"/>
    <hyperlink r:id="rId815" ref="A824"/>
    <hyperlink r:id="rId816" ref="A825"/>
    <hyperlink r:id="rId817" ref="A826"/>
    <hyperlink r:id="rId818" ref="A827"/>
    <hyperlink r:id="rId819" ref="A831"/>
    <hyperlink r:id="rId820" ref="A837"/>
    <hyperlink r:id="rId821" ref="A842"/>
  </hyperlinks>
  <drawing r:id="rId822"/>
  <legacyDrawing r:id="rId8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6.38"/>
    <col customWidth="1" min="3" max="3" width="52.63"/>
    <col customWidth="1" min="4" max="6" width="6.38"/>
  </cols>
  <sheetData>
    <row r="1">
      <c r="A1" s="2"/>
      <c r="B1" s="2"/>
      <c r="C1" s="2"/>
      <c r="D1" s="2"/>
      <c r="E1" s="2"/>
      <c r="F1" s="2"/>
    </row>
    <row r="2">
      <c r="A2" s="2"/>
      <c r="B2" s="6"/>
      <c r="C2" s="6"/>
      <c r="D2" s="6"/>
      <c r="E2" s="2"/>
      <c r="F2" s="2"/>
    </row>
    <row r="3">
      <c r="A3" s="2"/>
      <c r="B3" s="6"/>
      <c r="C3" s="167" t="s">
        <v>1966</v>
      </c>
      <c r="D3" s="6"/>
      <c r="E3" s="2"/>
      <c r="F3" s="2"/>
    </row>
    <row r="4">
      <c r="A4" s="2"/>
      <c r="B4" s="6"/>
      <c r="C4" s="6"/>
      <c r="D4" s="6"/>
      <c r="E4" s="2"/>
      <c r="F4" s="2"/>
    </row>
    <row r="5">
      <c r="A5" s="2"/>
      <c r="B5" s="6"/>
      <c r="C5" s="168" t="s">
        <v>1967</v>
      </c>
      <c r="D5" s="6"/>
      <c r="E5" s="2"/>
      <c r="F5" s="2"/>
    </row>
    <row r="6">
      <c r="A6" s="2"/>
      <c r="B6" s="6"/>
      <c r="C6" s="6"/>
      <c r="D6" s="6"/>
      <c r="E6" s="2"/>
      <c r="F6" s="2"/>
    </row>
    <row r="7">
      <c r="A7" s="2"/>
      <c r="B7" s="6"/>
      <c r="C7" s="169" t="s">
        <v>1968</v>
      </c>
      <c r="D7" s="6"/>
      <c r="E7" s="2"/>
      <c r="F7" s="2"/>
    </row>
    <row r="8">
      <c r="A8" s="2"/>
      <c r="B8" s="6"/>
      <c r="C8" s="169" t="s">
        <v>1969</v>
      </c>
      <c r="D8" s="6"/>
      <c r="E8" s="2"/>
      <c r="F8" s="2"/>
    </row>
    <row r="9">
      <c r="A9" s="2"/>
      <c r="B9" s="6"/>
      <c r="C9" s="169" t="s">
        <v>1970</v>
      </c>
      <c r="D9" s="6"/>
      <c r="E9" s="2"/>
      <c r="F9" s="2"/>
    </row>
    <row r="10">
      <c r="A10" s="2"/>
      <c r="B10" s="6"/>
      <c r="C10" s="169" t="s">
        <v>1971</v>
      </c>
      <c r="D10" s="6"/>
      <c r="E10" s="2"/>
      <c r="F10" s="2"/>
    </row>
    <row r="11">
      <c r="A11" s="2"/>
      <c r="B11" s="6"/>
      <c r="C11" s="169" t="s">
        <v>1972</v>
      </c>
      <c r="D11" s="6"/>
      <c r="E11" s="2"/>
      <c r="F11" s="2"/>
    </row>
    <row r="12">
      <c r="A12" s="2"/>
      <c r="B12" s="6"/>
      <c r="C12" s="169" t="s">
        <v>1973</v>
      </c>
      <c r="D12" s="6"/>
      <c r="E12" s="2"/>
      <c r="F12" s="2"/>
    </row>
    <row r="13">
      <c r="A13" s="2"/>
      <c r="B13" s="6"/>
      <c r="C13" s="169" t="s">
        <v>1974</v>
      </c>
      <c r="D13" s="6"/>
      <c r="E13" s="2"/>
      <c r="F13" s="2"/>
    </row>
    <row r="14">
      <c r="A14" s="2"/>
      <c r="B14" s="6"/>
      <c r="C14" s="169" t="s">
        <v>1975</v>
      </c>
      <c r="D14" s="6"/>
      <c r="E14" s="2"/>
      <c r="F14" s="2"/>
    </row>
    <row r="15">
      <c r="A15" s="2"/>
      <c r="B15" s="6"/>
      <c r="C15" s="169" t="s">
        <v>1976</v>
      </c>
      <c r="D15" s="6"/>
      <c r="E15" s="2"/>
      <c r="F15" s="2"/>
    </row>
    <row r="16">
      <c r="A16" s="2"/>
      <c r="B16" s="6"/>
      <c r="C16" s="169" t="s">
        <v>1977</v>
      </c>
      <c r="D16" s="6"/>
      <c r="E16" s="2"/>
      <c r="F16" s="2"/>
    </row>
    <row r="17">
      <c r="A17" s="2"/>
      <c r="B17" s="6"/>
      <c r="C17" s="169" t="s">
        <v>1978</v>
      </c>
      <c r="D17" s="6"/>
      <c r="E17" s="2"/>
      <c r="F17" s="2"/>
    </row>
    <row r="18">
      <c r="A18" s="2"/>
      <c r="B18" s="6"/>
      <c r="C18" s="169" t="s">
        <v>1979</v>
      </c>
      <c r="D18" s="6"/>
      <c r="E18" s="2"/>
      <c r="F18" s="2"/>
    </row>
    <row r="19">
      <c r="A19" s="2"/>
      <c r="B19" s="6"/>
      <c r="C19" s="169" t="s">
        <v>1980</v>
      </c>
      <c r="D19" s="6"/>
      <c r="E19" s="2"/>
      <c r="F19" s="2"/>
    </row>
    <row r="20">
      <c r="A20" s="2"/>
      <c r="B20" s="6"/>
      <c r="C20" s="169" t="s">
        <v>1981</v>
      </c>
      <c r="D20" s="6"/>
      <c r="E20" s="2"/>
      <c r="F20" s="2"/>
    </row>
    <row r="21">
      <c r="A21" s="2"/>
      <c r="B21" s="6"/>
      <c r="C21" s="169" t="s">
        <v>1982</v>
      </c>
      <c r="D21" s="6"/>
      <c r="E21" s="2"/>
      <c r="F21" s="2"/>
    </row>
    <row r="22">
      <c r="A22" s="2"/>
      <c r="B22" s="6"/>
      <c r="C22" s="169" t="s">
        <v>1983</v>
      </c>
      <c r="D22" s="6"/>
      <c r="E22" s="2"/>
      <c r="F22" s="2"/>
    </row>
    <row r="23">
      <c r="A23" s="2"/>
      <c r="B23" s="6"/>
      <c r="C23" s="169" t="s">
        <v>1984</v>
      </c>
      <c r="D23" s="6"/>
      <c r="E23" s="2"/>
      <c r="F23" s="2"/>
    </row>
    <row r="24">
      <c r="A24" s="2"/>
      <c r="B24" s="6"/>
      <c r="C24" s="169" t="s">
        <v>1985</v>
      </c>
      <c r="D24" s="6"/>
      <c r="E24" s="2"/>
      <c r="F24" s="2"/>
    </row>
    <row r="25">
      <c r="A25" s="2"/>
      <c r="B25" s="6"/>
      <c r="C25" s="169" t="s">
        <v>1986</v>
      </c>
      <c r="D25" s="6"/>
      <c r="E25" s="2"/>
      <c r="F25" s="2"/>
    </row>
    <row r="26">
      <c r="A26" s="2"/>
      <c r="B26" s="6"/>
      <c r="C26" s="6"/>
      <c r="D26" s="6"/>
      <c r="E26" s="2"/>
      <c r="F26" s="2"/>
    </row>
    <row r="27">
      <c r="A27" s="2"/>
      <c r="B27" s="6"/>
      <c r="C27" s="6"/>
      <c r="D27" s="6"/>
      <c r="E27" s="2"/>
      <c r="F27" s="2"/>
    </row>
    <row r="28">
      <c r="A28" s="2"/>
      <c r="B28" s="2"/>
      <c r="C28" s="2"/>
      <c r="D28" s="2"/>
      <c r="E28" s="2"/>
      <c r="F28" s="2"/>
    </row>
    <row r="29">
      <c r="A29" s="2"/>
      <c r="B29" s="2"/>
      <c r="C29" s="2"/>
      <c r="D29" s="2"/>
      <c r="E29" s="2"/>
      <c r="F29" s="2"/>
    </row>
    <row r="30">
      <c r="A30" s="2"/>
      <c r="B30" s="2"/>
      <c r="C30" s="2"/>
      <c r="D30" s="2"/>
      <c r="E30" s="2"/>
      <c r="F30" s="2"/>
    </row>
    <row r="31">
      <c r="A31" s="2"/>
      <c r="B31" s="2"/>
      <c r="C31" s="2"/>
      <c r="D31" s="2"/>
      <c r="E31" s="2"/>
      <c r="F31" s="2"/>
    </row>
    <row r="32">
      <c r="A32" s="2"/>
      <c r="B32" s="2"/>
      <c r="C32" s="2"/>
      <c r="D32" s="2"/>
      <c r="E32" s="2"/>
      <c r="F32" s="2"/>
    </row>
    <row r="33">
      <c r="A33" s="2"/>
      <c r="B33" s="2"/>
      <c r="C33" s="2"/>
      <c r="D33" s="2"/>
      <c r="E33" s="2"/>
      <c r="F33" s="2"/>
    </row>
    <row r="34">
      <c r="A34" s="2"/>
      <c r="B34" s="2"/>
      <c r="C34" s="2"/>
      <c r="D34" s="2"/>
      <c r="E34" s="2"/>
      <c r="F34" s="2"/>
    </row>
    <row r="35">
      <c r="A35" s="2"/>
      <c r="B35" s="2"/>
      <c r="C35" s="2"/>
      <c r="D35" s="2"/>
      <c r="E35" s="2"/>
      <c r="F35" s="2"/>
    </row>
    <row r="36">
      <c r="A36" s="2"/>
      <c r="B36" s="2"/>
      <c r="C36" s="2"/>
      <c r="D36" s="2"/>
      <c r="E36" s="2"/>
      <c r="F36" s="2"/>
    </row>
    <row r="37">
      <c r="A37" s="2"/>
      <c r="B37" s="2"/>
      <c r="C37" s="2"/>
      <c r="D37" s="2"/>
      <c r="E37" s="2"/>
      <c r="F37" s="2"/>
    </row>
    <row r="38">
      <c r="A38" s="2"/>
      <c r="B38" s="2"/>
      <c r="C38" s="2"/>
      <c r="D38" s="2"/>
      <c r="E38" s="2"/>
      <c r="F38" s="2"/>
    </row>
    <row r="39">
      <c r="A39" s="2"/>
      <c r="B39" s="2"/>
      <c r="C39" s="2"/>
      <c r="D39" s="2"/>
      <c r="E39" s="2"/>
      <c r="F39" s="2"/>
    </row>
    <row r="40">
      <c r="A40" s="2"/>
      <c r="B40" s="2"/>
      <c r="C40" s="2"/>
      <c r="D40" s="2"/>
      <c r="E40" s="2"/>
      <c r="F40" s="2"/>
    </row>
    <row r="41">
      <c r="A41" s="2"/>
      <c r="B41" s="2"/>
      <c r="C41" s="2"/>
      <c r="D41" s="2"/>
      <c r="E41" s="2"/>
      <c r="F41" s="2"/>
    </row>
    <row r="42">
      <c r="A42" s="2"/>
      <c r="B42" s="2"/>
      <c r="C42" s="2"/>
      <c r="D42" s="2"/>
      <c r="E42" s="2"/>
      <c r="F42" s="2"/>
    </row>
    <row r="43">
      <c r="A43" s="2"/>
      <c r="B43" s="2"/>
      <c r="C43" s="2"/>
      <c r="D43" s="2"/>
      <c r="E43" s="2"/>
      <c r="F43" s="2"/>
    </row>
    <row r="44">
      <c r="A44" s="2"/>
      <c r="B44" s="2"/>
      <c r="C44" s="2"/>
      <c r="D44" s="2"/>
      <c r="E44" s="2"/>
      <c r="F44" s="2"/>
    </row>
    <row r="45">
      <c r="A45" s="2"/>
      <c r="B45" s="2"/>
      <c r="C45" s="2"/>
      <c r="D45" s="2"/>
      <c r="E45" s="2"/>
      <c r="F45" s="2"/>
    </row>
    <row r="46">
      <c r="A46" s="2"/>
      <c r="B46" s="2"/>
      <c r="C46" s="2"/>
      <c r="D46" s="2"/>
      <c r="E46" s="2"/>
      <c r="F46" s="2"/>
    </row>
    <row r="47">
      <c r="A47" s="2"/>
      <c r="B47" s="2"/>
      <c r="C47" s="2"/>
      <c r="D47" s="2"/>
      <c r="E47" s="2"/>
      <c r="F47" s="2"/>
    </row>
    <row r="48">
      <c r="A48" s="2"/>
      <c r="B48" s="2"/>
      <c r="C48" s="2"/>
      <c r="D48" s="2"/>
      <c r="E48" s="2"/>
      <c r="F48" s="2"/>
    </row>
    <row r="49">
      <c r="A49" s="2"/>
      <c r="B49" s="2"/>
      <c r="C49" s="2"/>
      <c r="D49" s="2"/>
      <c r="E49" s="2"/>
      <c r="F49" s="2"/>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sheetData>
  <hyperlinks>
    <hyperlink r:id="rId1" ref="C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9.0"/>
    <col customWidth="1" min="3" max="3" width="12.63"/>
    <col customWidth="1" min="4" max="5" width="17.63"/>
    <col customWidth="1" min="6" max="10" width="12.63"/>
    <col customWidth="1" min="11" max="11" width="33.38"/>
    <col customWidth="1" min="12" max="12" width="17.63"/>
    <col customWidth="1" min="13" max="13" width="18.88"/>
    <col customWidth="1" min="14" max="14" width="30.75"/>
    <col customWidth="1" min="15" max="15" width="12.63"/>
    <col customWidth="1" min="16" max="16" width="15.13"/>
    <col customWidth="1" min="17" max="17" width="22.63"/>
    <col customWidth="1" min="18" max="18" width="28.63"/>
    <col customWidth="1" min="19" max="19" width="23.38"/>
    <col customWidth="1" min="20" max="20" width="6.38"/>
    <col customWidth="1" min="21" max="21" width="45.13"/>
    <col customWidth="1" min="22" max="22" width="6.38"/>
    <col customWidth="1" min="23" max="24" width="16.38"/>
    <col customWidth="1" min="25" max="26" width="17.63"/>
    <col customWidth="1" min="27" max="28" width="22.63"/>
    <col customWidth="1" min="29" max="29" width="12.63"/>
  </cols>
  <sheetData>
    <row r="1">
      <c r="A1" s="170" t="s">
        <v>1987</v>
      </c>
      <c r="B1" s="170" t="s">
        <v>1988</v>
      </c>
      <c r="C1" s="171" t="s">
        <v>1989</v>
      </c>
      <c r="D1" s="170" t="s">
        <v>1990</v>
      </c>
      <c r="E1" s="170" t="s">
        <v>1991</v>
      </c>
      <c r="F1" s="170" t="s">
        <v>1992</v>
      </c>
      <c r="G1" s="170" t="s">
        <v>48</v>
      </c>
      <c r="H1" s="172" t="s">
        <v>49</v>
      </c>
      <c r="I1" s="170" t="s">
        <v>50</v>
      </c>
      <c r="J1" s="170" t="s">
        <v>51</v>
      </c>
      <c r="K1" s="173" t="str">
        <f>"No Go ("&amp;COUNTA(K2:K500)&amp;")"</f>
        <v>No Go (16)</v>
      </c>
      <c r="L1" s="173" t="str">
        <f>"Country ("&amp;COUNTA(L2:L500)&amp;")"</f>
        <v>Country (24)</v>
      </c>
      <c r="M1" s="173" t="str">
        <f>"Area ("&amp;COUNTA(M2:M500)&amp;")"</f>
        <v>Area (138)</v>
      </c>
      <c r="N1" s="173" t="str">
        <f>"Airport ("&amp;COUNTA(N2:N500)&amp;")"</f>
        <v>Airport (44)</v>
      </c>
      <c r="O1" s="171" t="s">
        <v>1993</v>
      </c>
      <c r="P1" s="171" t="s">
        <v>1994</v>
      </c>
      <c r="Q1" s="173" t="str">
        <f>"Hotel Brand ("&amp;COUNTA(Q2:Q500)&amp;")"</f>
        <v>Hotel Brand (60)</v>
      </c>
      <c r="R1" s="173" t="str">
        <f>"Hotel Style ("&amp;COUNTA(R2:R500)&amp;")"</f>
        <v>Hotel Style (29)</v>
      </c>
      <c r="S1" s="173" t="str">
        <f>"Features ("&amp;COUNTA(S2:S500)&amp;")"</f>
        <v>Features (45)</v>
      </c>
      <c r="T1" s="170"/>
      <c r="U1" s="174" t="str">
        <f>"Beds ("&amp;COUNTA(U2:U500)&amp;")"</f>
        <v>Beds (46)</v>
      </c>
      <c r="V1" s="175"/>
      <c r="W1" s="170" t="s">
        <v>1995</v>
      </c>
      <c r="X1" s="170" t="s">
        <v>1996</v>
      </c>
      <c r="Y1" s="170" t="s">
        <v>1997</v>
      </c>
      <c r="Z1" s="170" t="s">
        <v>1998</v>
      </c>
      <c r="AA1" s="170" t="s">
        <v>1999</v>
      </c>
      <c r="AB1" s="170" t="s">
        <v>2000</v>
      </c>
      <c r="AC1" s="175"/>
    </row>
    <row r="2">
      <c r="A2" s="176" t="s">
        <v>531</v>
      </c>
      <c r="B2" s="176" t="s">
        <v>396</v>
      </c>
      <c r="C2" s="177" t="str">
        <f t="array" ref="C2:C4">VSTACK("ALL",TOCOL(DataDD!A2:A500,1))</f>
        <v>ALL</v>
      </c>
      <c r="D2" s="178" t="s">
        <v>40</v>
      </c>
      <c r="E2" s="178" t="s">
        <v>39</v>
      </c>
      <c r="F2" s="178" t="s">
        <v>42</v>
      </c>
      <c r="G2" s="178" t="s">
        <v>39</v>
      </c>
      <c r="H2" s="178" t="s">
        <v>39</v>
      </c>
      <c r="I2" s="178" t="s">
        <v>39</v>
      </c>
      <c r="J2" s="178" t="s">
        <v>39</v>
      </c>
      <c r="K2" s="179" t="str">
        <f>IFERROR(__xludf.DUMMYFUNCTION("LET(r,IFNA(FILTER(DATA!V2:V500, NOT(REGEXMATCH(DATA!V2:V500,TEXTJOIN(""|"",TRUE,TOCOL(ResortsDD!A2:A500,1)))), IF(RESORTS!B6,DATA!B2:B500&lt;9^9,DATA!B2:B500&gt;=85), REGEXMATCH(DATA!C2:C500,IF(RESORTS!C4=""ALL"","".*"",RESORTS!C4)), IF(OR(ISTEXT(RESORTS!D1),RE"&amp;"SORTS!E5&lt;&gt;""USD""),DATA!D2:D500&lt;9^9,(DATA!D2:D500&lt;=RESORTS!D1)*NOT(ISBLANK(DATA!D2:D500))), IF(OR(ISTEXT(RESORTS!D1),RESORTS!E5&lt;&gt;""CAD""),DATA!E2:E500&lt;9^9,(DATA!E2:E500&lt;=RESORTS!D1)*NOT(ISBLANK(DATA!E2:E500))), IF(RESORTS!G4=""ALL"",NOT(ISBLANK(DATA!R2:R5"&amp;"00))+ISBLANK(DATA!R2:R500),IF(RESORTS!G4=""Approved"",(DATA!R2:R500&gt;0)*NOT(ISBLANK(DATA!R2:R500)),(DATA!R2:R500&gt;=RESORTS!G4)*(DATA!R2:R500&lt;&gt;""Approved""))), IF(RESORTS!H4=""ALL"",NOT(ISBLANK(DATA!S2:S500))+ISBLANK(DATA!S2:S500),DATA!S2:S500&gt;=RESORTS!H4), "&amp;"IF(RESORTS!I4=""ALL"",NOT(ISBLANK(DATA!T2:T500))+ISBLANK(DATA!T2:T500),DATA!T2:T500&gt;=RESORTS!I4), IF(RESORTS!J4=""ALL"",NOT(ISBLANK(DATA!U2:U500))+ISBLANK(DATA!U2:U500),DATA!U2:U500&gt;=RESORTS!J4)
),""na""), IF(r=""na"",,SORT(UNIQUE(TOCOL(SPLIT(JOIN("", "","&amp;"r),"", "",FALSE,TRUE),1)))))"),"16+ Allowed")</f>
        <v>16+ Allowed</v>
      </c>
      <c r="L2" s="179" t="str">
        <f>IFERROR(__xludf.DUMMYFUNCTION("LET(r,IFNA(FILTER(DATA!W2:W500, NOT(REGEXMATCH(DATA!V2:V500,TEXTJOIN(""|"",TRUE,TOCOL(ResortsDD!A2:A500,1)))), IF(RESORTS!B6,DATA!B2:B500&lt;9^9,DATA!B2:B500&gt;=85), REGEXMATCH(DATA!C2:C500,IF(RESORTS!C4=""ALL"","".*"",RESORTS!C4)), IF(OR(ISTEXT(RESORTS!D1),RE"&amp;"SORTS!E5&lt;&gt;""USD""),DATA!D2:D500&lt;9^9,(DATA!D2:D500&lt;=RESORTS!D1)*NOT(ISBLANK(DATA!D2:D500))), IF(OR(ISTEXT(RESORTS!D1),RESORTS!E5&lt;&gt;""CAD""),DATA!E2:E500&lt;9^9,(DATA!E2:E500&lt;=RESORTS!D1)*NOT(ISBLANK(DATA!E2:E500))), IF(RESORTS!G4=""ALL"",NOT(ISBLANK(DATA!R2:R5"&amp;"00))+ISBLANK(DATA!R2:R500),IF(RESORTS!G4=""Approved"",(DATA!R2:R500&gt;0)*NOT(ISBLANK(DATA!R2:R500)),(DATA!R2:R500&gt;=RESORTS!G4)*(DATA!R2:R500&lt;&gt;""Approved""))), IF(RESORTS!H4=""ALL"",NOT(ISBLANK(DATA!S2:S500))+ISBLANK(DATA!S2:S500),DATA!S2:S500&gt;=RESORTS!H4), "&amp;"IF(RESORTS!I4=""ALL"",NOT(ISBLANK(DATA!T2:T500))+ISBLANK(DATA!T2:T500),DATA!T2:T500&gt;=RESORTS!I4), IF(RESORTS!J4=""ALL"",NOT(ISBLANK(DATA!U2:U500))+ISBLANK(DATA!U2:U500),DATA!U2:U500&gt;=RESORTS!J4), IF(ISBLANK(RESORTS!K4),REGEXMATCH(DATA!V2:V500,"".*""),IF(R"&amp;"ESORTS!K5,NOT(REGEXMATCH(DATA!V2:V500,RESORTS!K1)),REGEXMATCH(DATA!V2:V500,RESORTS!K1)))
),""na""), IF(r=""na"",,SORT(UNIQUE(TOCOL(r,1)))))"),"Antigua")</f>
        <v>Antigua</v>
      </c>
      <c r="M2" s="177" t="str">
        <f>IFERROR(__xludf.DUMMYFUNCTION("LET(r,IFNA(FILTER(DATA!X2:X500, NOT(REGEXMATCH(DATA!V2:V500,TEXTJOIN(""|"",TRUE,TOCOL(ResortsDD!A2:A500,1)))), IF(RESORTS!B6,DATA!B2:B500&lt;9^9,DATA!B2:B500&gt;=85), REGEXMATCH(DATA!C2:C500,IF(RESORTS!C4=""ALL"","".*"",RESORTS!C4)), IF(OR(ISTEXT(RESORTS!D1),RE"&amp;"SORTS!E5&lt;&gt;""USD""),DATA!D2:D500&lt;9^9,(DATA!D2:D500&lt;=RESORTS!D1)*NOT(ISBLANK(DATA!D2:D500))), IF(OR(ISTEXT(RESORTS!D1),RESORTS!E5&lt;&gt;""CAD""),DATA!E2:E500&lt;9^9,(DATA!E2:E500&lt;=RESORTS!D1)*NOT(ISBLANK(DATA!E2:E500))), IF(RESORTS!G4=""ALL"",NOT(ISBLANK(DATA!R2:R5"&amp;"00))+ISBLANK(DATA!R2:R500),IF(RESORTS!G4=""Approved"",(DATA!R2:R500&gt;0)*NOT(ISBLANK(DATA!R2:R500)),(DATA!R2:R500&gt;=RESORTS!G4)*(DATA!R2:R500&lt;&gt;""Approved""))), IF(RESORTS!H4=""ALL"",NOT(ISBLANK(DATA!S2:S500))+ISBLANK(DATA!S2:S500),DATA!S2:S500&gt;=RESORTS!H4), "&amp;"IF(RESORTS!I4=""ALL"",NOT(ISBLANK(DATA!T2:T500))+ISBLANK(DATA!T2:T500),DATA!T2:T500&gt;=RESORTS!I4), IF(RESORTS!J4=""ALL"",NOT(ISBLANK(DATA!U2:U500))+ISBLANK(DATA!U2:U500),DATA!U2:U500&gt;=RESORTS!J4), IF(ISBLANK(RESORTS!K4),REGEXMATCH(DATA!V2:V500,"".*""),IF(R"&amp;"ESORTS!K5,NOT(REGEXMATCH(DATA!V2:V500,RESORTS!K1)),REGEXMATCH(DATA!V2:V500,RESORTS!K1))), REGEXMATCH(DATA!W2:W500,IF(ISBLANK(RESORTS!L4),"".*"",RESORTS!L1))
),""na""), IF(r=""na"",,SORT(UNIQUE(TOCOL(r,1)))))"),"Acapulco")</f>
        <v>Acapulco</v>
      </c>
      <c r="N2" s="177" t="str">
        <f>IFERROR(__xludf.DUMMYFUNCTION("LET(r,IFNA(FILTER(DATA!Y2:Y500, NOT(REGEXMATCH(DATA!V2:V500,TEXTJOIN(""|"",TRUE,TOCOL(ResortsDD!A2:A500,1)))), IF(RESORTS!B6,DATA!B2:B500&lt;9^9,DATA!B2:B500&gt;=85), REGEXMATCH(DATA!C2:C500,IF(RESORTS!C4=""ALL"","".*"",RESORTS!C4)), IF(OR(ISTEXT(RESORTS!D1),RE"&amp;"SORTS!E5&lt;&gt;""USD""),DATA!D2:D500&lt;9^9,(DATA!D2:D500&lt;=RESORTS!D1)*NOT(ISBLANK(DATA!D2:D500))), IF(OR(ISTEXT(RESORTS!D1),RESORTS!E5&lt;&gt;""CAD""),DATA!E2:E500&lt;9^9,(DATA!E2:E500&lt;=RESORTS!D1)*NOT(ISBLANK(DATA!E2:E500))), IF(RESORTS!G4=""ALL"",NOT(ISBLANK(DATA!R2:R5"&amp;"00))+ISBLANK(DATA!R2:R500),IF(RESORTS!G4=""Approved"",(DATA!R2:R500&gt;0)*NOT(ISBLANK(DATA!R2:R500)),(DATA!R2:R500&gt;=RESORTS!G4)*(DATA!R2:R500&lt;&gt;""Approved""))), IF(RESORTS!H4=""ALL"",NOT(ISBLANK(DATA!S2:S500))+ISBLANK(DATA!S2:S500),DATA!S2:S500&gt;=RESORTS!H4), "&amp;"IF(RESORTS!I4=""ALL"",NOT(ISBLANK(DATA!T2:T500))+ISBLANK(DATA!T2:T500),DATA!T2:T500&gt;=RESORTS!I4), IF(RESORTS!J4=""ALL"",NOT(ISBLANK(DATA!U2:U500))+ISBLANK(DATA!U2:U500),DATA!U2:U500&gt;=RESORTS!J4), IF(ISBLANK(RESORTS!K4),REGEXMATCH(DATA!V2:V500,"".*""),IF(R"&amp;"ESORTS!K5,NOT(REGEXMATCH(DATA!V2:V500,RESORTS!K1)),REGEXMATCH(DATA!V2:V500,RESORTS!K1))), REGEXMATCH(DATA!W2:W500,IF(ISBLANK(RESORTS!L4),"".*"",RESORTS!L1)), REGEXMATCH(DATA!X2:X500,IF(ISBLANK(RESORTS!M4),"".*"",RESORTS!M1))
),""na""), IF(r=""na"",,SORT(U"&amp;"NIQUE(TOCOL(r,1)))))"),"Aeropuerto Hato")</f>
        <v>Aeropuerto Hato</v>
      </c>
      <c r="O2" s="178" t="s">
        <v>39</v>
      </c>
      <c r="P2" s="178" t="s">
        <v>39</v>
      </c>
      <c r="Q2" s="179" t="str">
        <f>IFERROR(__xludf.DUMMYFUNCTION("LET(r,IFNA(FILTER(DATA!AB2:AB500, NOT(REGEXMATCH(DATA!V2:V500,TEXTJOIN(""|"",TRUE,TOCOL(ResortsDD!A2:A500,1)))), IF(RESORTS!B6,DATA!B2:B500&lt;9^9,DATA!B2:B500&gt;=85), REGEXMATCH(DATA!C2:C500,IF(RESORTS!C4=""ALL"","".*"",RESORTS!C4)), IF(OR(ISTEXT(RESORTS!D1),"&amp;"RESORTS!E5&lt;&gt;""USD""),DATA!D2:D500&lt;9^9,(DATA!D2:D500&lt;=RESORTS!D1)*NOT(ISBLANK(DATA!D2:D500))), IF(OR(ISTEXT(RESORTS!D1),RESORTS!E5&lt;&gt;""CAD""),DATA!E2:E500&lt;9^9,(DATA!E2:E500&lt;=RESORTS!D1)*NOT(ISBLANK(DATA!E2:E500))), IF(RESORTS!G4=""ALL"",NOT(ISBLANK(DATA!R2:"&amp;"R500))+ISBLANK(DATA!R2:R500),IF(RESORTS!G4=""Approved"",(DATA!R2:R500&gt;0)*NOT(ISBLANK(DATA!R2:R500)),(DATA!R2:R500&gt;=RESORTS!G4)*(DATA!R2:R500&lt;&gt;""Approved""))), IF(RESORTS!H4=""ALL"",NOT(ISBLANK(DATA!S2:S500))+ISBLANK(DATA!S2:S500),DATA!S2:S500&gt;=RESORTS!H4)"&amp;", IF(RESORTS!I4=""ALL"",NOT(ISBLANK(DATA!T2:T500))+ISBLANK(DATA!T2:T500),DATA!T2:T500&gt;=RESORTS!I4), IF(RESORTS!J4=""ALL"",NOT(ISBLANK(DATA!U2:U500))+ISBLANK(DATA!U2:U500),DATA!U2:U500&gt;=RESORTS!J4), IF(ISBLANK(RESORTS!K4),REGEXMATCH(DATA!V2:V500,"".*""),IF"&amp;"(RESORTS!K5,NOT(REGEXMATCH(DATA!V2:V500,RESORTS!K1)),REGEXMATCH(DATA!V2:V500,RESORTS!K1))), REGEXMATCH(DATA!W2:W500,IF(ISBLANK(RESORTS!L4),"".*"",RESORTS!L1)), REGEXMATCH(DATA!X2:X500,IF(ISBLANK(RESORTS!M4),"".*"",RESORTS!M1)), REGEXMATCH(DATA!Y2:Y500,IF("&amp;"ISBLANK(RESORTS!N4),"".*"",RESORTS!N1)), IF(RESORTS!O4,DATA!Z2:Z500=TRUE,REGEXMATCH(TO_TEXT(DATA!Z2:Z500),"".*"")), IF(RESORTS!P4=""ALL"",DATA!AA2:AA500&lt;9^9,(DATA!AA2:AA500&lt;=RESORTS!P1)*NOT(ISBLANK(DATA!AA2:AA500)))
),""na""), IF(r=""na"",,SORT(UNIQUE(TOC"&amp;"OL(r,1)))))"),"AIC Hotel Group")</f>
        <v>AIC Hotel Group</v>
      </c>
      <c r="R2" s="177" t="str">
        <f>IFERROR(__xludf.DUMMYFUNCTION("LET(r,IFNA(FILTER(DATA!AC2:AC500, NOT(REGEXMATCH(DATA!V2:V500,TEXTJOIN(""|"",TRUE,TOCOL(ResortsDD!A2:A500,1)))), IF(RESORTS!B6,DATA!B2:B500&lt;9^9,DATA!B2:B500&gt;=85), REGEXMATCH(DATA!C2:C500,IF(RESORTS!C4=""ALL"","".*"",RESORTS!C4)), IF(OR(ISTEXT(RESORTS!D1),"&amp;"RESORTS!E5&lt;&gt;""USD""),DATA!D2:D500&lt;9^9,(DATA!D2:D500&lt;=RESORTS!D1)*NOT(ISBLANK(DATA!D2:D500))), IF(OR(ISTEXT(RESORTS!D1),RESORTS!E5&lt;&gt;""CAD""),DATA!E2:E500&lt;9^9,(DATA!E2:E500&lt;=RESORTS!D1)*NOT(ISBLANK(DATA!E2:E500))), IF(RESORTS!G4=""ALL"",NOT(ISBLANK(DATA!R2:"&amp;"R500))+ISBLANK(DATA!R2:R500),IF(RESORTS!G4=""Approved"",(DATA!R2:R500&gt;0)*NOT(ISBLANK(DATA!R2:R500)),(DATA!R2:R500&gt;=RESORTS!G4)*(DATA!R2:R500&lt;&gt;""Approved""))), IF(RESORTS!H4=""ALL"",NOT(ISBLANK(DATA!S2:S500))+ISBLANK(DATA!S2:S500),DATA!S2:S500&gt;=RESORTS!H4)"&amp;", IF(RESORTS!I4=""ALL"",NOT(ISBLANK(DATA!T2:T500))+ISBLANK(DATA!T2:T500),DATA!T2:T500&gt;=RESORTS!I4), IF(RESORTS!J4=""ALL"",NOT(ISBLANK(DATA!U2:U500))+ISBLANK(DATA!U2:U500),DATA!U2:U500&gt;=RESORTS!J4), IF(ISBLANK(RESORTS!K4),REGEXMATCH(DATA!V2:V500,"".*""),IF"&amp;"(RESORTS!K5,NOT(REGEXMATCH(DATA!V2:V500,RESORTS!K1)),REGEXMATCH(DATA!V2:V500,RESORTS!K1))), REGEXMATCH(DATA!W2:W500,IF(ISBLANK(RESORTS!L4),"".*"",RESORTS!L1)), REGEXMATCH(DATA!X2:X500,IF(ISBLANK(RESORTS!M4),"".*"",RESORTS!M1)), REGEXMATCH(DATA!Y2:Y500,IF("&amp;"ISBLANK(RESORTS!N4),"".*"",RESORTS!N1)), IF(RESORTS!O4,DATA!Z2:Z500=TRUE,REGEXMATCH(TO_TEXT(DATA!Z2:Z500),"".*"")), IF(RESORTS!P4=""ALL"",DATA!AA2:AA500&lt;9^9,(DATA!AA2:AA500&lt;=RESORTS!P1)*NOT(ISBLANK(DATA!AA2:AA500))), REGEXMATCH(DATA!AB2:AB500,IF(ISBLANK(R"&amp;"ESORTS!Q4),"".*"",RESORTS!Q1))
),""na""), IF(r=""na"",,SORT(UNIQUE(TOCOL(SPLIT(JOIN("", "",r),"", "",FALSE,TRUE),1)))))"),"Bay View")</f>
        <v>Bay View</v>
      </c>
      <c r="S2" s="177" t="str">
        <f>IFERROR(__xludf.DUMMYFUNCTION("LET(r,IFNA(FILTER(DATA!AD2:AD500, NOT(REGEXMATCH(DATA!V2:V500,TEXTJOIN(""|"",TRUE,TOCOL(ResortsDD!A2:A500,1)))), IF(RESORTS!B6,DATA!B2:B500&lt;9^9,DATA!B2:B500&gt;=85), REGEXMATCH(DATA!C2:C500,IF(RESORTS!C4=""ALL"","".*"",RESORTS!C4)), IF(OR(ISTEXT(RESORTS!D1),"&amp;"RESORTS!E5&lt;&gt;""USD""),DATA!D2:D500&lt;9^9,(DATA!D2:D500&lt;=RESORTS!D1)*NOT(ISBLANK(DATA!D2:D500))), IF(OR(ISTEXT(RESORTS!D1),RESORTS!E5&lt;&gt;""CAD""),DATA!E2:E500&lt;9^9,(DATA!E2:E500&lt;=RESORTS!D1)*NOT(ISBLANK(DATA!E2:E500))), IF(RESORTS!G4=""ALL"",NOT(ISBLANK(DATA!R2:"&amp;"R500))+ISBLANK(DATA!R2:R500),IF(RESORTS!G4=""Approved"",(DATA!R2:R500&gt;0)*NOT(ISBLANK(DATA!R2:R500)),(DATA!R2:R500&gt;=RESORTS!G4)*(DATA!R2:R500&lt;&gt;""Approved""))), IF(RESORTS!H4=""ALL"",NOT(ISBLANK(DATA!S2:S500))+ISBLANK(DATA!S2:S500),DATA!S2:S500&gt;=RESORTS!H4)"&amp;", IF(RESORTS!I4=""ALL"",NOT(ISBLANK(DATA!T2:T500))+ISBLANK(DATA!T2:T500),DATA!T2:T500&gt;=RESORTS!I4), IF(RESORTS!J4=""ALL"",NOT(ISBLANK(DATA!U2:U500))+ISBLANK(DATA!U2:U500),DATA!U2:U500&gt;=RESORTS!J4), IF(ISBLANK(RESORTS!K4),REGEXMATCH(DATA!V2:V500,"".*""),IF"&amp;"(RESORTS!K5,NOT(REGEXMATCH(DATA!V2:V500,RESORTS!K1)),REGEXMATCH(DATA!V2:V500,RESORTS!K1))), REGEXMATCH(DATA!W2:W500,IF(ISBLANK(RESORTS!L4),"".*"",RESORTS!L1)), REGEXMATCH(DATA!X2:X500,IF(ISBLANK(RESORTS!M4),"".*"",RESORTS!M1)), REGEXMATCH(DATA!Y2:Y500,IF("&amp;"ISBLANK(RESORTS!N4),"".*"",RESORTS!N1)), IF(RESORTS!O4,DATA!Z2:Z500=TRUE,REGEXMATCH(TO_TEXT(DATA!Z2:Z500),"".*"")), IF(RESORTS!P4=""ALL"",DATA!AA2:AA500&lt;9^9,(DATA!AA2:AA500&lt;=RESORTS!P1)*NOT(ISBLANK(DATA!AA2:AA500))), REGEXMATCH(DATA!AB2:AB500,IF(ISBLANK(R"&amp;"ESORTS!Q4),"".*"",RESORTS!Q1)), REGEXMATCH(DATA!AL2:AL500,IF(ISBLANK(RESORTS!R4),"".*"",RESORTS!R1))
),""na""), IF(r=""na"",,
SORT(UNIQUE(TOCOL(MAP(r,LAMBDA(rr,IFERROR(SPLIT(rr,"", "",FALSE),))),1))) ))"),"2 Bedroom Suites")</f>
        <v>2 Bedroom Suites</v>
      </c>
      <c r="U2" s="179" t="str">
        <f>IFERROR(__xludf.DUMMYFUNCTION("LET(r,IFNA(FILTER(DATA!AF2:AF500, DATA!AF2:AF500&lt;&gt;""?"", NOT(REGEXMATCH(DATA!V2:V500,TEXTJOIN(""|"",TRUE,TOCOL(ResortsDD!A2:A500,1)))), IF(RESORTS!B6,DATA!B2:B500&lt;9^9,DATA!B2:B500&gt;=85), REGEXMATCH(DATA!C2:C500,IF(RESORTS!C4=""ALL"","".*"",RESORTS!C4)), IF"&amp;"(OR(ISTEXT(RESORTS!D1),RESORTS!E5&lt;&gt;""USD""),DATA!D2:D500&lt;9^9,(DATA!D2:D500&lt;=RESORTS!D1)*NOT(ISBLANK(DATA!D2:D500))), IF(OR(ISTEXT(RESORTS!D1),RESORTS!E5&lt;&gt;""CAD""),DATA!E2:E500&lt;9^9,(DATA!E2:E500&lt;=RESORTS!D1)*NOT(ISBLANK(DATA!E2:E500))), IF(RESORTS!G4=""ALL"&amp;""",NOT(ISBLANK(DATA!R2:R500))+ISBLANK(DATA!R2:R500),IF(RESORTS!G4=""Approved"",(DATA!R2:R500&gt;0)*NOT(ISBLANK(DATA!R2:R500)),(DATA!R2:R500&gt;=RESORTS!G4)*(DATA!R2:R500&lt;&gt;""Approved""))), IF(RESORTS!H4=""ALL"",NOT(ISBLANK(DATA!S2:S500))+ISBLANK(DATA!S2:S500),DA"&amp;"TA!S2:S500&gt;=RESORTS!H4), IF(RESORTS!I4=""ALL"",NOT(ISBLANK(DATA!T2:T500))+ISBLANK(DATA!T2:T500),DATA!T2:T500&gt;=RESORTS!I4), IF(RESORTS!J4=""ALL"",NOT(ISBLANK(DATA!U2:U500))+ISBLANK(DATA!U2:U500),DATA!U2:U500&gt;=RESORTS!J4), IF(ISBLANK(RESORTS!K4),REGEXMATCH("&amp;"DATA!V2:V500,"".*""),IF(RESORTS!K5,NOT(REGEXMATCH(DATA!V2:V500,RESORTS!K1)),REGEXMATCH(DATA!V2:V500,RESORTS!K1))), REGEXMATCH(DATA!W2:W500,IF(ISBLANK(RESORTS!L4),"".*"",RESORTS!L1)), REGEXMATCH(DATA!X2:X500,IF(ISBLANK(RESORTS!M4),"".*"",RESORTS!M1)), REGE"&amp;"XMATCH(DATA!Y2:Y500,IF(ISBLANK(RESORTS!N4),"".*"",RESORTS!N1)), IF(RESORTS!O4,DATA!Z2:Z500=TRUE,REGEXMATCH(TO_TEXT(DATA!Z2:Z500),"".*"")), IF(RESORTS!P4=""ALL"",DATA!AA2:AA500&lt;9^9,(DATA!AA2:AA500&lt;=RESORTS!P1)*NOT(ISBLANK(DATA!AA2:AA500))), REGEXMATCH(DATA"&amp;"!AB2:AB500,IF(ISBLANK(RESORTS!Q4),"".*"",RESORTS!Q1)), REGEXMATCH(DATA!AL2:AL500,IF(ISBLANK(RESORTS!R4),"".*"",RESORTS!R1)), REGEXMATCH(DATA!AM2:AM500,IF(ISBLANK(RESORTS!S4),"".*"",RESORTS!S1))
),""na""), IF(r=""na"",,SORT(UNIQUE(TOCOL(r,1)))))"),"1 Double and 1 Sofa Bed")</f>
        <v>1 Double and 1 Sofa Bed</v>
      </c>
      <c r="W2" s="178" t="s">
        <v>39</v>
      </c>
      <c r="X2" s="178" t="s">
        <v>39</v>
      </c>
      <c r="Y2" s="178" t="s">
        <v>39</v>
      </c>
      <c r="Z2" s="178" t="s">
        <v>39</v>
      </c>
      <c r="AA2" s="178" t="s">
        <v>39</v>
      </c>
      <c r="AB2" s="178" t="s">
        <v>39</v>
      </c>
    </row>
    <row r="3">
      <c r="A3" s="176" t="s">
        <v>118</v>
      </c>
      <c r="B3" s="176" t="s">
        <v>134</v>
      </c>
      <c r="C3" s="180" t="s">
        <v>75</v>
      </c>
      <c r="D3" s="180" t="s">
        <v>2001</v>
      </c>
      <c r="E3" s="178">
        <v>2000.0</v>
      </c>
      <c r="F3" s="178" t="s">
        <v>2002</v>
      </c>
      <c r="G3" s="178">
        <v>5.0</v>
      </c>
      <c r="H3" s="178">
        <v>10.0</v>
      </c>
      <c r="I3" s="178" t="s">
        <v>192</v>
      </c>
      <c r="J3" s="178">
        <v>5.0</v>
      </c>
      <c r="K3" s="178" t="str">
        <f>IFERROR(__xludf.DUMMYFUNCTION("""COMPUTED_VALUE"""),"Alcohol not included")</f>
        <v>Alcohol not included</v>
      </c>
      <c r="L3" s="178" t="str">
        <f>IFERROR(__xludf.DUMMYFUNCTION("""COMPUTED_VALUE"""),"Aruba")</f>
        <v>Aruba</v>
      </c>
      <c r="M3" s="180" t="str">
        <f>IFERROR(__xludf.DUMMYFUNCTION("""COMPUTED_VALUE"""),"Akumal")</f>
        <v>Akumal</v>
      </c>
      <c r="N3" s="180" t="str">
        <f>IFERROR(__xludf.DUMMYFUNCTION("""COMPUTED_VALUE"""),"Aeropuerto Internacional de Zihuatanejo")</f>
        <v>Aeropuerto Internacional de Zihuatanejo</v>
      </c>
      <c r="O3" s="178" t="s">
        <v>2003</v>
      </c>
      <c r="P3" s="181">
        <f>TIME(0,15,0)</f>
        <v>0.01041666667</v>
      </c>
      <c r="Q3" s="180" t="str">
        <f>IFERROR(__xludf.DUMMYFUNCTION("""COMPUTED_VALUE"""),"Atelier Des Hoteles")</f>
        <v>Atelier Des Hoteles</v>
      </c>
      <c r="R3" s="180" t="str">
        <f>IFERROR(__xludf.DUMMYFUNCTION("""COMPUTED_VALUE"""),"Boutique")</f>
        <v>Boutique</v>
      </c>
      <c r="S3" s="180" t="str">
        <f>IFERROR(__xludf.DUMMYFUNCTION("""COMPUTED_VALUE"""),"Adult Pool")</f>
        <v>Adult Pool</v>
      </c>
      <c r="U3" s="180" t="str">
        <f>IFERROR(__xludf.DUMMYFUNCTION("""COMPUTED_VALUE"""),"1 Double or 2 Single")</f>
        <v>1 Double or 2 Single</v>
      </c>
      <c r="W3" s="178" t="s">
        <v>2004</v>
      </c>
      <c r="X3" s="178">
        <v>50.0</v>
      </c>
      <c r="Y3" s="178" t="s">
        <v>2005</v>
      </c>
      <c r="Z3" s="178">
        <v>5.0</v>
      </c>
      <c r="AA3" s="178" t="s">
        <v>2005</v>
      </c>
      <c r="AB3" s="178">
        <v>5.0</v>
      </c>
    </row>
    <row r="4">
      <c r="A4" s="176" t="s">
        <v>1945</v>
      </c>
      <c r="B4" s="176"/>
      <c r="C4" s="180" t="s">
        <v>68</v>
      </c>
      <c r="D4" s="180" t="s">
        <v>2006</v>
      </c>
      <c r="E4" s="178">
        <v>2500.0</v>
      </c>
      <c r="G4" s="178">
        <v>4.0</v>
      </c>
      <c r="H4" s="178">
        <v>9.0</v>
      </c>
      <c r="I4" s="178" t="s">
        <v>314</v>
      </c>
      <c r="J4" s="178">
        <v>4.0</v>
      </c>
      <c r="K4" s="178" t="str">
        <f>IFERROR(__xludf.DUMMYFUNCTION("""COMPUTED_VALUE"""),"Can't Book Kids Online")</f>
        <v>Can't Book Kids Online</v>
      </c>
      <c r="L4" s="178" t="str">
        <f>IFERROR(__xludf.DUMMYFUNCTION("""COMPUTED_VALUE"""),"Bahamas")</f>
        <v>Bahamas</v>
      </c>
      <c r="M4" s="180" t="str">
        <f>IFERROR(__xludf.DUMMYFUNCTION("""COMPUTED_VALUE"""),"Andros")</f>
        <v>Andros</v>
      </c>
      <c r="N4" s="180" t="str">
        <f>IFERROR(__xludf.DUMMYFUNCTION("""COMPUTED_VALUE"""),"Alvarez")</f>
        <v>Alvarez</v>
      </c>
      <c r="O4" s="178" t="s">
        <v>2007</v>
      </c>
      <c r="P4" s="181">
        <f>TIME(0,30,0)</f>
        <v>0.02083333333</v>
      </c>
      <c r="Q4" s="180" t="str">
        <f>IFERROR(__xludf.DUMMYFUNCTION("""COMPUTED_VALUE"""),"Azul")</f>
        <v>Azul</v>
      </c>
      <c r="R4" s="180" t="str">
        <f>IFERROR(__xludf.DUMMYFUNCTION("""COMPUTED_VALUE"""),"Business")</f>
        <v>Business</v>
      </c>
      <c r="S4" s="180" t="str">
        <f>IFERROR(__xludf.DUMMYFUNCTION("""COMPUTED_VALUE"""),"Adults Only Rooms")</f>
        <v>Adults Only Rooms</v>
      </c>
      <c r="U4" s="180" t="str">
        <f>IFERROR(__xludf.DUMMYFUNCTION("""COMPUTED_VALUE"""),"1 King")</f>
        <v>1 King</v>
      </c>
      <c r="W4" s="178" t="s">
        <v>2008</v>
      </c>
      <c r="X4" s="178">
        <v>100.0</v>
      </c>
      <c r="Y4" s="178" t="s">
        <v>2009</v>
      </c>
      <c r="Z4" s="178">
        <v>10.0</v>
      </c>
      <c r="AA4" s="178" t="s">
        <v>2009</v>
      </c>
      <c r="AB4" s="178">
        <v>10.0</v>
      </c>
    </row>
    <row r="5">
      <c r="A5" s="176" t="s">
        <v>1954</v>
      </c>
      <c r="B5" s="176"/>
      <c r="D5" s="180" t="s">
        <v>2010</v>
      </c>
      <c r="E5" s="178">
        <v>3000.0</v>
      </c>
      <c r="G5" s="178">
        <v>3.0</v>
      </c>
      <c r="H5" s="178">
        <v>8.0</v>
      </c>
      <c r="I5" s="178" t="s">
        <v>247</v>
      </c>
      <c r="J5" s="178">
        <v>3.0</v>
      </c>
      <c r="K5" s="178" t="str">
        <f>IFERROR(__xludf.DUMMYFUNCTION("""COMPUTED_VALUE"""),"Children 11+")</f>
        <v>Children 11+</v>
      </c>
      <c r="L5" s="178" t="str">
        <f>IFERROR(__xludf.DUMMYFUNCTION("""COMPUTED_VALUE"""),"Barbados")</f>
        <v>Barbados</v>
      </c>
      <c r="M5" s="180" t="str">
        <f>IFERROR(__xludf.DUMMYFUNCTION("""COMPUTED_VALUE"""),"Antigua")</f>
        <v>Antigua</v>
      </c>
      <c r="N5" s="180" t="str">
        <f>IFERROR(__xludf.DUMMYFUNCTION("""COMPUTED_VALUE"""),"Argyle")</f>
        <v>Argyle</v>
      </c>
      <c r="O5" s="178" t="s">
        <v>2011</v>
      </c>
      <c r="P5" s="181">
        <f>TIME(0,45,0)</f>
        <v>0.03125</v>
      </c>
      <c r="Q5" s="180" t="str">
        <f>IFERROR(__xludf.DUMMYFUNCTION("""COMPUTED_VALUE"""),"Bahia Principe")</f>
        <v>Bahia Principe</v>
      </c>
      <c r="R5" s="180" t="str">
        <f>IFERROR(__xludf.DUMMYFUNCTION("""COMPUTED_VALUE"""),"Centrally Located")</f>
        <v>Centrally Located</v>
      </c>
      <c r="S5" s="180" t="str">
        <f>IFERROR(__xludf.DUMMYFUNCTION("""COMPUTED_VALUE"""),"Arcade")</f>
        <v>Arcade</v>
      </c>
      <c r="U5" s="180" t="str">
        <f>IFERROR(__xludf.DUMMYFUNCTION("""COMPUTED_VALUE"""),"1 King and 1 Bunk Bed")</f>
        <v>1 King and 1 Bunk Bed</v>
      </c>
      <c r="W5" s="178" t="s">
        <v>2012</v>
      </c>
      <c r="X5" s="178">
        <v>250.0</v>
      </c>
      <c r="Y5" s="178" t="s">
        <v>2013</v>
      </c>
      <c r="Z5" s="178">
        <v>25.0</v>
      </c>
      <c r="AA5" s="178" t="s">
        <v>2014</v>
      </c>
      <c r="AB5" s="178">
        <v>15.0</v>
      </c>
    </row>
    <row r="6">
      <c r="A6" s="176" t="s">
        <v>1289</v>
      </c>
      <c r="B6" s="176"/>
      <c r="D6" s="180" t="s">
        <v>2015</v>
      </c>
      <c r="E6" s="178">
        <v>3500.0</v>
      </c>
      <c r="G6" s="178">
        <v>2.0</v>
      </c>
      <c r="H6" s="178">
        <v>7.0</v>
      </c>
      <c r="I6" s="178" t="s">
        <v>492</v>
      </c>
      <c r="J6" s="178">
        <v>2.0</v>
      </c>
      <c r="K6" s="178" t="str">
        <f>IFERROR(__xludf.DUMMYFUNCTION("""COMPUTED_VALUE"""),"Children 12+")</f>
        <v>Children 12+</v>
      </c>
      <c r="L6" s="178" t="str">
        <f>IFERROR(__xludf.DUMMYFUNCTION("""COMPUTED_VALUE"""),"Belize")</f>
        <v>Belize</v>
      </c>
      <c r="M6" s="180" t="str">
        <f>IFERROR(__xludf.DUMMYFUNCTION("""COMPUTED_VALUE"""),"Aruba")</f>
        <v>Aruba</v>
      </c>
      <c r="N6" s="180" t="str">
        <f>IFERROR(__xludf.DUMMYFUNCTION("""COMPUTED_VALUE"""),"Beef Island")</f>
        <v>Beef Island</v>
      </c>
      <c r="O6" s="178" t="s">
        <v>2016</v>
      </c>
      <c r="P6" s="181">
        <f>TIME(1,0,0)</f>
        <v>0.04166666667</v>
      </c>
      <c r="Q6" s="180" t="str">
        <f>IFERROR(__xludf.DUMMYFUNCTION("""COMPUTED_VALUE"""),"Barcelo")</f>
        <v>Barcelo</v>
      </c>
      <c r="R6" s="180" t="str">
        <f>IFERROR(__xludf.DUMMYFUNCTION("""COMPUTED_VALUE"""),"Charming")</f>
        <v>Charming</v>
      </c>
      <c r="S6" s="180" t="str">
        <f>IFERROR(__xludf.DUMMYFUNCTION("""COMPUTED_VALUE"""),"Archery")</f>
        <v>Archery</v>
      </c>
      <c r="U6" s="180" t="str">
        <f>IFERROR(__xludf.DUMMYFUNCTION("""COMPUTED_VALUE"""),"1 King and 1 Double Murphy and 2 Single")</f>
        <v>1 King and 1 Double Murphy and 2 Single</v>
      </c>
      <c r="W6" s="178" t="s">
        <v>2017</v>
      </c>
      <c r="X6" s="178">
        <v>500.0</v>
      </c>
      <c r="Y6" s="178" t="s">
        <v>2018</v>
      </c>
      <c r="Z6" s="178">
        <v>50.0</v>
      </c>
    </row>
    <row r="7">
      <c r="A7" s="176" t="s">
        <v>479</v>
      </c>
      <c r="B7" s="176"/>
      <c r="D7" s="180" t="s">
        <v>2019</v>
      </c>
      <c r="E7" s="178">
        <v>4000.0</v>
      </c>
      <c r="G7" s="178">
        <v>1.0</v>
      </c>
      <c r="H7" s="178">
        <v>6.0</v>
      </c>
      <c r="I7" s="178" t="s">
        <v>955</v>
      </c>
      <c r="J7" s="178">
        <v>1.0</v>
      </c>
      <c r="K7" s="178" t="str">
        <f>IFERROR(__xludf.DUMMYFUNCTION("""COMPUTED_VALUE"""),"Clothing Optional")</f>
        <v>Clothing Optional</v>
      </c>
      <c r="L7" s="178" t="str">
        <f>IFERROR(__xludf.DUMMYFUNCTION("""COMPUTED_VALUE"""),"Bermuda")</f>
        <v>Bermuda</v>
      </c>
      <c r="M7" s="180" t="str">
        <f>IFERROR(__xludf.DUMMYFUNCTION("""COMPUTED_VALUE"""),"Barbados")</f>
        <v>Barbados</v>
      </c>
      <c r="N7" s="180" t="str">
        <f>IFERROR(__xludf.DUMMYFUNCTION("""COMPUTED_VALUE"""),"Bermuda")</f>
        <v>Bermuda</v>
      </c>
      <c r="O7" s="178" t="s">
        <v>2020</v>
      </c>
      <c r="P7" s="181">
        <f>TIME(1,30,0)</f>
        <v>0.0625</v>
      </c>
      <c r="Q7" s="180" t="str">
        <f>IFERROR(__xludf.DUMMYFUNCTION("""COMPUTED_VALUE"""),"Beaches Resorts")</f>
        <v>Beaches Resorts</v>
      </c>
      <c r="R7" s="180" t="str">
        <f>IFERROR(__xludf.DUMMYFUNCTION("""COMPUTED_VALUE"""),"City View")</f>
        <v>City View</v>
      </c>
      <c r="S7" s="180" t="str">
        <f>IFERROR(__xludf.DUMMYFUNCTION("""COMPUTED_VALUE"""),"Babysitting")</f>
        <v>Babysitting</v>
      </c>
      <c r="U7" s="180" t="str">
        <f>IFERROR(__xludf.DUMMYFUNCTION("""COMPUTED_VALUE"""),"1 King and 1 Murphy Bed and 1 Double Sofa Bed")</f>
        <v>1 King and 1 Murphy Bed and 1 Double Sofa Bed</v>
      </c>
      <c r="W7" s="178" t="s">
        <v>2021</v>
      </c>
      <c r="X7" s="178">
        <v>1000.0</v>
      </c>
    </row>
    <row r="8">
      <c r="A8" s="176" t="s">
        <v>990</v>
      </c>
      <c r="B8" s="176"/>
      <c r="D8" s="180" t="s">
        <v>2022</v>
      </c>
      <c r="E8" s="178">
        <v>4500.0</v>
      </c>
      <c r="G8" s="178" t="s">
        <v>1183</v>
      </c>
      <c r="H8" s="178">
        <v>5.0</v>
      </c>
      <c r="I8" s="178" t="s">
        <v>1613</v>
      </c>
      <c r="K8" s="180" t="str">
        <f>IFERROR(__xludf.DUMMYFUNCTION("""COMPUTED_VALUE"""),"Couples Only")</f>
        <v>Couples Only</v>
      </c>
      <c r="L8" s="180" t="str">
        <f>IFERROR(__xludf.DUMMYFUNCTION("""COMPUTED_VALUE"""),"Brazil")</f>
        <v>Brazil</v>
      </c>
      <c r="M8" s="180" t="str">
        <f>IFERROR(__xludf.DUMMYFUNCTION("""COMPUTED_VALUE"""),"Barcelo Maya")</f>
        <v>Barcelo Maya</v>
      </c>
      <c r="N8" s="180" t="str">
        <f>IFERROR(__xludf.DUMMYFUNCTION("""COMPUTED_VALUE"""),"Cancun")</f>
        <v>Cancun</v>
      </c>
      <c r="O8" s="178"/>
      <c r="P8" s="182"/>
      <c r="Q8" s="180" t="str">
        <f>IFERROR(__xludf.DUMMYFUNCTION("""COMPUTED_VALUE"""),"Buena Aventura Hoteles")</f>
        <v>Buena Aventura Hoteles</v>
      </c>
      <c r="R8" s="180" t="str">
        <f>IFERROR(__xludf.DUMMYFUNCTION("""COMPUTED_VALUE"""),"Classic")</f>
        <v>Classic</v>
      </c>
      <c r="S8" s="180" t="str">
        <f>IFERROR(__xludf.DUMMYFUNCTION("""COMPUTED_VALUE"""),"Beach")</f>
        <v>Beach</v>
      </c>
      <c r="U8" s="180" t="str">
        <f>IFERROR(__xludf.DUMMYFUNCTION("""COMPUTED_VALUE"""),"1 King and 1 Queen")</f>
        <v>1 King and 1 Queen</v>
      </c>
      <c r="W8" s="178" t="s">
        <v>2023</v>
      </c>
      <c r="X8" s="178">
        <v>2500.0</v>
      </c>
    </row>
    <row r="9">
      <c r="A9" s="183"/>
      <c r="B9" s="183"/>
      <c r="D9" s="180" t="s">
        <v>2024</v>
      </c>
      <c r="E9" s="178">
        <v>5000.0</v>
      </c>
      <c r="H9" s="178">
        <v>4.0</v>
      </c>
      <c r="J9" s="178"/>
      <c r="K9" s="178" t="str">
        <f>IFERROR(__xludf.DUMMYFUNCTION("""COMPUTED_VALUE"""),"Max 2 per Room")</f>
        <v>Max 2 per Room</v>
      </c>
      <c r="L9" s="178" t="str">
        <f>IFERROR(__xludf.DUMMYFUNCTION("""COMPUTED_VALUE"""),"British Virgin Islands")</f>
        <v>British Virgin Islands</v>
      </c>
      <c r="M9" s="180" t="str">
        <f>IFERROR(__xludf.DUMMYFUNCTION("""COMPUTED_VALUE"""),"Bavaro")</f>
        <v>Bavaro</v>
      </c>
      <c r="N9" s="180" t="str">
        <f>IFERROR(__xludf.DUMMYFUNCTION("""COMPUTED_VALUE"""),"Cayo Coco")</f>
        <v>Cayo Coco</v>
      </c>
      <c r="P9" s="184"/>
      <c r="Q9" s="180" t="str">
        <f>IFERROR(__xludf.DUMMYFUNCTION("""COMPUTED_VALUE"""),"Club Med")</f>
        <v>Club Med</v>
      </c>
      <c r="R9" s="180" t="str">
        <f>IFERROR(__xludf.DUMMYFUNCTION("""COMPUTED_VALUE"""),"Family")</f>
        <v>Family</v>
      </c>
      <c r="S9" s="180" t="str">
        <f>IFERROR(__xludf.DUMMYFUNCTION("""COMPUTED_VALUE"""),"Bicycles Available")</f>
        <v>Bicycles Available</v>
      </c>
      <c r="U9" s="180" t="str">
        <f>IFERROR(__xludf.DUMMYFUNCTION("""COMPUTED_VALUE"""),"1 King and 1 Queen Murphy")</f>
        <v>1 King and 1 Queen Murphy</v>
      </c>
    </row>
    <row r="10">
      <c r="A10" s="183"/>
      <c r="B10" s="183"/>
      <c r="D10" s="180" t="s">
        <v>2025</v>
      </c>
      <c r="E10" s="178">
        <v>5500.0</v>
      </c>
      <c r="G10" s="178"/>
      <c r="H10" s="178">
        <v>3.0</v>
      </c>
      <c r="I10" s="178"/>
      <c r="J10" s="178"/>
      <c r="K10" s="178" t="str">
        <f>IFERROR(__xludf.DUMMYFUNCTION("""COMPUTED_VALUE"""),"Max 3 per Room")</f>
        <v>Max 3 per Room</v>
      </c>
      <c r="L10" s="178" t="str">
        <f>IFERROR(__xludf.DUMMYFUNCTION("""COMPUTED_VALUE"""),"Colombia")</f>
        <v>Colombia</v>
      </c>
      <c r="M10" s="180" t="str">
        <f>IFERROR(__xludf.DUMMYFUNCTION("""COMPUTED_VALUE"""),"Bayahibe")</f>
        <v>Bayahibe</v>
      </c>
      <c r="N10" s="180" t="str">
        <f>IFERROR(__xludf.DUMMYFUNCTION("""COMPUTED_VALUE"""),"Cayo Largo del Sur")</f>
        <v>Cayo Largo del Sur</v>
      </c>
      <c r="O10" s="178"/>
      <c r="P10" s="182"/>
      <c r="Q10" s="180" t="str">
        <f>IFERROR(__xludf.DUMMYFUNCTION("""COMPUTED_VALUE"""),"Couples Resorts")</f>
        <v>Couples Resorts</v>
      </c>
      <c r="R10" s="180" t="str">
        <f>IFERROR(__xludf.DUMMYFUNCTION("""COMPUTED_VALUE"""),"Great View")</f>
        <v>Great View</v>
      </c>
      <c r="S10" s="180" t="str">
        <f>IFERROR(__xludf.DUMMYFUNCTION("""COMPUTED_VALUE"""),"Big Waterslides")</f>
        <v>Big Waterslides</v>
      </c>
      <c r="U10" s="180" t="str">
        <f>IFERROR(__xludf.DUMMYFUNCTION("""COMPUTED_VALUE"""),"1 King and 1 Queen Murphy Bed")</f>
        <v>1 King and 1 Queen Murphy Bed</v>
      </c>
    </row>
    <row r="11">
      <c r="A11" s="183"/>
      <c r="B11" s="183"/>
      <c r="D11" s="180" t="s">
        <v>2026</v>
      </c>
      <c r="E11" s="178">
        <v>6000.0</v>
      </c>
      <c r="G11" s="178"/>
      <c r="H11" s="178">
        <v>2.0</v>
      </c>
      <c r="I11" s="178"/>
      <c r="J11" s="178"/>
      <c r="K11" s="178" t="str">
        <f>IFERROR(__xludf.DUMMYFUNCTION("""COMPUTED_VALUE"""),"No AC or Pool")</f>
        <v>No AC or Pool</v>
      </c>
      <c r="L11" s="178" t="str">
        <f>IFERROR(__xludf.DUMMYFUNCTION("""COMPUTED_VALUE"""),"Costa Rica")</f>
        <v>Costa Rica</v>
      </c>
      <c r="M11" s="180" t="str">
        <f>IFERROR(__xludf.DUMMYFUNCTION("""COMPUTED_VALUE"""),"Big Ambergris Cay")</f>
        <v>Big Ambergris Cay</v>
      </c>
      <c r="N11" s="180" t="str">
        <f>IFERROR(__xludf.DUMMYFUNCTION("""COMPUTED_VALUE"""),"Chetumal")</f>
        <v>Chetumal</v>
      </c>
      <c r="O11" s="178"/>
      <c r="P11" s="182"/>
      <c r="Q11" s="180" t="str">
        <f>IFERROR(__xludf.DUMMYFUNCTION("""COMPUTED_VALUE"""),"Design Hotels")</f>
        <v>Design Hotels</v>
      </c>
      <c r="R11" s="180" t="str">
        <f>IFERROR(__xludf.DUMMYFUNCTION("""COMPUTED_VALUE"""),"Green")</f>
        <v>Green</v>
      </c>
      <c r="S11" s="180" t="str">
        <f>IFERROR(__xludf.DUMMYFUNCTION("""COMPUTED_VALUE"""),"Buffet")</f>
        <v>Buffet</v>
      </c>
      <c r="U11" s="180" t="str">
        <f>IFERROR(__xludf.DUMMYFUNCTION("""COMPUTED_VALUE"""),"1 King and 1 Queen Sofa Bed")</f>
        <v>1 King and 1 Queen Sofa Bed</v>
      </c>
    </row>
    <row r="12">
      <c r="A12" s="183"/>
      <c r="B12" s="183"/>
      <c r="D12" s="180" t="s">
        <v>2027</v>
      </c>
      <c r="E12" s="178">
        <v>6500.0</v>
      </c>
      <c r="G12" s="178"/>
      <c r="H12" s="178">
        <v>1.0</v>
      </c>
      <c r="I12" s="178"/>
      <c r="J12" s="178"/>
      <c r="K12" s="178" t="str">
        <f>IFERROR(__xludf.DUMMYFUNCTION("""COMPUTED_VALUE"""),"No Alcohol")</f>
        <v>No Alcohol</v>
      </c>
      <c r="L12" s="178" t="str">
        <f>IFERROR(__xludf.DUMMYFUNCTION("""COMPUTED_VALUE"""),"Cuba")</f>
        <v>Cuba</v>
      </c>
      <c r="M12" s="180" t="str">
        <f>IFERROR(__xludf.DUMMYFUNCTION("""COMPUTED_VALUE"""),"Bluefields")</f>
        <v>Bluefields</v>
      </c>
      <c r="N12" s="180" t="str">
        <f>IFERROR(__xludf.DUMMYFUNCTION("""COMPUTED_VALUE"""),"Cozumel")</f>
        <v>Cozumel</v>
      </c>
      <c r="O12" s="178"/>
      <c r="P12" s="182"/>
      <c r="Q12" s="180" t="str">
        <f>IFERROR(__xludf.DUMMYFUNCTION("""COMPUTED_VALUE"""),"Desire")</f>
        <v>Desire</v>
      </c>
      <c r="R12" s="180" t="str">
        <f>IFERROR(__xludf.DUMMYFUNCTION("""COMPUTED_VALUE"""),"Harbour View")</f>
        <v>Harbour View</v>
      </c>
      <c r="S12" s="180" t="str">
        <f>IFERROR(__xludf.DUMMYFUNCTION("""COMPUTED_VALUE"""),"Casino")</f>
        <v>Casino</v>
      </c>
      <c r="U12" s="180" t="str">
        <f>IFERROR(__xludf.DUMMYFUNCTION("""COMPUTED_VALUE"""),"1 King and 1 Queen Sofa Bed or 2 Queen")</f>
        <v>1 King and 1 Queen Sofa Bed or 2 Queen</v>
      </c>
    </row>
    <row r="13">
      <c r="A13" s="183"/>
      <c r="B13" s="183"/>
      <c r="D13" s="180" t="s">
        <v>2028</v>
      </c>
      <c r="E13" s="178">
        <v>7000.0</v>
      </c>
      <c r="G13" s="178"/>
      <c r="I13" s="178"/>
      <c r="J13" s="178"/>
      <c r="K13" s="178" t="str">
        <f>IFERROR(__xludf.DUMMYFUNCTION("""COMPUTED_VALUE"""),"No TV")</f>
        <v>No TV</v>
      </c>
      <c r="L13" s="178" t="str">
        <f>IFERROR(__xludf.DUMMYFUNCTION("""COMPUTED_VALUE"""),"Curaçao")</f>
        <v>Curaçao</v>
      </c>
      <c r="M13" s="180" t="str">
        <f>IFERROR(__xludf.DUMMYFUNCTION("""COMPUTED_VALUE"""),"Bolans")</f>
        <v>Bolans</v>
      </c>
      <c r="N13" s="180" t="str">
        <f>IFERROR(__xludf.DUMMYFUNCTION("""COMPUTED_VALUE"""),"Gen Rafael Buelna")</f>
        <v>Gen Rafael Buelna</v>
      </c>
      <c r="O13" s="178"/>
      <c r="P13" s="182"/>
      <c r="Q13" s="180" t="str">
        <f>IFERROR(__xludf.DUMMYFUNCTION("""COMPUTED_VALUE"""),"Divi")</f>
        <v>Divi</v>
      </c>
      <c r="R13" s="180" t="str">
        <f>IFERROR(__xludf.DUMMYFUNCTION("""COMPUTED_VALUE"""),"Hidden Gem")</f>
        <v>Hidden Gem</v>
      </c>
      <c r="S13" s="180" t="str">
        <f>IFERROR(__xludf.DUMMYFUNCTION("""COMPUTED_VALUE"""),"Diving")</f>
        <v>Diving</v>
      </c>
      <c r="U13" s="180" t="str">
        <f>IFERROR(__xludf.DUMMYFUNCTION("""COMPUTED_VALUE"""),"1 King and 1 Sofa Bed")</f>
        <v>1 King and 1 Sofa Bed</v>
      </c>
    </row>
    <row r="14">
      <c r="A14" s="183"/>
      <c r="B14" s="183"/>
      <c r="D14" s="180" t="s">
        <v>2029</v>
      </c>
      <c r="E14" s="178">
        <v>7500.0</v>
      </c>
      <c r="G14" s="178"/>
      <c r="H14" s="178"/>
      <c r="I14" s="178"/>
      <c r="J14" s="178"/>
      <c r="K14" s="178" t="str">
        <f>IFERROR(__xludf.DUMMYFUNCTION("""COMPUTED_VALUE"""),"Non Refundable")</f>
        <v>Non Refundable</v>
      </c>
      <c r="L14" s="178" t="str">
        <f>IFERROR(__xludf.DUMMYFUNCTION("""COMPUTED_VALUE"""),"Dominican Republic")</f>
        <v>Dominican Republic</v>
      </c>
      <c r="M14" s="180" t="str">
        <f>IFERROR(__xludf.DUMMYFUNCTION("""COMPUTED_VALUE"""),"Brasilito")</f>
        <v>Brasilito</v>
      </c>
      <c r="N14" s="180" t="str">
        <f>IFERROR(__xludf.DUMMYFUNCTION("""COMPUTED_VALUE"""),"Grantley Adams")</f>
        <v>Grantley Adams</v>
      </c>
      <c r="O14" s="178"/>
      <c r="P14" s="182"/>
      <c r="Q14" s="180" t="str">
        <f>IFERROR(__xludf.DUMMYFUNCTION("""COMPUTED_VALUE"""),"El Cid Resorts")</f>
        <v>El Cid Resorts</v>
      </c>
      <c r="R14" s="180" t="str">
        <f>IFERROR(__xludf.DUMMYFUNCTION("""COMPUTED_VALUE"""),"Historic Hotel")</f>
        <v>Historic Hotel</v>
      </c>
      <c r="S14" s="180" t="str">
        <f>IFERROR(__xludf.DUMMYFUNCTION("""COMPUTED_VALUE"""),"Evening Entertainment")</f>
        <v>Evening Entertainment</v>
      </c>
      <c r="U14" s="180" t="str">
        <f>IFERROR(__xludf.DUMMYFUNCTION("""COMPUTED_VALUE"""),"1 King and 1 Sofa Bed or 2 Queen")</f>
        <v>1 King and 1 Sofa Bed or 2 Queen</v>
      </c>
    </row>
    <row r="15">
      <c r="A15" s="183"/>
      <c r="B15" s="183"/>
      <c r="D15" s="180" t="s">
        <v>2030</v>
      </c>
      <c r="E15" s="178">
        <v>8000.0</v>
      </c>
      <c r="G15" s="178"/>
      <c r="H15" s="178"/>
      <c r="I15" s="178"/>
      <c r="J15" s="178"/>
      <c r="K15" s="178" t="str">
        <f>IFERROR(__xludf.DUMMYFUNCTION("""COMPUTED_VALUE"""),"Nude Areas")</f>
        <v>Nude Areas</v>
      </c>
      <c r="L15" s="178" t="str">
        <f>IFERROR(__xludf.DUMMYFUNCTION("""COMPUTED_VALUE"""),"Grand Cayman")</f>
        <v>Grand Cayman</v>
      </c>
      <c r="M15" s="180" t="str">
        <f>IFERROR(__xludf.DUMMYFUNCTION("""COMPUTED_VALUE"""),"Buccament")</f>
        <v>Buccament</v>
      </c>
      <c r="N15" s="180" t="str">
        <f>IFERROR(__xludf.DUMMYFUNCTION("""COMPUTED_VALUE"""),"Guararapes")</f>
        <v>Guararapes</v>
      </c>
      <c r="O15" s="178"/>
      <c r="P15" s="182"/>
      <c r="Q15" s="180" t="str">
        <f>IFERROR(__xludf.DUMMYFUNCTION("""COMPUTED_VALUE"""),"Emporio Hotels &amp; Resorts")</f>
        <v>Emporio Hotels &amp; Resorts</v>
      </c>
      <c r="R15" s="180" t="str">
        <f>IFERROR(__xludf.DUMMYFUNCTION("""COMPUTED_VALUE"""),"Lagoon View")</f>
        <v>Lagoon View</v>
      </c>
      <c r="S15" s="180" t="str">
        <f>IFERROR(__xludf.DUMMYFUNCTION("""COMPUTED_VALUE"""),"Family Suite")</f>
        <v>Family Suite</v>
      </c>
      <c r="U15" s="180" t="str">
        <f>IFERROR(__xludf.DUMMYFUNCTION("""COMPUTED_VALUE"""),"1 King and 1 Twin")</f>
        <v>1 King and 1 Twin</v>
      </c>
    </row>
    <row r="16">
      <c r="A16" s="183"/>
      <c r="B16" s="183"/>
      <c r="D16" s="180" t="s">
        <v>2031</v>
      </c>
      <c r="E16" s="178">
        <v>8500.0</v>
      </c>
      <c r="G16" s="178"/>
      <c r="H16" s="178"/>
      <c r="I16" s="178"/>
      <c r="J16" s="178"/>
      <c r="K16" s="178" t="str">
        <f>IFERROR(__xludf.DUMMYFUNCTION("""COMPUTED_VALUE"""),"Optional Topless Areas")</f>
        <v>Optional Topless Areas</v>
      </c>
      <c r="L16" s="178" t="str">
        <f>IFERROR(__xludf.DUMMYFUNCTION("""COMPUTED_VALUE"""),"Grenada")</f>
        <v>Grenada</v>
      </c>
      <c r="M16" s="180" t="str">
        <f>IFERROR(__xludf.DUMMYFUNCTION("""COMPUTED_VALUE"""),"Buck Island")</f>
        <v>Buck Island</v>
      </c>
      <c r="N16" s="180" t="str">
        <f>IFERROR(__xludf.DUMMYFUNCTION("""COMPUTED_VALUE"""),"Hewanorra")</f>
        <v>Hewanorra</v>
      </c>
      <c r="O16" s="178"/>
      <c r="P16" s="182"/>
      <c r="Q16" s="180" t="str">
        <f>IFERROR(__xludf.DUMMYFUNCTION("""COMPUTED_VALUE"""),"Fairmont")</f>
        <v>Fairmont</v>
      </c>
      <c r="R16" s="180" t="str">
        <f>IFERROR(__xludf.DUMMYFUNCTION("""COMPUTED_VALUE"""),"Luxury")</f>
        <v>Luxury</v>
      </c>
      <c r="S16" s="180" t="str">
        <f>IFERROR(__xludf.DUMMYFUNCTION("""COMPUTED_VALUE"""),"Fishing")</f>
        <v>Fishing</v>
      </c>
      <c r="U16" s="180" t="str">
        <f>IFERROR(__xludf.DUMMYFUNCTION("""COMPUTED_VALUE"""),"1 King and 2 Queen Sofa Bed")</f>
        <v>1 King and 2 Queen Sofa Bed</v>
      </c>
    </row>
    <row r="17">
      <c r="A17" s="183"/>
      <c r="B17" s="183"/>
      <c r="D17" s="180" t="s">
        <v>2032</v>
      </c>
      <c r="E17" s="178">
        <v>9000.0</v>
      </c>
      <c r="G17" s="178"/>
      <c r="H17" s="178"/>
      <c r="I17" s="178"/>
      <c r="J17" s="178"/>
      <c r="K17" s="178" t="str">
        <f>IFERROR(__xludf.DUMMYFUNCTION("""COMPUTED_VALUE"""),"Vegan")</f>
        <v>Vegan</v>
      </c>
      <c r="L17" s="178" t="str">
        <f>IFERROR(__xludf.DUMMYFUNCTION("""COMPUTED_VALUE"""),"Honduras")</f>
        <v>Honduras</v>
      </c>
      <c r="M17" s="180" t="str">
        <f>IFERROR(__xludf.DUMMYFUNCTION("""COMPUTED_VALUE"""),"Cabeza De Toro")</f>
        <v>Cabeza De Toro</v>
      </c>
      <c r="N17" s="180" t="str">
        <f>IFERROR(__xludf.DUMMYFUNCTION("""COMPUTED_VALUE"""),"Holguin")</f>
        <v>Holguin</v>
      </c>
      <c r="O17" s="178"/>
      <c r="P17" s="182"/>
      <c r="Q17" s="180" t="str">
        <f>IFERROR(__xludf.DUMMYFUNCTION("""COMPUTED_VALUE"""),"Fiesta Americana Travelty")</f>
        <v>Fiesta Americana Travelty</v>
      </c>
      <c r="R17" s="180" t="str">
        <f>IFERROR(__xludf.DUMMYFUNCTION("""COMPUTED_VALUE"""),"Magnificent View")</f>
        <v>Magnificent View</v>
      </c>
      <c r="S17" s="180" t="str">
        <f>IFERROR(__xludf.DUMMYFUNCTION("""COMPUTED_VALUE"""),"Flowrider")</f>
        <v>Flowrider</v>
      </c>
      <c r="U17" s="180" t="str">
        <f>IFERROR(__xludf.DUMMYFUNCTION("""COMPUTED_VALUE"""),"1 King and 2 Single")</f>
        <v>1 King and 2 Single</v>
      </c>
    </row>
    <row r="18">
      <c r="A18" s="183"/>
      <c r="B18" s="183"/>
      <c r="D18" s="180" t="s">
        <v>2033</v>
      </c>
      <c r="E18" s="178">
        <v>9500.0</v>
      </c>
      <c r="G18" s="178"/>
      <c r="H18" s="178"/>
      <c r="I18" s="178"/>
      <c r="J18" s="178"/>
      <c r="K18" s="178"/>
      <c r="L18" s="178" t="str">
        <f>IFERROR(__xludf.DUMMYFUNCTION("""COMPUTED_VALUE"""),"Jamaica")</f>
        <v>Jamaica</v>
      </c>
      <c r="M18" s="180" t="str">
        <f>IFERROR(__xludf.DUMMYFUNCTION("""COMPUTED_VALUE"""),"Cabo San Lucas")</f>
        <v>Cabo San Lucas</v>
      </c>
      <c r="N18" s="180" t="str">
        <f>IFERROR(__xludf.DUMMYFUNCTION("""COMPUTED_VALUE"""),"Huatulco")</f>
        <v>Huatulco</v>
      </c>
      <c r="O18" s="178"/>
      <c r="P18" s="182"/>
      <c r="Q18" s="180" t="str">
        <f>IFERROR(__xludf.DUMMYFUNCTION("""COMPUTED_VALUE"""),"H10 Hotels")</f>
        <v>H10 Hotels</v>
      </c>
      <c r="R18" s="180" t="str">
        <f>IFERROR(__xludf.DUMMYFUNCTION("""COMPUTED_VALUE"""),"Marina View")</f>
        <v>Marina View</v>
      </c>
      <c r="S18" s="180" t="str">
        <f>IFERROR(__xludf.DUMMYFUNCTION("""COMPUTED_VALUE"""),"Golf Course")</f>
        <v>Golf Course</v>
      </c>
      <c r="U18" s="180" t="str">
        <f>IFERROR(__xludf.DUMMYFUNCTION("""COMPUTED_VALUE"""),"1 King and 2 Single Murphy")</f>
        <v>1 King and 2 Single Murphy</v>
      </c>
    </row>
    <row r="19">
      <c r="A19" s="183"/>
      <c r="B19" s="183"/>
      <c r="D19" s="180" t="s">
        <v>2034</v>
      </c>
      <c r="E19" s="178">
        <v>10000.0</v>
      </c>
      <c r="G19" s="178"/>
      <c r="H19" s="178"/>
      <c r="I19" s="178"/>
      <c r="J19" s="178"/>
      <c r="K19" s="178"/>
      <c r="L19" s="178" t="str">
        <f>IFERROR(__xludf.DUMMYFUNCTION("""COMPUTED_VALUE"""),"Martinique")</f>
        <v>Martinique</v>
      </c>
      <c r="M19" s="180" t="str">
        <f>IFERROR(__xludf.DUMMYFUNCTION("""COMPUTED_VALUE"""),"Cancun")</f>
        <v>Cancun</v>
      </c>
      <c r="N19" s="180" t="str">
        <f>IFERROR(__xludf.DUMMYFUNCTION("""COMPUTED_VALUE"""),"Ixtapa-Zihuatanejo")</f>
        <v>Ixtapa-Zihuatanejo</v>
      </c>
      <c r="O19" s="178"/>
      <c r="P19" s="182"/>
      <c r="Q19" s="180" t="str">
        <f>IFERROR(__xludf.DUMMYFUNCTION("""COMPUTED_VALUE"""),"Hard Rock Hotels")</f>
        <v>Hard Rock Hotels</v>
      </c>
      <c r="R19" s="180" t="str">
        <f>IFERROR(__xludf.DUMMYFUNCTION("""COMPUTED_VALUE"""),"Mid-Range")</f>
        <v>Mid-Range</v>
      </c>
      <c r="S19" s="180" t="str">
        <f>IFERROR(__xludf.DUMMYFUNCTION("""COMPUTED_VALUE"""),"Great Beach")</f>
        <v>Great Beach</v>
      </c>
      <c r="U19" s="180" t="str">
        <f>IFERROR(__xludf.DUMMYFUNCTION("""COMPUTED_VALUE"""),"1 King and 2 Twin")</f>
        <v>1 King and 2 Twin</v>
      </c>
    </row>
    <row r="20">
      <c r="A20" s="183"/>
      <c r="B20" s="183"/>
      <c r="D20" s="180" t="s">
        <v>2035</v>
      </c>
      <c r="E20" s="178">
        <v>10500.0</v>
      </c>
      <c r="G20" s="178"/>
      <c r="H20" s="178"/>
      <c r="I20" s="178"/>
      <c r="J20" s="178"/>
      <c r="K20" s="178"/>
      <c r="L20" s="178" t="str">
        <f>IFERROR(__xludf.DUMMYFUNCTION("""COMPUTED_VALUE"""),"Mexico")</f>
        <v>Mexico</v>
      </c>
      <c r="M20" s="180" t="str">
        <f>IFERROR(__xludf.DUMMYFUNCTION("""COMPUTED_VALUE"""),"Cap Cana")</f>
        <v>Cap Cana</v>
      </c>
      <c r="N20" s="180" t="str">
        <f>IFERROR(__xludf.DUMMYFUNCTION("""COMPUTED_VALUE"""),"Key West")</f>
        <v>Key West</v>
      </c>
      <c r="O20" s="178"/>
      <c r="P20" s="182"/>
      <c r="Q20" s="180" t="str">
        <f>IFERROR(__xludf.DUMMYFUNCTION("""COMPUTED_VALUE"""),"Hilton")</f>
        <v>Hilton</v>
      </c>
      <c r="R20" s="180" t="str">
        <f>IFERROR(__xludf.DUMMYFUNCTION("""COMPUTED_VALUE"""),"Modern")</f>
        <v>Modern</v>
      </c>
      <c r="S20" s="180" t="str">
        <f>IFERROR(__xludf.DUMMYFUNCTION("""COMPUTED_VALUE"""),"Great Food")</f>
        <v>Great Food</v>
      </c>
      <c r="U20" s="180" t="str">
        <f>IFERROR(__xludf.DUMMYFUNCTION("""COMPUTED_VALUE"""),"1 King and 2 Twin Murphy Beds")</f>
        <v>1 King and 2 Twin Murphy Beds</v>
      </c>
    </row>
    <row r="21">
      <c r="A21" s="183"/>
      <c r="B21" s="183"/>
      <c r="D21" s="180" t="s">
        <v>2036</v>
      </c>
      <c r="E21" s="178">
        <v>11000.0</v>
      </c>
      <c r="G21" s="178"/>
      <c r="H21" s="178"/>
      <c r="I21" s="178"/>
      <c r="J21" s="178"/>
      <c r="K21" s="178"/>
      <c r="L21" s="178" t="str">
        <f>IFERROR(__xludf.DUMMYFUNCTION("""COMPUTED_VALUE"""),"Saint Lucia")</f>
        <v>Saint Lucia</v>
      </c>
      <c r="M21" s="180" t="str">
        <f>IFERROR(__xludf.DUMMYFUNCTION("""COMPUTED_VALUE"""),"Cap Estate")</f>
        <v>Cap Estate</v>
      </c>
      <c r="N21" s="180" t="str">
        <f>IFERROR(__xludf.DUMMYFUNCTION("""COMPUTED_VALUE"""),"Lamentin")</f>
        <v>Lamentin</v>
      </c>
      <c r="O21" s="178"/>
      <c r="P21" s="182"/>
      <c r="Q21" s="180" t="str">
        <f>IFERROR(__xludf.DUMMYFUNCTION("""COMPUTED_VALUE"""),"Hodelpa Hotels")</f>
        <v>Hodelpa Hotels</v>
      </c>
      <c r="R21" s="180" t="str">
        <f>IFERROR(__xludf.DUMMYFUNCTION("""COMPUTED_VALUE"""),"Mountain View")</f>
        <v>Mountain View</v>
      </c>
      <c r="S21" s="180" t="str">
        <f>IFERROR(__xludf.DUMMYFUNCTION("""COMPUTED_VALUE"""),"Great for Parties")</f>
        <v>Great for Parties</v>
      </c>
      <c r="U21" s="180" t="str">
        <f>IFERROR(__xludf.DUMMYFUNCTION("""COMPUTED_VALUE"""),"1 King and 3 Bunk Beds or 2 Double and 1 Sofa Bed")</f>
        <v>1 King and 3 Bunk Beds or 2 Double and 1 Sofa Bed</v>
      </c>
    </row>
    <row r="22">
      <c r="A22" s="183"/>
      <c r="B22" s="183"/>
      <c r="D22" s="180" t="s">
        <v>2037</v>
      </c>
      <c r="E22" s="178">
        <v>11500.0</v>
      </c>
      <c r="G22" s="178"/>
      <c r="H22" s="178"/>
      <c r="I22" s="178"/>
      <c r="J22" s="178"/>
      <c r="K22" s="178"/>
      <c r="L22" s="178" t="str">
        <f>IFERROR(__xludf.DUMMYFUNCTION("""COMPUTED_VALUE"""),"St Maarten")</f>
        <v>St Maarten</v>
      </c>
      <c r="M22" s="180" t="str">
        <f>IFERROR(__xludf.DUMMYFUNCTION("""COMPUTED_VALUE"""),"Caracol")</f>
        <v>Caracol</v>
      </c>
      <c r="N22" s="180" t="str">
        <f>IFERROR(__xludf.DUMMYFUNCTION("""COMPUTED_VALUE"""),"Liberia")</f>
        <v>Liberia</v>
      </c>
      <c r="O22" s="178"/>
      <c r="P22" s="182"/>
      <c r="Q22" s="180" t="str">
        <f>IFERROR(__xludf.DUMMYFUNCTION("""COMPUTED_VALUE"""),"Hoteles Catalonia")</f>
        <v>Hoteles Catalonia</v>
      </c>
      <c r="R22" s="180" t="str">
        <f>IFERROR(__xludf.DUMMYFUNCTION("""COMPUTED_VALUE"""),"Ocean View")</f>
        <v>Ocean View</v>
      </c>
      <c r="S22" s="180" t="str">
        <f>IFERROR(__xludf.DUMMYFUNCTION("""COMPUTED_VALUE"""),"Gym")</f>
        <v>Gym</v>
      </c>
      <c r="U22" s="180" t="str">
        <f>IFERROR(__xludf.DUMMYFUNCTION("""COMPUTED_VALUE"""),"1 King and 3 Twin")</f>
        <v>1 King and 3 Twin</v>
      </c>
    </row>
    <row r="23">
      <c r="A23" s="183"/>
      <c r="B23" s="183"/>
      <c r="D23" s="180" t="s">
        <v>2038</v>
      </c>
      <c r="E23" s="178">
        <v>12000.0</v>
      </c>
      <c r="G23" s="178"/>
      <c r="H23" s="178"/>
      <c r="I23" s="178"/>
      <c r="J23" s="178"/>
      <c r="K23" s="178"/>
      <c r="L23" s="178" t="str">
        <f>IFERROR(__xludf.DUMMYFUNCTION("""COMPUTED_VALUE"""),"St Vincent")</f>
        <v>St Vincent</v>
      </c>
      <c r="M23" s="180" t="str">
        <f>IFERROR(__xludf.DUMMYFUNCTION("""COMPUTED_VALUE"""),"Cartagena")</f>
        <v>Cartagena</v>
      </c>
      <c r="N23" s="180" t="str">
        <f>IFERROR(__xludf.DUMMYFUNCTION("""COMPUTED_VALUE"""),"Loreto")</f>
        <v>Loreto</v>
      </c>
      <c r="O23" s="178"/>
      <c r="P23" s="182"/>
      <c r="Q23" s="180" t="str">
        <f>IFERROR(__xludf.DUMMYFUNCTION("""COMPUTED_VALUE"""),"Hoteles Xcaret")</f>
        <v>Hoteles Xcaret</v>
      </c>
      <c r="R23" s="180" t="str">
        <f>IFERROR(__xludf.DUMMYFUNCTION("""COMPUTED_VALUE"""),"Park View")</f>
        <v>Park View</v>
      </c>
      <c r="S23" s="180" t="str">
        <f>IFERROR(__xludf.DUMMYFUNCTION("""COMPUTED_VALUE"""),"Heated Pool")</f>
        <v>Heated Pool</v>
      </c>
      <c r="U23" s="180" t="str">
        <f>IFERROR(__xludf.DUMMYFUNCTION("""COMPUTED_VALUE"""),"1 King and Sofa Bed or 2 Double")</f>
        <v>1 King and Sofa Bed or 2 Double</v>
      </c>
    </row>
    <row r="24">
      <c r="A24" s="183"/>
      <c r="B24" s="183"/>
      <c r="D24" s="180" t="s">
        <v>2039</v>
      </c>
      <c r="E24" s="178">
        <v>12500.0</v>
      </c>
      <c r="G24" s="178"/>
      <c r="H24" s="178"/>
      <c r="I24" s="178"/>
      <c r="J24" s="178"/>
      <c r="K24" s="178"/>
      <c r="L24" s="178" t="str">
        <f>IFERROR(__xludf.DUMMYFUNCTION("""COMPUTED_VALUE"""),"Turks and Caicos")</f>
        <v>Turks and Caicos</v>
      </c>
      <c r="M24" s="180" t="str">
        <f>IFERROR(__xludf.DUMMYFUNCTION("""COMPUTED_VALUE"""),"Castries")</f>
        <v>Castries</v>
      </c>
      <c r="N24" s="180" t="str">
        <f>IFERROR(__xludf.DUMMYFUNCTION("""COMPUTED_VALUE"""),"Los Cabos")</f>
        <v>Los Cabos</v>
      </c>
      <c r="O24" s="178"/>
      <c r="P24" s="182"/>
      <c r="Q24" s="180" t="str">
        <f>IFERROR(__xludf.DUMMYFUNCTION("""COMPUTED_VALUE"""),"Hyatt")</f>
        <v>Hyatt</v>
      </c>
      <c r="R24" s="180" t="str">
        <f>IFERROR(__xludf.DUMMYFUNCTION("""COMPUTED_VALUE"""),"Quaint")</f>
        <v>Quaint</v>
      </c>
      <c r="S24" s="180" t="str">
        <f>IFERROR(__xludf.DUMMYFUNCTION("""COMPUTED_VALUE"""),"Hiking")</f>
        <v>Hiking</v>
      </c>
      <c r="U24" s="180" t="str">
        <f>IFERROR(__xludf.DUMMYFUNCTION("""COMPUTED_VALUE"""),"1 King and Sofa Bed or 2 Queen")</f>
        <v>1 King and Sofa Bed or 2 Queen</v>
      </c>
    </row>
    <row r="25">
      <c r="A25" s="183"/>
      <c r="B25" s="183"/>
      <c r="D25" s="180" t="s">
        <v>2040</v>
      </c>
      <c r="E25" s="178">
        <v>13000.0</v>
      </c>
      <c r="G25" s="178"/>
      <c r="H25" s="178"/>
      <c r="I25" s="178"/>
      <c r="J25" s="178"/>
      <c r="K25" s="178"/>
      <c r="L25" s="178" t="str">
        <f>IFERROR(__xludf.DUMMYFUNCTION("""COMPUTED_VALUE"""),"United States")</f>
        <v>United States</v>
      </c>
      <c r="M25" s="180" t="str">
        <f>IFERROR(__xludf.DUMMYFUNCTION("""COMPUTED_VALUE"""),"Cayo Coco")</f>
        <v>Cayo Coco</v>
      </c>
      <c r="N25" s="180" t="str">
        <f>IFERROR(__xludf.DUMMYFUNCTION("""COMPUTED_VALUE"""),"Lynden Pindling")</f>
        <v>Lynden Pindling</v>
      </c>
      <c r="O25" s="178"/>
      <c r="P25" s="182"/>
      <c r="Q25" s="180" t="str">
        <f>IFERROR(__xludf.DUMMYFUNCTION("""COMPUTED_VALUE"""),"Iberostar")</f>
        <v>Iberostar</v>
      </c>
      <c r="R25" s="180" t="str">
        <f>IFERROR(__xludf.DUMMYFUNCTION("""COMPUTED_VALUE"""),"Quiet")</f>
        <v>Quiet</v>
      </c>
      <c r="S25" s="180" t="str">
        <f>IFERROR(__xludf.DUMMYFUNCTION("""COMPUTED_VALUE"""),"Horseback Riding")</f>
        <v>Horseback Riding</v>
      </c>
      <c r="U25" s="180" t="str">
        <f>IFERROR(__xludf.DUMMYFUNCTION("""COMPUTED_VALUE"""),"1 King or 1 Queen")</f>
        <v>1 King or 1 Queen</v>
      </c>
    </row>
    <row r="26">
      <c r="A26" s="183"/>
      <c r="B26" s="183"/>
      <c r="D26" s="180" t="s">
        <v>2041</v>
      </c>
      <c r="E26" s="178">
        <v>13500.0</v>
      </c>
      <c r="G26" s="178"/>
      <c r="H26" s="178"/>
      <c r="I26" s="178"/>
      <c r="J26" s="178"/>
      <c r="K26" s="178"/>
      <c r="L26" s="178"/>
      <c r="M26" s="180" t="str">
        <f>IFERROR(__xludf.DUMMYFUNCTION("""COMPUTED_VALUE"""),"Cayo Ensenachos")</f>
        <v>Cayo Ensenachos</v>
      </c>
      <c r="N26" s="180" t="str">
        <f>IFERROR(__xludf.DUMMYFUNCTION("""COMPUTED_VALUE"""),"Manzanillo")</f>
        <v>Manzanillo</v>
      </c>
      <c r="O26" s="178"/>
      <c r="P26" s="182"/>
      <c r="Q26" s="180" t="str">
        <f>IFERROR(__xludf.DUMMYFUNCTION("""COMPUTED_VALUE"""),"IHG")</f>
        <v>IHG</v>
      </c>
      <c r="R26" s="180" t="str">
        <f>IFERROR(__xludf.DUMMYFUNCTION("""COMPUTED_VALUE"""),"Residential Neighborhood")</f>
        <v>Residential Neighborhood</v>
      </c>
      <c r="S26" s="180" t="str">
        <f>IFERROR(__xludf.DUMMYFUNCTION("""COMPUTED_VALUE"""),"Kids Club")</f>
        <v>Kids Club</v>
      </c>
      <c r="U26" s="180" t="str">
        <f>IFERROR(__xludf.DUMMYFUNCTION("""COMPUTED_VALUE"""),"1 King or 2 Double")</f>
        <v>1 King or 2 Double</v>
      </c>
    </row>
    <row r="27">
      <c r="A27" s="183"/>
      <c r="B27" s="183"/>
      <c r="D27" s="180" t="s">
        <v>2042</v>
      </c>
      <c r="E27" s="178">
        <v>14000.0</v>
      </c>
      <c r="G27" s="178"/>
      <c r="H27" s="178"/>
      <c r="I27" s="178"/>
      <c r="J27" s="178"/>
      <c r="K27" s="178"/>
      <c r="L27" s="178"/>
      <c r="M27" s="180" t="str">
        <f>IFERROR(__xludf.DUMMYFUNCTION("""COMPUTED_VALUE"""),"Cayo Guillermo")</f>
        <v>Cayo Guillermo</v>
      </c>
      <c r="N27" s="180" t="str">
        <f>IFERROR(__xludf.DUMMYFUNCTION("""COMPUTED_VALUE"""),"Mazatlan")</f>
        <v>Mazatlan</v>
      </c>
      <c r="O27" s="178"/>
      <c r="P27" s="182"/>
      <c r="Q27" s="180" t="str">
        <f>IFERROR(__xludf.DUMMYFUNCTION("""COMPUTED_VALUE"""),"Karisma")</f>
        <v>Karisma</v>
      </c>
      <c r="R27" s="180" t="str">
        <f>IFERROR(__xludf.DUMMYFUNCTION("""COMPUTED_VALUE"""),"River View")</f>
        <v>River View</v>
      </c>
      <c r="S27" s="180" t="str">
        <f>IFERROR(__xludf.DUMMYFUNCTION("""COMPUTED_VALUE"""),"Kids Club for Under 4")</f>
        <v>Kids Club for Under 4</v>
      </c>
      <c r="U27" s="180" t="str">
        <f>IFERROR(__xludf.DUMMYFUNCTION("""COMPUTED_VALUE"""),"1 King or 2 Double - 1-2 Rollaway Beds avail")</f>
        <v>1 King or 2 Double - 1-2 Rollaway Beds avail</v>
      </c>
    </row>
    <row r="28">
      <c r="A28" s="183"/>
      <c r="B28" s="183"/>
      <c r="D28" s="180" t="s">
        <v>2043</v>
      </c>
      <c r="E28" s="178">
        <v>14500.0</v>
      </c>
      <c r="G28" s="178"/>
      <c r="H28" s="178"/>
      <c r="I28" s="178"/>
      <c r="J28" s="178"/>
      <c r="K28" s="178"/>
      <c r="L28" s="178"/>
      <c r="M28" s="180" t="str">
        <f>IFERROR(__xludf.DUMMYFUNCTION("""COMPUTED_VALUE"""),"Cayo Largo")</f>
        <v>Cayo Largo</v>
      </c>
      <c r="N28" s="180" t="str">
        <f>IFERROR(__xludf.DUMMYFUNCTION("""COMPUTED_VALUE"""),"Ordaz")</f>
        <v>Ordaz</v>
      </c>
      <c r="O28" s="178"/>
      <c r="P28" s="182"/>
      <c r="Q28" s="180" t="str">
        <f>IFERROR(__xludf.DUMMYFUNCTION("""COMPUTED_VALUE"""),"Karisma Hotels")</f>
        <v>Karisma Hotels</v>
      </c>
      <c r="R28" s="180" t="str">
        <f>IFERROR(__xludf.DUMMYFUNCTION("""COMPUTED_VALUE"""),"Romantic")</f>
        <v>Romantic</v>
      </c>
      <c r="S28" s="180" t="str">
        <f>IFERROR(__xludf.DUMMYFUNCTION("""COMPUTED_VALUE"""),"Kids Waterpark")</f>
        <v>Kids Waterpark</v>
      </c>
      <c r="U28" s="180" t="str">
        <f>IFERROR(__xludf.DUMMYFUNCTION("""COMPUTED_VALUE"""),"1 King or 2 Full")</f>
        <v>1 King or 2 Full</v>
      </c>
    </row>
    <row r="29">
      <c r="A29" s="183"/>
      <c r="B29" s="183"/>
      <c r="D29" s="180" t="s">
        <v>2044</v>
      </c>
      <c r="E29" s="178">
        <v>15000.0</v>
      </c>
      <c r="G29" s="178"/>
      <c r="H29" s="178"/>
      <c r="I29" s="178"/>
      <c r="J29" s="178"/>
      <c r="K29" s="178"/>
      <c r="L29" s="178"/>
      <c r="M29" s="180" t="str">
        <f>IFERROR(__xludf.DUMMYFUNCTION("""COMPUTED_VALUE"""),"Cayo Las Brujas")</f>
        <v>Cayo Las Brujas</v>
      </c>
      <c r="N29" s="180" t="str">
        <f>IFERROR(__xludf.DUMMYFUNCTION("""COMPUTED_VALUE"""),"Owen Roberts")</f>
        <v>Owen Roberts</v>
      </c>
      <c r="O29" s="178"/>
      <c r="P29" s="182"/>
      <c r="Q29" s="180" t="str">
        <f>IFERROR(__xludf.DUMMYFUNCTION("""COMPUTED_VALUE"""),"La Quinta")</f>
        <v>La Quinta</v>
      </c>
      <c r="R29" s="180" t="str">
        <f>IFERROR(__xludf.DUMMYFUNCTION("""COMPUTED_VALUE"""),"Trendy")</f>
        <v>Trendy</v>
      </c>
      <c r="S29" s="180" t="str">
        <f>IFERROR(__xludf.DUMMYFUNCTION("""COMPUTED_VALUE"""),"Lazy River")</f>
        <v>Lazy River</v>
      </c>
      <c r="U29" s="180" t="str">
        <f>IFERROR(__xludf.DUMMYFUNCTION("""COMPUTED_VALUE"""),"1 King or 2 Queen")</f>
        <v>1 King or 2 Queen</v>
      </c>
    </row>
    <row r="30">
      <c r="A30" s="183"/>
      <c r="B30" s="183"/>
      <c r="M30" s="180" t="str">
        <f>IFERROR(__xludf.DUMMYFUNCTION("""COMPUTED_VALUE"""),"Cayo Levantado")</f>
        <v>Cayo Levantado</v>
      </c>
      <c r="N30" s="180" t="str">
        <f>IFERROR(__xludf.DUMMYFUNCTION("""COMPUTED_VALUE"""),"Philip S.W. Goldson")</f>
        <v>Philip S.W. Goldson</v>
      </c>
      <c r="O30" s="178"/>
      <c r="P30" s="182"/>
      <c r="Q30" s="180" t="str">
        <f>IFERROR(__xludf.DUMMYFUNCTION("""COMPUTED_VALUE"""),"Lomas Hospitality")</f>
        <v>Lomas Hospitality</v>
      </c>
      <c r="R30" s="180" t="str">
        <f>IFERROR(__xludf.DUMMYFUNCTION("""COMPUTED_VALUE"""),"Value")</f>
        <v>Value</v>
      </c>
      <c r="S30" s="180" t="str">
        <f>IFERROR(__xludf.DUMMYFUNCTION("""COMPUTED_VALUE"""),"Mini Golf")</f>
        <v>Mini Golf</v>
      </c>
      <c r="U30" s="180" t="str">
        <f>IFERROR(__xludf.DUMMYFUNCTION("""COMPUTED_VALUE"""),"1 King or 2 Single")</f>
        <v>1 King or 2 Single</v>
      </c>
    </row>
    <row r="31">
      <c r="A31" s="183"/>
      <c r="B31" s="183"/>
      <c r="M31" s="180" t="str">
        <f>IFERROR(__xludf.DUMMYFUNCTION("""COMPUTED_VALUE"""),"Cayo Santa Maria")</f>
        <v>Cayo Santa Maria</v>
      </c>
      <c r="N31" s="180" t="str">
        <f>IFERROR(__xludf.DUMMYFUNCTION("""COMPUTED_VALUE"""),"Point Saline")</f>
        <v>Point Saline</v>
      </c>
      <c r="P31" s="184"/>
      <c r="Q31" s="180" t="str">
        <f>IFERROR(__xludf.DUMMYFUNCTION("""COMPUTED_VALUE"""),"Lopesan Hotels")</f>
        <v>Lopesan Hotels</v>
      </c>
      <c r="S31" s="180" t="str">
        <f>IFERROR(__xludf.DUMMYFUNCTION("""COMPUTED_VALUE"""),"Nightclub")</f>
        <v>Nightclub</v>
      </c>
      <c r="U31" s="180" t="str">
        <f>IFERROR(__xludf.DUMMYFUNCTION("""COMPUTED_VALUE"""),"1 King or 2 Small Double")</f>
        <v>1 King or 2 Small Double</v>
      </c>
    </row>
    <row r="32">
      <c r="A32" s="183"/>
      <c r="B32" s="183"/>
      <c r="M32" s="180" t="str">
        <f>IFERROR(__xludf.DUMMYFUNCTION("""COMPUTED_VALUE"""),"Chacalal")</f>
        <v>Chacalal</v>
      </c>
      <c r="N32" s="180" t="str">
        <f>IFERROR(__xludf.DUMMYFUNCTION("""COMPUTED_VALUE"""),"Princ. Juliana")</f>
        <v>Princ. Juliana</v>
      </c>
      <c r="P32" s="184"/>
      <c r="Q32" s="180" t="str">
        <f>IFERROR(__xludf.DUMMYFUNCTION("""COMPUTED_VALUE"""),"Majestic Resorts")</f>
        <v>Majestic Resorts</v>
      </c>
      <c r="S32" s="180" t="str">
        <f>IFERROR(__xludf.DUMMYFUNCTION("""COMPUTED_VALUE"""),"Pets Allowed")</f>
        <v>Pets Allowed</v>
      </c>
      <c r="U32" s="180" t="str">
        <f>IFERROR(__xludf.DUMMYFUNCTION("""COMPUTED_VALUE"""),"1 King or 2 Twin")</f>
        <v>1 King or 2 Twin</v>
      </c>
    </row>
    <row r="33">
      <c r="A33" s="183"/>
      <c r="B33" s="183"/>
      <c r="M33" s="180" t="str">
        <f>IFERROR(__xludf.DUMMYFUNCTION("""COMPUTED_VALUE"""),"Cihuatlan")</f>
        <v>Cihuatlan</v>
      </c>
      <c r="N33" s="180" t="str">
        <f>IFERROR(__xludf.DUMMYFUNCTION("""COMPUTED_VALUE"""),"Providenciales")</f>
        <v>Providenciales</v>
      </c>
      <c r="P33" s="184"/>
      <c r="Q33" s="180" t="str">
        <f>IFERROR(__xludf.DUMMYFUNCTION("""COMPUTED_VALUE"""),"Margaritaville")</f>
        <v>Margaritaville</v>
      </c>
      <c r="S33" s="180" t="str">
        <f>IFERROR(__xludf.DUMMYFUNCTION("""COMPUTED_VALUE"""),"Pool Slide")</f>
        <v>Pool Slide</v>
      </c>
      <c r="U33" s="180" t="str">
        <f>IFERROR(__xludf.DUMMYFUNCTION("""COMPUTED_VALUE"""),"1 King or 2 Twin 1 Sofa Bed")</f>
        <v>1 King or 2 Twin 1 Sofa Bed</v>
      </c>
    </row>
    <row r="34">
      <c r="A34" s="183"/>
      <c r="B34" s="183"/>
      <c r="M34" s="180" t="str">
        <f>IFERROR(__xludf.DUMMYFUNCTION("""COMPUTED_VALUE"""),"Coco Plum Cay")</f>
        <v>Coco Plum Cay</v>
      </c>
      <c r="N34" s="180" t="str">
        <f>IFERROR(__xludf.DUMMYFUNCTION("""COMPUTED_VALUE"""),"Punta Cana")</f>
        <v>Punta Cana</v>
      </c>
      <c r="P34" s="184"/>
      <c r="Q34" s="180" t="str">
        <f>IFERROR(__xludf.DUMMYFUNCTION("""COMPUTED_VALUE"""),"Marival Resorts")</f>
        <v>Marival Resorts</v>
      </c>
      <c r="S34" s="180" t="str">
        <f>IFERROR(__xludf.DUMMYFUNCTION("""COMPUTED_VALUE"""),"Room Service")</f>
        <v>Room Service</v>
      </c>
      <c r="U34" s="180" t="str">
        <f>IFERROR(__xludf.DUMMYFUNCTION("""COMPUTED_VALUE"""),"1 Queen 2 Twin")</f>
        <v>1 Queen 2 Twin</v>
      </c>
    </row>
    <row r="35">
      <c r="A35" s="183"/>
      <c r="B35" s="183"/>
      <c r="M35" s="180" t="str">
        <f>IFERROR(__xludf.DUMMYFUNCTION("""COMPUTED_VALUE"""),"Costa Mujeres")</f>
        <v>Costa Mujeres</v>
      </c>
      <c r="N35" s="180" t="str">
        <f>IFERROR(__xludf.DUMMYFUNCTION("""COMPUTED_VALUE"""),"Rafael Nunez")</f>
        <v>Rafael Nunez</v>
      </c>
      <c r="P35" s="184"/>
      <c r="Q35" s="180" t="str">
        <f>IFERROR(__xludf.DUMMYFUNCTION("""COMPUTED_VALUE"""),"Marriott")</f>
        <v>Marriott</v>
      </c>
      <c r="S35" s="180" t="str">
        <f>IFERROR(__xludf.DUMMYFUNCTION("""COMPUTED_VALUE"""),"Snorkelling")</f>
        <v>Snorkelling</v>
      </c>
      <c r="U35" s="180" t="str">
        <f>IFERROR(__xludf.DUMMYFUNCTION("""COMPUTED_VALUE"""),"1 Queen and 1 Sofa Bed or 1 King or 2 Queen")</f>
        <v>1 Queen and 1 Sofa Bed or 1 King or 2 Queen</v>
      </c>
    </row>
    <row r="36">
      <c r="A36" s="183"/>
      <c r="B36" s="183"/>
      <c r="M36" s="180" t="str">
        <f>IFERROR(__xludf.DUMMYFUNCTION("""COMPUTED_VALUE"""),"Cozumel")</f>
        <v>Cozumel</v>
      </c>
      <c r="N36" s="180" t="str">
        <f>IFERROR(__xludf.DUMMYFUNCTION("""COMPUTED_VALUE"""),"Reina Beatrix")</f>
        <v>Reina Beatrix</v>
      </c>
      <c r="P36" s="184"/>
      <c r="Q36" s="180" t="str">
        <f>IFERROR(__xludf.DUMMYFUNCTION("""COMPUTED_VALUE"""),"Melia")</f>
        <v>Melia</v>
      </c>
      <c r="S36" s="180" t="str">
        <f>IFERROR(__xludf.DUMMYFUNCTION("""COMPUTED_VALUE"""),"Spa")</f>
        <v>Spa</v>
      </c>
      <c r="U36" s="180" t="str">
        <f>IFERROR(__xludf.DUMMYFUNCTION("""COMPUTED_VALUE"""),"2 Bedrooms")</f>
        <v>2 Bedrooms</v>
      </c>
    </row>
    <row r="37">
      <c r="A37" s="183"/>
      <c r="B37" s="183"/>
      <c r="M37" s="180" t="str">
        <f>IFERROR(__xludf.DUMMYFUNCTION("""COMPUTED_VALUE"""),"Culebra")</f>
        <v>Culebra</v>
      </c>
      <c r="N37" s="180" t="str">
        <f>IFERROR(__xludf.DUMMYFUNCTION("""COMPUTED_VALUE"""),"Roatan")</f>
        <v>Roatan</v>
      </c>
      <c r="P37" s="184"/>
      <c r="Q37" s="180" t="str">
        <f>IFERROR(__xludf.DUMMYFUNCTION("""COMPUTED_VALUE"""),"Memories Hotels")</f>
        <v>Memories Hotels</v>
      </c>
      <c r="S37" s="180" t="str">
        <f>IFERROR(__xludf.DUMMYFUNCTION("""COMPUTED_VALUE"""),"Swim Out/Plunge Pool Rooms")</f>
        <v>Swim Out/Plunge Pool Rooms</v>
      </c>
      <c r="U37" s="180" t="str">
        <f>IFERROR(__xludf.DUMMYFUNCTION("""COMPUTED_VALUE"""),"2 Double")</f>
        <v>2 Double</v>
      </c>
    </row>
    <row r="38">
      <c r="A38" s="183"/>
      <c r="B38" s="183"/>
      <c r="M38" s="180" t="str">
        <f>IFERROR(__xludf.DUMMYFUNCTION("""COMPUTED_VALUE"""),"Dominicus")</f>
        <v>Dominicus</v>
      </c>
      <c r="N38" s="180" t="str">
        <f>IFERROR(__xludf.DUMMYFUNCTION("""COMPUTED_VALUE"""),"Samaná El Catey")</f>
        <v>Samaná El Catey</v>
      </c>
      <c r="P38" s="184"/>
      <c r="Q38" s="180" t="str">
        <f>IFERROR(__xludf.DUMMYFUNCTION("""COMPUTED_VALUE"""),"Mexico Grand Hotels")</f>
        <v>Mexico Grand Hotels</v>
      </c>
      <c r="S38" s="180" t="str">
        <f>IFERROR(__xludf.DUMMYFUNCTION("""COMPUTED_VALUE"""),"Swim Up Bar")</f>
        <v>Swim Up Bar</v>
      </c>
      <c r="U38" s="180" t="str">
        <f>IFERROR(__xludf.DUMMYFUNCTION("""COMPUTED_VALUE"""),"2 King")</f>
        <v>2 King</v>
      </c>
    </row>
    <row r="39">
      <c r="A39" s="183"/>
      <c r="B39" s="183"/>
      <c r="M39" s="180" t="str">
        <f>IFERROR(__xludf.DUMMYFUNCTION("""COMPUTED_VALUE"""),"Drake Bay")</f>
        <v>Drake Bay</v>
      </c>
      <c r="N39" s="180" t="str">
        <f>IFERROR(__xludf.DUMMYFUNCTION("""COMPUTED_VALUE"""),"San Jose Juan Santamaria")</f>
        <v>San Jose Juan Santamaria</v>
      </c>
      <c r="P39" s="184"/>
      <c r="Q39" s="180" t="str">
        <f>IFERROR(__xludf.DUMMYFUNCTION("""COMPUTED_VALUE"""),"Mutha Hotels MGM")</f>
        <v>Mutha Hotels MGM</v>
      </c>
      <c r="S39" s="180" t="str">
        <f>IFERROR(__xludf.DUMMYFUNCTION("""COMPUTED_VALUE"""),"Teen Club")</f>
        <v>Teen Club</v>
      </c>
      <c r="U39" s="180" t="str">
        <f>IFERROR(__xludf.DUMMYFUNCTION("""COMPUTED_VALUE"""),"2 King and 2 Twin")</f>
        <v>2 King and 2 Twin</v>
      </c>
    </row>
    <row r="40">
      <c r="A40" s="183"/>
      <c r="B40" s="183"/>
      <c r="M40" s="180" t="str">
        <f>IFERROR(__xludf.DUMMYFUNCTION("""COMPUTED_VALUE"""),"East End")</f>
        <v>East End</v>
      </c>
      <c r="N40" s="180" t="str">
        <f>IFERROR(__xludf.DUMMYFUNCTION("""COMPUTED_VALUE"""),"Sangster")</f>
        <v>Sangster</v>
      </c>
      <c r="P40" s="184"/>
      <c r="Q40" s="180" t="str">
        <f>IFERROR(__xludf.DUMMYFUNCTION("""COMPUTED_VALUE"""),"Oetker Collection")</f>
        <v>Oetker Collection</v>
      </c>
      <c r="S40" s="180" t="str">
        <f>IFERROR(__xludf.DUMMYFUNCTION("""COMPUTED_VALUE"""),"Tennis")</f>
        <v>Tennis</v>
      </c>
      <c r="U40" s="180" t="str">
        <f>IFERROR(__xludf.DUMMYFUNCTION("""COMPUTED_VALUE"""),"2 King and 2 Twin w Trundle")</f>
        <v>2 King and 2 Twin w Trundle</v>
      </c>
    </row>
    <row r="41">
      <c r="A41" s="183"/>
      <c r="B41" s="183"/>
      <c r="M41" s="180" t="str">
        <f>IFERROR(__xludf.DUMMYFUNCTION("""COMPUTED_VALUE"""),"El Dorado")</f>
        <v>El Dorado</v>
      </c>
      <c r="N41" s="180" t="str">
        <f>IFERROR(__xludf.DUMMYFUNCTION("""COMPUTED_VALUE"""),"Santa Clara")</f>
        <v>Santa Clara</v>
      </c>
      <c r="P41" s="184"/>
      <c r="Q41" s="180" t="str">
        <f>IFERROR(__xludf.DUMMYFUNCTION("""COMPUTED_VALUE"""),"Palace Resorts")</f>
        <v>Palace Resorts</v>
      </c>
      <c r="S41" s="180" t="str">
        <f>IFERROR(__xludf.DUMMYFUNCTION("""COMPUTED_VALUE"""),"Water Feature")</f>
        <v>Water Feature</v>
      </c>
      <c r="U41" s="180" t="str">
        <f>IFERROR(__xludf.DUMMYFUNCTION("""COMPUTED_VALUE"""),"2 King or 2 Double")</f>
        <v>2 King or 2 Double</v>
      </c>
    </row>
    <row r="42">
      <c r="A42" s="183"/>
      <c r="B42" s="183"/>
      <c r="M42" s="180" t="str">
        <f>IFERROR(__xludf.DUMMYFUNCTION("""COMPUTED_VALUE"""),"El Jobo")</f>
        <v>El Jobo</v>
      </c>
      <c r="N42" s="180" t="str">
        <f>IFERROR(__xludf.DUMMYFUNCTION("""COMPUTED_VALUE"""),"Tortuquero")</f>
        <v>Tortuquero</v>
      </c>
      <c r="P42" s="184"/>
      <c r="Q42" s="180" t="str">
        <f>IFERROR(__xludf.DUMMYFUNCTION("""COMPUTED_VALUE"""),"Playa Hotels &amp; Resorts")</f>
        <v>Playa Hotels &amp; Resorts</v>
      </c>
      <c r="S42" s="180" t="str">
        <f>IFERROR(__xludf.DUMMYFUNCTION("""COMPUTED_VALUE"""),"Watersports Equipment Rentals")</f>
        <v>Watersports Equipment Rentals</v>
      </c>
      <c r="U42" s="180" t="str">
        <f>IFERROR(__xludf.DUMMYFUNCTION("""COMPUTED_VALUE"""),"2 Queen")</f>
        <v>2 Queen</v>
      </c>
    </row>
    <row r="43">
      <c r="A43" s="183"/>
      <c r="B43" s="183"/>
      <c r="M43" s="180" t="str">
        <f>IFERROR(__xludf.DUMMYFUNCTION("""COMPUTED_VALUE"""),"El Soco")</f>
        <v>El Soco</v>
      </c>
      <c r="N43" s="180" t="str">
        <f>IFERROR(__xludf.DUMMYFUNCTION("""COMPUTED_VALUE"""),"Tulum")</f>
        <v>Tulum</v>
      </c>
      <c r="P43" s="184"/>
      <c r="Q43" s="180" t="str">
        <f>IFERROR(__xludf.DUMMYFUNCTION("""COMPUTED_VALUE"""),"Princess Hotels")</f>
        <v>Princess Hotels</v>
      </c>
      <c r="S43" s="180" t="str">
        <f>IFERROR(__xludf.DUMMYFUNCTION("""COMPUTED_VALUE"""),"Wifi (Free)")</f>
        <v>Wifi (Free)</v>
      </c>
      <c r="U43" s="180" t="str">
        <f>IFERROR(__xludf.DUMMYFUNCTION("""COMPUTED_VALUE"""),"2 Queen and 1 Double Sofa Bed")</f>
        <v>2 Queen and 1 Double Sofa Bed</v>
      </c>
    </row>
    <row r="44">
      <c r="A44" s="183"/>
      <c r="B44" s="183"/>
      <c r="M44" s="180" t="str">
        <f>IFERROR(__xludf.DUMMYFUNCTION("""COMPUTED_VALUE"""),"Escarcega")</f>
        <v>Escarcega</v>
      </c>
      <c r="N44" s="180" t="str">
        <f>IFERROR(__xludf.DUMMYFUNCTION("""COMPUTED_VALUE"""),"V.C. Bird")</f>
        <v>V.C. Bird</v>
      </c>
      <c r="P44" s="184"/>
      <c r="Q44" s="180" t="str">
        <f>IFERROR(__xludf.DUMMYFUNCTION("""COMPUTED_VALUE"""),"Pueblo Bonito")</f>
        <v>Pueblo Bonito</v>
      </c>
      <c r="S44" s="180" t="str">
        <f>IFERROR(__xludf.DUMMYFUNCTION("""COMPUTED_VALUE"""),"Wifi (Paid)")</f>
        <v>Wifi (Paid)</v>
      </c>
      <c r="U44" s="180" t="str">
        <f>IFERROR(__xludf.DUMMYFUNCTION("""COMPUTED_VALUE"""),"2 Queen and 1 Queen Sofa Bed")</f>
        <v>2 Queen and 1 Queen Sofa Bed</v>
      </c>
    </row>
    <row r="45">
      <c r="A45" s="183"/>
      <c r="B45" s="183"/>
      <c r="M45" s="180" t="str">
        <f>IFERROR(__xludf.DUMMYFUNCTION("""COMPUTED_VALUE"""),"Falmouth")</f>
        <v>Falmouth</v>
      </c>
      <c r="N45" s="180" t="str">
        <f>IFERROR(__xludf.DUMMYFUNCTION("""COMPUTED_VALUE"""),"Varadero")</f>
        <v>Varadero</v>
      </c>
      <c r="P45" s="184"/>
      <c r="Q45" s="180" t="str">
        <f>IFERROR(__xludf.DUMMYFUNCTION("""COMPUTED_VALUE"""),"Riu")</f>
        <v>Riu</v>
      </c>
      <c r="S45" s="180" t="str">
        <f>IFERROR(__xludf.DUMMYFUNCTION("""COMPUTED_VALUE"""),"Windsurfing")</f>
        <v>Windsurfing</v>
      </c>
      <c r="U45" s="180" t="str">
        <f>IFERROR(__xludf.DUMMYFUNCTION("""COMPUTED_VALUE"""),"2 Single")</f>
        <v>2 Single</v>
      </c>
    </row>
    <row r="46">
      <c r="A46" s="183"/>
      <c r="B46" s="183"/>
      <c r="M46" s="180" t="str">
        <f>IFERROR(__xludf.DUMMYFUNCTION("""COMPUTED_VALUE"""),"Five Islands Village")</f>
        <v>Five Islands Village</v>
      </c>
      <c r="P46" s="184"/>
      <c r="Q46" s="180" t="str">
        <f>IFERROR(__xludf.DUMMYFUNCTION("""COMPUTED_VALUE"""),"Royal Resorts")</f>
        <v>Royal Resorts</v>
      </c>
      <c r="S46" s="180" t="str">
        <f>IFERROR(__xludf.DUMMYFUNCTION("""COMPUTED_VALUE"""),"Yoga Classes")</f>
        <v>Yoga Classes</v>
      </c>
      <c r="U46" s="180" t="str">
        <f>IFERROR(__xludf.DUMMYFUNCTION("""COMPUTED_VALUE"""),"2 Small Double")</f>
        <v>2 Small Double</v>
      </c>
    </row>
    <row r="47">
      <c r="A47" s="183"/>
      <c r="B47" s="183"/>
      <c r="M47" s="180" t="str">
        <f>IFERROR(__xludf.DUMMYFUNCTION("""COMPUTED_VALUE"""),"Flamingos")</f>
        <v>Flamingos</v>
      </c>
      <c r="P47" s="184"/>
      <c r="Q47" s="180" t="str">
        <f>IFERROR(__xludf.DUMMYFUNCTION("""COMPUTED_VALUE"""),"Royalton")</f>
        <v>Royalton</v>
      </c>
      <c r="U47" s="180" t="str">
        <f>IFERROR(__xludf.DUMMYFUNCTION("""COMPUTED_VALUE"""),"3 Bedrooms")</f>
        <v>3 Bedrooms</v>
      </c>
    </row>
    <row r="48">
      <c r="A48" s="183"/>
      <c r="B48" s="183"/>
      <c r="M48" s="180" t="str">
        <f>IFERROR(__xludf.DUMMYFUNCTION("""COMPUTED_VALUE"""),"Freetown")</f>
        <v>Freetown</v>
      </c>
      <c r="P48" s="184"/>
      <c r="Q48" s="180" t="str">
        <f>IFERROR(__xludf.DUMMYFUNCTION("""COMPUTED_VALUE"""),"Sandals")</f>
        <v>Sandals</v>
      </c>
    </row>
    <row r="49">
      <c r="A49" s="183"/>
      <c r="B49" s="183"/>
      <c r="M49" s="180" t="str">
        <f>IFERROR(__xludf.DUMMYFUNCTION("""COMPUTED_VALUE"""),"Grace Bay")</f>
        <v>Grace Bay</v>
      </c>
      <c r="P49" s="184"/>
      <c r="Q49" s="180" t="str">
        <f>IFERROR(__xludf.DUMMYFUNCTION("""COMPUTED_VALUE"""),"Sandos")</f>
        <v>Sandos</v>
      </c>
    </row>
    <row r="50">
      <c r="A50" s="183"/>
      <c r="B50" s="183"/>
      <c r="M50" s="180" t="str">
        <f>IFERROR(__xludf.DUMMYFUNCTION("""COMPUTED_VALUE"""),"Gran Bahia Principe")</f>
        <v>Gran Bahia Principe</v>
      </c>
      <c r="P50" s="184"/>
      <c r="Q50" s="180" t="str">
        <f>IFERROR(__xludf.DUMMYFUNCTION("""COMPUTED_VALUE"""),"Sensira Resorts")</f>
        <v>Sensira Resorts</v>
      </c>
    </row>
    <row r="51">
      <c r="A51" s="183"/>
      <c r="B51" s="183"/>
      <c r="M51" s="180" t="str">
        <f>IFERROR(__xludf.DUMMYFUNCTION("""COMPUTED_VALUE"""),"Grand Anse")</f>
        <v>Grand Anse</v>
      </c>
      <c r="P51" s="184"/>
      <c r="Q51" s="180" t="str">
        <f>IFERROR(__xludf.DUMMYFUNCTION("""COMPUTED_VALUE"""),"Serenade Caribbean Resorts")</f>
        <v>Serenade Caribbean Resorts</v>
      </c>
    </row>
    <row r="52">
      <c r="A52" s="183"/>
      <c r="B52" s="183"/>
      <c r="M52" s="180" t="str">
        <f>IFERROR(__xludf.DUMMYFUNCTION("""COMPUTED_VALUE"""),"Grand Palladium")</f>
        <v>Grand Palladium</v>
      </c>
      <c r="P52" s="184"/>
      <c r="Q52" s="180" t="str">
        <f>IFERROR(__xludf.DUMMYFUNCTION("""COMPUTED_VALUE"""),"Sheraton")</f>
        <v>Sheraton</v>
      </c>
    </row>
    <row r="53">
      <c r="A53" s="183"/>
      <c r="B53" s="183"/>
      <c r="M53" s="180" t="str">
        <f>IFERROR(__xludf.DUMMYFUNCTION("""COMPUTED_VALUE"""),"Green Island")</f>
        <v>Green Island</v>
      </c>
      <c r="P53" s="184"/>
      <c r="Q53" s="180" t="str">
        <f>IFERROR(__xludf.DUMMYFUNCTION("""COMPUTED_VALUE"""),"Sirenis Hotels")</f>
        <v>Sirenis Hotels</v>
      </c>
    </row>
    <row r="54">
      <c r="A54" s="183"/>
      <c r="B54" s="183"/>
      <c r="M54" s="180" t="str">
        <f>IFERROR(__xludf.DUMMYFUNCTION("""COMPUTED_VALUE"""),"Gros Islet")</f>
        <v>Gros Islet</v>
      </c>
      <c r="P54" s="184"/>
      <c r="Q54" s="180" t="str">
        <f>IFERROR(__xludf.DUMMYFUNCTION("""COMPUTED_VALUE"""),"Solmar")</f>
        <v>Solmar</v>
      </c>
    </row>
    <row r="55">
      <c r="A55" s="183"/>
      <c r="B55" s="183"/>
      <c r="M55" s="180" t="str">
        <f>IFERROR(__xludf.DUMMYFUNCTION("""COMPUTED_VALUE"""),"Guana Island")</f>
        <v>Guana Island</v>
      </c>
      <c r="P55" s="184"/>
      <c r="Q55" s="180" t="str">
        <f>IFERROR(__xludf.DUMMYFUNCTION("""COMPUTED_VALUE"""),"Tafer Hotels &amp; Resorts")</f>
        <v>Tafer Hotels &amp; Resorts</v>
      </c>
    </row>
    <row r="56">
      <c r="A56" s="183"/>
      <c r="B56" s="183"/>
      <c r="M56" s="180" t="str">
        <f>IFERROR(__xludf.DUMMYFUNCTION("""COMPUTED_VALUE"""),"Guanaja")</f>
        <v>Guanaja</v>
      </c>
      <c r="P56" s="184"/>
      <c r="Q56" s="180" t="str">
        <f>IFERROR(__xludf.DUMMYFUNCTION("""COMPUTED_VALUE"""),"The Excellence Collection")</f>
        <v>The Excellence Collection</v>
      </c>
    </row>
    <row r="57">
      <c r="A57" s="183"/>
      <c r="B57" s="183"/>
      <c r="M57" s="180" t="str">
        <f>IFERROR(__xludf.DUMMYFUNCTION("""COMPUTED_VALUE"""),"Guardalavaca")</f>
        <v>Guardalavaca</v>
      </c>
      <c r="P57" s="184"/>
      <c r="Q57" s="180" t="str">
        <f>IFERROR(__xludf.DUMMYFUNCTION("""COMPUTED_VALUE"""),"The Fives Hotels")</f>
        <v>The Fives Hotels</v>
      </c>
    </row>
    <row r="58">
      <c r="A58" s="183"/>
      <c r="B58" s="183"/>
      <c r="M58" s="180" t="str">
        <f>IFERROR(__xludf.DUMMYFUNCTION("""COMPUTED_VALUE"""),"Gulf of Papagayo")</f>
        <v>Gulf of Papagayo</v>
      </c>
      <c r="P58" s="184"/>
      <c r="Q58" s="180" t="str">
        <f>IFERROR(__xludf.DUMMYFUNCTION("""COMPUTED_VALUE"""),"The Villa Group")</f>
        <v>The Villa Group</v>
      </c>
    </row>
    <row r="59">
      <c r="A59" s="183"/>
      <c r="B59" s="183"/>
      <c r="M59" s="180" t="str">
        <f>IFERROR(__xludf.DUMMYFUNCTION("""COMPUTED_VALUE"""),"Hamilton Parish")</f>
        <v>Hamilton Parish</v>
      </c>
      <c r="P59" s="184"/>
      <c r="Q59" s="180" t="str">
        <f>IFERROR(__xludf.DUMMYFUNCTION("""COMPUTED_VALUE"""),"Velas Resorts")</f>
        <v>Velas Resorts</v>
      </c>
    </row>
    <row r="60">
      <c r="A60" s="183"/>
      <c r="B60" s="183"/>
      <c r="M60" s="180" t="str">
        <f>IFERROR(__xludf.DUMMYFUNCTION("""COMPUTED_VALUE"""),"Holbox Island")</f>
        <v>Holbox Island</v>
      </c>
      <c r="P60" s="184"/>
      <c r="Q60" s="180" t="str">
        <f>IFERROR(__xludf.DUMMYFUNCTION("""COMPUTED_VALUE"""),"Viceroy Hotels &amp; Resorts")</f>
        <v>Viceroy Hotels &amp; Resorts</v>
      </c>
    </row>
    <row r="61">
      <c r="A61" s="183"/>
      <c r="B61" s="183"/>
      <c r="M61" s="180" t="str">
        <f>IFERROR(__xludf.DUMMYFUNCTION("""COMPUTED_VALUE"""),"Holguin")</f>
        <v>Holguin</v>
      </c>
      <c r="P61" s="184"/>
      <c r="Q61" s="180" t="str">
        <f>IFERROR(__xludf.DUMMYFUNCTION("""COMPUTED_VALUE"""),"Wyndham Hotels")</f>
        <v>Wyndham Hotels</v>
      </c>
    </row>
    <row r="62">
      <c r="A62" s="183"/>
      <c r="B62" s="183"/>
      <c r="M62" s="180" t="str">
        <f>IFERROR(__xludf.DUMMYFUNCTION("""COMPUTED_VALUE"""),"Hopewell")</f>
        <v>Hopewell</v>
      </c>
      <c r="P62" s="184"/>
    </row>
    <row r="63">
      <c r="A63" s="183"/>
      <c r="B63" s="183"/>
      <c r="M63" s="180" t="str">
        <f>IFERROR(__xludf.DUMMYFUNCTION("""COMPUTED_VALUE"""),"Huatulco")</f>
        <v>Huatulco</v>
      </c>
      <c r="P63" s="184"/>
    </row>
    <row r="64">
      <c r="A64" s="183"/>
      <c r="B64" s="183"/>
      <c r="M64" s="180" t="str">
        <f>IFERROR(__xludf.DUMMYFUNCTION("""COMPUTED_VALUE"""),"Isla Mujeres")</f>
        <v>Isla Mujeres</v>
      </c>
      <c r="P64" s="184"/>
    </row>
    <row r="65">
      <c r="A65" s="183"/>
      <c r="B65" s="183"/>
      <c r="M65" s="180" t="str">
        <f>IFERROR(__xludf.DUMMYFUNCTION("""COMPUTED_VALUE"""),"Ixtapa")</f>
        <v>Ixtapa</v>
      </c>
      <c r="P65" s="184"/>
    </row>
    <row r="66">
      <c r="A66" s="183"/>
      <c r="B66" s="183"/>
      <c r="M66" s="180" t="str">
        <f>IFERROR(__xludf.DUMMYFUNCTION("""COMPUTED_VALUE"""),"Jibacoa")</f>
        <v>Jibacoa</v>
      </c>
      <c r="P66" s="184"/>
    </row>
    <row r="67">
      <c r="A67" s="183"/>
      <c r="B67" s="183"/>
      <c r="M67" s="180" t="str">
        <f>IFERROR(__xludf.DUMMYFUNCTION("""COMPUTED_VALUE"""),"Jolly Harbour")</f>
        <v>Jolly Harbour</v>
      </c>
      <c r="P67" s="184"/>
    </row>
    <row r="68">
      <c r="A68" s="183"/>
      <c r="B68" s="183"/>
      <c r="M68" s="180" t="str">
        <f>IFERROR(__xludf.DUMMYFUNCTION("""COMPUTED_VALUE"""),"Juan Dolio")</f>
        <v>Juan Dolio</v>
      </c>
      <c r="P68" s="184"/>
    </row>
    <row r="69">
      <c r="A69" s="183"/>
      <c r="B69" s="183"/>
      <c r="M69" s="180" t="str">
        <f>IFERROR(__xludf.DUMMYFUNCTION("""COMPUTED_VALUE"""),"La Cruz de Huanacaxtle")</f>
        <v>La Cruz de Huanacaxtle</v>
      </c>
      <c r="P69" s="184"/>
    </row>
    <row r="70">
      <c r="A70" s="183"/>
      <c r="B70" s="183"/>
      <c r="M70" s="180" t="str">
        <f>IFERROR(__xludf.DUMMYFUNCTION("""COMPUTED_VALUE"""),"La Romana")</f>
        <v>La Romana</v>
      </c>
      <c r="P70" s="184"/>
    </row>
    <row r="71">
      <c r="A71" s="183"/>
      <c r="B71" s="183"/>
      <c r="M71" s="180" t="str">
        <f>IFERROR(__xludf.DUMMYFUNCTION("""COMPUTED_VALUE"""),"Lance aux Epines")</f>
        <v>Lance aux Epines</v>
      </c>
      <c r="P71" s="184"/>
    </row>
    <row r="72">
      <c r="A72" s="183"/>
      <c r="B72" s="183"/>
      <c r="M72" s="180" t="str">
        <f>IFERROR(__xludf.DUMMYFUNCTION("""COMPUTED_VALUE"""),"Las Galeras")</f>
        <v>Las Galeras</v>
      </c>
      <c r="P72" s="184"/>
    </row>
    <row r="73">
      <c r="A73" s="183"/>
      <c r="B73" s="183"/>
      <c r="M73" s="180" t="str">
        <f>IFERROR(__xludf.DUMMYFUNCTION("""COMPUTED_VALUE"""),"Las Terrenas")</f>
        <v>Las Terrenas</v>
      </c>
      <c r="P73" s="184"/>
    </row>
    <row r="74">
      <c r="A74" s="183"/>
      <c r="B74" s="183"/>
      <c r="M74" s="180" t="str">
        <f>IFERROR(__xludf.DUMMYFUNCTION("""COMPUTED_VALUE"""),"Leeward")</f>
        <v>Leeward</v>
      </c>
      <c r="P74" s="184"/>
    </row>
    <row r="75">
      <c r="A75" s="183"/>
      <c r="B75" s="183"/>
      <c r="M75" s="180" t="str">
        <f>IFERROR(__xludf.DUMMYFUNCTION("""COMPUTED_VALUE"""),"Little Torch Key")</f>
        <v>Little Torch Key</v>
      </c>
      <c r="P75" s="184"/>
    </row>
    <row r="76">
      <c r="A76" s="183"/>
      <c r="B76" s="183"/>
      <c r="M76" s="180" t="str">
        <f>IFERROR(__xludf.DUMMYFUNCTION("""COMPUTED_VALUE"""),"Long Island")</f>
        <v>Long Island</v>
      </c>
      <c r="P76" s="184"/>
    </row>
    <row r="77">
      <c r="A77" s="183"/>
      <c r="B77" s="183"/>
      <c r="M77" s="180" t="str">
        <f>IFERROR(__xludf.DUMMYFUNCTION("""COMPUTED_VALUE"""),"Loreto")</f>
        <v>Loreto</v>
      </c>
      <c r="P77" s="184"/>
    </row>
    <row r="78">
      <c r="A78" s="183"/>
      <c r="B78" s="183"/>
      <c r="M78" s="180" t="str">
        <f>IFERROR(__xludf.DUMMYFUNCTION("""COMPUTED_VALUE"""),"Los Cabos")</f>
        <v>Los Cabos</v>
      </c>
      <c r="P78" s="184"/>
    </row>
    <row r="79">
      <c r="A79" s="183"/>
      <c r="B79" s="183"/>
      <c r="M79" s="180" t="str">
        <f>IFERROR(__xludf.DUMMYFUNCTION("""COMPUTED_VALUE"""),"Lucea")</f>
        <v>Lucea</v>
      </c>
      <c r="P79" s="184"/>
    </row>
    <row r="80">
      <c r="A80" s="183"/>
      <c r="B80" s="183"/>
      <c r="M80" s="180" t="str">
        <f>IFERROR(__xludf.DUMMYFUNCTION("""COMPUTED_VALUE"""),"Manzanillo")</f>
        <v>Manzanillo</v>
      </c>
      <c r="P80" s="184"/>
    </row>
    <row r="81">
      <c r="A81" s="183"/>
      <c r="B81" s="183"/>
      <c r="M81" s="180" t="str">
        <f>IFERROR(__xludf.DUMMYFUNCTION("""COMPUTED_VALUE"""),"Mazatlan")</f>
        <v>Mazatlan</v>
      </c>
      <c r="P81" s="184"/>
    </row>
    <row r="82">
      <c r="A82" s="183"/>
      <c r="B82" s="183"/>
      <c r="M82" s="180" t="str">
        <f>IFERROR(__xludf.DUMMYFUNCTION("""COMPUTED_VALUE"""),"Miches")</f>
        <v>Miches</v>
      </c>
      <c r="P82" s="184"/>
    </row>
    <row r="83">
      <c r="A83" s="183"/>
      <c r="B83" s="183"/>
      <c r="M83" s="180" t="str">
        <f>IFERROR(__xludf.DUMMYFUNCTION("""COMPUTED_VALUE"""),"Mismaloya")</f>
        <v>Mismaloya</v>
      </c>
      <c r="P83" s="184"/>
    </row>
    <row r="84">
      <c r="A84" s="183"/>
      <c r="B84" s="183"/>
      <c r="M84" s="180" t="str">
        <f>IFERROR(__xludf.DUMMYFUNCTION("""COMPUTED_VALUE"""),"Montego Bay")</f>
        <v>Montego Bay</v>
      </c>
      <c r="P84" s="184"/>
    </row>
    <row r="85">
      <c r="A85" s="183"/>
      <c r="B85" s="183"/>
      <c r="M85" s="180" t="str">
        <f>IFERROR(__xludf.DUMMYFUNCTION("""COMPUTED_VALUE"""),"Morne Rouge")</f>
        <v>Morne Rouge</v>
      </c>
      <c r="P85" s="184"/>
    </row>
    <row r="86">
      <c r="A86" s="183"/>
      <c r="B86" s="183"/>
      <c r="M86" s="180" t="str">
        <f>IFERROR(__xludf.DUMMYFUNCTION("""COMPUTED_VALUE"""),"Negril")</f>
        <v>Negril</v>
      </c>
      <c r="P86" s="184"/>
    </row>
    <row r="87">
      <c r="A87" s="183"/>
      <c r="B87" s="183"/>
      <c r="M87" s="180" t="str">
        <f>IFERROR(__xludf.DUMMYFUNCTION("""COMPUTED_VALUE"""),"Nieuwpoort")</f>
        <v>Nieuwpoort</v>
      </c>
      <c r="P87" s="184"/>
    </row>
    <row r="88">
      <c r="A88" s="183"/>
      <c r="B88" s="183"/>
      <c r="M88" s="180" t="str">
        <f>IFERROR(__xludf.DUMMYFUNCTION("""COMPUTED_VALUE"""),"Nuevo Nayarit")</f>
        <v>Nuevo Nayarit</v>
      </c>
      <c r="P88" s="184"/>
    </row>
    <row r="89">
      <c r="A89" s="183"/>
      <c r="B89" s="183"/>
      <c r="M89" s="180" t="str">
        <f>IFERROR(__xludf.DUMMYFUNCTION("""COMPUTED_VALUE"""),"Nuevo Vallarta")</f>
        <v>Nuevo Vallarta</v>
      </c>
      <c r="P89" s="184"/>
    </row>
    <row r="90">
      <c r="A90" s="183"/>
      <c r="B90" s="183"/>
      <c r="M90" s="180" t="str">
        <f>IFERROR(__xludf.DUMMYFUNCTION("""COMPUTED_VALUE"""),"Ochos Rios")</f>
        <v>Ochos Rios</v>
      </c>
      <c r="P90" s="184"/>
    </row>
    <row r="91">
      <c r="A91" s="183"/>
      <c r="B91" s="183"/>
      <c r="M91" s="180" t="str">
        <f>IFERROR(__xludf.DUMMYFUNCTION("""COMPUTED_VALUE"""),"Oranjestad")</f>
        <v>Oranjestad</v>
      </c>
      <c r="P91" s="184"/>
    </row>
    <row r="92">
      <c r="A92" s="183"/>
      <c r="B92" s="183"/>
      <c r="M92" s="180" t="str">
        <f>IFERROR(__xludf.DUMMYFUNCTION("""COMPUTED_VALUE"""),"Palm - Eagle Beach")</f>
        <v>Palm - Eagle Beach</v>
      </c>
      <c r="P92" s="184"/>
    </row>
    <row r="93">
      <c r="A93" s="183"/>
      <c r="B93" s="183"/>
      <c r="M93" s="180" t="str">
        <f>IFERROR(__xludf.DUMMYFUNCTION("""COMPUTED_VALUE"""),"Philipsburg")</f>
        <v>Philipsburg</v>
      </c>
      <c r="P93" s="184"/>
    </row>
    <row r="94">
      <c r="A94" s="183"/>
      <c r="B94" s="183"/>
      <c r="M94" s="180" t="str">
        <f>IFERROR(__xludf.DUMMYFUNCTION("""COMPUTED_VALUE"""),"Pink Gin Beach")</f>
        <v>Pink Gin Beach</v>
      </c>
      <c r="P94" s="184"/>
    </row>
    <row r="95">
      <c r="A95" s="183"/>
      <c r="B95" s="183"/>
      <c r="M95" s="180" t="str">
        <f>IFERROR(__xludf.DUMMYFUNCTION("""COMPUTED_VALUE"""),"Playa del Carmen")</f>
        <v>Playa del Carmen</v>
      </c>
      <c r="P95" s="184"/>
    </row>
    <row r="96">
      <c r="A96" s="183"/>
      <c r="B96" s="183"/>
      <c r="M96" s="180" t="str">
        <f>IFERROR(__xludf.DUMMYFUNCTION("""COMPUTED_VALUE"""),"Playa del Secreto")</f>
        <v>Playa del Secreto</v>
      </c>
      <c r="P96" s="184"/>
    </row>
    <row r="97">
      <c r="A97" s="183"/>
      <c r="B97" s="183"/>
      <c r="M97" s="180" t="str">
        <f>IFERROR(__xludf.DUMMYFUNCTION("""COMPUTED_VALUE"""),"Playa Maroma")</f>
        <v>Playa Maroma</v>
      </c>
      <c r="P97" s="184"/>
    </row>
    <row r="98">
      <c r="A98" s="183"/>
      <c r="B98" s="183"/>
      <c r="M98" s="180" t="str">
        <f>IFERROR(__xludf.DUMMYFUNCTION("""COMPUTED_VALUE"""),"Playa Mujeres")</f>
        <v>Playa Mujeres</v>
      </c>
      <c r="P98" s="184"/>
    </row>
    <row r="99">
      <c r="A99" s="183"/>
      <c r="B99" s="183"/>
      <c r="M99" s="180" t="str">
        <f>IFERROR(__xludf.DUMMYFUNCTION("""COMPUTED_VALUE"""),"Playa Panama")</f>
        <v>Playa Panama</v>
      </c>
      <c r="P99" s="184"/>
    </row>
    <row r="100">
      <c r="A100" s="183"/>
      <c r="B100" s="183"/>
      <c r="M100" s="180" t="str">
        <f>IFERROR(__xludf.DUMMYFUNCTION("""COMPUTED_VALUE"""),"Playa Paraiso")</f>
        <v>Playa Paraiso</v>
      </c>
      <c r="P100" s="184"/>
    </row>
    <row r="101">
      <c r="A101" s="183"/>
      <c r="B101" s="183"/>
      <c r="M101" s="180" t="str">
        <f>IFERROR(__xludf.DUMMYFUNCTION("""COMPUTED_VALUE"""),"Playacar")</f>
        <v>Playacar</v>
      </c>
      <c r="P101" s="184"/>
    </row>
    <row r="102">
      <c r="A102" s="183"/>
      <c r="B102" s="183"/>
      <c r="M102" s="180" t="str">
        <f>IFERROR(__xludf.DUMMYFUNCTION("""COMPUTED_VALUE"""),"Porto de Galinhas")</f>
        <v>Porto de Galinhas</v>
      </c>
      <c r="P102" s="184"/>
    </row>
    <row r="103">
      <c r="A103" s="183"/>
      <c r="B103" s="183"/>
      <c r="M103" s="180" t="str">
        <f>IFERROR(__xludf.DUMMYFUNCTION("""COMPUTED_VALUE"""),"Providenciales")</f>
        <v>Providenciales</v>
      </c>
      <c r="P103" s="184"/>
    </row>
    <row r="104">
      <c r="A104" s="183"/>
      <c r="B104" s="183"/>
      <c r="M104" s="180" t="str">
        <f>IFERROR(__xludf.DUMMYFUNCTION("""COMPUTED_VALUE"""),"Puerto Aventuras")</f>
        <v>Puerto Aventuras</v>
      </c>
      <c r="P104" s="184"/>
    </row>
    <row r="105">
      <c r="A105" s="183"/>
      <c r="B105" s="183"/>
      <c r="M105" s="180" t="str">
        <f>IFERROR(__xludf.DUMMYFUNCTION("""COMPUTED_VALUE"""),"Puerto Morelos")</f>
        <v>Puerto Morelos</v>
      </c>
      <c r="P105" s="184"/>
    </row>
    <row r="106">
      <c r="A106" s="183"/>
      <c r="B106" s="183"/>
      <c r="M106" s="180" t="str">
        <f>IFERROR(__xludf.DUMMYFUNCTION("""COMPUTED_VALUE"""),"Puerto Vallarta")</f>
        <v>Puerto Vallarta</v>
      </c>
      <c r="P106" s="184"/>
    </row>
    <row r="107">
      <c r="A107" s="183"/>
      <c r="B107" s="183"/>
      <c r="M107" s="180" t="str">
        <f>IFERROR(__xludf.DUMMYFUNCTION("""COMPUTED_VALUE"""),"Punta Cana")</f>
        <v>Punta Cana</v>
      </c>
      <c r="P107" s="184"/>
    </row>
    <row r="108">
      <c r="A108" s="183"/>
      <c r="B108" s="183"/>
      <c r="M108" s="180" t="str">
        <f>IFERROR(__xludf.DUMMYFUNCTION("""COMPUTED_VALUE"""),"Punta de Mita")</f>
        <v>Punta de Mita</v>
      </c>
      <c r="P108" s="184"/>
    </row>
    <row r="109">
      <c r="A109" s="183"/>
      <c r="B109" s="183"/>
      <c r="M109" s="180" t="str">
        <f>IFERROR(__xludf.DUMMYFUNCTION("""COMPUTED_VALUE"""),"Punta Sam")</f>
        <v>Punta Sam</v>
      </c>
      <c r="P109" s="184"/>
    </row>
    <row r="110">
      <c r="A110" s="183"/>
      <c r="B110" s="183"/>
      <c r="M110" s="180" t="str">
        <f>IFERROR(__xludf.DUMMYFUNCTION("""COMPUTED_VALUE"""),"Rafael Freyre")</f>
        <v>Rafael Freyre</v>
      </c>
      <c r="P110" s="184"/>
    </row>
    <row r="111">
      <c r="A111" s="183"/>
      <c r="B111" s="183"/>
      <c r="M111" s="180" t="str">
        <f>IFERROR(__xludf.DUMMYFUNCTION("""COMPUTED_VALUE"""),"Rincon de Guayabitos")</f>
        <v>Rincon de Guayabitos</v>
      </c>
      <c r="P111" s="184"/>
    </row>
    <row r="112">
      <c r="A112" s="183"/>
      <c r="B112" s="183"/>
      <c r="M112" s="180" t="str">
        <f>IFERROR(__xludf.DUMMYFUNCTION("""COMPUTED_VALUE"""),"Riviera Maya")</f>
        <v>Riviera Maya</v>
      </c>
      <c r="P112" s="184"/>
    </row>
    <row r="113">
      <c r="A113" s="183"/>
      <c r="B113" s="183"/>
      <c r="M113" s="180" t="str">
        <f>IFERROR(__xludf.DUMMYFUNCTION("""COMPUTED_VALUE"""),"Rodney Bay")</f>
        <v>Rodney Bay</v>
      </c>
      <c r="P113" s="184"/>
    </row>
    <row r="114">
      <c r="A114" s="183"/>
      <c r="B114" s="183"/>
      <c r="M114" s="180" t="str">
        <f>IFERROR(__xludf.DUMMYFUNCTION("""COMPUTED_VALUE"""),"Rose Hall")</f>
        <v>Rose Hall</v>
      </c>
      <c r="P114" s="184"/>
    </row>
    <row r="115">
      <c r="A115" s="183"/>
      <c r="B115" s="183"/>
      <c r="M115" s="180" t="str">
        <f>IFERROR(__xludf.DUMMYFUNCTION("""COMPUTED_VALUE"""),"Runaway Bay")</f>
        <v>Runaway Bay</v>
      </c>
      <c r="P115" s="184"/>
    </row>
    <row r="116">
      <c r="A116" s="183"/>
      <c r="B116" s="183"/>
      <c r="M116" s="180" t="str">
        <f>IFERROR(__xludf.DUMMYFUNCTION("""COMPUTED_VALUE"""),"Saint James Parish")</f>
        <v>Saint James Parish</v>
      </c>
      <c r="P116" s="184"/>
    </row>
    <row r="117">
      <c r="A117" s="183"/>
      <c r="B117" s="183"/>
      <c r="M117" s="180" t="str">
        <f>IFERROR(__xludf.DUMMYFUNCTION("""COMPUTED_VALUE"""),"Saint Mary's")</f>
        <v>Saint Mary's</v>
      </c>
      <c r="P117" s="184"/>
    </row>
    <row r="118">
      <c r="A118" s="183"/>
      <c r="B118" s="183"/>
      <c r="M118" s="180" t="str">
        <f>IFERROR(__xludf.DUMMYFUNCTION("""COMPUTED_VALUE"""),"Saint Patrick Parish")</f>
        <v>Saint Patrick Parish</v>
      </c>
      <c r="P118" s="184"/>
    </row>
    <row r="119">
      <c r="A119" s="183"/>
      <c r="B119" s="183"/>
      <c r="M119" s="180" t="str">
        <f>IFERROR(__xludf.DUMMYFUNCTION("""COMPUTED_VALUE"""),"Saint Peter Parish")</f>
        <v>Saint Peter Parish</v>
      </c>
      <c r="P119" s="184"/>
    </row>
    <row r="120">
      <c r="A120" s="183"/>
      <c r="B120" s="183"/>
      <c r="M120" s="180" t="str">
        <f>IFERROR(__xludf.DUMMYFUNCTION("""COMPUTED_VALUE"""),"Saint Phillips")</f>
        <v>Saint Phillips</v>
      </c>
      <c r="P120" s="184"/>
    </row>
    <row r="121">
      <c r="A121" s="183"/>
      <c r="B121" s="183"/>
      <c r="M121" s="180" t="str">
        <f>IFERROR(__xludf.DUMMYFUNCTION("""COMPUTED_VALUE"""),"Sainte-Anne")</f>
        <v>Sainte-Anne</v>
      </c>
      <c r="P121" s="184"/>
    </row>
    <row r="122">
      <c r="A122" s="183"/>
      <c r="B122" s="183"/>
      <c r="M122" s="180" t="str">
        <f>IFERROR(__xludf.DUMMYFUNCTION("""COMPUTED_VALUE"""),"San Jose del Cabo")</f>
        <v>San Jose del Cabo</v>
      </c>
      <c r="P122" s="184"/>
    </row>
    <row r="123">
      <c r="A123" s="183"/>
      <c r="B123" s="183"/>
      <c r="M123" s="180" t="str">
        <f>IFERROR(__xludf.DUMMYFUNCTION("""COMPUTED_VALUE"""),"San Salvador")</f>
        <v>San Salvador</v>
      </c>
      <c r="P123" s="184"/>
    </row>
    <row r="124">
      <c r="A124" s="183"/>
      <c r="B124" s="183"/>
      <c r="M124" s="180" t="str">
        <f>IFERROR(__xludf.DUMMYFUNCTION("""COMPUTED_VALUE"""),"Solidaridad")</f>
        <v>Solidaridad</v>
      </c>
      <c r="P124" s="184"/>
    </row>
    <row r="125">
      <c r="A125" s="183"/>
      <c r="B125" s="183"/>
      <c r="M125" s="180" t="str">
        <f>IFERROR(__xludf.DUMMYFUNCTION("""COMPUTED_VALUE"""),"Soufriere")</f>
        <v>Soufriere</v>
      </c>
      <c r="P125" s="184"/>
    </row>
    <row r="126">
      <c r="A126" s="183"/>
      <c r="B126" s="183"/>
      <c r="M126" s="180" t="str">
        <f>IFERROR(__xludf.DUMMYFUNCTION("""COMPUTED_VALUE"""),"South Caicos")</f>
        <v>South Caicos</v>
      </c>
      <c r="P126" s="184"/>
    </row>
    <row r="127">
      <c r="A127" s="183"/>
      <c r="B127" s="183"/>
      <c r="M127" s="180" t="str">
        <f>IFERROR(__xludf.DUMMYFUNCTION("""COMPUTED_VALUE"""),"St. John's")</f>
        <v>St. John's</v>
      </c>
      <c r="P127" s="184"/>
    </row>
    <row r="128">
      <c r="A128" s="183"/>
      <c r="B128" s="183"/>
      <c r="M128" s="180" t="str">
        <f>IFERROR(__xludf.DUMMYFUNCTION("""COMPUTED_VALUE"""),"St. Lucia")</f>
        <v>St. Lucia</v>
      </c>
      <c r="P128" s="184"/>
    </row>
    <row r="129">
      <c r="A129" s="183"/>
      <c r="B129" s="183"/>
      <c r="M129" s="180" t="str">
        <f>IFERROR(__xludf.DUMMYFUNCTION("""COMPUTED_VALUE"""),"Tangolunda")</f>
        <v>Tangolunda</v>
      </c>
      <c r="P129" s="184"/>
    </row>
    <row r="130">
      <c r="A130" s="183"/>
      <c r="B130" s="183"/>
      <c r="M130" s="180" t="str">
        <f>IFERROR(__xludf.DUMMYFUNCTION("""COMPUTED_VALUE"""),"Tortola")</f>
        <v>Tortola</v>
      </c>
      <c r="P130" s="184"/>
    </row>
    <row r="131">
      <c r="A131" s="183"/>
      <c r="B131" s="183"/>
      <c r="M131" s="180" t="str">
        <f>IFERROR(__xludf.DUMMYFUNCTION("""COMPUTED_VALUE"""),"Tortuguero")</f>
        <v>Tortuguero</v>
      </c>
      <c r="P131" s="184"/>
    </row>
    <row r="132">
      <c r="A132" s="183"/>
      <c r="B132" s="183"/>
      <c r="M132" s="180" t="str">
        <f>IFERROR(__xludf.DUMMYFUNCTION("""COMPUTED_VALUE"""),"Trelawny Parish")</f>
        <v>Trelawny Parish</v>
      </c>
      <c r="P132" s="184"/>
    </row>
    <row r="133">
      <c r="A133" s="183"/>
      <c r="B133" s="183"/>
      <c r="M133" s="180" t="str">
        <f>IFERROR(__xludf.DUMMYFUNCTION("""COMPUTED_VALUE"""),"Turners Beach")</f>
        <v>Turners Beach</v>
      </c>
      <c r="P133" s="184"/>
    </row>
    <row r="134">
      <c r="A134" s="183"/>
      <c r="B134" s="183"/>
      <c r="M134" s="180" t="str">
        <f>IFERROR(__xludf.DUMMYFUNCTION("""COMPUTED_VALUE"""),"Uvero Alto")</f>
        <v>Uvero Alto</v>
      </c>
      <c r="P134" s="184"/>
    </row>
    <row r="135">
      <c r="A135" s="183"/>
      <c r="B135" s="183"/>
      <c r="M135" s="180" t="str">
        <f>IFERROR(__xludf.DUMMYFUNCTION("""COMPUTED_VALUE"""),"Varadero")</f>
        <v>Varadero</v>
      </c>
      <c r="P135" s="184"/>
    </row>
    <row r="136">
      <c r="A136" s="183"/>
      <c r="B136" s="183"/>
      <c r="M136" s="180" t="str">
        <f>IFERROR(__xludf.DUMMYFUNCTION("""COMPUTED_VALUE"""),"Vieux Fort")</f>
        <v>Vieux Fort</v>
      </c>
      <c r="P136" s="184"/>
    </row>
    <row r="137">
      <c r="A137" s="183"/>
      <c r="B137" s="183"/>
      <c r="M137" s="180" t="str">
        <f>IFERROR(__xludf.DUMMYFUNCTION("""COMPUTED_VALUE"""),"White House")</f>
        <v>White House</v>
      </c>
      <c r="P137" s="184"/>
    </row>
    <row r="138">
      <c r="A138" s="183"/>
      <c r="B138" s="183"/>
      <c r="M138" s="180" t="str">
        <f>IFERROR(__xludf.DUMMYFUNCTION("""COMPUTED_VALUE"""),"Willemstad")</f>
        <v>Willemstad</v>
      </c>
      <c r="P138" s="184"/>
    </row>
    <row r="139">
      <c r="A139" s="183"/>
      <c r="B139" s="183"/>
      <c r="M139" s="180" t="str">
        <f>IFERROR(__xludf.DUMMYFUNCTION("""COMPUTED_VALUE"""),"Xpu-Ha")</f>
        <v>Xpu-Ha</v>
      </c>
      <c r="P139" s="184"/>
    </row>
    <row r="140">
      <c r="A140" s="183"/>
      <c r="B140" s="183"/>
      <c r="P140" s="184"/>
    </row>
    <row r="141">
      <c r="A141" s="183"/>
      <c r="B141" s="183"/>
      <c r="P141" s="184"/>
    </row>
    <row r="142">
      <c r="A142" s="183"/>
      <c r="B142" s="183"/>
      <c r="P142" s="184"/>
    </row>
    <row r="143">
      <c r="A143" s="183"/>
      <c r="B143" s="183"/>
      <c r="P143" s="184"/>
    </row>
    <row r="144">
      <c r="A144" s="183"/>
      <c r="B144" s="183"/>
      <c r="P144" s="184"/>
    </row>
    <row r="145">
      <c r="A145" s="183"/>
      <c r="B145" s="183"/>
      <c r="P145" s="184"/>
    </row>
    <row r="146">
      <c r="A146" s="183"/>
      <c r="B146" s="183"/>
      <c r="P146" s="184"/>
    </row>
    <row r="147">
      <c r="A147" s="183"/>
      <c r="B147" s="183"/>
      <c r="P147" s="184"/>
    </row>
    <row r="148">
      <c r="A148" s="183"/>
      <c r="B148" s="183"/>
      <c r="P148" s="184"/>
    </row>
    <row r="149">
      <c r="A149" s="183"/>
      <c r="B149" s="183"/>
      <c r="P149" s="184"/>
    </row>
    <row r="150">
      <c r="A150" s="183"/>
      <c r="B150" s="183"/>
      <c r="P150" s="184"/>
    </row>
    <row r="151">
      <c r="A151" s="183"/>
      <c r="B151" s="183"/>
      <c r="P151" s="184"/>
    </row>
    <row r="152">
      <c r="A152" s="183"/>
      <c r="B152" s="183"/>
      <c r="P152" s="184"/>
    </row>
    <row r="153">
      <c r="A153" s="183"/>
      <c r="B153" s="183"/>
      <c r="P153" s="184"/>
    </row>
    <row r="154">
      <c r="A154" s="183"/>
      <c r="B154" s="183"/>
      <c r="P154" s="184"/>
    </row>
    <row r="155">
      <c r="A155" s="183"/>
      <c r="B155" s="183"/>
      <c r="P155" s="184"/>
    </row>
    <row r="156">
      <c r="A156" s="183"/>
      <c r="B156" s="183"/>
      <c r="P156" s="184"/>
    </row>
    <row r="157">
      <c r="A157" s="183"/>
      <c r="B157" s="183"/>
      <c r="P157" s="184"/>
    </row>
    <row r="158">
      <c r="A158" s="183"/>
      <c r="B158" s="183"/>
      <c r="P158" s="184"/>
    </row>
    <row r="159">
      <c r="A159" s="183"/>
      <c r="B159" s="183"/>
      <c r="P159" s="184"/>
    </row>
    <row r="160">
      <c r="A160" s="183"/>
      <c r="B160" s="183"/>
      <c r="P160" s="184"/>
    </row>
    <row r="161">
      <c r="A161" s="183"/>
      <c r="B161" s="183"/>
      <c r="P161" s="184"/>
    </row>
    <row r="162">
      <c r="A162" s="183"/>
      <c r="B162" s="183"/>
      <c r="P162" s="184"/>
    </row>
    <row r="163">
      <c r="A163" s="183"/>
      <c r="B163" s="183"/>
      <c r="P163" s="184"/>
    </row>
    <row r="164">
      <c r="A164" s="183"/>
      <c r="B164" s="183"/>
      <c r="P164" s="184"/>
    </row>
    <row r="165">
      <c r="A165" s="183"/>
      <c r="B165" s="183"/>
      <c r="P165" s="184"/>
    </row>
    <row r="166">
      <c r="A166" s="183"/>
      <c r="B166" s="183"/>
      <c r="P166" s="184"/>
    </row>
    <row r="167">
      <c r="A167" s="183"/>
      <c r="B167" s="183"/>
      <c r="P167" s="184"/>
    </row>
    <row r="168">
      <c r="A168" s="183"/>
      <c r="B168" s="183"/>
      <c r="P168" s="184"/>
    </row>
    <row r="169">
      <c r="A169" s="183"/>
      <c r="B169" s="183"/>
      <c r="P169" s="184"/>
    </row>
    <row r="170">
      <c r="A170" s="183"/>
      <c r="B170" s="183"/>
      <c r="P170" s="184"/>
    </row>
    <row r="171">
      <c r="A171" s="183"/>
      <c r="B171" s="183"/>
      <c r="P171" s="184"/>
    </row>
    <row r="172">
      <c r="A172" s="183"/>
      <c r="B172" s="183"/>
      <c r="P172" s="184"/>
    </row>
    <row r="173">
      <c r="A173" s="183"/>
      <c r="B173" s="183"/>
      <c r="P173" s="184"/>
    </row>
    <row r="174">
      <c r="A174" s="183"/>
      <c r="B174" s="183"/>
      <c r="P174" s="184"/>
    </row>
    <row r="175">
      <c r="A175" s="183"/>
      <c r="B175" s="183"/>
      <c r="P175" s="184"/>
    </row>
    <row r="176">
      <c r="A176" s="183"/>
      <c r="B176" s="183"/>
      <c r="P176" s="184"/>
    </row>
    <row r="177">
      <c r="A177" s="183"/>
      <c r="B177" s="183"/>
      <c r="P177" s="184"/>
    </row>
    <row r="178">
      <c r="A178" s="183"/>
      <c r="B178" s="183"/>
      <c r="P178" s="184"/>
    </row>
    <row r="179">
      <c r="A179" s="183"/>
      <c r="B179" s="183"/>
      <c r="P179" s="184"/>
    </row>
    <row r="180">
      <c r="A180" s="183"/>
      <c r="B180" s="183"/>
      <c r="P180" s="184"/>
    </row>
    <row r="181">
      <c r="A181" s="183"/>
      <c r="B181" s="183"/>
      <c r="P181" s="184"/>
    </row>
    <row r="182">
      <c r="A182" s="183"/>
      <c r="B182" s="183"/>
      <c r="P182" s="184"/>
    </row>
    <row r="183">
      <c r="A183" s="183"/>
      <c r="B183" s="183"/>
      <c r="P183" s="184"/>
    </row>
    <row r="184">
      <c r="A184" s="183"/>
      <c r="B184" s="183"/>
      <c r="P184" s="184"/>
    </row>
    <row r="185">
      <c r="A185" s="183"/>
      <c r="B185" s="183"/>
      <c r="P185" s="184"/>
    </row>
    <row r="186">
      <c r="A186" s="183"/>
      <c r="B186" s="183"/>
      <c r="P186" s="184"/>
    </row>
    <row r="187">
      <c r="A187" s="183"/>
      <c r="B187" s="183"/>
      <c r="P187" s="184"/>
    </row>
    <row r="188">
      <c r="A188" s="183"/>
      <c r="B188" s="183"/>
      <c r="P188" s="184"/>
    </row>
    <row r="189">
      <c r="A189" s="183"/>
      <c r="B189" s="183"/>
      <c r="P189" s="184"/>
    </row>
    <row r="190">
      <c r="A190" s="183"/>
      <c r="B190" s="183"/>
      <c r="P190" s="184"/>
    </row>
    <row r="191">
      <c r="A191" s="183"/>
      <c r="B191" s="183"/>
      <c r="P191" s="184"/>
    </row>
    <row r="192">
      <c r="A192" s="183"/>
      <c r="B192" s="183"/>
      <c r="P192" s="184"/>
    </row>
    <row r="193">
      <c r="A193" s="183"/>
      <c r="B193" s="183"/>
      <c r="P193" s="184"/>
    </row>
    <row r="194">
      <c r="A194" s="183"/>
      <c r="B194" s="183"/>
      <c r="P194" s="184"/>
    </row>
    <row r="195">
      <c r="A195" s="183"/>
      <c r="B195" s="183"/>
      <c r="P195" s="184"/>
    </row>
    <row r="196">
      <c r="A196" s="183"/>
      <c r="B196" s="183"/>
      <c r="P196" s="184"/>
    </row>
    <row r="197">
      <c r="A197" s="183"/>
      <c r="B197" s="183"/>
      <c r="P197" s="184"/>
    </row>
    <row r="198">
      <c r="A198" s="183"/>
      <c r="B198" s="183"/>
      <c r="P198" s="184"/>
    </row>
    <row r="199">
      <c r="A199" s="183"/>
      <c r="B199" s="183"/>
      <c r="P199" s="184"/>
    </row>
    <row r="200">
      <c r="A200" s="183"/>
      <c r="B200" s="183"/>
      <c r="P200" s="184"/>
    </row>
    <row r="201">
      <c r="A201" s="183"/>
      <c r="B201" s="183"/>
      <c r="P201" s="184"/>
    </row>
    <row r="202">
      <c r="A202" s="183"/>
      <c r="B202" s="183"/>
      <c r="P202" s="184"/>
    </row>
    <row r="203">
      <c r="A203" s="183"/>
      <c r="B203" s="183"/>
      <c r="P203" s="184"/>
    </row>
    <row r="204">
      <c r="A204" s="183"/>
      <c r="B204" s="183"/>
      <c r="P204" s="184"/>
    </row>
    <row r="205">
      <c r="A205" s="183"/>
      <c r="B205" s="183"/>
      <c r="P205" s="184"/>
    </row>
    <row r="206">
      <c r="A206" s="183"/>
      <c r="B206" s="183"/>
      <c r="P206" s="184"/>
    </row>
    <row r="207">
      <c r="A207" s="183"/>
      <c r="B207" s="183"/>
      <c r="P207" s="184"/>
    </row>
    <row r="208">
      <c r="A208" s="183"/>
      <c r="B208" s="183"/>
      <c r="P208" s="184"/>
    </row>
    <row r="209">
      <c r="A209" s="183"/>
      <c r="B209" s="183"/>
      <c r="P209" s="184"/>
    </row>
    <row r="210">
      <c r="A210" s="183"/>
      <c r="B210" s="183"/>
      <c r="P210" s="184"/>
    </row>
    <row r="211">
      <c r="A211" s="183"/>
      <c r="B211" s="183"/>
      <c r="P211" s="184"/>
    </row>
    <row r="212">
      <c r="A212" s="183"/>
      <c r="B212" s="183"/>
      <c r="P212" s="184"/>
    </row>
    <row r="213">
      <c r="A213" s="183"/>
      <c r="B213" s="183"/>
      <c r="P213" s="184"/>
    </row>
    <row r="214">
      <c r="A214" s="183"/>
      <c r="B214" s="183"/>
      <c r="P214" s="184"/>
    </row>
    <row r="215">
      <c r="A215" s="183"/>
      <c r="B215" s="183"/>
      <c r="P215" s="184"/>
    </row>
    <row r="216">
      <c r="A216" s="183"/>
      <c r="B216" s="183"/>
      <c r="P216" s="184"/>
    </row>
    <row r="217">
      <c r="A217" s="183"/>
      <c r="B217" s="183"/>
      <c r="P217" s="184"/>
    </row>
    <row r="218">
      <c r="A218" s="183"/>
      <c r="B218" s="183"/>
      <c r="P218" s="184"/>
    </row>
    <row r="219">
      <c r="A219" s="183"/>
      <c r="B219" s="183"/>
      <c r="P219" s="184"/>
    </row>
    <row r="220">
      <c r="A220" s="183"/>
      <c r="B220" s="183"/>
      <c r="P220" s="184"/>
    </row>
    <row r="221">
      <c r="A221" s="183"/>
      <c r="B221" s="183"/>
      <c r="P221" s="184"/>
    </row>
    <row r="222">
      <c r="A222" s="183"/>
      <c r="B222" s="183"/>
      <c r="P222" s="184"/>
    </row>
    <row r="223">
      <c r="A223" s="183"/>
      <c r="B223" s="183"/>
      <c r="P223" s="184"/>
    </row>
    <row r="224">
      <c r="A224" s="183"/>
      <c r="B224" s="183"/>
      <c r="P224" s="184"/>
    </row>
    <row r="225">
      <c r="A225" s="183"/>
      <c r="B225" s="183"/>
      <c r="P225" s="184"/>
    </row>
    <row r="226">
      <c r="A226" s="183"/>
      <c r="B226" s="183"/>
      <c r="P226" s="184"/>
    </row>
    <row r="227">
      <c r="A227" s="183"/>
      <c r="B227" s="183"/>
      <c r="P227" s="184"/>
    </row>
    <row r="228">
      <c r="A228" s="183"/>
      <c r="B228" s="183"/>
      <c r="P228" s="184"/>
    </row>
    <row r="229">
      <c r="A229" s="183"/>
      <c r="B229" s="183"/>
      <c r="P229" s="184"/>
    </row>
    <row r="230">
      <c r="A230" s="183"/>
      <c r="B230" s="183"/>
      <c r="P230" s="184"/>
    </row>
    <row r="231">
      <c r="A231" s="183"/>
      <c r="B231" s="183"/>
      <c r="P231" s="184"/>
    </row>
    <row r="232">
      <c r="A232" s="183"/>
      <c r="B232" s="183"/>
      <c r="P232" s="184"/>
    </row>
    <row r="233">
      <c r="A233" s="183"/>
      <c r="B233" s="183"/>
      <c r="P233" s="184"/>
    </row>
    <row r="234">
      <c r="A234" s="183"/>
      <c r="B234" s="183"/>
      <c r="P234" s="184"/>
    </row>
    <row r="235">
      <c r="A235" s="183"/>
      <c r="B235" s="183"/>
      <c r="P235" s="184"/>
    </row>
    <row r="236">
      <c r="A236" s="183"/>
      <c r="B236" s="183"/>
      <c r="P236" s="184"/>
    </row>
    <row r="237">
      <c r="A237" s="183"/>
      <c r="B237" s="183"/>
      <c r="P237" s="184"/>
    </row>
    <row r="238">
      <c r="A238" s="183"/>
      <c r="B238" s="183"/>
      <c r="P238" s="184"/>
    </row>
    <row r="239">
      <c r="A239" s="183"/>
      <c r="B239" s="183"/>
      <c r="P239" s="184"/>
    </row>
    <row r="240">
      <c r="A240" s="183"/>
      <c r="B240" s="183"/>
      <c r="P240" s="184"/>
    </row>
    <row r="241">
      <c r="A241" s="183"/>
      <c r="B241" s="183"/>
      <c r="P241" s="184"/>
    </row>
    <row r="242">
      <c r="A242" s="183"/>
      <c r="B242" s="183"/>
      <c r="P242" s="184"/>
    </row>
    <row r="243">
      <c r="A243" s="183"/>
      <c r="B243" s="183"/>
      <c r="P243" s="184"/>
    </row>
    <row r="244">
      <c r="A244" s="183"/>
      <c r="B244" s="183"/>
      <c r="P244" s="184"/>
    </row>
    <row r="245">
      <c r="A245" s="183"/>
      <c r="B245" s="183"/>
      <c r="P245" s="184"/>
    </row>
    <row r="246">
      <c r="A246" s="183"/>
      <c r="B246" s="183"/>
      <c r="P246" s="184"/>
    </row>
    <row r="247">
      <c r="A247" s="183"/>
      <c r="B247" s="183"/>
      <c r="P247" s="184"/>
    </row>
    <row r="248">
      <c r="A248" s="183"/>
      <c r="B248" s="183"/>
      <c r="P248" s="184"/>
    </row>
    <row r="249">
      <c r="A249" s="183"/>
      <c r="B249" s="183"/>
      <c r="P249" s="184"/>
    </row>
    <row r="250">
      <c r="A250" s="183"/>
      <c r="B250" s="183"/>
      <c r="P250" s="184"/>
    </row>
    <row r="251">
      <c r="A251" s="183"/>
      <c r="B251" s="183"/>
      <c r="P251" s="184"/>
    </row>
    <row r="252">
      <c r="A252" s="183"/>
      <c r="B252" s="183"/>
      <c r="P252" s="184"/>
    </row>
    <row r="253">
      <c r="A253" s="183"/>
      <c r="B253" s="183"/>
      <c r="P253" s="184"/>
    </row>
    <row r="254">
      <c r="A254" s="183"/>
      <c r="B254" s="183"/>
      <c r="P254" s="184"/>
    </row>
    <row r="255">
      <c r="A255" s="183"/>
      <c r="B255" s="183"/>
      <c r="P255" s="184"/>
    </row>
    <row r="256">
      <c r="A256" s="183"/>
      <c r="B256" s="183"/>
      <c r="P256" s="184"/>
    </row>
    <row r="257">
      <c r="A257" s="183"/>
      <c r="B257" s="183"/>
      <c r="P257" s="184"/>
    </row>
    <row r="258">
      <c r="A258" s="183"/>
      <c r="B258" s="183"/>
      <c r="P258" s="184"/>
    </row>
    <row r="259">
      <c r="A259" s="183"/>
      <c r="B259" s="183"/>
      <c r="P259" s="184"/>
    </row>
    <row r="260">
      <c r="A260" s="183"/>
      <c r="B260" s="183"/>
      <c r="P260" s="184"/>
    </row>
    <row r="261">
      <c r="A261" s="183"/>
      <c r="B261" s="183"/>
      <c r="P261" s="184"/>
    </row>
    <row r="262">
      <c r="A262" s="183"/>
      <c r="B262" s="183"/>
      <c r="P262" s="184"/>
    </row>
    <row r="263">
      <c r="A263" s="183"/>
      <c r="B263" s="183"/>
      <c r="P263" s="184"/>
    </row>
    <row r="264">
      <c r="A264" s="183"/>
      <c r="B264" s="183"/>
      <c r="P264" s="184"/>
    </row>
    <row r="265">
      <c r="A265" s="183"/>
      <c r="B265" s="183"/>
      <c r="P265" s="184"/>
    </row>
    <row r="266">
      <c r="A266" s="183"/>
      <c r="B266" s="183"/>
      <c r="P266" s="184"/>
    </row>
    <row r="267">
      <c r="A267" s="183"/>
      <c r="B267" s="183"/>
      <c r="P267" s="184"/>
    </row>
    <row r="268">
      <c r="A268" s="183"/>
      <c r="B268" s="183"/>
      <c r="P268" s="184"/>
    </row>
    <row r="269">
      <c r="A269" s="183"/>
      <c r="B269" s="183"/>
      <c r="P269" s="184"/>
    </row>
    <row r="270">
      <c r="A270" s="183"/>
      <c r="B270" s="183"/>
      <c r="P270" s="184"/>
    </row>
    <row r="271">
      <c r="A271" s="183"/>
      <c r="B271" s="183"/>
      <c r="P271" s="184"/>
    </row>
    <row r="272">
      <c r="A272" s="183"/>
      <c r="B272" s="183"/>
      <c r="P272" s="184"/>
    </row>
    <row r="273">
      <c r="A273" s="183"/>
      <c r="B273" s="183"/>
      <c r="P273" s="184"/>
    </row>
    <row r="274">
      <c r="A274" s="183"/>
      <c r="B274" s="183"/>
      <c r="P274" s="184"/>
    </row>
    <row r="275">
      <c r="A275" s="183"/>
      <c r="B275" s="183"/>
      <c r="P275" s="184"/>
    </row>
    <row r="276">
      <c r="A276" s="183"/>
      <c r="B276" s="183"/>
      <c r="P276" s="184"/>
    </row>
    <row r="277">
      <c r="A277" s="183"/>
      <c r="B277" s="183"/>
      <c r="P277" s="184"/>
    </row>
    <row r="278">
      <c r="A278" s="183"/>
      <c r="B278" s="183"/>
      <c r="P278" s="184"/>
    </row>
    <row r="279">
      <c r="A279" s="183"/>
      <c r="B279" s="183"/>
      <c r="P279" s="184"/>
    </row>
    <row r="280">
      <c r="A280" s="183"/>
      <c r="B280" s="183"/>
      <c r="P280" s="184"/>
    </row>
    <row r="281">
      <c r="A281" s="183"/>
      <c r="B281" s="183"/>
      <c r="P281" s="184"/>
    </row>
    <row r="282">
      <c r="A282" s="183"/>
      <c r="B282" s="183"/>
      <c r="P282" s="184"/>
    </row>
    <row r="283">
      <c r="A283" s="183"/>
      <c r="B283" s="183"/>
      <c r="P283" s="184"/>
    </row>
    <row r="284">
      <c r="A284" s="183"/>
      <c r="B284" s="183"/>
      <c r="P284" s="184"/>
    </row>
    <row r="285">
      <c r="A285" s="183"/>
      <c r="B285" s="183"/>
      <c r="P285" s="184"/>
    </row>
    <row r="286">
      <c r="A286" s="183"/>
      <c r="B286" s="183"/>
      <c r="P286" s="184"/>
    </row>
    <row r="287">
      <c r="A287" s="183"/>
      <c r="B287" s="183"/>
      <c r="P287" s="184"/>
    </row>
    <row r="288">
      <c r="A288" s="183"/>
      <c r="B288" s="183"/>
      <c r="P288" s="184"/>
    </row>
    <row r="289">
      <c r="A289" s="183"/>
      <c r="B289" s="183"/>
      <c r="P289" s="184"/>
    </row>
    <row r="290">
      <c r="A290" s="183"/>
      <c r="B290" s="183"/>
      <c r="P290" s="184"/>
    </row>
    <row r="291">
      <c r="A291" s="183"/>
      <c r="B291" s="183"/>
      <c r="P291" s="184"/>
    </row>
    <row r="292">
      <c r="A292" s="183"/>
      <c r="B292" s="183"/>
      <c r="P292" s="184"/>
    </row>
    <row r="293">
      <c r="A293" s="183"/>
      <c r="B293" s="183"/>
      <c r="P293" s="184"/>
    </row>
    <row r="294">
      <c r="A294" s="183"/>
      <c r="B294" s="183"/>
      <c r="P294" s="184"/>
    </row>
    <row r="295">
      <c r="A295" s="183"/>
      <c r="B295" s="183"/>
      <c r="P295" s="184"/>
    </row>
    <row r="296">
      <c r="A296" s="183"/>
      <c r="B296" s="183"/>
      <c r="P296" s="184"/>
    </row>
    <row r="297">
      <c r="A297" s="183"/>
      <c r="B297" s="183"/>
      <c r="P297" s="184"/>
    </row>
    <row r="298">
      <c r="A298" s="183"/>
      <c r="B298" s="183"/>
      <c r="P298" s="184"/>
    </row>
    <row r="299">
      <c r="A299" s="183"/>
      <c r="B299" s="183"/>
      <c r="P299" s="184"/>
    </row>
    <row r="300">
      <c r="A300" s="183"/>
      <c r="B300" s="183"/>
      <c r="P300" s="184"/>
    </row>
    <row r="301">
      <c r="A301" s="183"/>
      <c r="B301" s="183"/>
      <c r="P301" s="184"/>
    </row>
    <row r="302">
      <c r="A302" s="183"/>
      <c r="B302" s="183"/>
      <c r="P302" s="184"/>
    </row>
    <row r="303">
      <c r="A303" s="183"/>
      <c r="B303" s="183"/>
      <c r="P303" s="184"/>
    </row>
    <row r="304">
      <c r="A304" s="183"/>
      <c r="B304" s="183"/>
      <c r="P304" s="184"/>
    </row>
    <row r="305">
      <c r="A305" s="183"/>
      <c r="B305" s="183"/>
      <c r="P305" s="184"/>
    </row>
    <row r="306">
      <c r="A306" s="183"/>
      <c r="B306" s="183"/>
      <c r="P306" s="184"/>
    </row>
    <row r="307">
      <c r="A307" s="183"/>
      <c r="B307" s="183"/>
      <c r="P307" s="184"/>
    </row>
    <row r="308">
      <c r="A308" s="183"/>
      <c r="B308" s="183"/>
      <c r="P308" s="184"/>
    </row>
    <row r="309">
      <c r="A309" s="183"/>
      <c r="B309" s="183"/>
      <c r="P309" s="184"/>
    </row>
    <row r="310">
      <c r="A310" s="183"/>
      <c r="B310" s="183"/>
      <c r="P310" s="184"/>
    </row>
    <row r="311">
      <c r="A311" s="183"/>
      <c r="B311" s="183"/>
      <c r="P311" s="184"/>
    </row>
    <row r="312">
      <c r="A312" s="183"/>
      <c r="B312" s="183"/>
      <c r="P312" s="184"/>
    </row>
    <row r="313">
      <c r="A313" s="183"/>
      <c r="B313" s="183"/>
      <c r="P313" s="184"/>
    </row>
    <row r="314">
      <c r="A314" s="183"/>
      <c r="B314" s="183"/>
      <c r="P314" s="184"/>
    </row>
    <row r="315">
      <c r="A315" s="183"/>
      <c r="B315" s="183"/>
      <c r="P315" s="184"/>
    </row>
    <row r="316">
      <c r="A316" s="183"/>
      <c r="B316" s="183"/>
      <c r="P316" s="184"/>
    </row>
    <row r="317">
      <c r="A317" s="183"/>
      <c r="B317" s="183"/>
      <c r="P317" s="184"/>
    </row>
    <row r="318">
      <c r="A318" s="183"/>
      <c r="B318" s="183"/>
      <c r="P318" s="184"/>
    </row>
    <row r="319">
      <c r="A319" s="183"/>
      <c r="B319" s="183"/>
      <c r="P319" s="184"/>
    </row>
    <row r="320">
      <c r="A320" s="183"/>
      <c r="B320" s="183"/>
      <c r="P320" s="184"/>
    </row>
    <row r="321">
      <c r="A321" s="183"/>
      <c r="B321" s="183"/>
      <c r="P321" s="184"/>
    </row>
    <row r="322">
      <c r="A322" s="183"/>
      <c r="B322" s="183"/>
      <c r="P322" s="184"/>
    </row>
    <row r="323">
      <c r="A323" s="183"/>
      <c r="B323" s="183"/>
      <c r="P323" s="184"/>
    </row>
    <row r="324">
      <c r="A324" s="183"/>
      <c r="B324" s="183"/>
      <c r="P324" s="184"/>
    </row>
    <row r="325">
      <c r="A325" s="183"/>
      <c r="B325" s="183"/>
      <c r="P325" s="184"/>
    </row>
    <row r="326">
      <c r="A326" s="183"/>
      <c r="B326" s="183"/>
      <c r="P326" s="184"/>
    </row>
    <row r="327">
      <c r="A327" s="183"/>
      <c r="B327" s="183"/>
      <c r="P327" s="184"/>
    </row>
    <row r="328">
      <c r="A328" s="183"/>
      <c r="B328" s="183"/>
      <c r="P328" s="184"/>
    </row>
    <row r="329">
      <c r="A329" s="183"/>
      <c r="B329" s="183"/>
      <c r="P329" s="184"/>
    </row>
    <row r="330">
      <c r="A330" s="183"/>
      <c r="B330" s="183"/>
      <c r="P330" s="184"/>
    </row>
    <row r="331">
      <c r="A331" s="183"/>
      <c r="B331" s="183"/>
      <c r="P331" s="184"/>
    </row>
    <row r="332">
      <c r="A332" s="183"/>
      <c r="B332" s="183"/>
      <c r="P332" s="184"/>
    </row>
    <row r="333">
      <c r="A333" s="183"/>
      <c r="B333" s="183"/>
      <c r="P333" s="184"/>
    </row>
    <row r="334">
      <c r="A334" s="183"/>
      <c r="B334" s="183"/>
      <c r="P334" s="184"/>
    </row>
    <row r="335">
      <c r="A335" s="183"/>
      <c r="B335" s="183"/>
      <c r="P335" s="184"/>
    </row>
    <row r="336">
      <c r="A336" s="183"/>
      <c r="B336" s="183"/>
      <c r="P336" s="184"/>
    </row>
    <row r="337">
      <c r="A337" s="183"/>
      <c r="B337" s="183"/>
      <c r="P337" s="184"/>
    </row>
    <row r="338">
      <c r="A338" s="183"/>
      <c r="B338" s="183"/>
      <c r="P338" s="184"/>
    </row>
    <row r="339">
      <c r="A339" s="183"/>
      <c r="B339" s="183"/>
      <c r="P339" s="184"/>
    </row>
    <row r="340">
      <c r="A340" s="183"/>
      <c r="B340" s="183"/>
      <c r="P340" s="184"/>
    </row>
    <row r="341">
      <c r="A341" s="183"/>
      <c r="B341" s="183"/>
      <c r="P341" s="184"/>
    </row>
    <row r="342">
      <c r="A342" s="183"/>
      <c r="B342" s="183"/>
      <c r="P342" s="184"/>
    </row>
    <row r="343">
      <c r="A343" s="183"/>
      <c r="B343" s="183"/>
      <c r="P343" s="184"/>
    </row>
    <row r="344">
      <c r="A344" s="183"/>
      <c r="B344" s="183"/>
      <c r="P344" s="184"/>
    </row>
    <row r="345">
      <c r="A345" s="183"/>
      <c r="B345" s="183"/>
      <c r="P345" s="184"/>
    </row>
    <row r="346">
      <c r="A346" s="183"/>
      <c r="B346" s="183"/>
      <c r="P346" s="184"/>
    </row>
    <row r="347">
      <c r="A347" s="183"/>
      <c r="B347" s="183"/>
      <c r="P347" s="184"/>
    </row>
    <row r="348">
      <c r="A348" s="183"/>
      <c r="B348" s="183"/>
      <c r="P348" s="184"/>
    </row>
    <row r="349">
      <c r="A349" s="183"/>
      <c r="B349" s="183"/>
      <c r="P349" s="184"/>
    </row>
    <row r="350">
      <c r="A350" s="183"/>
      <c r="B350" s="183"/>
      <c r="P350" s="184"/>
    </row>
    <row r="351">
      <c r="A351" s="183"/>
      <c r="B351" s="183"/>
      <c r="P351" s="184"/>
    </row>
    <row r="352">
      <c r="A352" s="183"/>
      <c r="B352" s="183"/>
      <c r="P352" s="184"/>
    </row>
    <row r="353">
      <c r="A353" s="183"/>
      <c r="B353" s="183"/>
      <c r="P353" s="184"/>
    </row>
    <row r="354">
      <c r="A354" s="183"/>
      <c r="B354" s="183"/>
      <c r="P354" s="184"/>
    </row>
    <row r="355">
      <c r="A355" s="183"/>
      <c r="B355" s="183"/>
      <c r="P355" s="184"/>
    </row>
    <row r="356">
      <c r="A356" s="183"/>
      <c r="B356" s="183"/>
      <c r="P356" s="184"/>
    </row>
    <row r="357">
      <c r="A357" s="183"/>
      <c r="B357" s="183"/>
      <c r="P357" s="184"/>
    </row>
    <row r="358">
      <c r="A358" s="183"/>
      <c r="B358" s="183"/>
      <c r="P358" s="184"/>
    </row>
    <row r="359">
      <c r="A359" s="183"/>
      <c r="B359" s="183"/>
      <c r="P359" s="184"/>
    </row>
    <row r="360">
      <c r="A360" s="183"/>
      <c r="B360" s="183"/>
      <c r="P360" s="184"/>
    </row>
    <row r="361">
      <c r="A361" s="183"/>
      <c r="B361" s="183"/>
      <c r="P361" s="184"/>
    </row>
    <row r="362">
      <c r="A362" s="183"/>
      <c r="B362" s="183"/>
      <c r="P362" s="184"/>
    </row>
    <row r="363">
      <c r="A363" s="183"/>
      <c r="B363" s="183"/>
      <c r="P363" s="184"/>
    </row>
    <row r="364">
      <c r="A364" s="183"/>
      <c r="B364" s="183"/>
      <c r="P364" s="184"/>
    </row>
    <row r="365">
      <c r="A365" s="183"/>
      <c r="B365" s="183"/>
      <c r="P365" s="184"/>
    </row>
    <row r="366">
      <c r="A366" s="183"/>
      <c r="B366" s="183"/>
      <c r="P366" s="184"/>
    </row>
    <row r="367">
      <c r="A367" s="183"/>
      <c r="B367" s="183"/>
      <c r="P367" s="184"/>
    </row>
    <row r="368">
      <c r="A368" s="183"/>
      <c r="B368" s="183"/>
      <c r="P368" s="184"/>
    </row>
    <row r="369">
      <c r="A369" s="183"/>
      <c r="B369" s="183"/>
      <c r="P369" s="184"/>
    </row>
    <row r="370">
      <c r="A370" s="183"/>
      <c r="B370" s="183"/>
      <c r="P370" s="184"/>
    </row>
    <row r="371">
      <c r="A371" s="183"/>
      <c r="B371" s="183"/>
      <c r="P371" s="184"/>
    </row>
    <row r="372">
      <c r="A372" s="183"/>
      <c r="B372" s="183"/>
      <c r="P372" s="184"/>
    </row>
    <row r="373">
      <c r="A373" s="183"/>
      <c r="B373" s="183"/>
      <c r="P373" s="184"/>
    </row>
    <row r="374">
      <c r="A374" s="183"/>
      <c r="B374" s="183"/>
      <c r="P374" s="184"/>
    </row>
    <row r="375">
      <c r="A375" s="183"/>
      <c r="B375" s="183"/>
      <c r="P375" s="184"/>
    </row>
    <row r="376">
      <c r="A376" s="183"/>
      <c r="B376" s="183"/>
      <c r="P376" s="184"/>
    </row>
    <row r="377">
      <c r="A377" s="183"/>
      <c r="B377" s="183"/>
      <c r="P377" s="184"/>
    </row>
    <row r="378">
      <c r="A378" s="183"/>
      <c r="B378" s="183"/>
      <c r="P378" s="184"/>
    </row>
    <row r="379">
      <c r="A379" s="183"/>
      <c r="B379" s="183"/>
      <c r="P379" s="184"/>
    </row>
    <row r="380">
      <c r="A380" s="183"/>
      <c r="B380" s="183"/>
      <c r="P380" s="184"/>
    </row>
    <row r="381">
      <c r="A381" s="183"/>
      <c r="B381" s="183"/>
      <c r="P381" s="184"/>
    </row>
    <row r="382">
      <c r="A382" s="183"/>
      <c r="B382" s="183"/>
      <c r="P382" s="184"/>
    </row>
    <row r="383">
      <c r="A383" s="183"/>
      <c r="B383" s="183"/>
      <c r="P383" s="184"/>
    </row>
    <row r="384">
      <c r="A384" s="183"/>
      <c r="B384" s="183"/>
      <c r="P384" s="184"/>
    </row>
    <row r="385">
      <c r="A385" s="183"/>
      <c r="B385" s="183"/>
      <c r="P385" s="184"/>
    </row>
    <row r="386">
      <c r="A386" s="183"/>
      <c r="B386" s="183"/>
      <c r="P386" s="184"/>
    </row>
    <row r="387">
      <c r="A387" s="183"/>
      <c r="B387" s="183"/>
      <c r="P387" s="184"/>
    </row>
    <row r="388">
      <c r="A388" s="183"/>
      <c r="B388" s="183"/>
      <c r="P388" s="184"/>
    </row>
    <row r="389">
      <c r="A389" s="183"/>
      <c r="B389" s="183"/>
      <c r="P389" s="184"/>
    </row>
    <row r="390">
      <c r="A390" s="183"/>
      <c r="B390" s="183"/>
      <c r="P390" s="184"/>
    </row>
    <row r="391">
      <c r="A391" s="183"/>
      <c r="B391" s="183"/>
      <c r="P391" s="184"/>
    </row>
    <row r="392">
      <c r="A392" s="183"/>
      <c r="B392" s="183"/>
      <c r="P392" s="184"/>
    </row>
    <row r="393">
      <c r="A393" s="183"/>
      <c r="B393" s="183"/>
      <c r="P393" s="184"/>
    </row>
    <row r="394">
      <c r="A394" s="183"/>
      <c r="B394" s="183"/>
      <c r="P394" s="184"/>
    </row>
    <row r="395">
      <c r="A395" s="183"/>
      <c r="B395" s="183"/>
      <c r="P395" s="184"/>
    </row>
    <row r="396">
      <c r="A396" s="183"/>
      <c r="B396" s="183"/>
      <c r="P396" s="184"/>
    </row>
    <row r="397">
      <c r="A397" s="183"/>
      <c r="B397" s="183"/>
      <c r="P397" s="184"/>
    </row>
    <row r="398">
      <c r="A398" s="183"/>
      <c r="B398" s="183"/>
      <c r="P398" s="184"/>
    </row>
    <row r="399">
      <c r="A399" s="183"/>
      <c r="B399" s="183"/>
      <c r="P399" s="184"/>
    </row>
    <row r="400">
      <c r="A400" s="183"/>
      <c r="B400" s="183"/>
      <c r="P400" s="184"/>
    </row>
    <row r="401">
      <c r="A401" s="183"/>
      <c r="B401" s="183"/>
      <c r="P401" s="184"/>
    </row>
    <row r="402">
      <c r="A402" s="183"/>
      <c r="B402" s="183"/>
      <c r="P402" s="184"/>
    </row>
    <row r="403">
      <c r="A403" s="183"/>
      <c r="B403" s="183"/>
      <c r="P403" s="184"/>
    </row>
    <row r="404">
      <c r="A404" s="183"/>
      <c r="B404" s="183"/>
      <c r="P404" s="184"/>
    </row>
    <row r="405">
      <c r="A405" s="183"/>
      <c r="B405" s="183"/>
      <c r="P405" s="184"/>
    </row>
    <row r="406">
      <c r="A406" s="183"/>
      <c r="B406" s="183"/>
      <c r="P406" s="184"/>
    </row>
    <row r="407">
      <c r="A407" s="183"/>
      <c r="B407" s="183"/>
      <c r="P407" s="184"/>
    </row>
    <row r="408">
      <c r="A408" s="183"/>
      <c r="B408" s="183"/>
      <c r="P408" s="184"/>
    </row>
    <row r="409">
      <c r="A409" s="183"/>
      <c r="B409" s="183"/>
      <c r="P409" s="184"/>
    </row>
    <row r="410">
      <c r="A410" s="183"/>
      <c r="B410" s="183"/>
      <c r="P410" s="184"/>
    </row>
    <row r="411">
      <c r="A411" s="183"/>
      <c r="B411" s="183"/>
      <c r="P411" s="184"/>
    </row>
    <row r="412">
      <c r="A412" s="183"/>
      <c r="B412" s="183"/>
      <c r="P412" s="184"/>
    </row>
    <row r="413">
      <c r="A413" s="183"/>
      <c r="B413" s="183"/>
      <c r="P413" s="184"/>
    </row>
    <row r="414">
      <c r="A414" s="183"/>
      <c r="B414" s="183"/>
      <c r="P414" s="184"/>
    </row>
    <row r="415">
      <c r="A415" s="183"/>
      <c r="B415" s="183"/>
      <c r="P415" s="184"/>
    </row>
    <row r="416">
      <c r="A416" s="183"/>
      <c r="B416" s="183"/>
      <c r="P416" s="184"/>
    </row>
    <row r="417">
      <c r="A417" s="183"/>
      <c r="B417" s="183"/>
      <c r="P417" s="184"/>
    </row>
    <row r="418">
      <c r="A418" s="183"/>
      <c r="B418" s="183"/>
      <c r="P418" s="184"/>
    </row>
    <row r="419">
      <c r="A419" s="183"/>
      <c r="B419" s="183"/>
      <c r="P419" s="184"/>
    </row>
    <row r="420">
      <c r="A420" s="183"/>
      <c r="B420" s="183"/>
      <c r="P420" s="184"/>
    </row>
    <row r="421">
      <c r="A421" s="183"/>
      <c r="B421" s="183"/>
      <c r="P421" s="184"/>
    </row>
    <row r="422">
      <c r="A422" s="183"/>
      <c r="B422" s="183"/>
      <c r="P422" s="184"/>
    </row>
    <row r="423">
      <c r="A423" s="183"/>
      <c r="B423" s="183"/>
      <c r="P423" s="184"/>
    </row>
    <row r="424">
      <c r="A424" s="183"/>
      <c r="B424" s="183"/>
      <c r="P424" s="184"/>
    </row>
    <row r="425">
      <c r="A425" s="183"/>
      <c r="B425" s="183"/>
      <c r="P425" s="184"/>
    </row>
    <row r="426">
      <c r="A426" s="183"/>
      <c r="B426" s="183"/>
      <c r="P426" s="184"/>
    </row>
    <row r="427">
      <c r="A427" s="183"/>
      <c r="B427" s="183"/>
      <c r="P427" s="184"/>
    </row>
    <row r="428">
      <c r="A428" s="183"/>
      <c r="B428" s="183"/>
      <c r="P428" s="184"/>
    </row>
    <row r="429">
      <c r="A429" s="183"/>
      <c r="B429" s="183"/>
      <c r="P429" s="184"/>
    </row>
    <row r="430">
      <c r="A430" s="183"/>
      <c r="B430" s="183"/>
      <c r="P430" s="184"/>
    </row>
    <row r="431">
      <c r="A431" s="183"/>
      <c r="B431" s="183"/>
      <c r="P431" s="184"/>
    </row>
    <row r="432">
      <c r="A432" s="183"/>
      <c r="B432" s="183"/>
      <c r="P432" s="184"/>
    </row>
    <row r="433">
      <c r="A433" s="183"/>
      <c r="B433" s="183"/>
      <c r="P433" s="184"/>
    </row>
    <row r="434">
      <c r="A434" s="183"/>
      <c r="B434" s="183"/>
      <c r="P434" s="184"/>
    </row>
    <row r="435">
      <c r="A435" s="183"/>
      <c r="B435" s="183"/>
      <c r="P435" s="184"/>
    </row>
    <row r="436">
      <c r="A436" s="183"/>
      <c r="B436" s="183"/>
      <c r="P436" s="184"/>
    </row>
    <row r="437">
      <c r="A437" s="183"/>
      <c r="B437" s="183"/>
      <c r="P437" s="184"/>
    </row>
    <row r="438">
      <c r="A438" s="183"/>
      <c r="B438" s="183"/>
      <c r="P438" s="184"/>
    </row>
    <row r="439">
      <c r="A439" s="183"/>
      <c r="B439" s="183"/>
      <c r="P439" s="184"/>
    </row>
    <row r="440">
      <c r="A440" s="183"/>
      <c r="B440" s="183"/>
      <c r="P440" s="184"/>
    </row>
    <row r="441">
      <c r="A441" s="183"/>
      <c r="B441" s="183"/>
      <c r="P441" s="184"/>
    </row>
    <row r="442">
      <c r="A442" s="183"/>
      <c r="B442" s="183"/>
      <c r="P442" s="184"/>
    </row>
    <row r="443">
      <c r="A443" s="183"/>
      <c r="B443" s="183"/>
      <c r="P443" s="184"/>
    </row>
    <row r="444">
      <c r="A444" s="183"/>
      <c r="B444" s="183"/>
      <c r="P444" s="184"/>
    </row>
    <row r="445">
      <c r="A445" s="183"/>
      <c r="B445" s="183"/>
      <c r="P445" s="184"/>
    </row>
    <row r="446">
      <c r="A446" s="183"/>
      <c r="B446" s="183"/>
      <c r="P446" s="184"/>
    </row>
    <row r="447">
      <c r="A447" s="183"/>
      <c r="B447" s="183"/>
      <c r="P447" s="184"/>
    </row>
    <row r="448">
      <c r="A448" s="183"/>
      <c r="B448" s="183"/>
      <c r="P448" s="184"/>
    </row>
    <row r="449">
      <c r="A449" s="183"/>
      <c r="B449" s="183"/>
      <c r="P449" s="184"/>
    </row>
    <row r="450">
      <c r="A450" s="183"/>
      <c r="B450" s="183"/>
      <c r="P450" s="184"/>
    </row>
    <row r="451">
      <c r="A451" s="183"/>
      <c r="B451" s="183"/>
      <c r="P451" s="184"/>
    </row>
    <row r="452">
      <c r="A452" s="183"/>
      <c r="B452" s="183"/>
      <c r="P452" s="184"/>
    </row>
    <row r="453">
      <c r="A453" s="183"/>
      <c r="B453" s="183"/>
      <c r="P453" s="184"/>
    </row>
    <row r="454">
      <c r="A454" s="183"/>
      <c r="B454" s="183"/>
      <c r="P454" s="184"/>
    </row>
    <row r="455">
      <c r="A455" s="183"/>
      <c r="B455" s="183"/>
      <c r="P455" s="184"/>
    </row>
    <row r="456">
      <c r="A456" s="183"/>
      <c r="B456" s="183"/>
      <c r="P456" s="184"/>
    </row>
    <row r="457">
      <c r="A457" s="183"/>
      <c r="B457" s="183"/>
      <c r="P457" s="184"/>
    </row>
    <row r="458">
      <c r="A458" s="183"/>
      <c r="B458" s="183"/>
      <c r="P458" s="184"/>
    </row>
    <row r="459">
      <c r="A459" s="183"/>
      <c r="B459" s="183"/>
      <c r="P459" s="184"/>
    </row>
    <row r="460">
      <c r="A460" s="183"/>
      <c r="B460" s="183"/>
      <c r="P460" s="184"/>
    </row>
    <row r="461">
      <c r="A461" s="183"/>
      <c r="B461" s="183"/>
      <c r="P461" s="184"/>
    </row>
    <row r="462">
      <c r="A462" s="183"/>
      <c r="B462" s="183"/>
      <c r="P462" s="184"/>
    </row>
    <row r="463">
      <c r="A463" s="183"/>
      <c r="B463" s="183"/>
      <c r="P463" s="184"/>
    </row>
    <row r="464">
      <c r="A464" s="183"/>
      <c r="B464" s="183"/>
      <c r="P464" s="184"/>
    </row>
    <row r="465">
      <c r="A465" s="183"/>
      <c r="B465" s="183"/>
      <c r="P465" s="184"/>
    </row>
    <row r="466">
      <c r="A466" s="183"/>
      <c r="B466" s="183"/>
      <c r="P466" s="184"/>
    </row>
    <row r="467">
      <c r="A467" s="183"/>
      <c r="B467" s="183"/>
      <c r="P467" s="184"/>
    </row>
    <row r="468">
      <c r="A468" s="183"/>
      <c r="B468" s="183"/>
      <c r="P468" s="184"/>
    </row>
    <row r="469">
      <c r="A469" s="183"/>
      <c r="B469" s="183"/>
      <c r="P469" s="184"/>
    </row>
    <row r="470">
      <c r="A470" s="183"/>
      <c r="B470" s="183"/>
      <c r="P470" s="184"/>
    </row>
    <row r="471">
      <c r="A471" s="183"/>
      <c r="B471" s="183"/>
      <c r="P471" s="184"/>
    </row>
    <row r="472">
      <c r="A472" s="183"/>
      <c r="B472" s="183"/>
      <c r="P472" s="184"/>
    </row>
    <row r="473">
      <c r="A473" s="183"/>
      <c r="B473" s="183"/>
      <c r="P473" s="184"/>
    </row>
    <row r="474">
      <c r="A474" s="183"/>
      <c r="B474" s="183"/>
      <c r="P474" s="184"/>
    </row>
    <row r="475">
      <c r="A475" s="183"/>
      <c r="B475" s="183"/>
      <c r="P475" s="184"/>
    </row>
    <row r="476">
      <c r="A476" s="183"/>
      <c r="B476" s="183"/>
      <c r="P476" s="184"/>
    </row>
    <row r="477">
      <c r="A477" s="183"/>
      <c r="B477" s="183"/>
      <c r="P477" s="184"/>
    </row>
    <row r="478">
      <c r="A478" s="183"/>
      <c r="B478" s="183"/>
      <c r="P478" s="184"/>
    </row>
    <row r="479">
      <c r="A479" s="183"/>
      <c r="B479" s="183"/>
      <c r="P479" s="184"/>
    </row>
    <row r="480">
      <c r="A480" s="183"/>
      <c r="B480" s="183"/>
      <c r="P480" s="184"/>
    </row>
    <row r="481">
      <c r="A481" s="183"/>
      <c r="B481" s="183"/>
      <c r="P481" s="184"/>
    </row>
    <row r="482">
      <c r="A482" s="183"/>
      <c r="B482" s="183"/>
      <c r="P482" s="184"/>
    </row>
    <row r="483">
      <c r="A483" s="183"/>
      <c r="B483" s="183"/>
      <c r="P483" s="184"/>
    </row>
    <row r="484">
      <c r="A484" s="183"/>
      <c r="B484" s="183"/>
      <c r="P484" s="184"/>
    </row>
    <row r="485">
      <c r="A485" s="183"/>
      <c r="B485" s="183"/>
      <c r="P485" s="184"/>
    </row>
    <row r="486">
      <c r="A486" s="183"/>
      <c r="B486" s="183"/>
      <c r="P486" s="184"/>
    </row>
    <row r="487">
      <c r="A487" s="183"/>
      <c r="B487" s="183"/>
      <c r="P487" s="184"/>
    </row>
    <row r="488">
      <c r="A488" s="183"/>
      <c r="B488" s="183"/>
      <c r="P488" s="184"/>
    </row>
    <row r="489">
      <c r="A489" s="183"/>
      <c r="B489" s="183"/>
      <c r="P489" s="184"/>
    </row>
    <row r="490">
      <c r="A490" s="183"/>
      <c r="B490" s="183"/>
      <c r="P490" s="184"/>
    </row>
    <row r="491">
      <c r="A491" s="183"/>
      <c r="B491" s="183"/>
      <c r="P491" s="184"/>
    </row>
    <row r="492">
      <c r="A492" s="183"/>
      <c r="B492" s="183"/>
      <c r="P492" s="184"/>
    </row>
    <row r="493">
      <c r="A493" s="183"/>
      <c r="B493" s="183"/>
      <c r="P493" s="184"/>
    </row>
    <row r="494">
      <c r="A494" s="183"/>
      <c r="B494" s="183"/>
      <c r="P494" s="184"/>
    </row>
    <row r="495">
      <c r="A495" s="183"/>
      <c r="B495" s="183"/>
      <c r="P495" s="184"/>
    </row>
    <row r="496">
      <c r="A496" s="183"/>
      <c r="B496" s="183"/>
      <c r="P496" s="184"/>
    </row>
    <row r="497">
      <c r="A497" s="183"/>
      <c r="B497" s="183"/>
      <c r="P497" s="184"/>
    </row>
    <row r="498">
      <c r="A498" s="183"/>
      <c r="B498" s="183"/>
      <c r="P498" s="184"/>
    </row>
    <row r="499">
      <c r="A499" s="183"/>
      <c r="B499" s="183"/>
      <c r="P499" s="184"/>
    </row>
    <row r="500">
      <c r="A500" s="183"/>
      <c r="B500" s="183"/>
      <c r="P500" s="184"/>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6.38"/>
    <col customWidth="1" min="3" max="3" width="24.88"/>
    <col customWidth="1" min="4" max="4" width="16.38"/>
    <col customWidth="1" min="5" max="5" width="18.88"/>
    <col customWidth="1" min="6" max="6" width="31.38"/>
    <col customWidth="1" min="7" max="7" width="22.63"/>
    <col customWidth="1" min="8" max="8" width="20.13"/>
    <col customWidth="1" min="9" max="9" width="23.38"/>
    <col customWidth="1" min="10" max="10" width="18.88"/>
    <col customWidth="1" min="11" max="11" width="40.13"/>
    <col customWidth="1" min="12" max="12" width="12.63"/>
  </cols>
  <sheetData>
    <row r="1">
      <c r="A1" s="171" t="s">
        <v>1989</v>
      </c>
      <c r="C1" s="176" t="s">
        <v>24</v>
      </c>
      <c r="D1" s="185" t="s">
        <v>25</v>
      </c>
      <c r="E1" s="185" t="s">
        <v>26</v>
      </c>
      <c r="F1" s="185" t="s">
        <v>27</v>
      </c>
      <c r="G1" s="186" t="s">
        <v>30</v>
      </c>
      <c r="H1" s="186" t="s">
        <v>31</v>
      </c>
      <c r="I1" s="186" t="s">
        <v>32</v>
      </c>
      <c r="J1" s="186" t="s">
        <v>2045</v>
      </c>
      <c r="K1" s="186" t="s">
        <v>34</v>
      </c>
      <c r="L1" s="187"/>
    </row>
    <row r="2">
      <c r="A2" s="178" t="s">
        <v>75</v>
      </c>
      <c r="C2" s="178" t="s">
        <v>144</v>
      </c>
      <c r="D2" s="180" t="s">
        <v>113</v>
      </c>
      <c r="E2" s="180" t="s">
        <v>1794</v>
      </c>
      <c r="F2" s="180" t="s">
        <v>343</v>
      </c>
      <c r="G2" s="180" t="s">
        <v>472</v>
      </c>
      <c r="H2" s="180" t="s">
        <v>839</v>
      </c>
      <c r="I2" s="178" t="s">
        <v>2046</v>
      </c>
      <c r="J2" s="178" t="s">
        <v>1333</v>
      </c>
      <c r="K2" s="180" t="s">
        <v>1352</v>
      </c>
    </row>
    <row r="3">
      <c r="A3" s="178" t="s">
        <v>68</v>
      </c>
      <c r="C3" s="178" t="s">
        <v>1883</v>
      </c>
      <c r="D3" s="180" t="s">
        <v>270</v>
      </c>
      <c r="E3" s="180" t="s">
        <v>1262</v>
      </c>
      <c r="F3" s="180" t="s">
        <v>1092</v>
      </c>
      <c r="G3" s="180" t="s">
        <v>261</v>
      </c>
      <c r="H3" s="180" t="s">
        <v>2047</v>
      </c>
      <c r="I3" s="180" t="s">
        <v>2048</v>
      </c>
      <c r="J3" s="178" t="s">
        <v>134</v>
      </c>
      <c r="K3" s="180" t="s">
        <v>1414</v>
      </c>
    </row>
    <row r="4">
      <c r="C4" s="178" t="s">
        <v>170</v>
      </c>
      <c r="D4" s="180" t="s">
        <v>155</v>
      </c>
      <c r="E4" s="180" t="s">
        <v>336</v>
      </c>
      <c r="F4" s="180" t="s">
        <v>1263</v>
      </c>
      <c r="G4" s="180" t="s">
        <v>1036</v>
      </c>
      <c r="H4" s="180" t="s">
        <v>365</v>
      </c>
      <c r="I4" s="178" t="s">
        <v>2049</v>
      </c>
      <c r="J4" s="178" t="s">
        <v>94</v>
      </c>
      <c r="K4" s="180" t="s">
        <v>1394</v>
      </c>
    </row>
    <row r="5">
      <c r="C5" s="178" t="s">
        <v>128</v>
      </c>
      <c r="D5" s="180" t="s">
        <v>642</v>
      </c>
      <c r="E5" s="180" t="s">
        <v>156</v>
      </c>
      <c r="F5" s="180" t="s">
        <v>584</v>
      </c>
      <c r="G5" s="180" t="s">
        <v>753</v>
      </c>
      <c r="H5" s="180" t="s">
        <v>2050</v>
      </c>
      <c r="I5" s="180" t="s">
        <v>2051</v>
      </c>
      <c r="J5" s="180" t="s">
        <v>396</v>
      </c>
      <c r="K5" s="180" t="s">
        <v>81</v>
      </c>
    </row>
    <row r="6">
      <c r="C6" s="178" t="s">
        <v>2052</v>
      </c>
      <c r="D6" s="180" t="s">
        <v>69</v>
      </c>
      <c r="E6" s="180" t="s">
        <v>1906</v>
      </c>
      <c r="F6" s="180" t="s">
        <v>1733</v>
      </c>
      <c r="G6" s="180" t="s">
        <v>362</v>
      </c>
      <c r="H6" s="188" t="s">
        <v>469</v>
      </c>
      <c r="I6" s="178" t="s">
        <v>2053</v>
      </c>
      <c r="K6" s="180" t="s">
        <v>165</v>
      </c>
    </row>
    <row r="7">
      <c r="C7" s="178" t="s">
        <v>745</v>
      </c>
      <c r="D7" s="180" t="s">
        <v>1097</v>
      </c>
      <c r="E7" s="180" t="s">
        <v>113</v>
      </c>
      <c r="F7" s="180" t="s">
        <v>79</v>
      </c>
      <c r="G7" s="180" t="s">
        <v>1345</v>
      </c>
      <c r="H7" s="178" t="s">
        <v>267</v>
      </c>
      <c r="I7" s="178" t="s">
        <v>2054</v>
      </c>
      <c r="K7" s="180" t="s">
        <v>887</v>
      </c>
    </row>
    <row r="8">
      <c r="C8" s="178" t="s">
        <v>531</v>
      </c>
      <c r="D8" s="180" t="s">
        <v>1668</v>
      </c>
      <c r="E8" s="180" t="s">
        <v>270</v>
      </c>
      <c r="F8" s="180" t="s">
        <v>1097</v>
      </c>
      <c r="G8" s="180" t="s">
        <v>542</v>
      </c>
      <c r="H8" s="178" t="s">
        <v>2055</v>
      </c>
      <c r="I8" s="180" t="s">
        <v>241</v>
      </c>
      <c r="K8" s="180" t="s">
        <v>1278</v>
      </c>
    </row>
    <row r="9">
      <c r="C9" s="180" t="s">
        <v>660</v>
      </c>
      <c r="D9" s="180" t="s">
        <v>895</v>
      </c>
      <c r="E9" s="180" t="s">
        <v>1709</v>
      </c>
      <c r="F9" s="180" t="s">
        <v>86</v>
      </c>
      <c r="G9" s="180" t="s">
        <v>441</v>
      </c>
      <c r="H9" s="178" t="s">
        <v>75</v>
      </c>
      <c r="I9" s="178" t="s">
        <v>2056</v>
      </c>
      <c r="K9" s="178" t="s">
        <v>176</v>
      </c>
    </row>
    <row r="10">
      <c r="C10" s="178" t="s">
        <v>148</v>
      </c>
      <c r="D10" s="180" t="s">
        <v>77</v>
      </c>
      <c r="E10" s="180" t="s">
        <v>642</v>
      </c>
      <c r="F10" s="180" t="s">
        <v>327</v>
      </c>
      <c r="G10" s="180" t="s">
        <v>550</v>
      </c>
      <c r="H10" s="178" t="s">
        <v>1337</v>
      </c>
      <c r="I10" s="180" t="s">
        <v>2057</v>
      </c>
      <c r="K10" s="180" t="s">
        <v>890</v>
      </c>
    </row>
    <row r="11">
      <c r="C11" s="178" t="s">
        <v>2058</v>
      </c>
      <c r="D11" s="180" t="s">
        <v>1119</v>
      </c>
      <c r="E11" s="180" t="s">
        <v>361</v>
      </c>
      <c r="F11" s="180" t="s">
        <v>1192</v>
      </c>
      <c r="G11" s="180" t="s">
        <v>747</v>
      </c>
      <c r="H11" s="178" t="s">
        <v>818</v>
      </c>
      <c r="I11" s="178" t="s">
        <v>2059</v>
      </c>
      <c r="K11" s="180" t="s">
        <v>431</v>
      </c>
    </row>
    <row r="12">
      <c r="C12" s="178" t="s">
        <v>378</v>
      </c>
      <c r="D12" s="180" t="s">
        <v>171</v>
      </c>
      <c r="E12" s="180" t="s">
        <v>225</v>
      </c>
      <c r="F12" s="180" t="s">
        <v>370</v>
      </c>
      <c r="G12" s="180" t="s">
        <v>307</v>
      </c>
      <c r="H12" s="178" t="s">
        <v>2060</v>
      </c>
      <c r="I12" s="178" t="s">
        <v>2061</v>
      </c>
      <c r="K12" s="180" t="s">
        <v>788</v>
      </c>
    </row>
    <row r="13">
      <c r="C13" s="178" t="s">
        <v>91</v>
      </c>
      <c r="D13" s="180" t="s">
        <v>276</v>
      </c>
      <c r="E13" s="180" t="s">
        <v>557</v>
      </c>
      <c r="F13" s="180" t="s">
        <v>448</v>
      </c>
      <c r="G13" s="180" t="s">
        <v>1488</v>
      </c>
      <c r="H13" s="178" t="s">
        <v>2062</v>
      </c>
      <c r="I13" s="178" t="s">
        <v>2063</v>
      </c>
      <c r="K13" s="180" t="s">
        <v>1260</v>
      </c>
    </row>
    <row r="14">
      <c r="C14" s="178" t="s">
        <v>433</v>
      </c>
      <c r="D14" s="180" t="s">
        <v>341</v>
      </c>
      <c r="E14" s="178" t="s">
        <v>138</v>
      </c>
      <c r="F14" s="180" t="s">
        <v>1641</v>
      </c>
      <c r="G14" s="180" t="s">
        <v>545</v>
      </c>
      <c r="H14" s="178" t="s">
        <v>2064</v>
      </c>
      <c r="I14" s="178" t="s">
        <v>2065</v>
      </c>
      <c r="K14" s="180" t="s">
        <v>181</v>
      </c>
    </row>
    <row r="15">
      <c r="C15" s="178" t="s">
        <v>264</v>
      </c>
      <c r="D15" s="180" t="s">
        <v>193</v>
      </c>
      <c r="E15" s="180" t="s">
        <v>445</v>
      </c>
      <c r="F15" s="180" t="s">
        <v>1622</v>
      </c>
      <c r="G15" s="178" t="s">
        <v>1301</v>
      </c>
      <c r="H15" s="180" t="s">
        <v>2066</v>
      </c>
      <c r="I15" s="178" t="s">
        <v>2067</v>
      </c>
      <c r="K15" s="180" t="s">
        <v>1377</v>
      </c>
    </row>
    <row r="16">
      <c r="C16" s="178" t="s">
        <v>118</v>
      </c>
      <c r="D16" s="180" t="s">
        <v>1574</v>
      </c>
      <c r="E16" s="180" t="s">
        <v>1891</v>
      </c>
      <c r="F16" s="180" t="s">
        <v>1576</v>
      </c>
      <c r="G16" s="180" t="s">
        <v>102</v>
      </c>
      <c r="H16" s="178" t="s">
        <v>99</v>
      </c>
      <c r="I16" s="178" t="s">
        <v>2068</v>
      </c>
      <c r="K16" s="180" t="s">
        <v>436</v>
      </c>
    </row>
    <row r="17">
      <c r="C17" s="178" t="s">
        <v>1945</v>
      </c>
      <c r="D17" s="180" t="s">
        <v>1793</v>
      </c>
      <c r="E17" s="180" t="s">
        <v>650</v>
      </c>
      <c r="F17" s="180" t="s">
        <v>1521</v>
      </c>
      <c r="G17" s="180" t="s">
        <v>371</v>
      </c>
      <c r="H17" s="178" t="s">
        <v>351</v>
      </c>
      <c r="I17" s="180" t="s">
        <v>2069</v>
      </c>
      <c r="K17" s="180" t="s">
        <v>798</v>
      </c>
    </row>
    <row r="18">
      <c r="C18" s="178" t="s">
        <v>154</v>
      </c>
      <c r="D18" s="180" t="s">
        <v>1383</v>
      </c>
      <c r="E18" s="180" t="s">
        <v>735</v>
      </c>
      <c r="F18" s="180" t="s">
        <v>1911</v>
      </c>
      <c r="G18" s="178" t="s">
        <v>759</v>
      </c>
      <c r="H18" s="178" t="s">
        <v>2070</v>
      </c>
      <c r="I18" s="178" t="s">
        <v>2071</v>
      </c>
      <c r="K18" s="180" t="s">
        <v>1295</v>
      </c>
    </row>
    <row r="19">
      <c r="C19" s="178" t="s">
        <v>842</v>
      </c>
      <c r="D19" s="180" t="s">
        <v>129</v>
      </c>
      <c r="E19" s="180" t="s">
        <v>583</v>
      </c>
      <c r="F19" s="180" t="s">
        <v>468</v>
      </c>
      <c r="G19" s="180" t="s">
        <v>881</v>
      </c>
      <c r="H19" s="178" t="s">
        <v>2072</v>
      </c>
      <c r="I19" s="180" t="s">
        <v>1532</v>
      </c>
      <c r="K19" s="180" t="s">
        <v>824</v>
      </c>
    </row>
    <row r="20">
      <c r="C20" s="178" t="s">
        <v>1954</v>
      </c>
      <c r="D20" s="180" t="s">
        <v>1708</v>
      </c>
      <c r="E20" s="180" t="s">
        <v>1720</v>
      </c>
      <c r="F20" s="180" t="s">
        <v>1663</v>
      </c>
      <c r="G20" s="180" t="s">
        <v>617</v>
      </c>
      <c r="H20" s="178" t="s">
        <v>621</v>
      </c>
      <c r="I20" s="180" t="s">
        <v>1729</v>
      </c>
      <c r="K20" s="180" t="s">
        <v>367</v>
      </c>
    </row>
    <row r="21">
      <c r="C21" s="178" t="s">
        <v>2073</v>
      </c>
      <c r="D21" s="180" t="s">
        <v>107</v>
      </c>
      <c r="E21" s="180" t="s">
        <v>78</v>
      </c>
      <c r="F21" s="180" t="s">
        <v>1829</v>
      </c>
      <c r="G21" s="180" t="s">
        <v>873</v>
      </c>
      <c r="H21" s="178" t="s">
        <v>2074</v>
      </c>
      <c r="I21" s="180" t="s">
        <v>1524</v>
      </c>
      <c r="K21" s="180" t="s">
        <v>1387</v>
      </c>
    </row>
    <row r="22">
      <c r="C22" s="178" t="s">
        <v>918</v>
      </c>
      <c r="D22" s="180" t="s">
        <v>219</v>
      </c>
      <c r="E22" s="180" t="s">
        <v>1813</v>
      </c>
      <c r="F22" s="180" t="s">
        <v>644</v>
      </c>
      <c r="G22" s="180" t="s">
        <v>681</v>
      </c>
      <c r="H22" s="178" t="s">
        <v>442</v>
      </c>
      <c r="I22" s="178" t="s">
        <v>2075</v>
      </c>
      <c r="K22" s="180" t="s">
        <v>1477</v>
      </c>
    </row>
    <row r="23">
      <c r="C23" s="178" t="s">
        <v>1289</v>
      </c>
      <c r="D23" s="180" t="s">
        <v>1348</v>
      </c>
      <c r="E23" s="180" t="s">
        <v>516</v>
      </c>
      <c r="F23" s="180" t="s">
        <v>897</v>
      </c>
      <c r="G23" s="180" t="s">
        <v>145</v>
      </c>
      <c r="H23" s="180" t="s">
        <v>2076</v>
      </c>
      <c r="I23" s="178" t="s">
        <v>2077</v>
      </c>
      <c r="K23" s="180" t="s">
        <v>160</v>
      </c>
    </row>
    <row r="24">
      <c r="C24" s="178" t="s">
        <v>479</v>
      </c>
      <c r="D24" s="180" t="s">
        <v>84</v>
      </c>
      <c r="E24" s="180" t="s">
        <v>122</v>
      </c>
      <c r="F24" s="180" t="s">
        <v>98</v>
      </c>
      <c r="G24" s="180" t="s">
        <v>50</v>
      </c>
      <c r="H24" s="178" t="s">
        <v>244</v>
      </c>
      <c r="I24" s="178" t="s">
        <v>2078</v>
      </c>
      <c r="K24" s="180" t="s">
        <v>849</v>
      </c>
    </row>
    <row r="25">
      <c r="C25" s="178" t="s">
        <v>990</v>
      </c>
      <c r="D25" s="180" t="s">
        <v>1731</v>
      </c>
      <c r="E25" s="180" t="s">
        <v>86</v>
      </c>
      <c r="F25" s="180" t="s">
        <v>570</v>
      </c>
      <c r="G25" s="180" t="s">
        <v>1179</v>
      </c>
      <c r="H25" s="178" t="s">
        <v>92</v>
      </c>
      <c r="I25" s="178" t="s">
        <v>2079</v>
      </c>
      <c r="K25" s="180" t="s">
        <v>1504</v>
      </c>
    </row>
    <row r="26">
      <c r="C26" s="178" t="s">
        <v>162</v>
      </c>
      <c r="D26" s="180" t="s">
        <v>1687</v>
      </c>
      <c r="E26" s="180" t="s">
        <v>194</v>
      </c>
      <c r="F26" s="180" t="s">
        <v>932</v>
      </c>
      <c r="G26" s="180" t="s">
        <v>215</v>
      </c>
      <c r="H26" s="180" t="s">
        <v>2080</v>
      </c>
      <c r="I26" s="180" t="s">
        <v>2081</v>
      </c>
      <c r="K26" s="180" t="s">
        <v>704</v>
      </c>
    </row>
    <row r="27">
      <c r="D27" s="180" t="s">
        <v>1736</v>
      </c>
      <c r="E27" s="180" t="s">
        <v>258</v>
      </c>
      <c r="F27" s="180" t="s">
        <v>1795</v>
      </c>
      <c r="G27" s="180" t="s">
        <v>1699</v>
      </c>
      <c r="H27" s="180" t="s">
        <v>2082</v>
      </c>
      <c r="I27" s="178" t="s">
        <v>1568</v>
      </c>
      <c r="K27" s="180" t="s">
        <v>1114</v>
      </c>
    </row>
    <row r="28">
      <c r="D28" s="180" t="s">
        <v>96</v>
      </c>
      <c r="E28" s="180" t="s">
        <v>1361</v>
      </c>
      <c r="F28" s="180" t="s">
        <v>666</v>
      </c>
      <c r="G28" s="180" t="s">
        <v>1636</v>
      </c>
      <c r="H28" s="178" t="s">
        <v>115</v>
      </c>
      <c r="I28" s="180" t="s">
        <v>2083</v>
      </c>
      <c r="K28" s="180" t="s">
        <v>373</v>
      </c>
    </row>
    <row r="29">
      <c r="D29" s="180" t="s">
        <v>1905</v>
      </c>
      <c r="E29" s="180" t="s">
        <v>1120</v>
      </c>
      <c r="F29" s="180" t="s">
        <v>1738</v>
      </c>
      <c r="G29" s="180" t="s">
        <v>662</v>
      </c>
      <c r="H29" s="178" t="s">
        <v>1362</v>
      </c>
      <c r="I29" s="180" t="s">
        <v>2084</v>
      </c>
      <c r="K29" s="178" t="s">
        <v>970</v>
      </c>
    </row>
    <row r="30">
      <c r="D30" s="180" t="s">
        <v>1485</v>
      </c>
      <c r="E30" s="180" t="s">
        <v>1124</v>
      </c>
      <c r="F30" s="180" t="s">
        <v>1747</v>
      </c>
      <c r="G30" s="180" t="s">
        <v>1276</v>
      </c>
      <c r="H30" s="178" t="s">
        <v>2085</v>
      </c>
      <c r="I30" s="178" t="s">
        <v>2086</v>
      </c>
      <c r="K30" s="180" t="s">
        <v>231</v>
      </c>
    </row>
    <row r="31">
      <c r="D31" s="180" t="s">
        <v>582</v>
      </c>
      <c r="E31" s="180" t="s">
        <v>327</v>
      </c>
      <c r="F31" s="180" t="s">
        <v>350</v>
      </c>
      <c r="G31" s="178" t="s">
        <v>1497</v>
      </c>
      <c r="I31" s="178" t="s">
        <v>2087</v>
      </c>
      <c r="K31" s="180" t="s">
        <v>126</v>
      </c>
    </row>
    <row r="32">
      <c r="D32" s="180" t="s">
        <v>1869</v>
      </c>
      <c r="E32" s="180" t="s">
        <v>277</v>
      </c>
      <c r="F32" s="180" t="s">
        <v>415</v>
      </c>
      <c r="G32" s="180" t="s">
        <v>167</v>
      </c>
      <c r="I32" s="178" t="s">
        <v>2088</v>
      </c>
      <c r="K32" s="180" t="s">
        <v>1095</v>
      </c>
    </row>
    <row r="33">
      <c r="D33" s="180" t="s">
        <v>460</v>
      </c>
      <c r="E33" s="180" t="s">
        <v>421</v>
      </c>
      <c r="F33" s="180" t="s">
        <v>1070</v>
      </c>
      <c r="G33" s="180" t="s">
        <v>1030</v>
      </c>
      <c r="I33" s="178" t="s">
        <v>2089</v>
      </c>
      <c r="K33" s="180" t="s">
        <v>784</v>
      </c>
    </row>
    <row r="34">
      <c r="D34" s="180" t="s">
        <v>1639</v>
      </c>
      <c r="E34" s="180" t="s">
        <v>1191</v>
      </c>
      <c r="F34" s="180" t="s">
        <v>1350</v>
      </c>
      <c r="G34" s="180" t="s">
        <v>525</v>
      </c>
      <c r="I34" s="178" t="s">
        <v>2090</v>
      </c>
      <c r="K34" s="180" t="s">
        <v>135</v>
      </c>
    </row>
    <row r="35">
      <c r="D35" s="180" t="s">
        <v>137</v>
      </c>
      <c r="E35" s="180" t="s">
        <v>635</v>
      </c>
      <c r="F35" s="180" t="s">
        <v>736</v>
      </c>
      <c r="G35" s="180" t="s">
        <v>607</v>
      </c>
      <c r="I35" s="178" t="s">
        <v>2091</v>
      </c>
      <c r="K35" s="180" t="s">
        <v>484</v>
      </c>
    </row>
    <row r="36">
      <c r="D36" s="180" t="s">
        <v>348</v>
      </c>
      <c r="E36" s="180" t="s">
        <v>228</v>
      </c>
      <c r="F36" s="180" t="s">
        <v>498</v>
      </c>
      <c r="G36" s="180" t="s">
        <v>717</v>
      </c>
      <c r="I36" s="178" t="s">
        <v>2092</v>
      </c>
      <c r="K36" s="180" t="s">
        <v>801</v>
      </c>
    </row>
    <row r="37">
      <c r="E37" s="180" t="s">
        <v>576</v>
      </c>
      <c r="F37" s="180" t="s">
        <v>123</v>
      </c>
      <c r="G37" s="180" t="s">
        <v>451</v>
      </c>
      <c r="I37" s="178" t="s">
        <v>2093</v>
      </c>
      <c r="K37" s="180" t="s">
        <v>1326</v>
      </c>
    </row>
    <row r="38">
      <c r="E38" s="180" t="s">
        <v>1822</v>
      </c>
      <c r="F38" s="180" t="s">
        <v>157</v>
      </c>
      <c r="G38" s="180" t="s">
        <v>328</v>
      </c>
      <c r="I38" s="178" t="s">
        <v>2094</v>
      </c>
      <c r="K38" s="180" t="s">
        <v>589</v>
      </c>
    </row>
    <row r="39">
      <c r="E39" s="180" t="s">
        <v>1410</v>
      </c>
      <c r="F39" s="180" t="s">
        <v>1710</v>
      </c>
      <c r="G39" s="180" t="s">
        <v>1086</v>
      </c>
      <c r="I39" s="180" t="s">
        <v>2095</v>
      </c>
      <c r="K39" s="180" t="s">
        <v>297</v>
      </c>
    </row>
    <row r="40">
      <c r="E40" s="180" t="s">
        <v>1496</v>
      </c>
      <c r="F40" s="180" t="s">
        <v>1407</v>
      </c>
      <c r="G40" s="180" t="s">
        <v>1022</v>
      </c>
      <c r="I40" s="178" t="s">
        <v>2096</v>
      </c>
      <c r="K40" s="180" t="s">
        <v>2097</v>
      </c>
    </row>
    <row r="41">
      <c r="E41" s="180" t="s">
        <v>70</v>
      </c>
      <c r="F41" s="180" t="s">
        <v>467</v>
      </c>
      <c r="G41" s="180" t="s">
        <v>1002</v>
      </c>
      <c r="I41" s="178" t="s">
        <v>2098</v>
      </c>
      <c r="K41" s="180" t="s">
        <v>346</v>
      </c>
    </row>
    <row r="42">
      <c r="E42" s="180" t="s">
        <v>425</v>
      </c>
      <c r="F42" s="180" t="s">
        <v>1616</v>
      </c>
      <c r="G42" s="180" t="s">
        <v>179</v>
      </c>
      <c r="I42" s="178" t="s">
        <v>2099</v>
      </c>
      <c r="K42" s="180" t="s">
        <v>511</v>
      </c>
    </row>
    <row r="43">
      <c r="E43" s="180" t="s">
        <v>448</v>
      </c>
      <c r="F43" s="180" t="s">
        <v>120</v>
      </c>
      <c r="G43" s="180" t="s">
        <v>255</v>
      </c>
      <c r="I43" s="178" t="s">
        <v>2100</v>
      </c>
      <c r="K43" s="180" t="s">
        <v>105</v>
      </c>
    </row>
    <row r="44">
      <c r="E44" s="180" t="s">
        <v>1368</v>
      </c>
      <c r="F44" s="180" t="s">
        <v>1385</v>
      </c>
      <c r="G44" s="180" t="s">
        <v>868</v>
      </c>
      <c r="I44" s="178" t="s">
        <v>2101</v>
      </c>
      <c r="K44" s="180" t="s">
        <v>567</v>
      </c>
    </row>
    <row r="45">
      <c r="E45" s="178" t="s">
        <v>172</v>
      </c>
      <c r="F45" s="180" t="s">
        <v>71</v>
      </c>
      <c r="G45" s="180" t="s">
        <v>722</v>
      </c>
      <c r="I45" s="178" t="s">
        <v>2102</v>
      </c>
      <c r="K45" s="180" t="s">
        <v>318</v>
      </c>
    </row>
    <row r="46">
      <c r="E46" s="180" t="s">
        <v>680</v>
      </c>
      <c r="F46" s="180" t="s">
        <v>131</v>
      </c>
      <c r="G46" s="180" t="s">
        <v>464</v>
      </c>
      <c r="I46" s="178" t="s">
        <v>2103</v>
      </c>
      <c r="K46" s="180" t="s">
        <v>1467</v>
      </c>
    </row>
    <row r="47">
      <c r="E47" s="180" t="s">
        <v>1556</v>
      </c>
      <c r="F47" s="180" t="s">
        <v>1487</v>
      </c>
      <c r="G47" s="180" t="s">
        <v>655</v>
      </c>
      <c r="K47" s="180" t="s">
        <v>253</v>
      </c>
    </row>
    <row r="48">
      <c r="E48" s="180" t="s">
        <v>1384</v>
      </c>
      <c r="F48" s="180" t="s">
        <v>139</v>
      </c>
      <c r="G48" s="180" t="s">
        <v>821</v>
      </c>
      <c r="K48" s="180" t="s">
        <v>2104</v>
      </c>
    </row>
    <row r="49">
      <c r="E49" s="180" t="s">
        <v>1726</v>
      </c>
      <c r="F49" s="180" t="s">
        <v>195</v>
      </c>
      <c r="G49" s="180" t="s">
        <v>632</v>
      </c>
      <c r="K49" s="180" t="s">
        <v>1329</v>
      </c>
    </row>
    <row r="50">
      <c r="E50" s="180" t="s">
        <v>661</v>
      </c>
      <c r="F50" s="180" t="s">
        <v>1121</v>
      </c>
      <c r="G50" s="180" t="s">
        <v>386</v>
      </c>
      <c r="K50" s="180" t="s">
        <v>1443</v>
      </c>
    </row>
    <row r="51">
      <c r="E51" s="180" t="s">
        <v>1688</v>
      </c>
      <c r="F51" s="180" t="s">
        <v>272</v>
      </c>
      <c r="G51" s="180" t="s">
        <v>553</v>
      </c>
      <c r="K51" s="180" t="s">
        <v>658</v>
      </c>
    </row>
    <row r="52">
      <c r="E52" s="180" t="s">
        <v>1163</v>
      </c>
      <c r="F52" s="180" t="s">
        <v>109</v>
      </c>
      <c r="G52" s="180" t="s">
        <v>1062</v>
      </c>
      <c r="K52" s="180" t="s">
        <v>142</v>
      </c>
    </row>
    <row r="53">
      <c r="E53" s="180" t="s">
        <v>812</v>
      </c>
      <c r="F53" s="180" t="s">
        <v>1791</v>
      </c>
      <c r="G53" s="180" t="s">
        <v>517</v>
      </c>
    </row>
    <row r="54">
      <c r="E54" s="180" t="s">
        <v>369</v>
      </c>
      <c r="F54" s="180" t="s">
        <v>229</v>
      </c>
      <c r="G54" s="180" t="s">
        <v>1445</v>
      </c>
    </row>
    <row r="55">
      <c r="E55" s="180" t="s">
        <v>457</v>
      </c>
      <c r="F55" s="180" t="s">
        <v>1784</v>
      </c>
      <c r="G55" s="180" t="s">
        <v>636</v>
      </c>
    </row>
    <row r="56">
      <c r="E56" s="180" t="s">
        <v>1837</v>
      </c>
      <c r="F56" s="178" t="s">
        <v>173</v>
      </c>
      <c r="G56" s="180" t="s">
        <v>428</v>
      </c>
    </row>
    <row r="57">
      <c r="E57" s="180" t="s">
        <v>281</v>
      </c>
      <c r="F57" s="180" t="s">
        <v>221</v>
      </c>
      <c r="G57" s="180" t="s">
        <v>407</v>
      </c>
    </row>
    <row r="58">
      <c r="E58" s="180" t="s">
        <v>726</v>
      </c>
      <c r="F58" s="180" t="s">
        <v>278</v>
      </c>
      <c r="G58" s="180" t="s">
        <v>150</v>
      </c>
    </row>
    <row r="59">
      <c r="E59" s="180" t="s">
        <v>1828</v>
      </c>
      <c r="F59" s="180" t="s">
        <v>1689</v>
      </c>
      <c r="G59" s="180" t="s">
        <v>87</v>
      </c>
    </row>
    <row r="60">
      <c r="E60" s="180" t="s">
        <v>639</v>
      </c>
      <c r="F60" s="180" t="s">
        <v>1781</v>
      </c>
      <c r="G60" s="180" t="s">
        <v>499</v>
      </c>
    </row>
    <row r="61">
      <c r="E61" s="180" t="s">
        <v>480</v>
      </c>
      <c r="F61" s="180" t="s">
        <v>1767</v>
      </c>
      <c r="G61" s="180" t="s">
        <v>124</v>
      </c>
    </row>
    <row r="62">
      <c r="E62" s="180" t="s">
        <v>1245</v>
      </c>
      <c r="F62" s="180" t="s">
        <v>1683</v>
      </c>
      <c r="G62" s="180" t="s">
        <v>284</v>
      </c>
    </row>
    <row r="63">
      <c r="E63" s="180" t="s">
        <v>206</v>
      </c>
      <c r="F63" s="180" t="s">
        <v>1851</v>
      </c>
      <c r="G63" s="180" t="s">
        <v>412</v>
      </c>
    </row>
    <row r="64">
      <c r="E64" s="180" t="s">
        <v>1155</v>
      </c>
      <c r="F64" s="180" t="s">
        <v>266</v>
      </c>
    </row>
    <row r="65">
      <c r="E65" s="180" t="s">
        <v>1520</v>
      </c>
      <c r="F65" s="180" t="s">
        <v>337</v>
      </c>
    </row>
    <row r="66">
      <c r="E66" s="180" t="s">
        <v>721</v>
      </c>
      <c r="F66" s="180" t="s">
        <v>114</v>
      </c>
    </row>
    <row r="67">
      <c r="E67" s="180" t="s">
        <v>997</v>
      </c>
      <c r="F67" s="180" t="s">
        <v>393</v>
      </c>
    </row>
    <row r="68">
      <c r="E68" s="180" t="s">
        <v>90</v>
      </c>
    </row>
    <row r="69">
      <c r="E69" s="180" t="s">
        <v>108</v>
      </c>
    </row>
    <row r="70">
      <c r="E70" s="180" t="s">
        <v>1001</v>
      </c>
    </row>
    <row r="71">
      <c r="E71" s="180" t="s">
        <v>1917</v>
      </c>
    </row>
    <row r="72">
      <c r="E72" s="180" t="s">
        <v>903</v>
      </c>
    </row>
    <row r="73">
      <c r="E73" s="180" t="s">
        <v>1098</v>
      </c>
    </row>
    <row r="74">
      <c r="E74" s="180" t="s">
        <v>1252</v>
      </c>
    </row>
    <row r="75">
      <c r="E75" s="180" t="s">
        <v>1633</v>
      </c>
    </row>
    <row r="76">
      <c r="E76" s="180" t="s">
        <v>570</v>
      </c>
    </row>
    <row r="77">
      <c r="E77" s="178" t="s">
        <v>323</v>
      </c>
    </row>
    <row r="78">
      <c r="E78" s="180" t="s">
        <v>932</v>
      </c>
    </row>
    <row r="79">
      <c r="E79" s="180" t="s">
        <v>1703</v>
      </c>
    </row>
    <row r="80">
      <c r="E80" s="180" t="s">
        <v>1657</v>
      </c>
    </row>
    <row r="81">
      <c r="E81" s="180" t="s">
        <v>536</v>
      </c>
    </row>
    <row r="82">
      <c r="E82" s="180" t="s">
        <v>665</v>
      </c>
    </row>
    <row r="83">
      <c r="E83" s="180" t="s">
        <v>1085</v>
      </c>
    </row>
    <row r="84">
      <c r="E84" s="180" t="s">
        <v>299</v>
      </c>
    </row>
    <row r="85">
      <c r="E85" s="180" t="s">
        <v>872</v>
      </c>
    </row>
    <row r="86">
      <c r="E86" s="180" t="s">
        <v>1615</v>
      </c>
    </row>
    <row r="87">
      <c r="E87" s="180" t="s">
        <v>1309</v>
      </c>
    </row>
    <row r="88">
      <c r="E88" s="180" t="s">
        <v>415</v>
      </c>
    </row>
    <row r="89">
      <c r="E89" s="180" t="s">
        <v>130</v>
      </c>
    </row>
    <row r="90">
      <c r="E90" s="180" t="s">
        <v>1456</v>
      </c>
    </row>
    <row r="91">
      <c r="E91" s="180" t="s">
        <v>1139</v>
      </c>
    </row>
    <row r="92">
      <c r="E92" s="180" t="s">
        <v>627</v>
      </c>
    </row>
    <row r="93">
      <c r="E93" s="180" t="s">
        <v>1737</v>
      </c>
    </row>
    <row r="94">
      <c r="E94" s="180" t="s">
        <v>349</v>
      </c>
    </row>
    <row r="95">
      <c r="E95" s="180" t="s">
        <v>178</v>
      </c>
    </row>
    <row r="96">
      <c r="E96" s="180" t="s">
        <v>498</v>
      </c>
    </row>
    <row r="97">
      <c r="E97" s="180" t="s">
        <v>123</v>
      </c>
    </row>
    <row r="98">
      <c r="E98" s="180" t="s">
        <v>1416</v>
      </c>
    </row>
    <row r="99">
      <c r="E99" s="180" t="s">
        <v>1769</v>
      </c>
    </row>
    <row r="100">
      <c r="E100" s="180" t="s">
        <v>1530</v>
      </c>
    </row>
    <row r="101">
      <c r="E101" s="180" t="s">
        <v>1407</v>
      </c>
    </row>
    <row r="102">
      <c r="E102" s="180" t="s">
        <v>467</v>
      </c>
    </row>
    <row r="103">
      <c r="E103" s="180" t="s">
        <v>440</v>
      </c>
    </row>
    <row r="104">
      <c r="E104" s="180" t="s">
        <v>1459</v>
      </c>
    </row>
    <row r="105">
      <c r="E105" s="180" t="s">
        <v>1575</v>
      </c>
    </row>
    <row r="106">
      <c r="E106" s="180" t="s">
        <v>713</v>
      </c>
    </row>
    <row r="107">
      <c r="E107" s="180" t="s">
        <v>1732</v>
      </c>
    </row>
    <row r="108">
      <c r="E108" s="180" t="s">
        <v>746</v>
      </c>
    </row>
    <row r="109">
      <c r="E109" s="180" t="s">
        <v>1579</v>
      </c>
    </row>
    <row r="110">
      <c r="E110" s="180" t="s">
        <v>220</v>
      </c>
    </row>
    <row r="111">
      <c r="E111" s="180" t="s">
        <v>1845</v>
      </c>
    </row>
    <row r="112">
      <c r="E112" s="180" t="s">
        <v>1342</v>
      </c>
    </row>
    <row r="113">
      <c r="E113" s="180" t="s">
        <v>1450</v>
      </c>
    </row>
    <row r="114">
      <c r="E114" s="180" t="s">
        <v>199</v>
      </c>
    </row>
    <row r="115">
      <c r="E115" s="180" t="s">
        <v>385</v>
      </c>
    </row>
    <row r="116">
      <c r="E116" s="180" t="s">
        <v>1832</v>
      </c>
    </row>
    <row r="117">
      <c r="E117" s="180" t="s">
        <v>1168</v>
      </c>
    </row>
    <row r="118">
      <c r="E118" s="180" t="s">
        <v>271</v>
      </c>
    </row>
    <row r="119">
      <c r="E119" s="180" t="s">
        <v>1850</v>
      </c>
    </row>
    <row r="120">
      <c r="E120" s="180" t="s">
        <v>1486</v>
      </c>
    </row>
    <row r="121">
      <c r="E121" s="180" t="s">
        <v>620</v>
      </c>
    </row>
    <row r="122">
      <c r="E122" s="180" t="s">
        <v>85</v>
      </c>
    </row>
    <row r="123">
      <c r="E123" s="180" t="s">
        <v>288</v>
      </c>
    </row>
    <row r="124">
      <c r="E124" s="180" t="s">
        <v>1692</v>
      </c>
    </row>
    <row r="125">
      <c r="E125" s="180" t="s">
        <v>248</v>
      </c>
    </row>
    <row r="126">
      <c r="E126" s="180" t="s">
        <v>149</v>
      </c>
    </row>
    <row r="127">
      <c r="E127" s="180" t="s">
        <v>994</v>
      </c>
    </row>
    <row r="128">
      <c r="E128" s="180" t="s">
        <v>214</v>
      </c>
    </row>
    <row r="129">
      <c r="E129" s="180" t="s">
        <v>1462</v>
      </c>
    </row>
    <row r="130">
      <c r="E130" s="180" t="s">
        <v>1910</v>
      </c>
    </row>
    <row r="131">
      <c r="E131" s="180" t="s">
        <v>896</v>
      </c>
    </row>
    <row r="132">
      <c r="E132" s="180" t="s">
        <v>139</v>
      </c>
    </row>
    <row r="133">
      <c r="E133" s="180" t="s">
        <v>528</v>
      </c>
    </row>
    <row r="134">
      <c r="E134" s="180" t="s">
        <v>210</v>
      </c>
    </row>
    <row r="135">
      <c r="E135" s="180" t="s">
        <v>1546</v>
      </c>
    </row>
    <row r="136">
      <c r="E136" s="180" t="s">
        <v>119</v>
      </c>
    </row>
    <row r="137">
      <c r="E137" s="180" t="s">
        <v>195</v>
      </c>
    </row>
    <row r="138">
      <c r="E138" s="180" t="s">
        <v>907</v>
      </c>
    </row>
    <row r="139">
      <c r="E139" s="180" t="s">
        <v>1766</v>
      </c>
    </row>
    <row r="140">
      <c r="E140" s="180" t="s">
        <v>966</v>
      </c>
    </row>
    <row r="141">
      <c r="E141" s="180" t="s">
        <v>1621</v>
      </c>
    </row>
    <row r="142">
      <c r="E142" s="180" t="s">
        <v>569</v>
      </c>
    </row>
    <row r="143">
      <c r="E143" s="180" t="s">
        <v>1197</v>
      </c>
    </row>
    <row r="144">
      <c r="E144" s="180" t="s">
        <v>795</v>
      </c>
    </row>
    <row r="145">
      <c r="E145" s="180" t="s">
        <v>508</v>
      </c>
    </row>
    <row r="146">
      <c r="E146" s="180" t="s">
        <v>291</v>
      </c>
    </row>
    <row r="147">
      <c r="E147" s="180" t="s">
        <v>1293</v>
      </c>
    </row>
    <row r="148">
      <c r="E148" s="180" t="s">
        <v>843</v>
      </c>
    </row>
    <row r="149">
      <c r="E149" s="180" t="s">
        <v>233</v>
      </c>
    </row>
    <row r="150">
      <c r="E150" s="180" t="s">
        <v>379</v>
      </c>
    </row>
    <row r="151">
      <c r="E151" s="180" t="s">
        <v>643</v>
      </c>
    </row>
    <row r="152">
      <c r="E152" s="180" t="s">
        <v>1365</v>
      </c>
    </row>
    <row r="153">
      <c r="E153" s="180" t="s">
        <v>1349</v>
      </c>
    </row>
    <row r="154">
      <c r="E154" s="180" t="s">
        <v>1783</v>
      </c>
    </row>
    <row r="155">
      <c r="E155" s="180" t="s">
        <v>315</v>
      </c>
    </row>
    <row r="156">
      <c r="E156" s="180" t="s">
        <v>952</v>
      </c>
    </row>
    <row r="157">
      <c r="E157" s="180" t="s">
        <v>1790</v>
      </c>
    </row>
    <row r="158">
      <c r="E158" s="180" t="s">
        <v>1780</v>
      </c>
    </row>
    <row r="159">
      <c r="E159" s="180" t="s">
        <v>1601</v>
      </c>
    </row>
    <row r="160">
      <c r="E160" s="180" t="s">
        <v>411</v>
      </c>
    </row>
    <row r="161">
      <c r="E161" s="180" t="s">
        <v>1858</v>
      </c>
    </row>
    <row r="162">
      <c r="E162" s="180" t="s">
        <v>185</v>
      </c>
    </row>
    <row r="163">
      <c r="E163" s="178" t="s">
        <v>389</v>
      </c>
    </row>
    <row r="164">
      <c r="E164" s="180" t="s">
        <v>1640</v>
      </c>
    </row>
    <row r="165">
      <c r="E165" s="180" t="s">
        <v>505</v>
      </c>
    </row>
    <row r="166">
      <c r="E166" s="180" t="s">
        <v>1630</v>
      </c>
    </row>
    <row r="167">
      <c r="E167" s="180" t="s">
        <v>460</v>
      </c>
    </row>
    <row r="168">
      <c r="E168" s="180" t="s">
        <v>1683</v>
      </c>
    </row>
    <row r="169">
      <c r="E169" s="180" t="s">
        <v>1110</v>
      </c>
    </row>
    <row r="170">
      <c r="E170" s="180" t="s">
        <v>1800</v>
      </c>
    </row>
    <row r="171">
      <c r="E171" s="180" t="s">
        <v>332</v>
      </c>
    </row>
    <row r="172">
      <c r="E172" s="180" t="s">
        <v>265</v>
      </c>
    </row>
    <row r="173">
      <c r="E173" s="180" t="s">
        <v>1482</v>
      </c>
    </row>
    <row r="174">
      <c r="E174" s="180" t="s">
        <v>1788</v>
      </c>
    </row>
    <row r="175">
      <c r="E175" s="180" t="s">
        <v>337</v>
      </c>
    </row>
    <row r="176">
      <c r="E176" s="180" t="s">
        <v>243</v>
      </c>
    </row>
    <row r="177">
      <c r="E177" s="180" t="s">
        <v>357</v>
      </c>
    </row>
    <row r="178">
      <c r="E178" s="180" t="s">
        <v>393</v>
      </c>
    </row>
    <row r="179">
      <c r="E179" s="180" t="s">
        <v>97</v>
      </c>
    </row>
    <row r="180">
      <c r="E180" s="180" t="s">
        <v>1888</v>
      </c>
    </row>
    <row r="181">
      <c r="E181" s="180" t="s">
        <v>838</v>
      </c>
    </row>
    <row r="182">
      <c r="E182" s="180" t="s">
        <v>342</v>
      </c>
    </row>
    <row r="183">
      <c r="E183" s="180" t="s">
        <v>686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6.38"/>
    <col customWidth="1" min="3" max="3" width="48.88"/>
    <col customWidth="1" min="4" max="4" width="12.63"/>
    <col customWidth="1" min="5" max="6" width="6.38"/>
    <col customWidth="1" hidden="1" min="7" max="8" width="6.38"/>
    <col customWidth="1" min="9" max="9" width="6.38"/>
  </cols>
  <sheetData>
    <row r="1">
      <c r="A1" s="189"/>
      <c r="B1" s="189"/>
      <c r="C1" s="189"/>
      <c r="D1" s="190"/>
      <c r="E1" s="191"/>
      <c r="F1" s="191"/>
      <c r="G1" s="192" t="s">
        <v>2105</v>
      </c>
      <c r="H1" s="193" t="s">
        <v>2106</v>
      </c>
      <c r="I1" s="194"/>
    </row>
    <row r="2">
      <c r="A2" s="189"/>
      <c r="B2" s="195"/>
      <c r="C2" s="195"/>
      <c r="D2" s="196"/>
      <c r="E2" s="197"/>
      <c r="F2" s="191"/>
      <c r="G2" s="198"/>
      <c r="H2" s="198"/>
      <c r="I2" s="199"/>
    </row>
    <row r="3">
      <c r="A3" s="189"/>
      <c r="B3" s="195"/>
      <c r="C3" s="195" t="s">
        <v>2107</v>
      </c>
      <c r="D3" s="196"/>
      <c r="E3" s="197"/>
      <c r="F3" s="191"/>
      <c r="G3" s="198"/>
      <c r="H3" s="198"/>
      <c r="I3" s="199"/>
    </row>
    <row r="4">
      <c r="A4" s="200"/>
      <c r="B4" s="201"/>
      <c r="C4" s="201" t="s">
        <v>2108</v>
      </c>
      <c r="D4" s="196"/>
      <c r="E4" s="197"/>
      <c r="F4" s="191"/>
      <c r="G4" s="198"/>
      <c r="H4" s="198"/>
      <c r="I4" s="199"/>
    </row>
    <row r="5">
      <c r="A5" s="200"/>
      <c r="B5" s="201"/>
      <c r="C5" s="202" t="s">
        <v>58</v>
      </c>
      <c r="D5" s="203">
        <v>691.0</v>
      </c>
      <c r="E5" s="197"/>
      <c r="F5" s="191"/>
      <c r="G5" s="204">
        <f>SUM(D5/D10)</f>
        <v>0.7576754386</v>
      </c>
      <c r="H5" s="205">
        <f>SUM(G5*5)</f>
        <v>3.788377193</v>
      </c>
      <c r="I5" s="199"/>
    </row>
    <row r="6">
      <c r="A6" s="200"/>
      <c r="B6" s="201"/>
      <c r="C6" s="206" t="s">
        <v>59</v>
      </c>
      <c r="D6" s="207">
        <v>180.0</v>
      </c>
      <c r="E6" s="197"/>
      <c r="F6" s="191"/>
      <c r="G6" s="208">
        <f>SUM(D6/D10)</f>
        <v>0.1973684211</v>
      </c>
      <c r="H6" s="209">
        <f>SUM(G6*4)</f>
        <v>0.7894736842</v>
      </c>
      <c r="I6" s="199"/>
    </row>
    <row r="7">
      <c r="A7" s="200"/>
      <c r="B7" s="201"/>
      <c r="C7" s="206" t="s">
        <v>60</v>
      </c>
      <c r="D7" s="207">
        <v>20.0</v>
      </c>
      <c r="E7" s="197"/>
      <c r="F7" s="191"/>
      <c r="G7" s="208">
        <f>SUM(D7/D10)</f>
        <v>0.02192982456</v>
      </c>
      <c r="H7" s="209">
        <f>SUM(G7*3)</f>
        <v>0.06578947368</v>
      </c>
      <c r="I7" s="199"/>
    </row>
    <row r="8">
      <c r="A8" s="200"/>
      <c r="B8" s="201"/>
      <c r="C8" s="206" t="s">
        <v>61</v>
      </c>
      <c r="D8" s="207">
        <v>11.0</v>
      </c>
      <c r="E8" s="197"/>
      <c r="F8" s="191"/>
      <c r="G8" s="208">
        <f>SUM(D8/D10)</f>
        <v>0.01206140351</v>
      </c>
      <c r="H8" s="209">
        <f>SUM(G8*2)</f>
        <v>0.02412280702</v>
      </c>
      <c r="I8" s="199"/>
    </row>
    <row r="9">
      <c r="A9" s="200"/>
      <c r="B9" s="201"/>
      <c r="C9" s="206" t="s">
        <v>62</v>
      </c>
      <c r="D9" s="207">
        <v>10.0</v>
      </c>
      <c r="E9" s="197"/>
      <c r="F9" s="191"/>
      <c r="G9" s="208">
        <f>SUM(D9/D10)</f>
        <v>0.01096491228</v>
      </c>
      <c r="H9" s="209">
        <f>SUM(G9*1)</f>
        <v>0.01096491228</v>
      </c>
      <c r="I9" s="199"/>
    </row>
    <row r="10" hidden="1">
      <c r="A10" s="210" t="s">
        <v>2109</v>
      </c>
      <c r="B10" s="7"/>
      <c r="C10" s="7"/>
      <c r="D10" s="211">
        <f>SUM(D5:D9)</f>
        <v>912</v>
      </c>
      <c r="E10" s="197"/>
      <c r="F10" s="198"/>
      <c r="G10" s="212"/>
      <c r="H10" s="213">
        <f>SUM(H5:H9)</f>
        <v>4.67872807</v>
      </c>
      <c r="I10" s="214"/>
    </row>
    <row r="11">
      <c r="A11" s="3"/>
      <c r="B11" s="7"/>
      <c r="C11" s="7"/>
      <c r="D11" s="215"/>
      <c r="E11" s="197"/>
      <c r="F11" s="191"/>
      <c r="G11" s="198"/>
      <c r="H11" s="216">
        <v>20.0</v>
      </c>
      <c r="I11" s="217"/>
    </row>
    <row r="12">
      <c r="A12" s="218"/>
      <c r="B12" s="219"/>
      <c r="C12" s="219" t="s">
        <v>2110</v>
      </c>
      <c r="D12" s="220">
        <f>SUM(H10*H11)</f>
        <v>93.5745614</v>
      </c>
      <c r="E12" s="197"/>
      <c r="F12" s="191"/>
      <c r="G12" s="198"/>
      <c r="H12" s="198"/>
      <c r="I12" s="199"/>
    </row>
    <row r="13">
      <c r="A13" s="3"/>
      <c r="B13" s="7"/>
      <c r="C13" s="7"/>
      <c r="D13" s="215"/>
      <c r="E13" s="197"/>
      <c r="F13" s="191"/>
      <c r="G13" s="198"/>
      <c r="H13" s="198"/>
      <c r="I13" s="199"/>
    </row>
    <row r="14">
      <c r="A14" s="218"/>
      <c r="B14" s="218"/>
      <c r="C14" s="218"/>
      <c r="D14" s="221"/>
      <c r="E14" s="222"/>
      <c r="F14" s="222"/>
      <c r="G14" s="223"/>
      <c r="H14" s="224"/>
      <c r="I14" s="225"/>
    </row>
    <row r="15">
      <c r="A15" s="226"/>
      <c r="B15" s="226"/>
      <c r="C15" s="226"/>
      <c r="D15" s="221"/>
      <c r="E15" s="222"/>
      <c r="F15" s="222"/>
      <c r="G15" s="223"/>
      <c r="H15" s="227"/>
      <c r="I15" s="228"/>
    </row>
    <row r="16">
      <c r="A16" s="218"/>
      <c r="B16" s="219"/>
      <c r="C16" s="219"/>
      <c r="D16" s="229"/>
      <c r="E16" s="197"/>
      <c r="F16" s="191"/>
      <c r="G16" s="198"/>
      <c r="H16" s="230"/>
      <c r="I16" s="225"/>
    </row>
    <row r="17">
      <c r="A17" s="218"/>
      <c r="B17" s="219"/>
      <c r="C17" s="219" t="s">
        <v>2111</v>
      </c>
      <c r="E17" s="197"/>
      <c r="F17" s="191"/>
      <c r="G17" s="198"/>
      <c r="H17" s="230"/>
      <c r="I17" s="225"/>
    </row>
    <row r="18">
      <c r="A18" s="3"/>
      <c r="B18" s="7"/>
      <c r="C18" s="14" t="s">
        <v>2112</v>
      </c>
      <c r="E18" s="197"/>
      <c r="F18" s="191"/>
      <c r="G18" s="198"/>
      <c r="H18" s="230"/>
      <c r="I18" s="225"/>
    </row>
    <row r="19">
      <c r="A19" s="3"/>
      <c r="B19" s="7"/>
      <c r="C19" s="7"/>
      <c r="D19" s="215"/>
      <c r="E19" s="197"/>
      <c r="F19" s="191"/>
      <c r="G19" s="198"/>
      <c r="H19" s="230"/>
      <c r="I19" s="225"/>
    </row>
    <row r="20">
      <c r="A20" s="226"/>
      <c r="B20" s="16"/>
      <c r="C20" s="219" t="s">
        <v>2113</v>
      </c>
      <c r="E20" s="231"/>
      <c r="F20" s="232"/>
      <c r="G20" s="233"/>
      <c r="H20" s="230"/>
      <c r="I20" s="225"/>
    </row>
    <row r="21">
      <c r="A21" s="3"/>
      <c r="B21" s="7"/>
      <c r="C21" s="219" t="s">
        <v>2114</v>
      </c>
      <c r="E21" s="197"/>
      <c r="F21" s="191"/>
      <c r="G21" s="198"/>
      <c r="H21" s="230"/>
      <c r="I21" s="225"/>
    </row>
    <row r="22">
      <c r="A22" s="3"/>
      <c r="B22" s="7"/>
      <c r="C22" s="7"/>
      <c r="D22" s="215"/>
      <c r="E22" s="197"/>
      <c r="F22" s="191"/>
      <c r="G22" s="198"/>
      <c r="H22" s="230"/>
      <c r="I22" s="225"/>
    </row>
    <row r="23">
      <c r="A23" s="3"/>
      <c r="B23" s="7"/>
      <c r="C23" s="219" t="s">
        <v>2115</v>
      </c>
      <c r="E23" s="197"/>
      <c r="F23" s="191"/>
      <c r="G23" s="198"/>
      <c r="H23" s="230"/>
      <c r="I23" s="225"/>
    </row>
    <row r="24">
      <c r="A24" s="3"/>
      <c r="B24" s="7"/>
      <c r="C24" s="14" t="s">
        <v>2116</v>
      </c>
      <c r="E24" s="197"/>
      <c r="F24" s="191"/>
      <c r="G24" s="198"/>
      <c r="H24" s="230"/>
      <c r="I24" s="225"/>
    </row>
    <row r="25">
      <c r="A25" s="3"/>
      <c r="B25" s="7"/>
      <c r="C25" s="14" t="s">
        <v>2117</v>
      </c>
      <c r="D25" s="219"/>
      <c r="E25" s="197"/>
      <c r="F25" s="191"/>
      <c r="G25" s="198"/>
      <c r="H25" s="230"/>
      <c r="I25" s="225"/>
    </row>
    <row r="26">
      <c r="A26" s="3"/>
      <c r="B26" s="7"/>
      <c r="C26" s="219" t="s">
        <v>2118</v>
      </c>
      <c r="E26" s="197"/>
      <c r="F26" s="191"/>
      <c r="G26" s="198"/>
      <c r="H26" s="230"/>
      <c r="I26" s="225"/>
    </row>
    <row r="27">
      <c r="A27" s="3"/>
      <c r="B27" s="7"/>
      <c r="E27" s="197"/>
      <c r="F27" s="191"/>
      <c r="G27" s="198"/>
      <c r="H27" s="230"/>
      <c r="I27" s="225"/>
    </row>
    <row r="28">
      <c r="A28" s="3"/>
      <c r="B28" s="7"/>
      <c r="E28" s="197"/>
      <c r="F28" s="191"/>
      <c r="G28" s="198"/>
      <c r="H28" s="230"/>
      <c r="I28" s="225"/>
    </row>
    <row r="29">
      <c r="A29" s="3"/>
      <c r="B29" s="7"/>
      <c r="E29" s="197"/>
      <c r="F29" s="191"/>
      <c r="G29" s="198"/>
      <c r="H29" s="230"/>
      <c r="I29" s="225"/>
    </row>
    <row r="30">
      <c r="A30" s="3"/>
      <c r="B30" s="7"/>
      <c r="C30" s="7"/>
      <c r="D30" s="215"/>
      <c r="E30" s="197"/>
      <c r="F30" s="191"/>
      <c r="G30" s="198"/>
      <c r="H30" s="230"/>
      <c r="I30" s="225"/>
    </row>
    <row r="31">
      <c r="A31" s="3"/>
      <c r="B31" s="3"/>
      <c r="C31" s="3"/>
      <c r="D31" s="234"/>
      <c r="E31" s="191"/>
      <c r="F31" s="191"/>
      <c r="G31" s="198"/>
      <c r="H31" s="230"/>
      <c r="I31" s="225"/>
    </row>
    <row r="32">
      <c r="A32" s="3"/>
      <c r="B32" s="3"/>
      <c r="C32" s="3"/>
      <c r="D32" s="234"/>
      <c r="E32" s="191"/>
      <c r="F32" s="191"/>
      <c r="G32" s="198"/>
      <c r="H32" s="230"/>
      <c r="I32" s="225"/>
    </row>
    <row r="33">
      <c r="A33" s="3"/>
      <c r="B33" s="3"/>
      <c r="C33" s="3"/>
      <c r="D33" s="234"/>
      <c r="E33" s="191"/>
      <c r="F33" s="191"/>
      <c r="G33" s="198"/>
      <c r="H33" s="230"/>
      <c r="I33" s="225"/>
    </row>
    <row r="34">
      <c r="A34" s="3"/>
      <c r="B34" s="3"/>
      <c r="C34" s="3"/>
      <c r="D34" s="234"/>
      <c r="E34" s="191"/>
      <c r="F34" s="191"/>
      <c r="G34" s="198"/>
      <c r="H34" s="230"/>
      <c r="I34" s="225"/>
    </row>
    <row r="35">
      <c r="A35" s="3"/>
      <c r="B35" s="3"/>
      <c r="C35" s="3"/>
      <c r="D35" s="234"/>
      <c r="E35" s="191"/>
      <c r="F35" s="191"/>
      <c r="G35" s="198"/>
      <c r="H35" s="230"/>
      <c r="I35" s="225"/>
    </row>
    <row r="36">
      <c r="A36" s="3"/>
      <c r="B36" s="3"/>
      <c r="C36" s="3"/>
      <c r="D36" s="234"/>
      <c r="E36" s="191"/>
      <c r="F36" s="191"/>
      <c r="G36" s="198"/>
      <c r="H36" s="230"/>
      <c r="I36" s="225"/>
    </row>
    <row r="37">
      <c r="A37" s="3"/>
      <c r="B37" s="3"/>
      <c r="C37" s="3"/>
      <c r="D37" s="234"/>
      <c r="E37" s="191"/>
      <c r="F37" s="191"/>
      <c r="G37" s="198"/>
      <c r="H37" s="230"/>
      <c r="I37" s="225"/>
    </row>
    <row r="38">
      <c r="A38" s="3"/>
      <c r="B38" s="3"/>
      <c r="C38" s="3"/>
      <c r="D38" s="234"/>
      <c r="E38" s="191"/>
      <c r="F38" s="191"/>
      <c r="G38" s="198"/>
      <c r="H38" s="230"/>
      <c r="I38" s="225"/>
    </row>
    <row r="39">
      <c r="A39" s="3"/>
      <c r="B39" s="3"/>
      <c r="C39" s="3"/>
      <c r="D39" s="234"/>
      <c r="E39" s="191"/>
      <c r="F39" s="191"/>
      <c r="G39" s="198"/>
      <c r="H39" s="230"/>
      <c r="I39" s="225"/>
    </row>
    <row r="40">
      <c r="A40" s="3"/>
      <c r="B40" s="3"/>
      <c r="C40" s="3"/>
      <c r="D40" s="234"/>
      <c r="E40" s="191"/>
      <c r="F40" s="191"/>
      <c r="G40" s="198"/>
      <c r="H40" s="230"/>
      <c r="I40" s="225"/>
    </row>
    <row r="41">
      <c r="A41" s="3"/>
      <c r="B41" s="3"/>
      <c r="C41" s="3"/>
      <c r="D41" s="234"/>
      <c r="E41" s="191"/>
      <c r="F41" s="191"/>
      <c r="G41" s="198"/>
      <c r="H41" s="230"/>
      <c r="I41" s="225"/>
    </row>
    <row r="42">
      <c r="A42" s="3"/>
      <c r="B42" s="3"/>
      <c r="C42" s="3"/>
      <c r="D42" s="234"/>
      <c r="E42" s="191"/>
      <c r="F42" s="191"/>
      <c r="G42" s="198"/>
      <c r="H42" s="230"/>
      <c r="I42" s="225"/>
    </row>
    <row r="43">
      <c r="A43" s="3"/>
      <c r="B43" s="3"/>
      <c r="C43" s="3"/>
      <c r="D43" s="234"/>
      <c r="E43" s="191"/>
      <c r="F43" s="191"/>
      <c r="G43" s="198"/>
      <c r="H43" s="230"/>
      <c r="I43" s="225"/>
    </row>
    <row r="44">
      <c r="A44" s="3"/>
      <c r="B44" s="3"/>
      <c r="C44" s="3"/>
      <c r="D44" s="234"/>
      <c r="E44" s="191"/>
      <c r="F44" s="191"/>
      <c r="G44" s="198"/>
      <c r="H44" s="230"/>
      <c r="I44" s="225"/>
    </row>
    <row r="45">
      <c r="A45" s="3"/>
      <c r="B45" s="3"/>
      <c r="C45" s="3"/>
      <c r="D45" s="234"/>
      <c r="E45" s="191"/>
      <c r="F45" s="191"/>
      <c r="G45" s="198"/>
      <c r="H45" s="230"/>
      <c r="I45" s="225"/>
    </row>
    <row r="46">
      <c r="A46" s="3"/>
      <c r="B46" s="3"/>
      <c r="C46" s="3"/>
      <c r="D46" s="234"/>
      <c r="E46" s="191"/>
      <c r="F46" s="191"/>
      <c r="G46" s="198"/>
      <c r="H46" s="230"/>
      <c r="I46" s="225"/>
    </row>
    <row r="47">
      <c r="A47" s="3"/>
      <c r="B47" s="3"/>
      <c r="C47" s="3"/>
      <c r="D47" s="234"/>
      <c r="E47" s="191"/>
      <c r="F47" s="191"/>
      <c r="G47" s="198"/>
      <c r="H47" s="230"/>
      <c r="I47" s="225"/>
    </row>
    <row r="48">
      <c r="A48" s="3"/>
      <c r="B48" s="3"/>
      <c r="C48" s="3"/>
      <c r="D48" s="234"/>
      <c r="E48" s="191"/>
      <c r="F48" s="191"/>
      <c r="G48" s="198"/>
      <c r="H48" s="230"/>
      <c r="I48" s="225"/>
    </row>
    <row r="49">
      <c r="A49" s="3"/>
      <c r="B49" s="3"/>
      <c r="C49" s="3"/>
      <c r="D49" s="234"/>
      <c r="E49" s="191"/>
      <c r="F49" s="191"/>
      <c r="G49" s="198"/>
      <c r="H49" s="230"/>
      <c r="I49" s="225"/>
    </row>
    <row r="50">
      <c r="A50" s="3"/>
      <c r="B50" s="3"/>
      <c r="C50" s="3"/>
      <c r="D50" s="234"/>
      <c r="E50" s="191"/>
      <c r="F50" s="191"/>
      <c r="G50" s="198"/>
      <c r="H50" s="230"/>
      <c r="I50" s="225"/>
    </row>
    <row r="51">
      <c r="A51" s="3"/>
      <c r="B51" s="3"/>
      <c r="C51" s="3"/>
      <c r="D51" s="234"/>
      <c r="E51" s="191"/>
      <c r="F51" s="191"/>
      <c r="G51" s="198"/>
      <c r="H51" s="230"/>
      <c r="I51" s="225"/>
    </row>
    <row r="52">
      <c r="A52" s="3"/>
      <c r="B52" s="3"/>
      <c r="C52" s="3"/>
      <c r="D52" s="234"/>
      <c r="E52" s="191"/>
      <c r="F52" s="191"/>
      <c r="G52" s="198"/>
      <c r="H52" s="230"/>
      <c r="I52" s="225"/>
    </row>
    <row r="53">
      <c r="A53" s="3"/>
      <c r="B53" s="3"/>
      <c r="C53" s="3"/>
      <c r="D53" s="234"/>
      <c r="E53" s="191"/>
      <c r="F53" s="191"/>
      <c r="G53" s="198"/>
      <c r="H53" s="230"/>
      <c r="I53" s="225"/>
    </row>
    <row r="54">
      <c r="A54" s="3"/>
      <c r="B54" s="3"/>
      <c r="C54" s="3"/>
      <c r="D54" s="234"/>
      <c r="E54" s="191"/>
      <c r="F54" s="191"/>
      <c r="G54" s="198"/>
      <c r="H54" s="230"/>
      <c r="I54" s="225"/>
    </row>
    <row r="55">
      <c r="A55" s="3"/>
      <c r="B55" s="3"/>
      <c r="C55" s="3"/>
      <c r="D55" s="234"/>
      <c r="E55" s="191"/>
      <c r="F55" s="191"/>
      <c r="G55" s="198"/>
      <c r="H55" s="230"/>
      <c r="I55" s="225"/>
    </row>
    <row r="56">
      <c r="A56" s="3"/>
      <c r="B56" s="3"/>
      <c r="C56" s="3"/>
      <c r="D56" s="234"/>
      <c r="E56" s="191"/>
      <c r="F56" s="191"/>
      <c r="G56" s="198"/>
      <c r="H56" s="230"/>
      <c r="I56" s="225"/>
    </row>
    <row r="57">
      <c r="A57" s="3"/>
      <c r="B57" s="3"/>
      <c r="C57" s="3"/>
      <c r="D57" s="234"/>
      <c r="E57" s="191"/>
      <c r="F57" s="191"/>
      <c r="G57" s="198"/>
      <c r="H57" s="230"/>
      <c r="I57" s="225"/>
    </row>
    <row r="58">
      <c r="A58" s="3"/>
      <c r="B58" s="3"/>
      <c r="C58" s="3"/>
      <c r="D58" s="234"/>
      <c r="E58" s="191"/>
      <c r="F58" s="191"/>
      <c r="G58" s="198"/>
      <c r="H58" s="230"/>
      <c r="I58" s="225"/>
    </row>
    <row r="59">
      <c r="A59" s="3"/>
      <c r="B59" s="3"/>
      <c r="C59" s="3"/>
      <c r="D59" s="234"/>
      <c r="E59" s="191"/>
      <c r="F59" s="191"/>
      <c r="G59" s="198"/>
      <c r="H59" s="230"/>
      <c r="I59" s="225"/>
    </row>
    <row r="60">
      <c r="A60" s="3"/>
      <c r="B60" s="3"/>
      <c r="C60" s="3"/>
      <c r="D60" s="234"/>
      <c r="E60" s="191"/>
      <c r="F60" s="191"/>
      <c r="G60" s="198"/>
      <c r="H60" s="230"/>
      <c r="I60" s="225"/>
    </row>
    <row r="61">
      <c r="A61" s="3"/>
      <c r="B61" s="3"/>
      <c r="C61" s="3"/>
      <c r="D61" s="234"/>
      <c r="E61" s="191"/>
      <c r="F61" s="191"/>
      <c r="G61" s="198"/>
      <c r="H61" s="230"/>
      <c r="I61" s="225"/>
    </row>
    <row r="62">
      <c r="A62" s="3"/>
      <c r="B62" s="3"/>
      <c r="C62" s="3"/>
      <c r="D62" s="234"/>
      <c r="E62" s="191"/>
      <c r="F62" s="191"/>
      <c r="G62" s="198"/>
      <c r="H62" s="230"/>
      <c r="I62" s="225"/>
    </row>
    <row r="63">
      <c r="A63" s="3"/>
      <c r="B63" s="3"/>
      <c r="C63" s="3"/>
      <c r="D63" s="234"/>
      <c r="E63" s="191"/>
      <c r="F63" s="191"/>
      <c r="G63" s="198"/>
      <c r="H63" s="230"/>
      <c r="I63" s="225"/>
    </row>
    <row r="64">
      <c r="A64" s="3"/>
      <c r="B64" s="3"/>
      <c r="C64" s="3"/>
      <c r="D64" s="234"/>
      <c r="E64" s="191"/>
      <c r="F64" s="191"/>
      <c r="G64" s="198"/>
      <c r="H64" s="230"/>
      <c r="I64" s="225"/>
    </row>
    <row r="65">
      <c r="A65" s="3"/>
      <c r="B65" s="3"/>
      <c r="C65" s="3"/>
      <c r="D65" s="234"/>
      <c r="E65" s="191"/>
      <c r="F65" s="191"/>
      <c r="G65" s="198"/>
      <c r="H65" s="230"/>
      <c r="I65" s="225"/>
    </row>
    <row r="66">
      <c r="A66" s="3"/>
      <c r="B66" s="3"/>
      <c r="C66" s="3"/>
      <c r="D66" s="234"/>
      <c r="E66" s="191"/>
      <c r="F66" s="191"/>
      <c r="G66" s="198"/>
      <c r="H66" s="230"/>
      <c r="I66" s="225"/>
    </row>
    <row r="67">
      <c r="A67" s="3"/>
      <c r="B67" s="3"/>
      <c r="C67" s="3"/>
      <c r="D67" s="234"/>
      <c r="E67" s="191"/>
      <c r="F67" s="191"/>
      <c r="G67" s="198"/>
      <c r="H67" s="230"/>
      <c r="I67" s="225"/>
    </row>
    <row r="68">
      <c r="A68" s="3"/>
      <c r="B68" s="3"/>
      <c r="C68" s="3"/>
      <c r="D68" s="234"/>
      <c r="E68" s="191"/>
      <c r="F68" s="191"/>
      <c r="G68" s="198"/>
      <c r="H68" s="230"/>
      <c r="I68" s="225"/>
    </row>
    <row r="69">
      <c r="A69" s="3"/>
      <c r="B69" s="3"/>
      <c r="C69" s="3"/>
      <c r="D69" s="234"/>
      <c r="E69" s="191"/>
      <c r="F69" s="191"/>
      <c r="G69" s="198"/>
      <c r="H69" s="230"/>
      <c r="I69" s="225"/>
    </row>
    <row r="70">
      <c r="A70" s="3"/>
      <c r="B70" s="3"/>
      <c r="C70" s="3"/>
      <c r="D70" s="234"/>
      <c r="E70" s="191"/>
      <c r="F70" s="191"/>
      <c r="G70" s="198"/>
      <c r="H70" s="230"/>
      <c r="I70" s="225"/>
    </row>
    <row r="71">
      <c r="A71" s="3"/>
      <c r="B71" s="3"/>
      <c r="C71" s="3"/>
      <c r="D71" s="234"/>
      <c r="E71" s="191"/>
      <c r="F71" s="191"/>
      <c r="G71" s="198"/>
      <c r="H71" s="230"/>
      <c r="I71" s="225"/>
    </row>
    <row r="72">
      <c r="A72" s="3"/>
      <c r="B72" s="3"/>
      <c r="C72" s="3"/>
      <c r="D72" s="234"/>
      <c r="E72" s="191"/>
      <c r="F72" s="191"/>
      <c r="G72" s="198"/>
      <c r="H72" s="230"/>
      <c r="I72" s="225"/>
    </row>
    <row r="73">
      <c r="A73" s="3"/>
      <c r="B73" s="3"/>
      <c r="C73" s="3"/>
      <c r="D73" s="234"/>
      <c r="E73" s="191"/>
      <c r="F73" s="191"/>
      <c r="G73" s="198"/>
      <c r="H73" s="230"/>
      <c r="I73" s="225"/>
    </row>
    <row r="74">
      <c r="A74" s="3"/>
      <c r="B74" s="3"/>
      <c r="C74" s="3"/>
      <c r="D74" s="234"/>
      <c r="E74" s="191"/>
      <c r="F74" s="191"/>
      <c r="G74" s="198"/>
      <c r="H74" s="230"/>
      <c r="I74" s="225"/>
    </row>
    <row r="75">
      <c r="A75" s="3"/>
      <c r="B75" s="3"/>
      <c r="C75" s="3"/>
      <c r="D75" s="234"/>
      <c r="E75" s="191"/>
      <c r="F75" s="191"/>
      <c r="G75" s="198"/>
      <c r="H75" s="230"/>
      <c r="I75" s="225"/>
    </row>
    <row r="76">
      <c r="A76" s="3"/>
      <c r="B76" s="3"/>
      <c r="C76" s="3"/>
      <c r="D76" s="234"/>
      <c r="E76" s="191"/>
      <c r="F76" s="191"/>
      <c r="G76" s="198"/>
      <c r="H76" s="230"/>
      <c r="I76" s="225"/>
    </row>
    <row r="77">
      <c r="A77" s="3"/>
      <c r="B77" s="3"/>
      <c r="C77" s="3"/>
      <c r="D77" s="234"/>
      <c r="E77" s="191"/>
      <c r="F77" s="191"/>
      <c r="G77" s="198"/>
      <c r="H77" s="230"/>
      <c r="I77" s="225"/>
    </row>
    <row r="78">
      <c r="A78" s="3"/>
      <c r="B78" s="3"/>
      <c r="C78" s="3"/>
      <c r="D78" s="234"/>
      <c r="E78" s="191"/>
      <c r="F78" s="191"/>
      <c r="G78" s="198"/>
      <c r="H78" s="230"/>
      <c r="I78" s="225"/>
    </row>
    <row r="79">
      <c r="A79" s="3"/>
      <c r="B79" s="3"/>
      <c r="C79" s="3"/>
      <c r="D79" s="234"/>
      <c r="E79" s="191"/>
      <c r="F79" s="191"/>
      <c r="G79" s="198"/>
      <c r="H79" s="230"/>
      <c r="I79" s="225"/>
    </row>
    <row r="80">
      <c r="A80" s="3"/>
      <c r="B80" s="3"/>
      <c r="C80" s="3"/>
      <c r="D80" s="234"/>
      <c r="E80" s="191"/>
      <c r="F80" s="191"/>
      <c r="G80" s="198"/>
      <c r="H80" s="230"/>
      <c r="I80" s="225"/>
    </row>
    <row r="81">
      <c r="A81" s="3"/>
      <c r="B81" s="3"/>
      <c r="C81" s="3"/>
      <c r="D81" s="234"/>
      <c r="E81" s="191"/>
      <c r="F81" s="191"/>
      <c r="G81" s="198"/>
      <c r="H81" s="230"/>
      <c r="I81" s="225"/>
    </row>
    <row r="82">
      <c r="A82" s="3"/>
      <c r="B82" s="3"/>
      <c r="C82" s="3"/>
      <c r="D82" s="234"/>
      <c r="E82" s="191"/>
      <c r="F82" s="191"/>
      <c r="G82" s="198"/>
      <c r="H82" s="230"/>
      <c r="I82" s="225"/>
    </row>
    <row r="83">
      <c r="A83" s="3"/>
      <c r="B83" s="3"/>
      <c r="C83" s="3"/>
      <c r="D83" s="234"/>
      <c r="E83" s="191"/>
      <c r="F83" s="191"/>
      <c r="G83" s="198"/>
      <c r="H83" s="230"/>
      <c r="I83" s="225"/>
    </row>
    <row r="84">
      <c r="A84" s="3"/>
      <c r="B84" s="3"/>
      <c r="C84" s="3"/>
      <c r="D84" s="234"/>
      <c r="E84" s="191"/>
      <c r="F84" s="191"/>
      <c r="G84" s="198"/>
      <c r="H84" s="230"/>
      <c r="I84" s="225"/>
    </row>
    <row r="85">
      <c r="A85" s="3"/>
      <c r="B85" s="3"/>
      <c r="C85" s="3"/>
      <c r="D85" s="234"/>
      <c r="E85" s="191"/>
      <c r="F85" s="191"/>
      <c r="G85" s="198"/>
      <c r="H85" s="230"/>
      <c r="I85" s="225"/>
    </row>
    <row r="86">
      <c r="A86" s="3"/>
      <c r="B86" s="3"/>
      <c r="C86" s="3"/>
      <c r="D86" s="234"/>
      <c r="E86" s="191"/>
      <c r="F86" s="191"/>
      <c r="G86" s="198"/>
      <c r="H86" s="230"/>
      <c r="I86" s="225"/>
    </row>
    <row r="87">
      <c r="A87" s="3"/>
      <c r="B87" s="3"/>
      <c r="C87" s="3"/>
      <c r="D87" s="234"/>
      <c r="E87" s="191"/>
      <c r="F87" s="191"/>
      <c r="G87" s="198"/>
      <c r="H87" s="230"/>
      <c r="I87" s="225"/>
    </row>
    <row r="88">
      <c r="A88" s="3"/>
      <c r="B88" s="3"/>
      <c r="C88" s="3"/>
      <c r="D88" s="234"/>
      <c r="E88" s="191"/>
      <c r="F88" s="191"/>
      <c r="G88" s="198"/>
      <c r="H88" s="230"/>
      <c r="I88" s="225"/>
    </row>
    <row r="89">
      <c r="A89" s="3"/>
      <c r="B89" s="3"/>
      <c r="C89" s="3"/>
      <c r="D89" s="234"/>
      <c r="E89" s="191"/>
      <c r="F89" s="191"/>
      <c r="G89" s="198"/>
      <c r="H89" s="230"/>
      <c r="I89" s="225"/>
    </row>
    <row r="90">
      <c r="A90" s="3"/>
      <c r="B90" s="3"/>
      <c r="C90" s="3"/>
      <c r="D90" s="234"/>
      <c r="E90" s="191"/>
      <c r="F90" s="191"/>
      <c r="G90" s="198"/>
      <c r="H90" s="230"/>
      <c r="I90" s="225"/>
    </row>
    <row r="91">
      <c r="A91" s="3"/>
      <c r="B91" s="3"/>
      <c r="C91" s="3"/>
      <c r="D91" s="234"/>
      <c r="E91" s="191"/>
      <c r="F91" s="191"/>
      <c r="G91" s="198"/>
      <c r="H91" s="230"/>
      <c r="I91" s="225"/>
    </row>
    <row r="92">
      <c r="A92" s="3"/>
      <c r="B92" s="3"/>
      <c r="C92" s="3"/>
      <c r="D92" s="234"/>
      <c r="E92" s="191"/>
      <c r="F92" s="191"/>
      <c r="G92" s="198"/>
      <c r="H92" s="230"/>
      <c r="I92" s="225"/>
    </row>
    <row r="93">
      <c r="A93" s="3"/>
      <c r="B93" s="3"/>
      <c r="C93" s="3"/>
      <c r="D93" s="234"/>
      <c r="E93" s="191"/>
      <c r="F93" s="191"/>
      <c r="G93" s="198"/>
      <c r="H93" s="230"/>
      <c r="I93" s="225"/>
    </row>
    <row r="94">
      <c r="A94" s="3"/>
      <c r="B94" s="3"/>
      <c r="C94" s="3"/>
      <c r="D94" s="234"/>
      <c r="E94" s="191"/>
      <c r="F94" s="191"/>
      <c r="G94" s="198"/>
      <c r="H94" s="230"/>
      <c r="I94" s="225"/>
    </row>
    <row r="95">
      <c r="A95" s="3"/>
      <c r="B95" s="3"/>
      <c r="C95" s="3"/>
      <c r="D95" s="234"/>
      <c r="E95" s="191"/>
      <c r="F95" s="191"/>
      <c r="G95" s="198"/>
      <c r="H95" s="230"/>
      <c r="I95" s="225"/>
    </row>
    <row r="96">
      <c r="A96" s="3"/>
      <c r="B96" s="3"/>
      <c r="C96" s="3"/>
      <c r="D96" s="234"/>
      <c r="E96" s="191"/>
      <c r="F96" s="191"/>
      <c r="G96" s="198"/>
      <c r="H96" s="230"/>
      <c r="I96" s="225"/>
    </row>
    <row r="97">
      <c r="A97" s="3"/>
      <c r="B97" s="3"/>
      <c r="C97" s="3"/>
      <c r="D97" s="234"/>
      <c r="E97" s="191"/>
      <c r="F97" s="191"/>
      <c r="G97" s="198"/>
      <c r="H97" s="230"/>
      <c r="I97" s="225"/>
    </row>
    <row r="98">
      <c r="A98" s="3"/>
      <c r="B98" s="3"/>
      <c r="C98" s="3"/>
      <c r="D98" s="234"/>
      <c r="E98" s="191"/>
      <c r="F98" s="191"/>
      <c r="G98" s="198"/>
      <c r="H98" s="230"/>
      <c r="I98" s="225"/>
    </row>
    <row r="99">
      <c r="A99" s="3"/>
      <c r="B99" s="3"/>
      <c r="C99" s="3"/>
      <c r="D99" s="234"/>
      <c r="E99" s="191"/>
      <c r="F99" s="191"/>
      <c r="G99" s="198"/>
      <c r="H99" s="230"/>
      <c r="I99" s="225"/>
    </row>
    <row r="100">
      <c r="A100" s="3"/>
      <c r="B100" s="3"/>
      <c r="C100" s="3"/>
      <c r="D100" s="234"/>
      <c r="E100" s="191"/>
      <c r="F100" s="191"/>
      <c r="G100" s="198"/>
      <c r="H100" s="230"/>
      <c r="I100" s="225"/>
    </row>
  </sheetData>
  <mergeCells count="7">
    <mergeCell ref="C17:D17"/>
    <mergeCell ref="C18:D18"/>
    <mergeCell ref="C20:D20"/>
    <mergeCell ref="C21:D21"/>
    <mergeCell ref="C23:D23"/>
    <mergeCell ref="C24:D24"/>
    <mergeCell ref="C26:D26"/>
  </mergeCells>
  <hyperlinks>
    <hyperlink r:id="rId1" ref="C18"/>
    <hyperlink r:id="rId2" ref="C24"/>
    <hyperlink r:id="rId3" ref="C25"/>
  </hyperlinks>
  <drawing r:id="rId4"/>
</worksheet>
</file>