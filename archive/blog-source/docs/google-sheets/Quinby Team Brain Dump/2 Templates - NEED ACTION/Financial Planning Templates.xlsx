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Personal Finance Template" sheetId="2" r:id="rId6"/>
    <sheet state="visible" name="Financial Projection Template" sheetId="3" r:id="rId7"/>
    <sheet state="visible" name="P&amp;L Statement" sheetId="4" r:id="rId8"/>
    <sheet state="visible" name="Cash Flow Statement" sheetId="5" r:id="rId9"/>
    <sheet state="visible" name="Balance Sheet" sheetId="6" r:id="rId10"/>
  </sheets>
  <definedNames/>
  <calcPr/>
</workbook>
</file>

<file path=xl/sharedStrings.xml><?xml version="1.0" encoding="utf-8"?>
<sst xmlns="http://schemas.openxmlformats.org/spreadsheetml/2006/main" count="239" uniqueCount="135">
  <si>
    <t>Jump to a Template</t>
  </si>
  <si>
    <r>
      <rPr>
        <rFont val="Avenir"/>
        <color rgb="FF1155CC"/>
        <sz val="14.0"/>
        <u/>
      </rPr>
      <t>Personal Finance Template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 xml:space="preserve">Financial Projection Template
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 xml:space="preserve">P&amp;L Statement Template
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>Cash Flow Statement</t>
    </r>
    <r>
      <rPr>
        <rFont val="Avenir"/>
        <color rgb="FF30465D"/>
        <sz val="14.0"/>
      </rPr>
      <t xml:space="preserve">
</t>
    </r>
    <r>
      <rPr>
        <rFont val="Avenir"/>
        <color rgb="FF1155CC"/>
        <sz val="14.0"/>
        <u/>
      </rPr>
      <t>Balance Sheet Template</t>
    </r>
  </si>
  <si>
    <t>5 Financial Planning Templates</t>
  </si>
  <si>
    <t>Personal Finance Template</t>
  </si>
  <si>
    <t>Last Updated</t>
  </si>
  <si>
    <t>Net Worth</t>
  </si>
  <si>
    <t>Funds</t>
  </si>
  <si>
    <t>Fund/Account</t>
  </si>
  <si>
    <t>Amount</t>
  </si>
  <si>
    <t>Link to Account Site</t>
  </si>
  <si>
    <t>Savings Account</t>
  </si>
  <si>
    <t>[Insert Link]</t>
  </si>
  <si>
    <t>Checking Account</t>
  </si>
  <si>
    <t>401(k)</t>
  </si>
  <si>
    <t>IRA</t>
  </si>
  <si>
    <t>Company Stock</t>
  </si>
  <si>
    <t>Investment Account</t>
  </si>
  <si>
    <t>Account #7</t>
  </si>
  <si>
    <t>Account #8</t>
  </si>
  <si>
    <t>Total Assets</t>
  </si>
  <si>
    <t>Debts</t>
  </si>
  <si>
    <t>Remaining</t>
  </si>
  <si>
    <t>Link to Debt Site</t>
  </si>
  <si>
    <t>House</t>
  </si>
  <si>
    <t>Car</t>
  </si>
  <si>
    <t>Student Loans</t>
  </si>
  <si>
    <t>Debt #1</t>
  </si>
  <si>
    <t>Debt #2</t>
  </si>
  <si>
    <t>Total</t>
  </si>
  <si>
    <t>Financial Projection Template</t>
  </si>
  <si>
    <t>Projections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</si>
  <si>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</si>
  <si>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</si>
  <si>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</si>
  <si>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</si>
  <si>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</si>
  <si>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</si>
  <si>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</si>
  <si>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</si>
  <si>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</si>
  <si>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</si>
  <si>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</si>
  <si>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</si>
  <si>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Units Sales</t>
  </si>
  <si>
    <t>Avg. Revenue Per Unit</t>
  </si>
  <si>
    <t>Total Revenue</t>
  </si>
  <si>
    <t>Actuals</t>
  </si>
  <si>
    <t>Variance</t>
  </si>
  <si>
    <t>% Difference</t>
  </si>
  <si>
    <t>Profit &amp; Loss Statement</t>
  </si>
  <si>
    <t>Month/Year</t>
  </si>
  <si>
    <t>Sales</t>
  </si>
  <si>
    <t>Description</t>
  </si>
  <si>
    <t>Notes</t>
  </si>
  <si>
    <t>Cost of Goods Sold</t>
  </si>
  <si>
    <t>Gross Profit</t>
  </si>
  <si>
    <t>Operating Expenses</t>
  </si>
  <si>
    <t>Expense</t>
  </si>
  <si>
    <t>Total Expenses</t>
  </si>
  <si>
    <t>Income Before Taxes</t>
  </si>
  <si>
    <t>Income Tax</t>
  </si>
  <si>
    <t>Net Profit (Loss)</t>
  </si>
  <si>
    <t>Cash Flow Statement</t>
  </si>
  <si>
    <t>Date</t>
  </si>
  <si>
    <t>Cash at Beginning of Period</t>
  </si>
  <si>
    <t>Operating Activity</t>
  </si>
  <si>
    <t>Cash Receipts</t>
  </si>
  <si>
    <t>(Enter as a positive)</t>
  </si>
  <si>
    <t>Collection of Accounts Recievable</t>
  </si>
  <si>
    <t>Other Operating Activity</t>
  </si>
  <si>
    <t>Total Cash Receipts</t>
  </si>
  <si>
    <t>Cash Payments</t>
  </si>
  <si>
    <t>(Enter as a negative)</t>
  </si>
  <si>
    <t>Inventory</t>
  </si>
  <si>
    <t>Interest</t>
  </si>
  <si>
    <t>Taxes</t>
  </si>
  <si>
    <t>Wages</t>
  </si>
  <si>
    <t>Total Cash Payments</t>
  </si>
  <si>
    <t>Net Cash Flow From Operations</t>
  </si>
  <si>
    <t>Investing Activity</t>
  </si>
  <si>
    <t>Sale of Property/Equipment</t>
  </si>
  <si>
    <t>Sale of Securities</t>
  </si>
  <si>
    <t>Loans Collected</t>
  </si>
  <si>
    <t>Sale of Other Investment</t>
  </si>
  <si>
    <t>Purchase of Property/Equipment</t>
  </si>
  <si>
    <t>Purchase of Securities</t>
  </si>
  <si>
    <t>Loans Made</t>
  </si>
  <si>
    <t>Purchase of Other Investment</t>
  </si>
  <si>
    <t>Financing Activity</t>
  </si>
  <si>
    <t>Stock Issued</t>
  </si>
  <si>
    <t>Other Payment</t>
  </si>
  <si>
    <t>Stock Repurchased</t>
  </si>
  <si>
    <t>Dividends Paid</t>
  </si>
  <si>
    <t>Loans Repaid</t>
  </si>
  <si>
    <t>Other Financing Expense</t>
  </si>
  <si>
    <t>Net Cash Flow From Financing</t>
  </si>
  <si>
    <t>Cash On-Hand at End of Period</t>
  </si>
  <si>
    <t>Net Change in Cash</t>
  </si>
  <si>
    <t>Balance Sheet</t>
  </si>
  <si>
    <t>[Date]</t>
  </si>
  <si>
    <t>Assets</t>
  </si>
  <si>
    <t>Liabilities + Equity</t>
  </si>
  <si>
    <t>Current Assets</t>
  </si>
  <si>
    <t>Current Liabilities</t>
  </si>
  <si>
    <t>Cash</t>
  </si>
  <si>
    <t>Accounts Payable</t>
  </si>
  <si>
    <t xml:space="preserve">Accounts Receivable </t>
  </si>
  <si>
    <t>Wages payable</t>
  </si>
  <si>
    <t>Interest Payable</t>
  </si>
  <si>
    <t>Investments</t>
  </si>
  <si>
    <t>Tax Payable</t>
  </si>
  <si>
    <t>Additional Asset #1</t>
  </si>
  <si>
    <t>Additional Liability #1</t>
  </si>
  <si>
    <t>Additional Asset #2</t>
  </si>
  <si>
    <t>Additional Liability #2</t>
  </si>
  <si>
    <t>Total Current Assets</t>
  </si>
  <si>
    <t>Property, Plant &amp; Equipment</t>
  </si>
  <si>
    <t>Long-Term Liabilities</t>
  </si>
  <si>
    <t>Land</t>
  </si>
  <si>
    <t>Notes Payable</t>
  </si>
  <si>
    <t>Buildings</t>
  </si>
  <si>
    <t>Equipment</t>
  </si>
  <si>
    <t>Accum. Depreciation</t>
  </si>
  <si>
    <t>Total PP&amp;E</t>
  </si>
  <si>
    <t>Total Liabilities</t>
  </si>
  <si>
    <t>Other Assets</t>
  </si>
  <si>
    <t>Equity</t>
  </si>
  <si>
    <t>Intangible Assets</t>
  </si>
  <si>
    <t>Stock</t>
  </si>
  <si>
    <t>Retained Earnings</t>
  </si>
  <si>
    <t>Additional Asset #3</t>
  </si>
  <si>
    <t>Additional Equity Source</t>
  </si>
  <si>
    <t>Total Other Asset</t>
  </si>
  <si>
    <t>Total Equity</t>
  </si>
  <si>
    <t>Total Liabilities +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</si>
</sst>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&quot;$&quot;#,##0"/>
    <numFmt numFmtId="167" formatCode="_(&quot;$&quot;* #,##0_);_(&quot;$&quot;* \(#,##0\);_(&quot;$&quot;* &quot;-&quot;??_);_(@_)"/>
    <numFmt numFmtId="168" formatCode="_(&quot;$&quot;* #,##0.00_);_(&quot;$&quot;* \(#,##0.00\);_(&quot;$&quot;* &quot;-&quot;??_);_(@_)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000000"/>
      <name val="Avenir"/>
    </font>
    <font>
      <b/>
      <sz val="18.0"/>
      <color rgb="FF2D3E50"/>
      <name val="Avenir"/>
    </font>
    <font/>
    <font>
      <b/>
      <sz val="18.0"/>
      <color rgb="FF000000"/>
      <name val="&quot;Avenir Next LT Pro&quot;"/>
    </font>
    <font>
      <sz val="14.0"/>
      <color rgb="FF000000"/>
      <name val="Avenir"/>
    </font>
    <font>
      <sz val="14.0"/>
      <color rgb="FF2D3E50"/>
      <name val="Avenir"/>
    </font>
    <font>
      <u/>
      <sz val="14.0"/>
      <color rgb="FF30465D"/>
      <name val="Avenir"/>
    </font>
    <font>
      <sz val="30.0"/>
      <color rgb="FFFFFFFF"/>
      <name val="Avenir"/>
    </font>
    <font>
      <sz val="12.0"/>
      <color rgb="FF000000"/>
      <name val="Calibri"/>
    </font>
    <font>
      <b/>
      <sz val="32.0"/>
      <color rgb="FFFFFFFF"/>
      <name val="Avenir"/>
    </font>
    <font>
      <sz val="22.0"/>
      <color rgb="FFFFFFFF"/>
      <name val="Avenir"/>
    </font>
    <font>
      <color theme="1"/>
      <name val="Lexend Deca"/>
    </font>
    <font>
      <sz val="14.0"/>
      <color theme="1"/>
      <name val="Lexend Deca"/>
    </font>
    <font>
      <b/>
      <sz val="14.0"/>
      <color theme="1"/>
      <name val="Lexend Deca"/>
    </font>
    <font>
      <b/>
      <color rgb="FF2E475D"/>
      <name val="Lexend Deca"/>
    </font>
    <font>
      <b/>
      <color rgb="FFFFFFFF"/>
      <name val="Lexend Deca"/>
    </font>
    <font>
      <color rgb="FF2E475D"/>
      <name val="Lexend Deca"/>
    </font>
    <font>
      <i/>
      <color rgb="FF2E475D"/>
      <name val="Lexend Deca"/>
    </font>
    <font>
      <b/>
      <sz val="13.0"/>
      <color rgb="FF2E475D"/>
      <name val="Lexend Deca"/>
    </font>
    <font>
      <i/>
      <color rgb="FFFFFFFF"/>
      <name val="Lexend Deca"/>
    </font>
    <font>
      <b/>
      <sz val="12.0"/>
      <color rgb="FFFFFFFF"/>
      <name val="Lexend Deca"/>
    </font>
  </fonts>
  <fills count="13">
    <fill>
      <patternFill patternType="none"/>
    </fill>
    <fill>
      <patternFill patternType="lightGray"/>
    </fill>
    <fill>
      <patternFill patternType="solid">
        <fgColor rgb="FF30465D"/>
        <bgColor rgb="FF30465D"/>
      </patternFill>
    </fill>
    <fill>
      <patternFill patternType="solid">
        <fgColor rgb="FFF5F8FA"/>
        <bgColor rgb="FFF5F8FA"/>
      </patternFill>
    </fill>
    <fill>
      <patternFill patternType="solid">
        <fgColor rgb="FFEAF0F6"/>
        <bgColor rgb="FFEAF0F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BE4ED"/>
        <bgColor rgb="FFDBE4ED"/>
      </patternFill>
    </fill>
    <fill>
      <patternFill patternType="solid">
        <fgColor rgb="FF213343"/>
        <bgColor rgb="FF21334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15">
    <border/>
    <border>
      <left style="thin">
        <color rgb="FFF5F8FA"/>
      </left>
      <right style="thin">
        <color rgb="FFF5F8FA"/>
      </right>
      <top style="thin">
        <color rgb="FFF5F8FA"/>
      </top>
      <bottom style="thin">
        <color rgb="FFF5F8FA"/>
      </bottom>
    </border>
    <border>
      <left style="thin">
        <color rgb="FFF5F8FA"/>
      </left>
      <right style="thin">
        <color rgb="FFF5F8FA"/>
      </right>
      <top style="thin">
        <color rgb="FFF5F8FA"/>
      </top>
    </border>
    <border>
      <left style="thin">
        <color rgb="FFF5F8FA"/>
      </left>
      <right style="thin">
        <color rgb="FFF5F8FA"/>
      </right>
    </border>
    <border>
      <left style="thin">
        <color rgb="FFF5F8FA"/>
      </left>
      <right style="thin">
        <color rgb="FFF5F8FA"/>
      </right>
      <bottom style="thin">
        <color rgb="FFF5F8FA"/>
      </bottom>
    </border>
    <border>
      <left style="thin">
        <color rgb="FF30465D"/>
      </left>
      <top style="thin">
        <color rgb="FF30465D"/>
      </top>
    </border>
    <border>
      <top style="thin">
        <color rgb="FF30465D"/>
      </top>
    </border>
    <border>
      <right style="thin">
        <color rgb="FF30465D"/>
      </right>
    </border>
    <border>
      <left style="thin">
        <color rgb="FF30465D"/>
      </left>
    </border>
    <border>
      <left style="thin">
        <color rgb="FF30465D"/>
      </left>
      <bottom style="thin">
        <color rgb="FF30465D"/>
      </bottom>
    </border>
    <border>
      <bottom style="thin">
        <color rgb="FF30465D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5" numFmtId="0" xfId="0" applyAlignment="1" applyBorder="1" applyFont="1">
      <alignment horizontal="left" vertical="top"/>
    </xf>
    <xf borderId="4" fillId="0" fontId="4" numFmtId="0" xfId="0" applyBorder="1" applyFont="1"/>
    <xf borderId="1" fillId="3" fontId="6" numFmtId="0" xfId="0" applyAlignment="1" applyBorder="1" applyFont="1">
      <alignment horizontal="left" readingOrder="0" vertical="top"/>
    </xf>
    <xf borderId="1" fillId="3" fontId="7" numFmtId="0" xfId="0" applyAlignment="1" applyBorder="1" applyFont="1">
      <alignment horizontal="left" readingOrder="0" shrinkToFit="0" vertical="top" wrapText="1"/>
    </xf>
    <xf borderId="2" fillId="3" fontId="8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readingOrder="0"/>
    </xf>
    <xf borderId="0" fillId="2" fontId="9" numFmtId="0" xfId="0" applyAlignment="1" applyFont="1">
      <alignment readingOrder="0" shrinkToFit="0" vertical="center" wrapText="1"/>
    </xf>
    <xf borderId="0" fillId="2" fontId="10" numFmtId="0" xfId="0" applyAlignment="1" applyFont="1">
      <alignment shrinkToFit="0" vertical="bottom" wrapText="0"/>
    </xf>
    <xf borderId="1" fillId="3" fontId="11" numFmtId="0" xfId="0" applyAlignment="1" applyBorder="1" applyFont="1">
      <alignment horizontal="left" readingOrder="0" shrinkToFit="0" vertical="bottom" wrapText="0"/>
    </xf>
    <xf borderId="1" fillId="3" fontId="10" numFmtId="0" xfId="0" applyAlignment="1" applyBorder="1" applyFont="1">
      <alignment shrinkToFit="0" vertical="bottom" wrapText="0"/>
    </xf>
    <xf borderId="5" fillId="2" fontId="1" numFmtId="0" xfId="0" applyBorder="1" applyFont="1"/>
    <xf borderId="6" fillId="0" fontId="4" numFmtId="0" xfId="0" applyBorder="1" applyFont="1"/>
    <xf borderId="0" fillId="2" fontId="12" numFmtId="0" xfId="0" applyAlignment="1" applyFont="1">
      <alignment readingOrder="0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13" numFmtId="0" xfId="0" applyFont="1"/>
    <xf borderId="0" fillId="0" fontId="13" numFmtId="0" xfId="0" applyAlignment="1" applyFont="1">
      <alignment readingOrder="0"/>
    </xf>
    <xf borderId="0" fillId="4" fontId="14" numFmtId="0" xfId="0" applyAlignment="1" applyFill="1" applyFont="1">
      <alignment horizontal="center" readingOrder="0" vertical="center"/>
    </xf>
    <xf borderId="0" fillId="5" fontId="15" numFmtId="164" xfId="0" applyAlignment="1" applyFill="1" applyFont="1" applyNumberFormat="1">
      <alignment horizontal="center" readingOrder="0" vertical="center"/>
    </xf>
    <xf borderId="11" fillId="6" fontId="15" numFmtId="165" xfId="0" applyAlignment="1" applyBorder="1" applyFill="1" applyFont="1" applyNumberForma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7" fontId="16" numFmtId="0" xfId="0" applyAlignment="1" applyFill="1" applyFont="1">
      <alignment readingOrder="0"/>
    </xf>
    <xf borderId="0" fillId="8" fontId="17" numFmtId="0" xfId="0" applyAlignment="1" applyFill="1" applyFont="1">
      <alignment readingOrder="0"/>
    </xf>
    <xf borderId="0" fillId="4" fontId="18" numFmtId="0" xfId="0" applyAlignment="1" applyFont="1">
      <alignment readingOrder="0"/>
    </xf>
    <xf borderId="0" fillId="4" fontId="18" numFmtId="165" xfId="0" applyAlignment="1" applyFont="1" applyNumberFormat="1">
      <alignment readingOrder="0"/>
    </xf>
    <xf borderId="0" fillId="4" fontId="19" numFmtId="0" xfId="0" applyAlignment="1" applyFont="1">
      <alignment readingOrder="0"/>
    </xf>
    <xf borderId="0" fillId="7" fontId="16" numFmtId="165" xfId="0" applyFont="1" applyNumberFormat="1"/>
    <xf borderId="0" fillId="4" fontId="18" numFmtId="3" xfId="0" applyAlignment="1" applyFont="1" applyNumberFormat="1">
      <alignment readingOrder="0"/>
    </xf>
    <xf borderId="0" fillId="4" fontId="18" numFmtId="166" xfId="0" applyAlignment="1" applyFont="1" applyNumberFormat="1">
      <alignment readingOrder="0"/>
    </xf>
    <xf borderId="0" fillId="4" fontId="19" numFmtId="0" xfId="0" applyAlignment="1" applyFont="1">
      <alignment horizontal="right" readingOrder="0"/>
    </xf>
    <xf borderId="0" fillId="4" fontId="18" numFmtId="10" xfId="0" applyAlignment="1" applyFont="1" applyNumberFormat="1">
      <alignment readingOrder="0"/>
    </xf>
    <xf borderId="0" fillId="5" fontId="15" numFmtId="0" xfId="0" applyAlignment="1" applyFont="1">
      <alignment horizontal="center" readingOrder="0" vertical="center"/>
    </xf>
    <xf borderId="0" fillId="7" fontId="16" numFmtId="167" xfId="0" applyAlignment="1" applyFont="1" applyNumberFormat="1">
      <alignment readingOrder="0"/>
    </xf>
    <xf borderId="0" fillId="7" fontId="20" numFmtId="0" xfId="0" applyAlignment="1" applyFont="1">
      <alignment horizontal="center" readingOrder="0" vertical="center"/>
    </xf>
    <xf borderId="0" fillId="9" fontId="17" numFmtId="0" xfId="0" applyAlignment="1" applyFill="1" applyFont="1">
      <alignment readingOrder="0"/>
    </xf>
    <xf borderId="0" fillId="9" fontId="21" numFmtId="0" xfId="0" applyAlignment="1" applyFont="1">
      <alignment readingOrder="0"/>
    </xf>
    <xf borderId="0" fillId="4" fontId="18" numFmtId="167" xfId="0" applyAlignment="1" applyFont="1" applyNumberFormat="1">
      <alignment readingOrder="0"/>
    </xf>
    <xf borderId="0" fillId="10" fontId="16" numFmtId="0" xfId="0" applyAlignment="1" applyFill="1" applyFont="1">
      <alignment readingOrder="0"/>
    </xf>
    <xf borderId="0" fillId="10" fontId="16" numFmtId="167" xfId="0" applyAlignment="1" applyFont="1" applyNumberFormat="1">
      <alignment readingOrder="0"/>
    </xf>
    <xf borderId="0" fillId="11" fontId="17" numFmtId="0" xfId="0" applyAlignment="1" applyFill="1" applyFont="1">
      <alignment readingOrder="0"/>
    </xf>
    <xf borderId="0" fillId="11" fontId="21" numFmtId="167" xfId="0" applyAlignment="1" applyFont="1" applyNumberFormat="1">
      <alignment readingOrder="0"/>
    </xf>
    <xf borderId="0" fillId="12" fontId="16" numFmtId="0" xfId="0" applyAlignment="1" applyFill="1" applyFont="1">
      <alignment readingOrder="0"/>
    </xf>
    <xf borderId="0" fillId="12" fontId="16" numFmtId="167" xfId="0" applyAlignment="1" applyFont="1" applyNumberFormat="1">
      <alignment readingOrder="0"/>
    </xf>
    <xf borderId="0" fillId="8" fontId="22" numFmtId="167" xfId="0" applyAlignment="1" applyFont="1" applyNumberFormat="1">
      <alignment readingOrder="0"/>
    </xf>
    <xf borderId="0" fillId="5" fontId="14" numFmtId="0" xfId="0" applyAlignment="1" applyFont="1">
      <alignment horizontal="center" readingOrder="0" vertical="center"/>
    </xf>
    <xf borderId="0" fillId="7" fontId="16" numFmtId="167" xfId="0" applyFont="1" applyNumberFormat="1"/>
    <xf borderId="0" fillId="0" fontId="1" numFmtId="167" xfId="0" applyFont="1" applyNumberFormat="1"/>
    <xf borderId="0" fillId="8" fontId="17" numFmtId="167" xfId="0" applyAlignment="1" applyFont="1" applyNumberFormat="1">
      <alignment readingOrder="0"/>
    </xf>
    <xf borderId="0" fillId="8" fontId="17" numFmtId="168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CAE7D3"/>
          <bgColor rgb="FFCAE7D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C0C6"/>
          <bgColor rgb="FFFBC0C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Funds by Source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'Personal Finance Template'!$B$15</c:f>
            </c:strRef>
          </c:tx>
          <c:dPt>
            <c:idx val="0"/>
            <c:spPr>
              <a:solidFill>
                <a:srgbClr val="0068B1"/>
              </a:solidFill>
            </c:spPr>
          </c:dPt>
          <c:dPt>
            <c:idx val="1"/>
            <c:spPr>
              <a:solidFill>
                <a:srgbClr val="ED2D40"/>
              </a:solidFill>
            </c:spPr>
          </c:dPt>
          <c:dPt>
            <c:idx val="2"/>
            <c:spPr>
              <a:solidFill>
                <a:srgbClr val="FFBC4B"/>
              </a:solidFill>
            </c:spPr>
          </c:dPt>
          <c:dPt>
            <c:idx val="3"/>
            <c:spPr>
              <a:solidFill>
                <a:srgbClr val="45B06D"/>
              </a:solidFill>
            </c:spPr>
          </c:dPt>
          <c:dPt>
            <c:idx val="4"/>
            <c:spPr>
              <a:solidFill>
                <a:srgbClr val="FF8933"/>
              </a:solidFill>
            </c:spPr>
          </c:dPt>
          <c:dPt>
            <c:idx val="5"/>
            <c:spPr>
              <a:solidFill>
                <a:srgbClr val="0FBFBF"/>
              </a:solidFill>
            </c:spPr>
          </c:dPt>
          <c:dPt>
            <c:idx val="6"/>
            <c:spPr>
              <a:solidFill>
                <a:srgbClr val="5C62D6"/>
              </a:solidFill>
            </c:spPr>
          </c:dPt>
          <c:dPt>
            <c:idx val="7"/>
            <c:spPr>
              <a:solidFill>
                <a:srgbClr val="F62D7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'Personal Finance Template'!$A$16:$A$23</c:f>
            </c:strRef>
          </c:cat>
          <c:val>
            <c:numRef>
              <c:f>'Personal Finance Template'!$B$16:$B$23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</xdr:row>
      <xdr:rowOff>47625</xdr:rowOff>
    </xdr:from>
    <xdr:ext cx="2105025" cy="6381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2381250</xdr:colOff>
      <xdr:row>6</xdr:row>
      <xdr:rowOff>85725</xdr:rowOff>
    </xdr:from>
    <xdr:ext cx="2914650" cy="1943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847725</xdr:colOff>
      <xdr:row>8</xdr:row>
      <xdr:rowOff>66675</xdr:rowOff>
    </xdr:from>
    <xdr:ext cx="2105025" cy="11906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12</xdr:row>
      <xdr:rowOff>180975</xdr:rowOff>
    </xdr:from>
    <xdr:ext cx="5800725" cy="3981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13"/>
    <col customWidth="1" min="3" max="3" width="27.63"/>
    <col customWidth="1" min="4" max="6" width="12.63"/>
    <col customWidth="1" min="7" max="7" width="27.63"/>
    <col customWidth="1" min="8" max="10" width="5.13"/>
    <col customWidth="1" min="11" max="11" width="45.13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4" t="s">
        <v>0</v>
      </c>
      <c r="L2" s="3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5"/>
      <c r="L3" s="6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7"/>
      <c r="L4" s="8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9"/>
      <c r="L5" s="8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10" t="s">
        <v>1</v>
      </c>
      <c r="L6" s="8"/>
    </row>
    <row r="7">
      <c r="A7" s="1"/>
      <c r="B7" s="11"/>
      <c r="C7" s="11"/>
      <c r="D7" s="11"/>
      <c r="E7" s="11"/>
      <c r="F7" s="11"/>
      <c r="G7" s="1"/>
      <c r="H7" s="1"/>
      <c r="I7" s="1"/>
      <c r="J7" s="2"/>
      <c r="K7" s="5"/>
      <c r="L7" s="8"/>
    </row>
    <row r="8">
      <c r="A8" s="1"/>
      <c r="B8" s="12"/>
      <c r="C8" s="12" t="s">
        <v>2</v>
      </c>
      <c r="F8" s="12"/>
      <c r="G8" s="1"/>
      <c r="H8" s="1"/>
      <c r="I8" s="1"/>
      <c r="J8" s="2"/>
      <c r="K8" s="5"/>
      <c r="L8" s="8"/>
    </row>
    <row r="9">
      <c r="A9" s="1"/>
      <c r="B9" s="12"/>
      <c r="F9" s="12"/>
      <c r="G9" s="13"/>
      <c r="H9" s="13"/>
      <c r="I9" s="13"/>
      <c r="J9" s="14"/>
      <c r="K9" s="5"/>
      <c r="L9" s="8"/>
    </row>
    <row r="10">
      <c r="A10" s="1"/>
      <c r="B10" s="12"/>
      <c r="F10" s="12"/>
      <c r="G10" s="13"/>
      <c r="H10" s="13"/>
      <c r="I10" s="13"/>
      <c r="J10" s="14"/>
      <c r="K10" s="5"/>
      <c r="L10" s="8"/>
    </row>
    <row r="11">
      <c r="A11" s="1"/>
      <c r="B11" s="12"/>
      <c r="F11" s="12"/>
      <c r="G11" s="13"/>
      <c r="H11" s="13"/>
      <c r="I11" s="13"/>
      <c r="J11" s="14"/>
      <c r="K11" s="5"/>
      <c r="L11" s="8"/>
    </row>
    <row r="12">
      <c r="A12" s="1"/>
      <c r="B12" s="12"/>
      <c r="F12" s="12"/>
      <c r="G12" s="13"/>
      <c r="H12" s="13"/>
      <c r="I12" s="13"/>
      <c r="J12" s="14"/>
      <c r="K12" s="5"/>
      <c r="L12" s="8"/>
    </row>
    <row r="13">
      <c r="A13" s="1"/>
      <c r="B13" s="12"/>
      <c r="F13" s="12"/>
      <c r="G13" s="13"/>
      <c r="H13" s="13"/>
      <c r="I13" s="13"/>
      <c r="J13" s="14"/>
      <c r="K13" s="5"/>
      <c r="L13" s="8"/>
    </row>
    <row r="14">
      <c r="A14" s="1"/>
      <c r="B14" s="12"/>
      <c r="F14" s="12"/>
      <c r="G14" s="13"/>
      <c r="H14" s="13"/>
      <c r="I14" s="13"/>
      <c r="J14" s="14"/>
      <c r="K14" s="5"/>
      <c r="L14" s="15"/>
    </row>
    <row r="15">
      <c r="A15" s="1"/>
      <c r="B15" s="12"/>
      <c r="C15" s="12"/>
      <c r="D15" s="11"/>
      <c r="E15" s="11"/>
      <c r="F15" s="11"/>
      <c r="G15" s="13"/>
      <c r="H15" s="13"/>
      <c r="I15" s="13"/>
      <c r="J15" s="14"/>
      <c r="K15" s="5"/>
      <c r="L15" s="15"/>
    </row>
    <row r="16">
      <c r="A16" s="1"/>
      <c r="B16" s="12"/>
      <c r="C16" s="12"/>
      <c r="D16" s="13"/>
      <c r="E16" s="13"/>
      <c r="F16" s="13"/>
      <c r="G16" s="13"/>
      <c r="H16" s="13"/>
      <c r="I16" s="13"/>
      <c r="J16" s="14"/>
      <c r="K16" s="5"/>
      <c r="L16" s="15"/>
    </row>
    <row r="17">
      <c r="A17" s="1"/>
      <c r="B17" s="13"/>
      <c r="C17" s="13"/>
      <c r="D17" s="13"/>
      <c r="E17" s="13"/>
      <c r="F17" s="13"/>
      <c r="G17" s="13"/>
      <c r="H17" s="13"/>
      <c r="I17" s="13"/>
      <c r="J17" s="14"/>
      <c r="K17" s="7"/>
      <c r="L17" s="15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5"/>
      <c r="K18" s="15"/>
      <c r="L18" s="15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5"/>
      <c r="K19" s="15"/>
      <c r="L19" s="15"/>
    </row>
  </sheetData>
  <mergeCells count="3">
    <mergeCell ref="K2:K4"/>
    <mergeCell ref="K6:K17"/>
    <mergeCell ref="C8:E14"/>
  </mergeCells>
  <hyperlinks>
    <hyperlink display="Personal Finance Template&#10;&#10;Financial Projection Template&#10;&#10;P&amp;L Statement Template&#10;&#10;Cash Flow Statement&#10;&#10;Balance Sheet Template" location="'Personal Finance Template'!A1" ref="K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3" width="22.75"/>
    <col customWidth="1" min="4" max="5" width="12.75"/>
    <col customWidth="1" min="7" max="7" width="14.13"/>
  </cols>
  <sheetData>
    <row r="1" ht="2.25" customHeight="1">
      <c r="A1" s="16"/>
      <c r="B1" s="17"/>
      <c r="C1" s="18" t="s">
        <v>3</v>
      </c>
      <c r="I1" s="19"/>
    </row>
    <row r="2" ht="8.25" customHeight="1">
      <c r="A2" s="20"/>
      <c r="I2" s="19"/>
    </row>
    <row r="3" ht="8.25" customHeight="1">
      <c r="A3" s="20"/>
      <c r="I3" s="19"/>
    </row>
    <row r="4" ht="8.25" customHeight="1">
      <c r="A4" s="20"/>
      <c r="I4" s="19"/>
    </row>
    <row r="5" ht="8.25" customHeight="1">
      <c r="A5" s="20"/>
      <c r="I5" s="19"/>
    </row>
    <row r="6" ht="8.25" customHeight="1">
      <c r="A6" s="20"/>
      <c r="I6" s="19"/>
    </row>
    <row r="7" ht="8.25" customHeight="1">
      <c r="A7" s="20"/>
      <c r="I7" s="19"/>
    </row>
    <row r="8" ht="8.25" customHeight="1">
      <c r="A8" s="20"/>
      <c r="I8" s="19"/>
    </row>
    <row r="9" ht="8.25" customHeight="1">
      <c r="A9" s="21"/>
      <c r="B9" s="22"/>
      <c r="I9" s="19"/>
    </row>
    <row r="10">
      <c r="A10" s="23"/>
      <c r="B10" s="24"/>
      <c r="C10" s="24"/>
    </row>
    <row r="11">
      <c r="A11" s="25" t="s">
        <v>4</v>
      </c>
      <c r="C11" s="26">
        <v>45292.0</v>
      </c>
      <c r="F11" s="25" t="s">
        <v>5</v>
      </c>
      <c r="H11" s="27">
        <f>B24-B33</f>
        <v>10000</v>
      </c>
      <c r="I11" s="28"/>
    </row>
    <row r="12">
      <c r="H12" s="29"/>
      <c r="I12" s="30"/>
    </row>
    <row r="14">
      <c r="A14" s="31" t="s">
        <v>6</v>
      </c>
    </row>
    <row r="15">
      <c r="A15" s="32" t="s">
        <v>7</v>
      </c>
      <c r="B15" s="32" t="s">
        <v>8</v>
      </c>
      <c r="C15" s="32" t="s">
        <v>9</v>
      </c>
    </row>
    <row r="16">
      <c r="A16" s="33" t="s">
        <v>10</v>
      </c>
      <c r="B16" s="34">
        <v>5000.0</v>
      </c>
      <c r="C16" s="35" t="s">
        <v>11</v>
      </c>
    </row>
    <row r="17">
      <c r="A17" s="33" t="s">
        <v>12</v>
      </c>
      <c r="B17" s="34">
        <v>10000.0</v>
      </c>
      <c r="C17" s="35" t="s">
        <v>11</v>
      </c>
    </row>
    <row r="18">
      <c r="A18" s="33" t="s">
        <v>13</v>
      </c>
      <c r="B18" s="34">
        <v>40000.0</v>
      </c>
      <c r="C18" s="35" t="s">
        <v>11</v>
      </c>
    </row>
    <row r="19">
      <c r="A19" s="33" t="s">
        <v>14</v>
      </c>
      <c r="B19" s="34">
        <v>20000.0</v>
      </c>
      <c r="C19" s="35" t="s">
        <v>11</v>
      </c>
    </row>
    <row r="20">
      <c r="A20" s="33" t="s">
        <v>15</v>
      </c>
      <c r="B20" s="34">
        <v>5000.0</v>
      </c>
      <c r="C20" s="35" t="s">
        <v>11</v>
      </c>
    </row>
    <row r="21">
      <c r="A21" s="33" t="s">
        <v>16</v>
      </c>
      <c r="B21" s="34">
        <v>20000.0</v>
      </c>
      <c r="C21" s="35" t="s">
        <v>11</v>
      </c>
    </row>
    <row r="22">
      <c r="A22" s="33" t="s">
        <v>17</v>
      </c>
      <c r="B22" s="34">
        <v>0.0</v>
      </c>
      <c r="C22" s="35" t="s">
        <v>11</v>
      </c>
    </row>
    <row r="23">
      <c r="A23" s="33" t="s">
        <v>18</v>
      </c>
      <c r="B23" s="34">
        <v>0.0</v>
      </c>
      <c r="C23" s="35" t="s">
        <v>11</v>
      </c>
    </row>
    <row r="24">
      <c r="A24" s="31" t="s">
        <v>19</v>
      </c>
      <c r="B24" s="36">
        <f>sum(B16:B23)</f>
        <v>100000</v>
      </c>
      <c r="C24" s="31"/>
    </row>
    <row r="26">
      <c r="A26" s="31" t="s">
        <v>20</v>
      </c>
    </row>
    <row r="27">
      <c r="A27" s="32" t="s">
        <v>7</v>
      </c>
      <c r="B27" s="32" t="s">
        <v>21</v>
      </c>
      <c r="C27" s="32" t="s">
        <v>22</v>
      </c>
    </row>
    <row r="28">
      <c r="A28" s="33" t="s">
        <v>23</v>
      </c>
      <c r="B28" s="34">
        <v>50000.0</v>
      </c>
      <c r="C28" s="35" t="s">
        <v>11</v>
      </c>
    </row>
    <row r="29">
      <c r="A29" s="33" t="s">
        <v>24</v>
      </c>
      <c r="B29" s="34">
        <v>5000.0</v>
      </c>
      <c r="C29" s="35" t="s">
        <v>11</v>
      </c>
    </row>
    <row r="30">
      <c r="A30" s="33" t="s">
        <v>25</v>
      </c>
      <c r="B30" s="34">
        <v>20000.0</v>
      </c>
      <c r="C30" s="35" t="s">
        <v>11</v>
      </c>
    </row>
    <row r="31">
      <c r="A31" s="33" t="s">
        <v>26</v>
      </c>
      <c r="B31" s="34">
        <v>10000.0</v>
      </c>
      <c r="C31" s="35" t="s">
        <v>11</v>
      </c>
    </row>
    <row r="32">
      <c r="A32" s="33" t="s">
        <v>27</v>
      </c>
      <c r="B32" s="34">
        <v>5000.0</v>
      </c>
      <c r="C32" s="35" t="s">
        <v>11</v>
      </c>
    </row>
    <row r="33">
      <c r="A33" s="31" t="s">
        <v>28</v>
      </c>
      <c r="B33" s="36">
        <f>SUM(B28:B32)</f>
        <v>90000</v>
      </c>
      <c r="C33" s="31"/>
    </row>
  </sheetData>
  <mergeCells count="8">
    <mergeCell ref="A1:B9"/>
    <mergeCell ref="C1:I9"/>
    <mergeCell ref="A11:B12"/>
    <mergeCell ref="C11:C12"/>
    <mergeCell ref="F11:G12"/>
    <mergeCell ref="H11:I12"/>
    <mergeCell ref="A14:C14"/>
    <mergeCell ref="A26:C26"/>
  </mergeCells>
  <conditionalFormatting sqref="C13">
    <cfRule type="cellIs" dxfId="0" priority="1" operator="greaterThan">
      <formula>0</formula>
    </cfRule>
  </conditionalFormatting>
  <conditionalFormatting sqref="C13">
    <cfRule type="cellIs" dxfId="1" priority="2" operator="equal">
      <formula>0</formula>
    </cfRule>
  </conditionalFormatting>
  <conditionalFormatting sqref="C13">
    <cfRule type="cellIs" dxfId="2" priority="3" operator="lessThan">
      <formula>0</formula>
    </cfRule>
  </conditionalFormatting>
  <conditionalFormatting sqref="H11:I12">
    <cfRule type="cellIs" dxfId="3" priority="4" operator="greaterThan">
      <formula>0</formula>
    </cfRule>
  </conditionalFormatting>
  <conditionalFormatting sqref="H11:I12">
    <cfRule type="cellIs" dxfId="1" priority="5" operator="equal">
      <formula>0</formula>
    </cfRule>
  </conditionalFormatting>
  <conditionalFormatting sqref="H11:I12">
    <cfRule type="cellIs" dxfId="4" priority="6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14" width="11.38"/>
  </cols>
  <sheetData>
    <row r="1" ht="2.25" customHeight="1">
      <c r="A1" s="16"/>
      <c r="B1" s="17"/>
      <c r="C1" s="18" t="s">
        <v>29</v>
      </c>
      <c r="H1" s="19"/>
      <c r="I1" s="18"/>
      <c r="N1" s="19"/>
    </row>
    <row r="2" ht="8.25" customHeight="1">
      <c r="A2" s="20"/>
      <c r="H2" s="19"/>
      <c r="N2" s="19"/>
    </row>
    <row r="3" ht="8.25" customHeight="1">
      <c r="A3" s="20"/>
      <c r="H3" s="19"/>
      <c r="N3" s="19"/>
    </row>
    <row r="4" ht="8.25" customHeight="1">
      <c r="A4" s="20"/>
      <c r="H4" s="19"/>
      <c r="N4" s="19"/>
    </row>
    <row r="5" ht="8.25" customHeight="1">
      <c r="A5" s="20"/>
      <c r="H5" s="19"/>
      <c r="N5" s="19"/>
    </row>
    <row r="6" ht="8.25" customHeight="1">
      <c r="A6" s="20"/>
      <c r="H6" s="19"/>
      <c r="N6" s="19"/>
    </row>
    <row r="7" ht="8.25" customHeight="1">
      <c r="A7" s="21"/>
      <c r="B7" s="22"/>
      <c r="H7" s="19"/>
      <c r="N7" s="19"/>
    </row>
    <row r="8" ht="10.5" customHeight="1"/>
    <row r="9">
      <c r="A9" s="31" t="s">
        <v>30</v>
      </c>
    </row>
    <row r="10">
      <c r="A10" s="32"/>
      <c r="B10" s="32" t="s">
        <v>31</v>
      </c>
      <c r="C10" s="32" t="s">
        <v>32</v>
      </c>
      <c r="D10" s="32" t="s">
        <v>33</v>
      </c>
      <c r="E10" s="32" t="s">
        <v>34</v>
      </c>
      <c r="F10" s="32" t="s">
        <v>35</v>
      </c>
      <c r="G10" s="32" t="s">
        <v>36</v>
      </c>
      <c r="H10" s="32" t="s">
        <v>37</v>
      </c>
      <c r="I10" s="32" t="s">
        <v>38</v>
      </c>
      <c r="J10" s="32" t="s">
        <v>39</v>
      </c>
      <c r="K10" s="32" t="s">
        <v>40</v>
      </c>
      <c r="L10" s="32" t="s">
        <v>41</v>
      </c>
      <c r="M10" s="32" t="s">
        <v>42</v>
      </c>
      <c r="N10" s="32" t="s">
        <v>28</v>
      </c>
    </row>
    <row r="11">
      <c r="A11" s="33" t="s">
        <v>43</v>
      </c>
      <c r="B11" s="37">
        <v>10000.0</v>
      </c>
      <c r="C11" s="37">
        <v>8000.0</v>
      </c>
      <c r="D11" s="37">
        <v>6000.0</v>
      </c>
      <c r="E11" s="37">
        <v>6000.0</v>
      </c>
      <c r="F11" s="37">
        <v>7000.0</v>
      </c>
      <c r="G11" s="37">
        <v>6000.0</v>
      </c>
      <c r="H11" s="37">
        <v>4000.0</v>
      </c>
      <c r="I11" s="37">
        <v>4000.0</v>
      </c>
      <c r="J11" s="37">
        <v>7000.0</v>
      </c>
      <c r="K11" s="37">
        <v>7000.0</v>
      </c>
      <c r="L11" s="37">
        <v>5000.0</v>
      </c>
      <c r="M11" s="37">
        <v>8000.0</v>
      </c>
      <c r="N11" s="37">
        <f>SUM(B11:M11)</f>
        <v>78000</v>
      </c>
    </row>
    <row r="12">
      <c r="A12" s="33" t="s">
        <v>44</v>
      </c>
      <c r="B12" s="38">
        <v>600.0</v>
      </c>
      <c r="C12" s="38">
        <v>600.0</v>
      </c>
      <c r="D12" s="38">
        <v>500.0</v>
      </c>
      <c r="E12" s="38">
        <v>500.0</v>
      </c>
      <c r="F12" s="38">
        <v>500.0</v>
      </c>
      <c r="G12" s="38">
        <v>500.0</v>
      </c>
      <c r="H12" s="38">
        <v>500.0</v>
      </c>
      <c r="I12" s="38">
        <v>500.0</v>
      </c>
      <c r="J12" s="38">
        <v>400.0</v>
      </c>
      <c r="K12" s="38">
        <v>300.0</v>
      </c>
      <c r="L12" s="38">
        <v>300.0</v>
      </c>
      <c r="M12" s="38">
        <v>600.0</v>
      </c>
      <c r="N12" s="38">
        <f>(N13/N11)</f>
        <v>493.5897436</v>
      </c>
    </row>
    <row r="13">
      <c r="A13" s="33" t="s">
        <v>45</v>
      </c>
      <c r="B13" s="38">
        <f t="shared" ref="B13:M13" si="1">B12*B11</f>
        <v>6000000</v>
      </c>
      <c r="C13" s="38">
        <f t="shared" si="1"/>
        <v>4800000</v>
      </c>
      <c r="D13" s="38">
        <f t="shared" si="1"/>
        <v>3000000</v>
      </c>
      <c r="E13" s="38">
        <f t="shared" si="1"/>
        <v>3000000</v>
      </c>
      <c r="F13" s="38">
        <f t="shared" si="1"/>
        <v>3500000</v>
      </c>
      <c r="G13" s="38">
        <f t="shared" si="1"/>
        <v>3000000</v>
      </c>
      <c r="H13" s="38">
        <f t="shared" si="1"/>
        <v>2000000</v>
      </c>
      <c r="I13" s="38">
        <f t="shared" si="1"/>
        <v>2000000</v>
      </c>
      <c r="J13" s="38">
        <f t="shared" si="1"/>
        <v>2800000</v>
      </c>
      <c r="K13" s="38">
        <f t="shared" si="1"/>
        <v>2100000</v>
      </c>
      <c r="L13" s="38">
        <f t="shared" si="1"/>
        <v>1500000</v>
      </c>
      <c r="M13" s="38">
        <f t="shared" si="1"/>
        <v>4800000</v>
      </c>
      <c r="N13" s="38">
        <f>SUM(B13:M13)</f>
        <v>38500000</v>
      </c>
    </row>
    <row r="14" ht="7.5" customHeight="1"/>
    <row r="15">
      <c r="A15" s="31" t="s">
        <v>46</v>
      </c>
    </row>
    <row r="16">
      <c r="A16" s="32"/>
      <c r="B16" s="32" t="s">
        <v>31</v>
      </c>
      <c r="C16" s="32" t="s">
        <v>32</v>
      </c>
      <c r="D16" s="32" t="s">
        <v>33</v>
      </c>
      <c r="E16" s="32" t="s">
        <v>34</v>
      </c>
      <c r="F16" s="32" t="s">
        <v>35</v>
      </c>
      <c r="G16" s="32" t="s">
        <v>36</v>
      </c>
      <c r="H16" s="32" t="s">
        <v>37</v>
      </c>
      <c r="I16" s="32" t="s">
        <v>38</v>
      </c>
      <c r="J16" s="32" t="s">
        <v>39</v>
      </c>
      <c r="K16" s="32" t="s">
        <v>40</v>
      </c>
      <c r="L16" s="32" t="s">
        <v>41</v>
      </c>
      <c r="M16" s="32" t="s">
        <v>42</v>
      </c>
      <c r="N16" s="32" t="s">
        <v>28</v>
      </c>
    </row>
    <row r="17">
      <c r="A17" s="33" t="s">
        <v>43</v>
      </c>
      <c r="B17" s="37">
        <v>10497.0</v>
      </c>
      <c r="C17" s="37">
        <v>7994.0</v>
      </c>
      <c r="D17" s="37">
        <v>4900.0</v>
      </c>
      <c r="E17" s="37">
        <v>6108.0</v>
      </c>
      <c r="F17" s="37">
        <v>7309.0</v>
      </c>
      <c r="G17" s="37">
        <v>6767.0</v>
      </c>
      <c r="H17" s="37">
        <v>2801.0</v>
      </c>
      <c r="I17" s="37">
        <v>5187.0</v>
      </c>
      <c r="J17" s="37">
        <v>7800.0</v>
      </c>
      <c r="K17" s="37">
        <v>8100.0</v>
      </c>
      <c r="L17" s="37">
        <v>3799.0</v>
      </c>
      <c r="M17" s="37">
        <v>7601.0</v>
      </c>
      <c r="N17" s="37">
        <f>SUM(B17:M17)</f>
        <v>78863</v>
      </c>
    </row>
    <row r="18">
      <c r="A18" s="33" t="s">
        <v>44</v>
      </c>
      <c r="B18" s="38">
        <v>633.0</v>
      </c>
      <c r="C18" s="38">
        <v>601.0</v>
      </c>
      <c r="D18" s="38">
        <v>550.0</v>
      </c>
      <c r="E18" s="38">
        <v>540.0</v>
      </c>
      <c r="F18" s="38">
        <v>480.0</v>
      </c>
      <c r="G18" s="38">
        <v>452.0</v>
      </c>
      <c r="H18" s="38">
        <v>680.0</v>
      </c>
      <c r="I18" s="38">
        <v>450.0</v>
      </c>
      <c r="J18" s="38">
        <v>299.0</v>
      </c>
      <c r="K18" s="38">
        <v>314.0</v>
      </c>
      <c r="L18" s="38">
        <v>330.0</v>
      </c>
      <c r="M18" s="38">
        <v>550.0</v>
      </c>
      <c r="N18" s="38">
        <f>(N19/N17)</f>
        <v>488.9234368</v>
      </c>
    </row>
    <row r="19">
      <c r="A19" s="33" t="s">
        <v>45</v>
      </c>
      <c r="B19" s="38">
        <f t="shared" ref="B19:M19" si="2">B18*B17</f>
        <v>6644601</v>
      </c>
      <c r="C19" s="38">
        <f t="shared" si="2"/>
        <v>4804394</v>
      </c>
      <c r="D19" s="38">
        <f t="shared" si="2"/>
        <v>2695000</v>
      </c>
      <c r="E19" s="38">
        <f t="shared" si="2"/>
        <v>3298320</v>
      </c>
      <c r="F19" s="38">
        <f t="shared" si="2"/>
        <v>3508320</v>
      </c>
      <c r="G19" s="38">
        <f t="shared" si="2"/>
        <v>3058684</v>
      </c>
      <c r="H19" s="38">
        <f t="shared" si="2"/>
        <v>1904680</v>
      </c>
      <c r="I19" s="38">
        <f t="shared" si="2"/>
        <v>2334150</v>
      </c>
      <c r="J19" s="38">
        <f t="shared" si="2"/>
        <v>2332200</v>
      </c>
      <c r="K19" s="38">
        <f t="shared" si="2"/>
        <v>2543400</v>
      </c>
      <c r="L19" s="38">
        <f t="shared" si="2"/>
        <v>1253670</v>
      </c>
      <c r="M19" s="38">
        <f t="shared" si="2"/>
        <v>4180550</v>
      </c>
      <c r="N19" s="38">
        <f>SUM(B19:M19)</f>
        <v>38557969</v>
      </c>
    </row>
    <row r="20" ht="6.75" customHeight="1"/>
    <row r="21">
      <c r="A21" s="31" t="s">
        <v>47</v>
      </c>
    </row>
    <row r="22">
      <c r="A22" s="32"/>
      <c r="B22" s="32" t="s">
        <v>31</v>
      </c>
      <c r="C22" s="32" t="s">
        <v>32</v>
      </c>
      <c r="D22" s="32" t="s">
        <v>33</v>
      </c>
      <c r="E22" s="32" t="s">
        <v>34</v>
      </c>
      <c r="F22" s="32" t="s">
        <v>35</v>
      </c>
      <c r="G22" s="32" t="s">
        <v>36</v>
      </c>
      <c r="H22" s="32" t="s">
        <v>37</v>
      </c>
      <c r="I22" s="32" t="s">
        <v>38</v>
      </c>
      <c r="J22" s="32" t="s">
        <v>39</v>
      </c>
      <c r="K22" s="32" t="s">
        <v>40</v>
      </c>
      <c r="L22" s="32" t="s">
        <v>41</v>
      </c>
      <c r="M22" s="32" t="s">
        <v>42</v>
      </c>
      <c r="N22" s="32" t="s">
        <v>28</v>
      </c>
    </row>
    <row r="23">
      <c r="A23" s="33" t="s">
        <v>43</v>
      </c>
      <c r="B23" s="37">
        <f t="shared" ref="B23:N23" si="3">B17-B11</f>
        <v>497</v>
      </c>
      <c r="C23" s="37">
        <f t="shared" si="3"/>
        <v>-6</v>
      </c>
      <c r="D23" s="37">
        <f t="shared" si="3"/>
        <v>-1100</v>
      </c>
      <c r="E23" s="37">
        <f t="shared" si="3"/>
        <v>108</v>
      </c>
      <c r="F23" s="37">
        <f t="shared" si="3"/>
        <v>309</v>
      </c>
      <c r="G23" s="37">
        <f t="shared" si="3"/>
        <v>767</v>
      </c>
      <c r="H23" s="37">
        <f t="shared" si="3"/>
        <v>-1199</v>
      </c>
      <c r="I23" s="37">
        <f t="shared" si="3"/>
        <v>1187</v>
      </c>
      <c r="J23" s="37">
        <f t="shared" si="3"/>
        <v>800</v>
      </c>
      <c r="K23" s="37">
        <f t="shared" si="3"/>
        <v>1100</v>
      </c>
      <c r="L23" s="37">
        <f t="shared" si="3"/>
        <v>-1201</v>
      </c>
      <c r="M23" s="37">
        <f t="shared" si="3"/>
        <v>-399</v>
      </c>
      <c r="N23" s="37">
        <f t="shared" si="3"/>
        <v>863</v>
      </c>
    </row>
    <row r="24">
      <c r="A24" s="39" t="s">
        <v>48</v>
      </c>
      <c r="B24" s="40">
        <f t="shared" ref="B24:N24" si="4">(B17-B11)/B11</f>
        <v>0.0497</v>
      </c>
      <c r="C24" s="40">
        <f t="shared" si="4"/>
        <v>-0.00075</v>
      </c>
      <c r="D24" s="40">
        <f t="shared" si="4"/>
        <v>-0.1833333333</v>
      </c>
      <c r="E24" s="40">
        <f t="shared" si="4"/>
        <v>0.018</v>
      </c>
      <c r="F24" s="40">
        <f t="shared" si="4"/>
        <v>0.04414285714</v>
      </c>
      <c r="G24" s="40">
        <f t="shared" si="4"/>
        <v>0.1278333333</v>
      </c>
      <c r="H24" s="40">
        <f t="shared" si="4"/>
        <v>-0.29975</v>
      </c>
      <c r="I24" s="40">
        <f t="shared" si="4"/>
        <v>0.29675</v>
      </c>
      <c r="J24" s="40">
        <f t="shared" si="4"/>
        <v>0.1142857143</v>
      </c>
      <c r="K24" s="40">
        <f t="shared" si="4"/>
        <v>0.1571428571</v>
      </c>
      <c r="L24" s="40">
        <f t="shared" si="4"/>
        <v>-0.2402</v>
      </c>
      <c r="M24" s="40">
        <f t="shared" si="4"/>
        <v>-0.049875</v>
      </c>
      <c r="N24" s="40">
        <f t="shared" si="4"/>
        <v>0.01106410256</v>
      </c>
    </row>
    <row r="25">
      <c r="A25" s="33" t="s">
        <v>44</v>
      </c>
      <c r="B25" s="34">
        <f t="shared" ref="B25:N25" si="5">B18-B12</f>
        <v>33</v>
      </c>
      <c r="C25" s="34">
        <f t="shared" si="5"/>
        <v>1</v>
      </c>
      <c r="D25" s="34">
        <f t="shared" si="5"/>
        <v>50</v>
      </c>
      <c r="E25" s="34">
        <f t="shared" si="5"/>
        <v>40</v>
      </c>
      <c r="F25" s="34">
        <f t="shared" si="5"/>
        <v>-20</v>
      </c>
      <c r="G25" s="34">
        <f t="shared" si="5"/>
        <v>-48</v>
      </c>
      <c r="H25" s="34">
        <f t="shared" si="5"/>
        <v>180</v>
      </c>
      <c r="I25" s="34">
        <f t="shared" si="5"/>
        <v>-50</v>
      </c>
      <c r="J25" s="34">
        <f t="shared" si="5"/>
        <v>-101</v>
      </c>
      <c r="K25" s="34">
        <f t="shared" si="5"/>
        <v>14</v>
      </c>
      <c r="L25" s="34">
        <f t="shared" si="5"/>
        <v>30</v>
      </c>
      <c r="M25" s="34">
        <f t="shared" si="5"/>
        <v>-50</v>
      </c>
      <c r="N25" s="34">
        <f t="shared" si="5"/>
        <v>-4.666306744</v>
      </c>
    </row>
    <row r="26">
      <c r="A26" s="39" t="s">
        <v>48</v>
      </c>
      <c r="B26" s="40">
        <f t="shared" ref="B26:M26" si="6">(B18-B12)/B12</f>
        <v>0.055</v>
      </c>
      <c r="C26" s="40">
        <f t="shared" si="6"/>
        <v>0.001666666667</v>
      </c>
      <c r="D26" s="40">
        <f t="shared" si="6"/>
        <v>0.1</v>
      </c>
      <c r="E26" s="40">
        <f t="shared" si="6"/>
        <v>0.08</v>
      </c>
      <c r="F26" s="40">
        <f t="shared" si="6"/>
        <v>-0.04</v>
      </c>
      <c r="G26" s="40">
        <f t="shared" si="6"/>
        <v>-0.096</v>
      </c>
      <c r="H26" s="40">
        <f t="shared" si="6"/>
        <v>0.36</v>
      </c>
      <c r="I26" s="40">
        <f t="shared" si="6"/>
        <v>-0.1</v>
      </c>
      <c r="J26" s="40">
        <f t="shared" si="6"/>
        <v>-0.2525</v>
      </c>
      <c r="K26" s="40">
        <f t="shared" si="6"/>
        <v>0.04666666667</v>
      </c>
      <c r="L26" s="40">
        <f t="shared" si="6"/>
        <v>0.1</v>
      </c>
      <c r="M26" s="40">
        <f t="shared" si="6"/>
        <v>-0.08333333333</v>
      </c>
      <c r="N26" s="40">
        <f>(N19-N13)/N13</f>
        <v>0.001505688312</v>
      </c>
    </row>
    <row r="27">
      <c r="A27" s="33" t="s">
        <v>45</v>
      </c>
      <c r="B27" s="38">
        <f t="shared" ref="B27:N27" si="7">B19-B13</f>
        <v>644601</v>
      </c>
      <c r="C27" s="38">
        <f t="shared" si="7"/>
        <v>4394</v>
      </c>
      <c r="D27" s="38">
        <f t="shared" si="7"/>
        <v>-305000</v>
      </c>
      <c r="E27" s="38">
        <f t="shared" si="7"/>
        <v>298320</v>
      </c>
      <c r="F27" s="38">
        <f t="shared" si="7"/>
        <v>8320</v>
      </c>
      <c r="G27" s="38">
        <f t="shared" si="7"/>
        <v>58684</v>
      </c>
      <c r="H27" s="38">
        <f t="shared" si="7"/>
        <v>-95320</v>
      </c>
      <c r="I27" s="38">
        <f t="shared" si="7"/>
        <v>334150</v>
      </c>
      <c r="J27" s="38">
        <f t="shared" si="7"/>
        <v>-467800</v>
      </c>
      <c r="K27" s="38">
        <f t="shared" si="7"/>
        <v>443400</v>
      </c>
      <c r="L27" s="38">
        <f t="shared" si="7"/>
        <v>-246330</v>
      </c>
      <c r="M27" s="38">
        <f t="shared" si="7"/>
        <v>-619450</v>
      </c>
      <c r="N27" s="38">
        <f t="shared" si="7"/>
        <v>57969</v>
      </c>
    </row>
    <row r="28">
      <c r="A28" s="39" t="s">
        <v>48</v>
      </c>
      <c r="B28" s="40">
        <f t="shared" ref="B28:N28" si="8">(B19-B13)/B13</f>
        <v>0.1074335</v>
      </c>
      <c r="C28" s="40">
        <f t="shared" si="8"/>
        <v>0.0009154166667</v>
      </c>
      <c r="D28" s="40">
        <f t="shared" si="8"/>
        <v>-0.1016666667</v>
      </c>
      <c r="E28" s="40">
        <f t="shared" si="8"/>
        <v>0.09944</v>
      </c>
      <c r="F28" s="40">
        <f t="shared" si="8"/>
        <v>0.002377142857</v>
      </c>
      <c r="G28" s="40">
        <f t="shared" si="8"/>
        <v>0.01956133333</v>
      </c>
      <c r="H28" s="40">
        <f t="shared" si="8"/>
        <v>-0.04766</v>
      </c>
      <c r="I28" s="40">
        <f t="shared" si="8"/>
        <v>0.167075</v>
      </c>
      <c r="J28" s="40">
        <f t="shared" si="8"/>
        <v>-0.1670714286</v>
      </c>
      <c r="K28" s="40">
        <f t="shared" si="8"/>
        <v>0.2111428571</v>
      </c>
      <c r="L28" s="40">
        <f t="shared" si="8"/>
        <v>-0.16422</v>
      </c>
      <c r="M28" s="40">
        <f t="shared" si="8"/>
        <v>-0.1290520833</v>
      </c>
      <c r="N28" s="40">
        <f t="shared" si="8"/>
        <v>0.001505688312</v>
      </c>
    </row>
  </sheetData>
  <mergeCells count="3">
    <mergeCell ref="A1:B7"/>
    <mergeCell ref="C1:H7"/>
    <mergeCell ref="I1:N7"/>
  </mergeCells>
  <conditionalFormatting sqref="C8">
    <cfRule type="cellIs" dxfId="0" priority="1" operator="greaterThan">
      <formula>0</formula>
    </cfRule>
  </conditionalFormatting>
  <conditionalFormatting sqref="C8">
    <cfRule type="cellIs" dxfId="1" priority="2" operator="equal">
      <formula>0</formula>
    </cfRule>
  </conditionalFormatting>
  <conditionalFormatting sqref="C8">
    <cfRule type="cellIs" dxfId="2" priority="3" operator="lessThan">
      <formula>0</formula>
    </cfRule>
  </conditionalFormatting>
  <conditionalFormatting sqref="B24:N24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26:N26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28:N28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2.75"/>
    <col customWidth="1" min="4" max="4" width="12.75"/>
  </cols>
  <sheetData>
    <row r="1" ht="2.25" customHeight="1">
      <c r="A1" s="16"/>
      <c r="B1" s="17"/>
      <c r="C1" s="18" t="s">
        <v>49</v>
      </c>
      <c r="E1" s="19"/>
    </row>
    <row r="2" ht="8.25" customHeight="1">
      <c r="A2" s="20"/>
      <c r="E2" s="19"/>
    </row>
    <row r="3" ht="8.25" customHeight="1">
      <c r="A3" s="20"/>
      <c r="E3" s="19"/>
    </row>
    <row r="4" ht="8.25" customHeight="1">
      <c r="A4" s="20"/>
      <c r="E4" s="19"/>
    </row>
    <row r="5" ht="8.25" customHeight="1">
      <c r="A5" s="20"/>
      <c r="E5" s="19"/>
    </row>
    <row r="6" ht="8.25" customHeight="1">
      <c r="A6" s="20"/>
      <c r="E6" s="19"/>
    </row>
    <row r="7" ht="8.25" customHeight="1">
      <c r="A7" s="20"/>
      <c r="E7" s="19"/>
    </row>
    <row r="8" ht="8.25" customHeight="1">
      <c r="A8" s="20"/>
      <c r="E8" s="19"/>
    </row>
    <row r="9" ht="8.25" customHeight="1">
      <c r="A9" s="21"/>
      <c r="B9" s="22"/>
      <c r="E9" s="19"/>
    </row>
    <row r="10">
      <c r="A10" s="23"/>
      <c r="B10" s="24"/>
      <c r="C10" s="24"/>
    </row>
    <row r="11">
      <c r="A11" s="25" t="s">
        <v>50</v>
      </c>
      <c r="C11" s="41">
        <v>2024.0</v>
      </c>
    </row>
    <row r="14">
      <c r="A14" s="31" t="s">
        <v>51</v>
      </c>
    </row>
    <row r="15">
      <c r="A15" s="32" t="s">
        <v>52</v>
      </c>
      <c r="B15" s="32" t="s">
        <v>8</v>
      </c>
      <c r="C15" s="32" t="s">
        <v>53</v>
      </c>
    </row>
    <row r="16">
      <c r="A16" s="33" t="s">
        <v>51</v>
      </c>
      <c r="B16" s="34">
        <v>500000.0</v>
      </c>
      <c r="C16" s="35"/>
    </row>
    <row r="17">
      <c r="A17" s="33" t="s">
        <v>54</v>
      </c>
      <c r="B17" s="34">
        <v>300000.0</v>
      </c>
      <c r="C17" s="35"/>
    </row>
    <row r="18">
      <c r="A18" s="31" t="s">
        <v>55</v>
      </c>
      <c r="B18" s="36">
        <f>B16-B17</f>
        <v>200000</v>
      </c>
      <c r="C18" s="31"/>
    </row>
    <row r="20">
      <c r="A20" s="31" t="s">
        <v>56</v>
      </c>
    </row>
    <row r="21">
      <c r="A21" s="32" t="s">
        <v>52</v>
      </c>
      <c r="B21" s="32" t="s">
        <v>8</v>
      </c>
      <c r="C21" s="32" t="s">
        <v>53</v>
      </c>
    </row>
    <row r="22">
      <c r="A22" s="33" t="s">
        <v>57</v>
      </c>
      <c r="B22" s="34">
        <v>5000.0</v>
      </c>
      <c r="C22" s="35"/>
    </row>
    <row r="23">
      <c r="A23" s="33" t="s">
        <v>57</v>
      </c>
      <c r="B23" s="34">
        <v>5000.0</v>
      </c>
      <c r="C23" s="35"/>
    </row>
    <row r="24">
      <c r="A24" s="33" t="s">
        <v>57</v>
      </c>
      <c r="B24" s="34">
        <v>5000.0</v>
      </c>
      <c r="C24" s="35"/>
    </row>
    <row r="25">
      <c r="A25" s="33" t="s">
        <v>57</v>
      </c>
      <c r="B25" s="34">
        <v>5000.0</v>
      </c>
      <c r="C25" s="35"/>
    </row>
    <row r="26">
      <c r="A26" s="33" t="s">
        <v>57</v>
      </c>
      <c r="B26" s="34">
        <v>5000.0</v>
      </c>
      <c r="C26" s="35"/>
    </row>
    <row r="27">
      <c r="A27" s="33" t="s">
        <v>57</v>
      </c>
      <c r="B27" s="34">
        <v>5000.0</v>
      </c>
      <c r="C27" s="35"/>
    </row>
    <row r="28">
      <c r="A28" s="33" t="s">
        <v>57</v>
      </c>
      <c r="B28" s="34">
        <v>5000.0</v>
      </c>
      <c r="C28" s="35"/>
    </row>
    <row r="29">
      <c r="A29" s="33" t="s">
        <v>57</v>
      </c>
      <c r="B29" s="34">
        <v>5000.0</v>
      </c>
      <c r="C29" s="35"/>
    </row>
    <row r="30">
      <c r="A30" s="31" t="s">
        <v>58</v>
      </c>
      <c r="B30" s="36">
        <f>SUM(B22:B29)</f>
        <v>40000</v>
      </c>
      <c r="C30" s="31"/>
    </row>
    <row r="32">
      <c r="A32" s="31" t="s">
        <v>59</v>
      </c>
      <c r="B32" s="36">
        <f>B18-B30</f>
        <v>160000</v>
      </c>
      <c r="C32" s="31"/>
    </row>
    <row r="33">
      <c r="A33" s="33" t="s">
        <v>60</v>
      </c>
      <c r="B33" s="34">
        <v>50000.0</v>
      </c>
      <c r="C33" s="35"/>
    </row>
    <row r="35">
      <c r="A35" s="31" t="s">
        <v>61</v>
      </c>
      <c r="B35" s="36">
        <f>B32-B33</f>
        <v>110000</v>
      </c>
      <c r="C35" s="31"/>
    </row>
  </sheetData>
  <mergeCells count="6">
    <mergeCell ref="A1:B9"/>
    <mergeCell ref="C1:E9"/>
    <mergeCell ref="A11:B12"/>
    <mergeCell ref="C11:C12"/>
    <mergeCell ref="A14:C14"/>
    <mergeCell ref="A20:C20"/>
  </mergeCells>
  <conditionalFormatting sqref="C13">
    <cfRule type="cellIs" dxfId="0" priority="1" operator="greaterThan">
      <formula>0</formula>
    </cfRule>
  </conditionalFormatting>
  <conditionalFormatting sqref="C13">
    <cfRule type="cellIs" dxfId="1" priority="2" operator="equal">
      <formula>0</formula>
    </cfRule>
  </conditionalFormatting>
  <conditionalFormatting sqref="C13">
    <cfRule type="cellIs" dxfId="2" priority="3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22.75"/>
    <col customWidth="1" min="4" max="4" width="12.75"/>
  </cols>
  <sheetData>
    <row r="1" ht="2.25" customHeight="1">
      <c r="A1" s="16"/>
      <c r="B1" s="17"/>
      <c r="C1" s="18" t="s">
        <v>62</v>
      </c>
      <c r="E1" s="19"/>
    </row>
    <row r="2" ht="8.25" customHeight="1">
      <c r="A2" s="20"/>
      <c r="E2" s="19"/>
    </row>
    <row r="3" ht="8.25" customHeight="1">
      <c r="A3" s="20"/>
      <c r="E3" s="19"/>
    </row>
    <row r="4" ht="8.25" customHeight="1">
      <c r="A4" s="20"/>
      <c r="E4" s="19"/>
    </row>
    <row r="5" ht="8.25" customHeight="1">
      <c r="A5" s="20"/>
      <c r="E5" s="19"/>
    </row>
    <row r="6" ht="8.25" customHeight="1">
      <c r="A6" s="20"/>
      <c r="E6" s="19"/>
    </row>
    <row r="7" ht="8.25" customHeight="1">
      <c r="A7" s="20"/>
      <c r="E7" s="19"/>
    </row>
    <row r="8" ht="8.25" customHeight="1">
      <c r="A8" s="20"/>
      <c r="E8" s="19"/>
    </row>
    <row r="9" ht="8.25" customHeight="1">
      <c r="A9" s="21"/>
      <c r="B9" s="22"/>
      <c r="E9" s="19"/>
    </row>
    <row r="10">
      <c r="A10" s="23"/>
      <c r="B10" s="24"/>
      <c r="C10" s="24"/>
    </row>
    <row r="11">
      <c r="A11" s="25" t="s">
        <v>63</v>
      </c>
      <c r="C11" s="26">
        <v>45657.0</v>
      </c>
    </row>
    <row r="14">
      <c r="A14" s="31" t="s">
        <v>64</v>
      </c>
      <c r="C14" s="42">
        <v>1000000.0</v>
      </c>
    </row>
    <row r="16">
      <c r="A16" s="43" t="s">
        <v>65</v>
      </c>
    </row>
    <row r="18">
      <c r="A18" s="32" t="s">
        <v>52</v>
      </c>
      <c r="C18" s="32" t="s">
        <v>8</v>
      </c>
    </row>
    <row r="19">
      <c r="A19" s="44" t="s">
        <v>66</v>
      </c>
      <c r="C19" s="45" t="s">
        <v>67</v>
      </c>
    </row>
    <row r="20">
      <c r="A20" s="33" t="s">
        <v>51</v>
      </c>
      <c r="C20" s="46">
        <v>500000.0</v>
      </c>
    </row>
    <row r="21">
      <c r="A21" s="33" t="s">
        <v>68</v>
      </c>
      <c r="C21" s="46">
        <v>500000.0</v>
      </c>
    </row>
    <row r="22">
      <c r="A22" s="33" t="s">
        <v>69</v>
      </c>
      <c r="C22" s="46">
        <v>500000.0</v>
      </c>
    </row>
    <row r="23">
      <c r="A23" s="33" t="s">
        <v>69</v>
      </c>
      <c r="C23" s="46">
        <v>500000.0</v>
      </c>
    </row>
    <row r="24">
      <c r="A24" s="47" t="s">
        <v>70</v>
      </c>
      <c r="C24" s="48">
        <f>sum(C20:C23)</f>
        <v>2000000</v>
      </c>
    </row>
    <row r="25">
      <c r="A25" s="49" t="s">
        <v>71</v>
      </c>
      <c r="C25" s="50" t="s">
        <v>72</v>
      </c>
    </row>
    <row r="26">
      <c r="A26" s="33" t="s">
        <v>73</v>
      </c>
      <c r="C26" s="46">
        <v>-300000.0</v>
      </c>
    </row>
    <row r="27">
      <c r="A27" s="33" t="s">
        <v>74</v>
      </c>
      <c r="C27" s="46">
        <v>-100000.0</v>
      </c>
    </row>
    <row r="28">
      <c r="A28" s="33" t="s">
        <v>75</v>
      </c>
      <c r="C28" s="46">
        <v>-500000.0</v>
      </c>
    </row>
    <row r="29">
      <c r="A29" s="33" t="s">
        <v>76</v>
      </c>
      <c r="C29" s="46">
        <v>-300000.0</v>
      </c>
    </row>
    <row r="30">
      <c r="A30" s="33" t="s">
        <v>69</v>
      </c>
      <c r="C30" s="46">
        <v>-100000.0</v>
      </c>
    </row>
    <row r="31">
      <c r="A31" s="51" t="s">
        <v>77</v>
      </c>
      <c r="C31" s="52">
        <f>sum(C26:C30)</f>
        <v>-1300000</v>
      </c>
    </row>
    <row r="32">
      <c r="A32" s="32" t="s">
        <v>78</v>
      </c>
      <c r="C32" s="53">
        <f>C24+C31</f>
        <v>700000</v>
      </c>
    </row>
    <row r="35">
      <c r="A35" s="43" t="s">
        <v>79</v>
      </c>
    </row>
    <row r="37">
      <c r="A37" s="32" t="s">
        <v>52</v>
      </c>
      <c r="C37" s="32" t="s">
        <v>8</v>
      </c>
    </row>
    <row r="38">
      <c r="A38" s="44" t="s">
        <v>66</v>
      </c>
      <c r="C38" s="45" t="s">
        <v>67</v>
      </c>
    </row>
    <row r="39">
      <c r="A39" s="33" t="s">
        <v>80</v>
      </c>
      <c r="C39" s="46">
        <v>100000.0</v>
      </c>
    </row>
    <row r="40">
      <c r="A40" s="33" t="s">
        <v>81</v>
      </c>
      <c r="C40" s="46">
        <v>20000.0</v>
      </c>
    </row>
    <row r="41">
      <c r="A41" s="33" t="s">
        <v>82</v>
      </c>
      <c r="C41" s="46">
        <v>30000.0</v>
      </c>
    </row>
    <row r="42">
      <c r="A42" s="33" t="s">
        <v>83</v>
      </c>
      <c r="C42" s="46">
        <v>50000.0</v>
      </c>
    </row>
    <row r="43">
      <c r="A43" s="47" t="s">
        <v>70</v>
      </c>
      <c r="C43" s="48">
        <f>sum(C39:C42)</f>
        <v>200000</v>
      </c>
    </row>
    <row r="44">
      <c r="A44" s="49" t="s">
        <v>71</v>
      </c>
      <c r="C44" s="50" t="s">
        <v>72</v>
      </c>
    </row>
    <row r="45">
      <c r="A45" s="33" t="s">
        <v>84</v>
      </c>
      <c r="C45" s="46">
        <v>-500000.0</v>
      </c>
    </row>
    <row r="46">
      <c r="A46" s="33" t="s">
        <v>85</v>
      </c>
      <c r="C46" s="46">
        <v>-20000.0</v>
      </c>
    </row>
    <row r="47">
      <c r="A47" s="33" t="s">
        <v>86</v>
      </c>
      <c r="C47" s="46">
        <v>-60000.0</v>
      </c>
    </row>
    <row r="48">
      <c r="A48" s="33" t="s">
        <v>87</v>
      </c>
      <c r="C48" s="46">
        <v>-20000.0</v>
      </c>
    </row>
    <row r="49">
      <c r="A49" s="51" t="s">
        <v>77</v>
      </c>
      <c r="C49" s="52">
        <f>sum(C45:C48)</f>
        <v>-600000</v>
      </c>
    </row>
    <row r="50">
      <c r="A50" s="32" t="s">
        <v>78</v>
      </c>
      <c r="C50" s="53">
        <f>C43+C49</f>
        <v>-400000</v>
      </c>
    </row>
    <row r="53">
      <c r="A53" s="43" t="s">
        <v>88</v>
      </c>
    </row>
    <row r="55">
      <c r="A55" s="32" t="s">
        <v>52</v>
      </c>
      <c r="C55" s="32" t="s">
        <v>8</v>
      </c>
    </row>
    <row r="56">
      <c r="A56" s="44" t="s">
        <v>66</v>
      </c>
      <c r="C56" s="45" t="s">
        <v>67</v>
      </c>
    </row>
    <row r="57">
      <c r="A57" s="33" t="s">
        <v>89</v>
      </c>
      <c r="C57" s="46">
        <v>10000.0</v>
      </c>
    </row>
    <row r="58">
      <c r="A58" s="33" t="s">
        <v>82</v>
      </c>
      <c r="C58" s="46">
        <v>50000.0</v>
      </c>
    </row>
    <row r="59">
      <c r="A59" s="33" t="s">
        <v>90</v>
      </c>
      <c r="C59" s="46">
        <v>10000.0</v>
      </c>
    </row>
    <row r="60">
      <c r="A60" s="33" t="s">
        <v>90</v>
      </c>
      <c r="C60" s="46">
        <v>30000.0</v>
      </c>
    </row>
    <row r="61">
      <c r="A61" s="47" t="s">
        <v>70</v>
      </c>
      <c r="C61" s="48">
        <f>sum(C57:C60)</f>
        <v>100000</v>
      </c>
    </row>
    <row r="62">
      <c r="A62" s="49" t="s">
        <v>71</v>
      </c>
      <c r="C62" s="50" t="s">
        <v>72</v>
      </c>
    </row>
    <row r="63">
      <c r="A63" s="33" t="s">
        <v>91</v>
      </c>
      <c r="C63" s="46">
        <v>-500000.0</v>
      </c>
    </row>
    <row r="64">
      <c r="A64" s="33" t="s">
        <v>92</v>
      </c>
      <c r="C64" s="46">
        <v>-10000.0</v>
      </c>
    </row>
    <row r="65">
      <c r="A65" s="33" t="s">
        <v>93</v>
      </c>
      <c r="C65" s="46">
        <v>-50000.0</v>
      </c>
    </row>
    <row r="66">
      <c r="A66" s="33" t="s">
        <v>94</v>
      </c>
      <c r="C66" s="46">
        <v>-40000.0</v>
      </c>
    </row>
    <row r="67">
      <c r="A67" s="51" t="s">
        <v>77</v>
      </c>
      <c r="C67" s="52">
        <f>sum(C63:C66)</f>
        <v>-600000</v>
      </c>
    </row>
    <row r="68">
      <c r="A68" s="32" t="s">
        <v>95</v>
      </c>
      <c r="C68" s="53">
        <f>C61+C67</f>
        <v>-500000</v>
      </c>
    </row>
    <row r="70">
      <c r="A70" s="33" t="s">
        <v>96</v>
      </c>
      <c r="C70" s="46">
        <f>C14+(C68+C50+C32)</f>
        <v>800000</v>
      </c>
    </row>
    <row r="72">
      <c r="A72" s="32" t="s">
        <v>97</v>
      </c>
      <c r="C72" s="53">
        <f>(C68+C50+C32)</f>
        <v>-200000</v>
      </c>
    </row>
  </sheetData>
  <mergeCells count="55">
    <mergeCell ref="A1:B9"/>
    <mergeCell ref="C1:E9"/>
    <mergeCell ref="A11:B12"/>
    <mergeCell ref="C11:C12"/>
    <mergeCell ref="A14:B14"/>
    <mergeCell ref="A15:B15"/>
    <mergeCell ref="A16:C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4:B34"/>
    <mergeCell ref="A35:C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3:C54"/>
    <mergeCell ref="A55:B55"/>
    <mergeCell ref="A56:B56"/>
    <mergeCell ref="A57:B57"/>
    <mergeCell ref="A65:B65"/>
    <mergeCell ref="A66:B66"/>
    <mergeCell ref="A67:B67"/>
    <mergeCell ref="A68:B68"/>
    <mergeCell ref="A70:B70"/>
    <mergeCell ref="A72:B72"/>
    <mergeCell ref="A58:B58"/>
    <mergeCell ref="A59:B59"/>
    <mergeCell ref="A60:B60"/>
    <mergeCell ref="A61:B61"/>
    <mergeCell ref="A62:B62"/>
    <mergeCell ref="A63:B63"/>
    <mergeCell ref="A64:B64"/>
  </mergeCells>
  <conditionalFormatting sqref="C13">
    <cfRule type="cellIs" dxfId="0" priority="1" operator="greaterThan">
      <formula>0</formula>
    </cfRule>
  </conditionalFormatting>
  <conditionalFormatting sqref="C13">
    <cfRule type="cellIs" dxfId="1" priority="2" operator="equal">
      <formula>0</formula>
    </cfRule>
  </conditionalFormatting>
  <conditionalFormatting sqref="C13">
    <cfRule type="cellIs" dxfId="2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7.25"/>
    <col customWidth="1" min="4" max="4" width="24.0"/>
  </cols>
  <sheetData>
    <row r="1" ht="2.25" customHeight="1">
      <c r="A1" s="16"/>
      <c r="B1" s="17"/>
      <c r="C1" s="18" t="s">
        <v>98</v>
      </c>
      <c r="F1" s="19"/>
    </row>
    <row r="2" ht="8.25" customHeight="1">
      <c r="A2" s="20"/>
      <c r="F2" s="19"/>
    </row>
    <row r="3" ht="8.25" customHeight="1">
      <c r="A3" s="20"/>
      <c r="F3" s="19"/>
    </row>
    <row r="4" ht="8.25" customHeight="1">
      <c r="A4" s="20"/>
      <c r="F4" s="19"/>
    </row>
    <row r="5" ht="8.25" customHeight="1">
      <c r="A5" s="20"/>
      <c r="F5" s="19"/>
    </row>
    <row r="6" ht="8.25" customHeight="1">
      <c r="A6" s="20"/>
      <c r="F6" s="19"/>
    </row>
    <row r="7" ht="8.25" customHeight="1">
      <c r="A7" s="20"/>
      <c r="F7" s="19"/>
    </row>
    <row r="8" ht="8.25" customHeight="1">
      <c r="A8" s="20"/>
      <c r="F8" s="19"/>
    </row>
    <row r="9" ht="8.25" customHeight="1">
      <c r="A9" s="21"/>
      <c r="B9" s="22"/>
      <c r="F9" s="19"/>
    </row>
    <row r="10">
      <c r="A10" s="23"/>
      <c r="B10" s="24"/>
      <c r="C10" s="24"/>
    </row>
    <row r="11">
      <c r="A11" s="54" t="s">
        <v>99</v>
      </c>
    </row>
    <row r="14">
      <c r="A14" s="25" t="s">
        <v>100</v>
      </c>
      <c r="D14" s="25" t="s">
        <v>101</v>
      </c>
    </row>
    <row r="17">
      <c r="A17" s="31" t="s">
        <v>102</v>
      </c>
      <c r="B17" s="31"/>
      <c r="D17" s="31" t="s">
        <v>103</v>
      </c>
      <c r="E17" s="31"/>
    </row>
    <row r="18">
      <c r="A18" s="32" t="s">
        <v>52</v>
      </c>
      <c r="B18" s="32" t="s">
        <v>8</v>
      </c>
      <c r="D18" s="32" t="s">
        <v>52</v>
      </c>
      <c r="E18" s="32" t="s">
        <v>8</v>
      </c>
    </row>
    <row r="19">
      <c r="A19" s="33" t="s">
        <v>104</v>
      </c>
      <c r="B19" s="46">
        <v>5000.0</v>
      </c>
      <c r="D19" s="33" t="s">
        <v>105</v>
      </c>
      <c r="E19" s="46">
        <v>5000.0</v>
      </c>
    </row>
    <row r="20">
      <c r="A20" s="33" t="s">
        <v>106</v>
      </c>
      <c r="B20" s="46">
        <v>5000.0</v>
      </c>
      <c r="D20" s="33" t="s">
        <v>107</v>
      </c>
      <c r="E20" s="46">
        <v>5000.0</v>
      </c>
    </row>
    <row r="21">
      <c r="A21" s="33" t="s">
        <v>73</v>
      </c>
      <c r="B21" s="46">
        <v>5000.0</v>
      </c>
      <c r="D21" s="33" t="s">
        <v>108</v>
      </c>
      <c r="E21" s="46">
        <v>5000.0</v>
      </c>
    </row>
    <row r="22">
      <c r="A22" s="33" t="s">
        <v>109</v>
      </c>
      <c r="B22" s="46">
        <v>5000.0</v>
      </c>
      <c r="D22" s="33" t="s">
        <v>110</v>
      </c>
      <c r="E22" s="46">
        <v>5000.0</v>
      </c>
    </row>
    <row r="23">
      <c r="A23" s="33" t="s">
        <v>111</v>
      </c>
      <c r="B23" s="46">
        <v>5000.0</v>
      </c>
      <c r="D23" s="33" t="s">
        <v>112</v>
      </c>
      <c r="E23" s="46">
        <v>5000.0</v>
      </c>
    </row>
    <row r="24">
      <c r="A24" s="33" t="s">
        <v>113</v>
      </c>
      <c r="B24" s="46">
        <v>5000.0</v>
      </c>
      <c r="D24" s="33" t="s">
        <v>114</v>
      </c>
      <c r="E24" s="46">
        <v>5000.0</v>
      </c>
    </row>
    <row r="25">
      <c r="A25" s="31" t="s">
        <v>115</v>
      </c>
      <c r="B25" s="55">
        <f>SUM(B19:B24)</f>
        <v>30000</v>
      </c>
      <c r="D25" s="31" t="s">
        <v>115</v>
      </c>
      <c r="E25" s="55">
        <f>SUM(E19:E24)</f>
        <v>30000</v>
      </c>
    </row>
    <row r="26">
      <c r="B26" s="56"/>
    </row>
    <row r="27">
      <c r="A27" s="31" t="s">
        <v>116</v>
      </c>
      <c r="B27" s="42"/>
      <c r="D27" s="31" t="s">
        <v>117</v>
      </c>
      <c r="E27" s="31"/>
    </row>
    <row r="28">
      <c r="A28" s="32" t="s">
        <v>52</v>
      </c>
      <c r="B28" s="57" t="s">
        <v>8</v>
      </c>
      <c r="D28" s="32" t="s">
        <v>52</v>
      </c>
      <c r="E28" s="32" t="s">
        <v>8</v>
      </c>
    </row>
    <row r="29">
      <c r="A29" s="33" t="s">
        <v>118</v>
      </c>
      <c r="B29" s="46">
        <v>5000.0</v>
      </c>
      <c r="D29" s="33" t="s">
        <v>119</v>
      </c>
      <c r="E29" s="46">
        <v>5000.0</v>
      </c>
    </row>
    <row r="30">
      <c r="A30" s="33" t="s">
        <v>120</v>
      </c>
      <c r="B30" s="46">
        <v>5000.0</v>
      </c>
      <c r="D30" s="33" t="s">
        <v>111</v>
      </c>
      <c r="E30" s="46">
        <v>5000.0</v>
      </c>
    </row>
    <row r="31">
      <c r="A31" s="33" t="s">
        <v>121</v>
      </c>
      <c r="B31" s="46">
        <v>5000.0</v>
      </c>
      <c r="D31" s="33" t="s">
        <v>113</v>
      </c>
      <c r="E31" s="46">
        <v>5000.0</v>
      </c>
    </row>
    <row r="32">
      <c r="A32" s="33" t="s">
        <v>122</v>
      </c>
      <c r="B32" s="46">
        <v>-5000.0</v>
      </c>
      <c r="D32" s="31" t="s">
        <v>115</v>
      </c>
      <c r="E32" s="55">
        <f>SUM(E29:E31)</f>
        <v>15000</v>
      </c>
    </row>
    <row r="33">
      <c r="A33" s="31" t="s">
        <v>123</v>
      </c>
      <c r="B33" s="55">
        <f>SUM(B29:B32)</f>
        <v>10000</v>
      </c>
    </row>
    <row r="34">
      <c r="D34" s="32" t="s">
        <v>124</v>
      </c>
      <c r="E34" s="58">
        <f>E32+E25</f>
        <v>45000</v>
      </c>
    </row>
    <row r="35">
      <c r="A35" s="31" t="s">
        <v>125</v>
      </c>
      <c r="B35" s="42"/>
    </row>
    <row r="36">
      <c r="A36" s="32" t="s">
        <v>52</v>
      </c>
      <c r="B36" s="57" t="s">
        <v>8</v>
      </c>
      <c r="D36" s="31" t="s">
        <v>126</v>
      </c>
      <c r="E36" s="42"/>
    </row>
    <row r="37">
      <c r="A37" s="33" t="s">
        <v>127</v>
      </c>
      <c r="B37" s="46">
        <v>5000.0</v>
      </c>
      <c r="D37" s="32" t="s">
        <v>52</v>
      </c>
      <c r="E37" s="57" t="s">
        <v>8</v>
      </c>
    </row>
    <row r="38">
      <c r="A38" s="33" t="s">
        <v>111</v>
      </c>
      <c r="B38" s="46">
        <v>5000.0</v>
      </c>
      <c r="D38" s="33" t="s">
        <v>128</v>
      </c>
      <c r="E38" s="46">
        <v>5000.0</v>
      </c>
    </row>
    <row r="39">
      <c r="A39" s="33" t="s">
        <v>113</v>
      </c>
      <c r="B39" s="46">
        <v>5000.0</v>
      </c>
      <c r="D39" s="33" t="s">
        <v>129</v>
      </c>
      <c r="E39" s="46">
        <v>5000.0</v>
      </c>
    </row>
    <row r="40">
      <c r="A40" s="33" t="s">
        <v>130</v>
      </c>
      <c r="B40" s="46">
        <v>5000.0</v>
      </c>
      <c r="D40" s="33" t="s">
        <v>131</v>
      </c>
      <c r="E40" s="46">
        <v>5000.0</v>
      </c>
    </row>
    <row r="41">
      <c r="A41" s="31" t="s">
        <v>132</v>
      </c>
      <c r="B41" s="55">
        <f>SUM(B37:B40)</f>
        <v>20000</v>
      </c>
      <c r="D41" s="31" t="s">
        <v>133</v>
      </c>
      <c r="E41" s="55">
        <f>sum(E38:E40)</f>
        <v>15000</v>
      </c>
    </row>
    <row r="43">
      <c r="A43" s="32" t="s">
        <v>19</v>
      </c>
      <c r="B43" s="58">
        <f>B41+B33+B25</f>
        <v>60000</v>
      </c>
      <c r="D43" s="32" t="s">
        <v>134</v>
      </c>
      <c r="E43" s="58">
        <f>E41+E34</f>
        <v>60000</v>
      </c>
    </row>
  </sheetData>
  <mergeCells count="5">
    <mergeCell ref="A1:B9"/>
    <mergeCell ref="C1:F9"/>
    <mergeCell ref="A11:B12"/>
    <mergeCell ref="A14:B15"/>
    <mergeCell ref="D14:E15"/>
  </mergeCells>
  <drawing r:id="rId1"/>
</worksheet>
</file>