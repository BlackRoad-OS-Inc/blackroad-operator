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5"/>
    <sheet state="visible" name="Business Owner Template EXAMPLE" sheetId="2" r:id="rId6"/>
    <sheet state="visible" name="Business Owner Template" sheetId="3" r:id="rId7"/>
    <sheet state="visible" name="Affiliate Template EXAMPLE" sheetId="4" r:id="rId8"/>
    <sheet state="visible" name="Affiliate Template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">
      <text>
        <t xml:space="preserve">This cell should be used for any other goal your business is working with this influencer to increase, such as newsletter signups or event registrations. 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">
      <text>
        <t xml:space="preserve">This cell should be used for any other goal your business is working with this influencer to increase, such as newsletter signups or event registrations. 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">
      <text>
        <t xml:space="preserve">This cell should be used for any other goal you're working with this business to increase, such as newsletter signups or event registrations. 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">
      <text>
        <t xml:space="preserve">This cell should be used for any other goal you're working with this business to increase, such as newsletter signups or event registrations. </t>
      </text>
    </comment>
  </commentList>
</comments>
</file>

<file path=xl/sharedStrings.xml><?xml version="1.0" encoding="utf-8"?>
<sst xmlns="http://schemas.openxmlformats.org/spreadsheetml/2006/main" count="84" uniqueCount="34">
  <si>
    <t>How to Use This Template:</t>
  </si>
  <si>
    <r>
      <rPr>
        <rFont val="Lexend Deca"/>
        <color rgb="FF30465D"/>
        <sz val="12.0"/>
      </rPr>
      <t xml:space="preserve">Thank you for downloading HubSpot's Affiliate Tracking Template! Use this spreadsheet to track the success of your affiliate marketing programs.
For </t>
    </r>
    <r>
      <rPr>
        <rFont val="Lexend Deca"/>
        <b/>
        <color rgb="FF30465D"/>
        <sz val="12.0"/>
      </rPr>
      <t>businesses</t>
    </r>
    <r>
      <rPr>
        <rFont val="Lexend Deca"/>
        <color rgb="FF30465D"/>
        <sz val="12.0"/>
      </rPr>
      <t xml:space="preserve">, use the </t>
    </r>
    <r>
      <rPr>
        <rFont val="Lexend Deca"/>
        <b/>
        <color rgb="FF30465D"/>
        <sz val="12.0"/>
      </rPr>
      <t>Business Owner Template</t>
    </r>
    <r>
      <rPr>
        <rFont val="Lexend Deca"/>
        <color rgb="FF30465D"/>
        <sz val="12.0"/>
      </rPr>
      <t xml:space="preserve"> to track the ROI of your investments in influencer marketing, as well as the sales, impressions, or any other bonus goals (newsletter signups, event registrations, etc.)
For </t>
    </r>
    <r>
      <rPr>
        <rFont val="Lexend Deca"/>
        <b/>
        <color rgb="FF30465D"/>
        <sz val="12.0"/>
      </rPr>
      <t xml:space="preserve">influencers &amp; affiliates, </t>
    </r>
    <r>
      <rPr>
        <rFont val="Lexend Deca"/>
        <color rgb="FF30465D"/>
        <sz val="12.0"/>
      </rPr>
      <t xml:space="preserve">use the </t>
    </r>
    <r>
      <rPr>
        <rFont val="Lexend Deca"/>
        <b/>
        <color rgb="FF30465D"/>
        <sz val="12.0"/>
      </rPr>
      <t>Affiliate Template</t>
    </r>
    <r>
      <rPr>
        <rFont val="Lexend Deca"/>
        <color rgb="FF30465D"/>
        <sz val="12.0"/>
      </rPr>
      <t xml:space="preserve"> to measure the revenue you drive from each of the businesses you partner with, as well as the reach they each receive. 
Each template also comes with </t>
    </r>
    <r>
      <rPr>
        <rFont val="Lexend Deca"/>
        <b/>
        <color rgb="FF30465D"/>
        <sz val="12.0"/>
      </rPr>
      <t>filled-out example tabs</t>
    </r>
    <r>
      <rPr>
        <rFont val="Lexend Deca"/>
        <color rgb="FF30465D"/>
        <sz val="12.0"/>
      </rPr>
      <t xml:space="preserve">, and suggested charts for data visualization. If you need to add/delete any columns or rows, feel free to do so and make the most of this template. </t>
    </r>
  </si>
  <si>
    <t>Affiliate Tracking Template</t>
  </si>
  <si>
    <t>Learn more about marketing with HubSpot Academy.</t>
  </si>
  <si>
    <t xml:space="preserve">Sign up for FREE marketing and business courses and certifications. </t>
  </si>
  <si>
    <t>Sign Up</t>
  </si>
  <si>
    <t>EXAMPLE Affiliate ROI Tracker</t>
  </si>
  <si>
    <t>Affiliate Name</t>
  </si>
  <si>
    <t>Flat Payment</t>
  </si>
  <si>
    <t>Commission Per Sale</t>
  </si>
  <si>
    <t>Customers</t>
  </si>
  <si>
    <t>Total Commission</t>
  </si>
  <si>
    <t>Total Cost</t>
  </si>
  <si>
    <t>Bonus Goal</t>
  </si>
  <si>
    <t>Impressions</t>
  </si>
  <si>
    <t>Impressions &gt; Sales</t>
  </si>
  <si>
    <t>CPI</t>
  </si>
  <si>
    <t>Estimated Revenue</t>
  </si>
  <si>
    <t>ROI $</t>
  </si>
  <si>
    <t>ROI %</t>
  </si>
  <si>
    <t>Example 1</t>
  </si>
  <si>
    <t>Example 2</t>
  </si>
  <si>
    <t>Example 3</t>
  </si>
  <si>
    <t>Example 4</t>
  </si>
  <si>
    <t>Need more rows?
← Right click this cell, then click "+ Insert 1 row above."</t>
  </si>
  <si>
    <t>Example 5</t>
  </si>
  <si>
    <t>Total</t>
  </si>
  <si>
    <t>Affiliate ROI Tracker</t>
  </si>
  <si>
    <t>EXAMPLE Affiliate Profit &amp; Revenue Tracker</t>
  </si>
  <si>
    <t>Brand Name</t>
  </si>
  <si>
    <t>Customers Driven</t>
  </si>
  <si>
    <t>Total Revenue</t>
  </si>
  <si>
    <t>Profit</t>
  </si>
  <si>
    <t>Affiliate Profit &amp; Revenue Tracker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</si>
</sst>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9">
    <font>
      <sz val="10.0"/>
      <color rgb="FF000000"/>
      <name val="Arial"/>
      <scheme val="minor"/>
    </font>
    <font>
      <color theme="1"/>
      <name val="Lexend Deca"/>
    </font>
    <font>
      <b/>
      <sz val="18.0"/>
      <color rgb="FF000000"/>
      <name val="Lexend Deca"/>
    </font>
    <font>
      <b/>
      <sz val="18.0"/>
      <color rgb="FF2D3E50"/>
      <name val="Lexend Deca"/>
    </font>
    <font/>
    <font>
      <sz val="14.0"/>
      <color rgb="FF000000"/>
      <name val="Lexend Deca"/>
    </font>
    <font>
      <sz val="14.0"/>
      <color rgb="FF2D3E50"/>
      <name val="Lexend Deca"/>
    </font>
    <font>
      <sz val="12.0"/>
      <color rgb="FF30465D"/>
      <name val="Lexend Deca"/>
    </font>
    <font>
      <sz val="30.0"/>
      <color rgb="FFFFFFFF"/>
      <name val="Lexend Deca"/>
    </font>
    <font>
      <sz val="12.0"/>
      <color rgb="FF000000"/>
      <name val="Lexend Deca"/>
    </font>
    <font>
      <b/>
      <sz val="32.0"/>
      <color rgb="FFFFFFFF"/>
      <name val="Lexend Deca"/>
    </font>
    <font>
      <sz val="14.0"/>
      <color rgb="FFFFFFFF"/>
      <name val="Lexend Deca"/>
    </font>
    <font>
      <sz val="12.0"/>
      <color rgb="FFFFFFFF"/>
      <name val="Lexend Deca"/>
    </font>
    <font>
      <b/>
      <u/>
      <sz val="14.0"/>
      <color rgb="FFFFFFFF"/>
      <name val="Lexend Deca"/>
    </font>
    <font>
      <b/>
      <sz val="18.0"/>
      <color rgb="FFFFFFFF"/>
      <name val="Lexend Deca"/>
    </font>
    <font>
      <b/>
      <color theme="1"/>
      <name val="Arial"/>
      <scheme val="minor"/>
    </font>
    <font>
      <b/>
      <color rgb="FFFFFFFF"/>
      <name val="Lexend Deca"/>
    </font>
    <font>
      <color rgb="FF192733"/>
      <name val="Lexend Deca"/>
    </font>
    <font>
      <color rgb="FFFFFFFF"/>
      <name val="Lexend Deca"/>
    </font>
  </fonts>
  <fills count="8">
    <fill>
      <patternFill patternType="none"/>
    </fill>
    <fill>
      <patternFill patternType="lightGray"/>
    </fill>
    <fill>
      <patternFill patternType="solid">
        <fgColor rgb="FF30465D"/>
        <bgColor rgb="FF30465D"/>
      </patternFill>
    </fill>
    <fill>
      <patternFill patternType="solid">
        <fgColor rgb="FFF5F8FA"/>
        <bgColor rgb="FFF5F8FA"/>
      </patternFill>
    </fill>
    <fill>
      <patternFill patternType="solid">
        <fgColor rgb="FFFFFFFF"/>
        <bgColor rgb="FFFFFFFF"/>
      </patternFill>
    </fill>
    <fill>
      <patternFill patternType="solid">
        <fgColor rgb="FFFF8F59"/>
        <bgColor rgb="FFFF8F59"/>
      </patternFill>
    </fill>
    <fill>
      <patternFill patternType="solid">
        <fgColor rgb="FF3E5974"/>
        <bgColor rgb="FF3E5974"/>
      </patternFill>
    </fill>
    <fill>
      <patternFill patternType="solid">
        <fgColor rgb="FF213343"/>
        <bgColor rgb="FF213343"/>
      </patternFill>
    </fill>
  </fills>
  <borders count="17">
    <border/>
    <border>
      <left style="thin">
        <color rgb="FFF5F8FA"/>
      </left>
      <right style="thin">
        <color rgb="FFF5F8FA"/>
      </right>
      <top style="thin">
        <color rgb="FFF5F8FA"/>
      </top>
      <bottom style="thin">
        <color rgb="FFF5F8FA"/>
      </bottom>
    </border>
    <border>
      <left style="thin">
        <color rgb="FFF5F8FA"/>
      </left>
      <right style="thin">
        <color rgb="FFF5F8FA"/>
      </right>
      <top style="thin">
        <color rgb="FFF5F8FA"/>
      </top>
    </border>
    <border>
      <left style="thin">
        <color rgb="FFF5F8FA"/>
      </left>
      <right style="thin">
        <color rgb="FFF5F8FA"/>
      </right>
    </border>
    <border>
      <left style="thin">
        <color rgb="FFF5F8FA"/>
      </left>
      <right style="thin">
        <color rgb="FFF5F8FA"/>
      </right>
      <bottom style="thin">
        <color rgb="FFF5F8FA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1" numFmtId="0" xfId="0" applyBorder="1" applyFill="1" applyFont="1"/>
    <xf borderId="1" fillId="3" fontId="2" numFmtId="0" xfId="0" applyAlignment="1" applyBorder="1" applyFont="1">
      <alignment horizontal="center" readingOrder="0" shrinkToFit="0" vertical="bottom" wrapText="0"/>
    </xf>
    <xf borderId="2" fillId="3" fontId="3" numFmtId="0" xfId="0" applyAlignment="1" applyBorder="1" applyFont="1">
      <alignment horizontal="center" readingOrder="0" vertical="center"/>
    </xf>
    <xf borderId="3" fillId="0" fontId="4" numFmtId="0" xfId="0" applyBorder="1" applyFont="1"/>
    <xf borderId="1" fillId="3" fontId="2" numFmtId="0" xfId="0" applyAlignment="1" applyBorder="1" applyFont="1">
      <alignment horizontal="left" vertical="top"/>
    </xf>
    <xf borderId="4" fillId="0" fontId="4" numFmtId="0" xfId="0" applyBorder="1" applyFont="1"/>
    <xf borderId="1" fillId="3" fontId="5" numFmtId="0" xfId="0" applyAlignment="1" applyBorder="1" applyFont="1">
      <alignment horizontal="left" readingOrder="0" vertical="top"/>
    </xf>
    <xf borderId="1" fillId="3" fontId="6" numFmtId="0" xfId="0" applyAlignment="1" applyBorder="1" applyFont="1">
      <alignment horizontal="left" readingOrder="0" shrinkToFit="0" vertical="top" wrapText="1"/>
    </xf>
    <xf borderId="2" fillId="3" fontId="7" numFmtId="0" xfId="0" applyAlignment="1" applyBorder="1" applyFont="1">
      <alignment horizontal="left" readingOrder="0" shrinkToFit="0" vertical="top" wrapText="1"/>
    </xf>
    <xf borderId="0" fillId="2" fontId="8" numFmtId="0" xfId="0" applyAlignment="1" applyFont="1">
      <alignment readingOrder="0" shrinkToFit="0" vertical="center" wrapText="1"/>
    </xf>
    <xf borderId="0" fillId="0" fontId="1" numFmtId="0" xfId="0" applyFont="1"/>
    <xf borderId="0" fillId="2" fontId="9" numFmtId="0" xfId="0" applyAlignment="1" applyFont="1">
      <alignment shrinkToFit="0" vertical="bottom" wrapText="0"/>
    </xf>
    <xf borderId="1" fillId="3" fontId="10" numFmtId="0" xfId="0" applyAlignment="1" applyBorder="1" applyFont="1">
      <alignment horizontal="left" readingOrder="0" shrinkToFit="0" vertical="bottom" wrapText="0"/>
    </xf>
    <xf borderId="1" fillId="3" fontId="9" numFmtId="0" xfId="0" applyAlignment="1" applyBorder="1" applyFont="1">
      <alignment shrinkToFit="0" vertical="bottom" wrapText="0"/>
    </xf>
    <xf borderId="0" fillId="2" fontId="8" numFmtId="0" xfId="0" applyAlignment="1" applyFont="1">
      <alignment readingOrder="0"/>
    </xf>
    <xf borderId="1" fillId="3" fontId="11" numFmtId="0" xfId="0" applyAlignment="1" applyBorder="1" applyFont="1">
      <alignment horizontal="left" readingOrder="0" shrinkToFit="0" vertical="center" wrapText="1"/>
    </xf>
    <xf borderId="0" fillId="4" fontId="9" numFmtId="0" xfId="0" applyAlignment="1" applyFill="1" applyFont="1">
      <alignment shrinkToFit="0" vertical="bottom" wrapText="0"/>
    </xf>
    <xf borderId="5" fillId="4" fontId="3" numFmtId="0" xfId="0" applyAlignment="1" applyBorder="1" applyFont="1">
      <alignment horizontal="center" readingOrder="0" shrinkToFit="0" vertical="center" wrapText="0"/>
    </xf>
    <xf borderId="6" fillId="0" fontId="4" numFmtId="0" xfId="0" applyBorder="1" applyFont="1"/>
    <xf borderId="7" fillId="0" fontId="4" numFmtId="0" xfId="0" applyBorder="1" applyFont="1"/>
    <xf borderId="8" fillId="4" fontId="3" numFmtId="0" xfId="0" applyAlignment="1" applyBorder="1" applyFont="1">
      <alignment horizontal="center" readingOrder="0" shrinkToFit="0" vertical="bottom" wrapText="0"/>
    </xf>
    <xf borderId="9" fillId="0" fontId="4" numFmtId="0" xfId="0" applyBorder="1" applyFont="1"/>
    <xf borderId="10" fillId="0" fontId="4" numFmtId="0" xfId="0" applyBorder="1" applyFont="1"/>
    <xf borderId="8" fillId="4" fontId="6" numFmtId="0" xfId="0" applyAlignment="1" applyBorder="1" applyFont="1">
      <alignment horizontal="center" readingOrder="0" shrinkToFit="0" vertical="bottom" wrapText="0"/>
    </xf>
    <xf borderId="1" fillId="3" fontId="12" numFmtId="0" xfId="0" applyAlignment="1" applyBorder="1" applyFont="1">
      <alignment shrinkToFit="0" vertical="bottom" wrapText="0"/>
    </xf>
    <xf borderId="11" fillId="0" fontId="4" numFmtId="0" xfId="0" applyBorder="1" applyFont="1"/>
    <xf borderId="12" fillId="0" fontId="4" numFmtId="0" xfId="0" applyBorder="1" applyFont="1"/>
    <xf borderId="8" fillId="0" fontId="4" numFmtId="0" xfId="0" applyBorder="1" applyFont="1"/>
    <xf borderId="13" fillId="4" fontId="6" numFmtId="0" xfId="0" applyAlignment="1" applyBorder="1" applyFont="1">
      <alignment horizontal="center" readingOrder="0" shrinkToFit="0" vertical="bottom" wrapText="0"/>
    </xf>
    <xf borderId="14" fillId="4" fontId="6" numFmtId="0" xfId="0" applyAlignment="1" applyBorder="1" applyFont="1">
      <alignment horizontal="center" readingOrder="0" shrinkToFit="0" vertical="center" wrapText="0"/>
    </xf>
    <xf borderId="15" fillId="0" fontId="4" numFmtId="0" xfId="0" applyBorder="1" applyFont="1"/>
    <xf borderId="13" fillId="0" fontId="4" numFmtId="0" xfId="0" applyBorder="1" applyFont="1"/>
    <xf borderId="16" fillId="4" fontId="9" numFmtId="0" xfId="0" applyAlignment="1" applyBorder="1" applyFont="1">
      <alignment shrinkToFit="0" vertical="bottom" wrapText="0"/>
    </xf>
    <xf borderId="6" fillId="5" fontId="13" numFmtId="0" xfId="0" applyAlignment="1" applyBorder="1" applyFill="1" applyFont="1">
      <alignment horizontal="center" readingOrder="0" shrinkToFit="0" vertical="center" wrapText="0"/>
    </xf>
    <xf borderId="6" fillId="4" fontId="9" numFmtId="0" xfId="0" applyAlignment="1" applyBorder="1" applyFont="1">
      <alignment shrinkToFit="0" vertical="bottom" wrapText="0"/>
    </xf>
    <xf borderId="12" fillId="4" fontId="9" numFmtId="0" xfId="0" applyAlignment="1" applyBorder="1" applyFont="1">
      <alignment shrinkToFit="0" vertical="bottom" wrapText="0"/>
    </xf>
    <xf borderId="0" fillId="6" fontId="14" numFmtId="0" xfId="0" applyAlignment="1" applyFill="1" applyFont="1">
      <alignment horizontal="center" readingOrder="0" vertical="center"/>
    </xf>
    <xf borderId="0" fillId="0" fontId="15" numFmtId="0" xfId="0" applyAlignment="1" applyFont="1">
      <alignment readingOrder="0"/>
    </xf>
    <xf borderId="0" fillId="7" fontId="16" numFmtId="0" xfId="0" applyAlignment="1" applyFill="1" applyFont="1">
      <alignment readingOrder="0"/>
    </xf>
    <xf borderId="0" fillId="0" fontId="17" numFmtId="0" xfId="0" applyAlignment="1" applyFont="1">
      <alignment readingOrder="0"/>
    </xf>
    <xf borderId="0" fillId="0" fontId="17" numFmtId="164" xfId="0" applyAlignment="1" applyFont="1" applyNumberFormat="1">
      <alignment readingOrder="0"/>
    </xf>
    <xf borderId="0" fillId="0" fontId="17" numFmtId="3" xfId="0" applyAlignment="1" applyFont="1" applyNumberFormat="1">
      <alignment readingOrder="0"/>
    </xf>
    <xf borderId="0" fillId="0" fontId="17" numFmtId="164" xfId="0" applyFont="1" applyNumberFormat="1"/>
    <xf borderId="0" fillId="0" fontId="17" numFmtId="10" xfId="0" applyFont="1" applyNumberFormat="1"/>
    <xf borderId="0" fillId="0" fontId="17" numFmtId="0" xfId="0" applyFont="1"/>
    <xf borderId="0" fillId="0" fontId="17" numFmtId="0" xfId="0" applyAlignment="1" applyFont="1">
      <alignment readingOrder="0"/>
    </xf>
    <xf borderId="0" fillId="7" fontId="18" numFmtId="164" xfId="0" applyFont="1" applyNumberFormat="1"/>
    <xf borderId="0" fillId="7" fontId="18" numFmtId="0" xfId="0" applyFont="1"/>
    <xf borderId="0" fillId="7" fontId="18" numFmtId="3" xfId="0" applyFont="1" applyNumberFormat="1"/>
    <xf borderId="0" fillId="7" fontId="18" numFmtId="10" xfId="0" applyFont="1" applyNumberFormat="1"/>
    <xf borderId="0" fillId="0" fontId="15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9FC"/>
          <bgColor rgb="FFF6F9FC"/>
        </patternFill>
      </fill>
      <border/>
    </dxf>
    <dxf>
      <font/>
      <fill>
        <patternFill patternType="solid">
          <fgColor rgb="FFB6C7D6"/>
          <bgColor rgb="FFB6C7D6"/>
        </patternFill>
      </fill>
      <border/>
    </dxf>
  </dxfs>
  <tableStyles count="4">
    <tableStyle count="2" pivot="0" name="Business Owner Template EXAMPLE-style">
      <tableStyleElement dxfId="1" type="firstRowStripe"/>
      <tableStyleElement dxfId="2" type="secondRowStripe"/>
    </tableStyle>
    <tableStyle count="2" pivot="0" name="Business Owner Template-style">
      <tableStyleElement dxfId="1" type="firstRowStripe"/>
      <tableStyleElement dxfId="2" type="secondRowStripe"/>
    </tableStyle>
    <tableStyle count="2" pivot="0" name="Affiliate Template EXAMPLE-style">
      <tableStyleElement dxfId="1" type="firstRowStripe"/>
      <tableStyleElement dxfId="2" type="secondRowStripe"/>
    </tableStyle>
    <tableStyle count="2" pivot="0" name="Affiliate Templat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Per Affiliate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'Business Owner Template EXAMPLE'!$K$4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68B1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D2D4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BC4B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4FB06D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8933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'Business Owner Template EXAMPLE'!$A$5:$A$9</c:f>
            </c:strRef>
          </c:cat>
          <c:val>
            <c:numRef>
              <c:f>'Business Owner Template EXAMPLE'!$K$5:$K$9</c:f>
              <c:numCache/>
            </c:numRef>
          </c:val>
        </c:ser>
        <c:axId val="993289486"/>
        <c:axId val="678088224"/>
      </c:barChart>
      <c:catAx>
        <c:axId val="9932894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Affiliate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8088224"/>
      </c:catAx>
      <c:valAx>
        <c:axId val="6780882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Estimated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32894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Per Affiliate as Percentage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'Business Owner Template EXAMPLE'!$K$4</c:f>
            </c:strRef>
          </c:tx>
          <c:dPt>
            <c:idx val="0"/>
            <c:spPr>
              <a:solidFill>
                <a:srgbClr val="0068B1"/>
              </a:solidFill>
            </c:spPr>
          </c:dPt>
          <c:dPt>
            <c:idx val="1"/>
            <c:spPr>
              <a:solidFill>
                <a:srgbClr val="ED2D40"/>
              </a:solidFill>
            </c:spPr>
          </c:dPt>
          <c:dPt>
            <c:idx val="2"/>
            <c:spPr>
              <a:solidFill>
                <a:srgbClr val="FFBC4B"/>
              </a:solidFill>
            </c:spPr>
          </c:dPt>
          <c:dPt>
            <c:idx val="3"/>
            <c:spPr>
              <a:solidFill>
                <a:srgbClr val="4FB06D"/>
              </a:solidFill>
            </c:spPr>
          </c:dPt>
          <c:dPt>
            <c:idx val="4"/>
            <c:spPr>
              <a:solidFill>
                <a:srgbClr val="FF893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'Business Owner Template EXAMPLE'!$A$5:$A$9</c:f>
            </c:strRef>
          </c:cat>
          <c:val>
            <c:numRef>
              <c:f>'Business Owner Template EXAMPLE'!$K$5:$K$9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ROI % Per Affiliate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'Business Owner Template EXAMPLE'!$M$4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4FB06D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D2D4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4FB06D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4FB06D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ED2D4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'Business Owner Template EXAMPLE'!$A$5:$A$9</c:f>
            </c:strRef>
          </c:cat>
          <c:val>
            <c:numRef>
              <c:f>'Business Owner Template EXAMPLE'!$M$5:$M$9</c:f>
              <c:numCache/>
            </c:numRef>
          </c:val>
        </c:ser>
        <c:axId val="875188808"/>
        <c:axId val="1521880337"/>
      </c:barChart>
      <c:catAx>
        <c:axId val="875188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Affiliate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1880337"/>
      </c:catAx>
      <c:valAx>
        <c:axId val="15218803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ROI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51888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Per Affiliate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'Business Owner Template'!$K$4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68B1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D2D4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BC4B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4FB06D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8933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'Business Owner Template'!$A$5:$A$9</c:f>
            </c:strRef>
          </c:cat>
          <c:val>
            <c:numRef>
              <c:f>'Business Owner Template'!$K$5:$K$9</c:f>
              <c:numCache/>
            </c:numRef>
          </c:val>
        </c:ser>
        <c:axId val="995012767"/>
        <c:axId val="414315314"/>
      </c:barChart>
      <c:catAx>
        <c:axId val="9950127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Affiliate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4315314"/>
      </c:catAx>
      <c:valAx>
        <c:axId val="4143153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Estimated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50127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Per Affiliate as Percentage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'Business Owner Template'!$K$4</c:f>
            </c:strRef>
          </c:tx>
          <c:dPt>
            <c:idx val="0"/>
            <c:spPr>
              <a:solidFill>
                <a:srgbClr val="0068B1"/>
              </a:solidFill>
            </c:spPr>
          </c:dPt>
          <c:dPt>
            <c:idx val="1"/>
            <c:spPr>
              <a:solidFill>
                <a:srgbClr val="ED2D40"/>
              </a:solidFill>
            </c:spPr>
          </c:dPt>
          <c:dPt>
            <c:idx val="2"/>
            <c:spPr>
              <a:solidFill>
                <a:srgbClr val="FFBC4B"/>
              </a:solidFill>
            </c:spPr>
          </c:dPt>
          <c:dPt>
            <c:idx val="3"/>
            <c:spPr>
              <a:solidFill>
                <a:srgbClr val="4FB06D"/>
              </a:solidFill>
            </c:spPr>
          </c:dPt>
          <c:dPt>
            <c:idx val="4"/>
            <c:spPr>
              <a:solidFill>
                <a:srgbClr val="FF893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'Business Owner Template'!$A$5:$A$9</c:f>
            </c:strRef>
          </c:cat>
          <c:val>
            <c:numRef>
              <c:f>'Business Owner Template'!$K$5:$K$9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ROI % Per Affiliate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'Business Owner Template'!$M$4</c:f>
            </c:strRef>
          </c:tx>
          <c:cat>
            <c:strRef>
              <c:f>'Business Owner Template'!$A$5:$A$9</c:f>
            </c:strRef>
          </c:cat>
          <c:val>
            <c:numRef>
              <c:f>'Business Owner Template'!$M$5:$M$9</c:f>
              <c:numCache/>
            </c:numRef>
          </c:val>
        </c:ser>
        <c:axId val="815976515"/>
        <c:axId val="1127188543"/>
      </c:barChart>
      <c:catAx>
        <c:axId val="8159765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Affiliate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7188543"/>
      </c:catAx>
      <c:valAx>
        <c:axId val="112718854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8159765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Per Brand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'Affiliate Template EXAMPLE'!$J$4</c:f>
            </c:strRef>
          </c:tx>
          <c:spPr>
            <a:solidFill>
              <a:srgbClr val="0068B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68B1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D2D4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BC4B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4FB06D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8933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'Affiliate Template EXAMPLE'!$A$5:$A$9</c:f>
            </c:strRef>
          </c:cat>
          <c:val>
            <c:numRef>
              <c:f>'Affiliate Template EXAMPLE'!$J$5:$J$9</c:f>
              <c:numCache/>
            </c:numRef>
          </c:val>
        </c:ser>
        <c:axId val="2016831938"/>
        <c:axId val="872080513"/>
      </c:barChart>
      <c:catAx>
        <c:axId val="20168319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Affiliate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2080513"/>
      </c:catAx>
      <c:valAx>
        <c:axId val="8720805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Estimated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68319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Per Brand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'Affiliate Template EXAMPLE'!$J$1:$J$4</c:f>
            </c:strRef>
          </c:tx>
          <c:spPr>
            <a:solidFill>
              <a:srgbClr val="0068B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  <c:spPr>
              <a:solidFill>
                <a:srgbClr val="ED2D4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BC4B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4FB06D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8933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'Affiliate Template EXAMPLE'!$A$5:$A$9</c:f>
            </c:strRef>
          </c:cat>
          <c:val>
            <c:numRef>
              <c:f>'Affiliate Template EXAMPLE'!$J$5:$J$9</c:f>
              <c:numCache/>
            </c:numRef>
          </c:val>
        </c:ser>
        <c:axId val="1703760819"/>
        <c:axId val="1635669584"/>
      </c:barChart>
      <c:catAx>
        <c:axId val="17037608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5669584"/>
      </c:catAx>
      <c:valAx>
        <c:axId val="16356695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37608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Commission Per Sale Per Company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'Affiliate Template EXAMPLE'!$C$1:$C$4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68B1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D2D4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BC4B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'Affiliate Template EXAMPLE'!$A$5:$A$9</c:f>
            </c:strRef>
          </c:cat>
          <c:val>
            <c:numRef>
              <c:f>'Affiliate Template EXAMPLE'!$C$5:$C$9</c:f>
              <c:numCache/>
            </c:numRef>
          </c:val>
        </c:ser>
        <c:axId val="370195522"/>
        <c:axId val="418286831"/>
      </c:barChart>
      <c:catAx>
        <c:axId val="3701955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8286831"/>
      </c:catAx>
      <c:valAx>
        <c:axId val="4182868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Commission Per Sale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01955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Per Brand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'Affiliate Template'!$J$4</c:f>
            </c:strRef>
          </c:tx>
          <c:spPr>
            <a:solidFill>
              <a:srgbClr val="0068B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68B1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D2D4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BC4B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4FB06D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8933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'Affiliate Template'!$A$5:$A$9</c:f>
            </c:strRef>
          </c:cat>
          <c:val>
            <c:numRef>
              <c:f>'Affiliate Template'!$J$5:$J$9</c:f>
              <c:numCache/>
            </c:numRef>
          </c:val>
        </c:ser>
        <c:axId val="331685204"/>
        <c:axId val="1702809973"/>
      </c:barChart>
      <c:catAx>
        <c:axId val="3316852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Affiliate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2809973"/>
      </c:catAx>
      <c:valAx>
        <c:axId val="17028099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Estimated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16852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Per Brand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'Affiliate Template'!$J$1:$J$4</c:f>
            </c:strRef>
          </c:tx>
          <c:spPr>
            <a:solidFill>
              <a:srgbClr val="0068B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  <c:spPr>
              <a:solidFill>
                <a:srgbClr val="ED2D4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BC4B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4FB06D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8933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'Affiliate Template'!$A$5:$A$9</c:f>
            </c:strRef>
          </c:cat>
          <c:val>
            <c:numRef>
              <c:f>'Affiliate Template'!$J$5:$J$9</c:f>
              <c:numCache/>
            </c:numRef>
          </c:val>
        </c:ser>
        <c:axId val="474161246"/>
        <c:axId val="1720606550"/>
      </c:barChart>
      <c:catAx>
        <c:axId val="4741612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0606550"/>
      </c:catAx>
      <c:valAx>
        <c:axId val="17206065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41612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Commission Per Sale Per Brand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'Affiliate Template'!$C$1:$C$4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68B1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D2D4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BC4B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'Affiliate Template'!$A$5:$A$9</c:f>
            </c:strRef>
          </c:cat>
          <c:val>
            <c:numRef>
              <c:f>'Affiliate Template'!$C$5:$C$9</c:f>
              <c:numCache/>
            </c:numRef>
          </c:val>
        </c:ser>
        <c:axId val="484111977"/>
        <c:axId val="692103191"/>
      </c:barChart>
      <c:catAx>
        <c:axId val="4841119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2103191"/>
      </c:catAx>
      <c:valAx>
        <c:axId val="6921031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Commission Per Sale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41119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190500</xdr:colOff>
      <xdr:row>1</xdr:row>
      <xdr:rowOff>123825</xdr:rowOff>
    </xdr:from>
    <xdr:ext cx="1819275" cy="552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695325</xdr:colOff>
      <xdr:row>5</xdr:row>
      <xdr:rowOff>161925</xdr:rowOff>
    </xdr:from>
    <xdr:ext cx="4686300" cy="16859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600075</xdr:colOff>
      <xdr:row>10</xdr:row>
      <xdr:rowOff>180975</xdr:rowOff>
    </xdr:from>
    <xdr:ext cx="3905250" cy="24098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485775</xdr:colOff>
      <xdr:row>10</xdr:row>
      <xdr:rowOff>180975</xdr:rowOff>
    </xdr:from>
    <xdr:ext cx="3848100" cy="24098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438150</xdr:colOff>
      <xdr:row>10</xdr:row>
      <xdr:rowOff>180975</xdr:rowOff>
    </xdr:from>
    <xdr:ext cx="3905250" cy="24098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600075</xdr:colOff>
      <xdr:row>10</xdr:row>
      <xdr:rowOff>180975</xdr:rowOff>
    </xdr:from>
    <xdr:ext cx="3905250" cy="24098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485775</xdr:colOff>
      <xdr:row>10</xdr:row>
      <xdr:rowOff>180975</xdr:rowOff>
    </xdr:from>
    <xdr:ext cx="3848100" cy="24098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438150</xdr:colOff>
      <xdr:row>10</xdr:row>
      <xdr:rowOff>180975</xdr:rowOff>
    </xdr:from>
    <xdr:ext cx="3905250" cy="24098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133350</xdr:rowOff>
    </xdr:from>
    <xdr:ext cx="3905250" cy="24098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581025</xdr:colOff>
      <xdr:row>10</xdr:row>
      <xdr:rowOff>133350</xdr:rowOff>
    </xdr:from>
    <xdr:ext cx="3905250" cy="24098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314325</xdr:colOff>
      <xdr:row>10</xdr:row>
      <xdr:rowOff>133350</xdr:rowOff>
    </xdr:from>
    <xdr:ext cx="3952875" cy="24098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133350</xdr:rowOff>
    </xdr:from>
    <xdr:ext cx="3905250" cy="240982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581025</xdr:colOff>
      <xdr:row>10</xdr:row>
      <xdr:rowOff>133350</xdr:rowOff>
    </xdr:from>
    <xdr:ext cx="3905250" cy="240982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314325</xdr:colOff>
      <xdr:row>10</xdr:row>
      <xdr:rowOff>133350</xdr:rowOff>
    </xdr:from>
    <xdr:ext cx="3952875" cy="240982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5:M9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Business Owner Template EXAMPLE-style" showColumnStripes="0" showFirstColumn="1" showLastColumn="1" showRowStripes="1"/>
</table>
</file>

<file path=xl/tables/table2.xml><?xml version="1.0" encoding="utf-8"?>
<table xmlns="http://schemas.openxmlformats.org/spreadsheetml/2006/main" headerRowCount="0" ref="A5:M9" displayName="Table_2" name="Table_2" id="2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Business Owner Template-style" showColumnStripes="0" showFirstColumn="1" showLastColumn="1" showRowStripes="1"/>
</table>
</file>

<file path=xl/tables/table3.xml><?xml version="1.0" encoding="utf-8"?>
<table xmlns="http://schemas.openxmlformats.org/spreadsheetml/2006/main" headerRowCount="0" ref="A5:J9" displayName="Table_3" name="Table_3" id="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Affiliate Template EXAMPLE-style" showColumnStripes="0" showFirstColumn="1" showLastColumn="1" showRowStripes="1"/>
</table>
</file>

<file path=xl/tables/table4.xml><?xml version="1.0" encoding="utf-8"?>
<table xmlns="http://schemas.openxmlformats.org/spreadsheetml/2006/main" headerRowCount="0" ref="A5:J9" displayName="Table_4" name="Table_4" id="4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Affiliate Temp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cademy.hubspot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Relationship Id="rId5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5.13"/>
    <col customWidth="1" min="3" max="3" width="29.25"/>
    <col customWidth="1" min="4" max="6" width="12.63"/>
    <col customWidth="1" min="7" max="7" width="27.63"/>
    <col customWidth="1" min="8" max="10" width="5.13"/>
    <col customWidth="1" min="11" max="11" width="48.75"/>
    <col customWidth="1" min="12" max="12" width="5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3"/>
    </row>
    <row r="2">
      <c r="A2" s="1"/>
      <c r="B2" s="1"/>
      <c r="C2" s="1"/>
      <c r="D2" s="1"/>
      <c r="E2" s="1"/>
      <c r="F2" s="1"/>
      <c r="G2" s="1"/>
      <c r="H2" s="1"/>
      <c r="I2" s="1"/>
      <c r="J2" s="2"/>
      <c r="K2" s="4" t="s">
        <v>0</v>
      </c>
      <c r="L2" s="3"/>
    </row>
    <row r="3">
      <c r="A3" s="1"/>
      <c r="B3" s="1"/>
      <c r="C3" s="1"/>
      <c r="D3" s="1"/>
      <c r="E3" s="1"/>
      <c r="F3" s="1"/>
      <c r="G3" s="1"/>
      <c r="H3" s="1"/>
      <c r="I3" s="1"/>
      <c r="J3" s="2"/>
      <c r="K3" s="5"/>
      <c r="L3" s="6"/>
    </row>
    <row r="4">
      <c r="A4" s="1"/>
      <c r="B4" s="1"/>
      <c r="C4" s="1"/>
      <c r="D4" s="1"/>
      <c r="E4" s="1"/>
      <c r="F4" s="1"/>
      <c r="G4" s="1"/>
      <c r="H4" s="1"/>
      <c r="I4" s="1"/>
      <c r="J4" s="2"/>
      <c r="K4" s="7"/>
      <c r="L4" s="8"/>
    </row>
    <row r="5">
      <c r="A5" s="1"/>
      <c r="B5" s="1"/>
      <c r="C5" s="1"/>
      <c r="D5" s="1"/>
      <c r="E5" s="1"/>
      <c r="F5" s="1"/>
      <c r="G5" s="1"/>
      <c r="H5" s="1"/>
      <c r="I5" s="1"/>
      <c r="J5" s="2"/>
      <c r="K5" s="9"/>
      <c r="L5" s="8"/>
    </row>
    <row r="6">
      <c r="A6" s="1"/>
      <c r="B6" s="1"/>
      <c r="C6" s="1"/>
      <c r="D6" s="1"/>
      <c r="E6" s="1"/>
      <c r="F6" s="1"/>
      <c r="G6" s="1"/>
      <c r="H6" s="1"/>
      <c r="I6" s="1"/>
      <c r="J6" s="2"/>
      <c r="K6" s="10" t="s">
        <v>1</v>
      </c>
      <c r="L6" s="8"/>
    </row>
    <row r="7">
      <c r="A7" s="1"/>
      <c r="B7" s="11" t="s">
        <v>2</v>
      </c>
      <c r="E7" s="12"/>
      <c r="F7" s="11"/>
      <c r="G7" s="1"/>
      <c r="H7" s="1"/>
      <c r="I7" s="1"/>
      <c r="J7" s="2"/>
      <c r="K7" s="5"/>
      <c r="L7" s="8"/>
    </row>
    <row r="8">
      <c r="A8" s="1"/>
      <c r="E8" s="12"/>
      <c r="F8" s="11"/>
      <c r="G8" s="13"/>
      <c r="H8" s="13"/>
      <c r="I8" s="13"/>
      <c r="J8" s="14"/>
      <c r="K8" s="5"/>
      <c r="L8" s="8"/>
    </row>
    <row r="9">
      <c r="A9" s="1"/>
      <c r="E9" s="12"/>
      <c r="F9" s="11"/>
      <c r="G9" s="13"/>
      <c r="H9" s="13"/>
      <c r="I9" s="13"/>
      <c r="J9" s="14"/>
      <c r="K9" s="5"/>
      <c r="L9" s="8"/>
    </row>
    <row r="10">
      <c r="A10" s="1"/>
      <c r="E10" s="12"/>
      <c r="F10" s="11"/>
      <c r="G10" s="13"/>
      <c r="H10" s="13"/>
      <c r="I10" s="13"/>
      <c r="J10" s="14"/>
      <c r="K10" s="5"/>
      <c r="L10" s="8"/>
    </row>
    <row r="11">
      <c r="A11" s="1"/>
      <c r="E11" s="12"/>
      <c r="F11" s="11"/>
      <c r="G11" s="13"/>
      <c r="H11" s="13"/>
      <c r="I11" s="13"/>
      <c r="J11" s="14"/>
      <c r="K11" s="5"/>
      <c r="L11" s="8"/>
    </row>
    <row r="12">
      <c r="A12" s="1"/>
      <c r="E12" s="12"/>
      <c r="F12" s="11"/>
      <c r="G12" s="13"/>
      <c r="H12" s="13"/>
      <c r="I12" s="13"/>
      <c r="J12" s="14"/>
      <c r="K12" s="5"/>
      <c r="L12" s="8"/>
    </row>
    <row r="13">
      <c r="A13" s="1"/>
      <c r="E13" s="12"/>
      <c r="F13" s="11"/>
      <c r="G13" s="13"/>
      <c r="H13" s="13"/>
      <c r="I13" s="13"/>
      <c r="J13" s="14"/>
      <c r="K13" s="5"/>
      <c r="L13" s="15"/>
    </row>
    <row r="14">
      <c r="A14" s="1"/>
      <c r="B14" s="11"/>
      <c r="C14" s="11"/>
      <c r="D14" s="16"/>
      <c r="E14" s="16"/>
      <c r="F14" s="16"/>
      <c r="G14" s="13"/>
      <c r="H14" s="13"/>
      <c r="I14" s="13"/>
      <c r="J14" s="14"/>
      <c r="K14" s="5"/>
      <c r="L14" s="15"/>
    </row>
    <row r="15">
      <c r="A15" s="1"/>
      <c r="B15" s="11"/>
      <c r="C15" s="11"/>
      <c r="D15" s="13"/>
      <c r="E15" s="13"/>
      <c r="F15" s="13"/>
      <c r="G15" s="13"/>
      <c r="H15" s="13"/>
      <c r="I15" s="13"/>
      <c r="J15" s="14"/>
      <c r="K15" s="5"/>
      <c r="L15" s="15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7"/>
      <c r="K16" s="5"/>
      <c r="L16" s="15"/>
    </row>
    <row r="17">
      <c r="A17" s="13"/>
      <c r="B17" s="18"/>
      <c r="C17" s="19" t="s">
        <v>3</v>
      </c>
      <c r="D17" s="20"/>
      <c r="E17" s="20"/>
      <c r="F17" s="20"/>
      <c r="G17" s="21"/>
      <c r="H17" s="22"/>
      <c r="I17" s="13"/>
      <c r="J17" s="17"/>
      <c r="K17" s="5"/>
      <c r="L17" s="15"/>
    </row>
    <row r="18">
      <c r="A18" s="13"/>
      <c r="B18" s="18"/>
      <c r="C18" s="23"/>
      <c r="G18" s="24"/>
      <c r="H18" s="25"/>
      <c r="I18" s="13"/>
      <c r="J18" s="26"/>
      <c r="K18" s="5"/>
      <c r="L18" s="15"/>
    </row>
    <row r="19" ht="9.0" customHeight="1">
      <c r="A19" s="13"/>
      <c r="B19" s="18"/>
      <c r="C19" s="27"/>
      <c r="D19" s="28"/>
      <c r="E19" s="28"/>
      <c r="F19" s="28"/>
      <c r="G19" s="29"/>
      <c r="H19" s="30"/>
      <c r="I19" s="13"/>
      <c r="J19" s="26"/>
      <c r="K19" s="5"/>
      <c r="L19" s="15"/>
    </row>
    <row r="20">
      <c r="A20" s="13"/>
      <c r="B20" s="18"/>
      <c r="C20" s="31" t="s">
        <v>4</v>
      </c>
      <c r="D20" s="32"/>
      <c r="E20" s="32"/>
      <c r="F20" s="32"/>
      <c r="G20" s="33"/>
      <c r="H20" s="30"/>
      <c r="I20" s="13"/>
      <c r="J20" s="26"/>
      <c r="K20" s="5"/>
      <c r="L20" s="15"/>
    </row>
    <row r="21" ht="6.0" customHeight="1">
      <c r="A21" s="13"/>
      <c r="B21" s="18"/>
      <c r="C21" s="34"/>
      <c r="D21" s="34"/>
      <c r="E21" s="34"/>
      <c r="F21" s="34"/>
      <c r="G21" s="34"/>
      <c r="H21" s="34"/>
      <c r="I21" s="13"/>
      <c r="J21" s="26"/>
      <c r="K21" s="5"/>
      <c r="L21" s="15"/>
    </row>
    <row r="22">
      <c r="A22" s="13"/>
      <c r="B22" s="18"/>
      <c r="C22" s="34"/>
      <c r="D22" s="35" t="s">
        <v>5</v>
      </c>
      <c r="E22" s="20"/>
      <c r="F22" s="20"/>
      <c r="G22" s="36"/>
      <c r="H22" s="34"/>
      <c r="I22" s="13"/>
      <c r="J22" s="2"/>
      <c r="K22" s="5"/>
      <c r="L22" s="15"/>
    </row>
    <row r="23">
      <c r="A23" s="13"/>
      <c r="B23" s="18"/>
      <c r="C23" s="34"/>
      <c r="D23" s="28"/>
      <c r="E23" s="28"/>
      <c r="F23" s="28"/>
      <c r="G23" s="37"/>
      <c r="H23" s="34"/>
      <c r="I23" s="13"/>
      <c r="J23" s="2"/>
      <c r="K23" s="5"/>
      <c r="L23" s="15"/>
    </row>
    <row r="24">
      <c r="A24" s="13"/>
      <c r="B24" s="34"/>
      <c r="C24" s="34"/>
      <c r="D24" s="34"/>
      <c r="E24" s="34"/>
      <c r="F24" s="34"/>
      <c r="G24" s="34"/>
      <c r="H24" s="34"/>
      <c r="I24" s="13"/>
      <c r="J24" s="2"/>
      <c r="K24" s="7"/>
      <c r="L24" s="15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5"/>
      <c r="K25" s="15"/>
      <c r="L25" s="15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5"/>
      <c r="K26" s="15"/>
      <c r="L26" s="15"/>
    </row>
  </sheetData>
  <mergeCells count="6">
    <mergeCell ref="K2:K4"/>
    <mergeCell ref="K6:K24"/>
    <mergeCell ref="B7:D13"/>
    <mergeCell ref="C17:G19"/>
    <mergeCell ref="C20:G20"/>
    <mergeCell ref="D22:F23"/>
  </mergeCells>
  <hyperlinks>
    <hyperlink r:id="rId1" ref="D2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3" max="3" width="18.75"/>
    <col customWidth="1" min="4" max="4" width="9.75"/>
    <col customWidth="1" min="5" max="5" width="17.75"/>
    <col customWidth="1" min="6" max="6" width="11.0"/>
    <col customWidth="1" min="7" max="7" width="10.75"/>
    <col customWidth="1" min="8" max="8" width="13.0"/>
    <col customWidth="1" min="9" max="9" width="19.38"/>
    <col customWidth="1" min="10" max="10" width="8.0"/>
    <col customWidth="1" min="11" max="11" width="17.25"/>
    <col customWidth="1" min="12" max="13" width="9.75"/>
  </cols>
  <sheetData>
    <row r="1">
      <c r="A1" s="38" t="s">
        <v>6</v>
      </c>
      <c r="N1" s="39"/>
    </row>
    <row r="2">
      <c r="N2" s="39"/>
    </row>
    <row r="3">
      <c r="N3" s="39"/>
    </row>
    <row r="4">
      <c r="A4" s="40" t="s">
        <v>7</v>
      </c>
      <c r="B4" s="40" t="s">
        <v>8</v>
      </c>
      <c r="C4" s="40" t="s">
        <v>9</v>
      </c>
      <c r="D4" s="40" t="s">
        <v>10</v>
      </c>
      <c r="E4" s="40" t="s">
        <v>11</v>
      </c>
      <c r="F4" s="40" t="s">
        <v>12</v>
      </c>
      <c r="G4" s="40" t="s">
        <v>13</v>
      </c>
      <c r="H4" s="40" t="s">
        <v>14</v>
      </c>
      <c r="I4" s="40" t="s">
        <v>15</v>
      </c>
      <c r="J4" s="40" t="s">
        <v>16</v>
      </c>
      <c r="K4" s="40" t="s">
        <v>17</v>
      </c>
      <c r="L4" s="40" t="s">
        <v>18</v>
      </c>
      <c r="M4" s="40" t="s">
        <v>19</v>
      </c>
      <c r="N4" s="39"/>
    </row>
    <row r="5">
      <c r="A5" s="41" t="s">
        <v>20</v>
      </c>
      <c r="B5" s="42">
        <v>1000.0</v>
      </c>
      <c r="C5" s="42">
        <v>1.0</v>
      </c>
      <c r="D5" s="43">
        <v>5000.0</v>
      </c>
      <c r="E5" s="44">
        <f t="shared" ref="E5:E9" si="1">D5*C5</f>
        <v>5000</v>
      </c>
      <c r="F5" s="44">
        <f t="shared" ref="F5:F9" si="2">E5+B5</f>
        <v>6000</v>
      </c>
      <c r="G5" s="41">
        <v>20.0</v>
      </c>
      <c r="H5" s="43">
        <v>100000.0</v>
      </c>
      <c r="I5" s="45">
        <f t="shared" ref="I5:I10" si="3">D5/H5</f>
        <v>0.05</v>
      </c>
      <c r="J5" s="44">
        <f t="shared" ref="J5:J10" si="4">F5/H5</f>
        <v>0.06</v>
      </c>
      <c r="K5" s="42">
        <v>10000.0</v>
      </c>
      <c r="L5" s="44">
        <f t="shared" ref="L5:L9" si="5">(K5-F5)</f>
        <v>4000</v>
      </c>
      <c r="M5" s="45">
        <f t="shared" ref="M5:M10" si="6">(K5-F5)/F5</f>
        <v>0.6666666667</v>
      </c>
    </row>
    <row r="6">
      <c r="A6" s="41" t="s">
        <v>21</v>
      </c>
      <c r="B6" s="42">
        <v>0.0</v>
      </c>
      <c r="C6" s="42">
        <v>5.0</v>
      </c>
      <c r="D6" s="43">
        <v>300.0</v>
      </c>
      <c r="E6" s="44">
        <f t="shared" si="1"/>
        <v>1500</v>
      </c>
      <c r="F6" s="44">
        <f t="shared" si="2"/>
        <v>1500</v>
      </c>
      <c r="G6" s="41">
        <v>400.0</v>
      </c>
      <c r="H6" s="43">
        <v>28000.0</v>
      </c>
      <c r="I6" s="45">
        <f t="shared" si="3"/>
        <v>0.01071428571</v>
      </c>
      <c r="J6" s="44">
        <f t="shared" si="4"/>
        <v>0.05357142857</v>
      </c>
      <c r="K6" s="42">
        <v>1000.0</v>
      </c>
      <c r="L6" s="44">
        <f t="shared" si="5"/>
        <v>-500</v>
      </c>
      <c r="M6" s="45">
        <f t="shared" si="6"/>
        <v>-0.3333333333</v>
      </c>
    </row>
    <row r="7">
      <c r="A7" s="41" t="s">
        <v>22</v>
      </c>
      <c r="B7" s="42">
        <v>500.0</v>
      </c>
      <c r="C7" s="42">
        <v>0.5</v>
      </c>
      <c r="D7" s="43">
        <v>500.0</v>
      </c>
      <c r="E7" s="44">
        <f t="shared" si="1"/>
        <v>250</v>
      </c>
      <c r="F7" s="44">
        <f t="shared" si="2"/>
        <v>750</v>
      </c>
      <c r="G7" s="41">
        <v>0.0</v>
      </c>
      <c r="H7" s="43">
        <v>4000.0</v>
      </c>
      <c r="I7" s="45">
        <f t="shared" si="3"/>
        <v>0.125</v>
      </c>
      <c r="J7" s="44">
        <f t="shared" si="4"/>
        <v>0.1875</v>
      </c>
      <c r="K7" s="42">
        <v>1000.0</v>
      </c>
      <c r="L7" s="44">
        <f t="shared" si="5"/>
        <v>250</v>
      </c>
      <c r="M7" s="45">
        <f t="shared" si="6"/>
        <v>0.3333333333</v>
      </c>
      <c r="N7" s="46"/>
    </row>
    <row r="8">
      <c r="A8" s="41" t="s">
        <v>23</v>
      </c>
      <c r="B8" s="42">
        <v>10000.0</v>
      </c>
      <c r="C8" s="42">
        <v>0.0</v>
      </c>
      <c r="D8" s="43">
        <v>50000.0</v>
      </c>
      <c r="E8" s="44">
        <f t="shared" si="1"/>
        <v>0</v>
      </c>
      <c r="F8" s="44">
        <f t="shared" si="2"/>
        <v>10000</v>
      </c>
      <c r="G8" s="41">
        <v>20000.0</v>
      </c>
      <c r="H8" s="43">
        <v>1000000.0</v>
      </c>
      <c r="I8" s="45">
        <f t="shared" si="3"/>
        <v>0.05</v>
      </c>
      <c r="J8" s="44">
        <f t="shared" si="4"/>
        <v>0.01</v>
      </c>
      <c r="K8" s="42">
        <v>20000.0</v>
      </c>
      <c r="L8" s="44">
        <f t="shared" si="5"/>
        <v>10000</v>
      </c>
      <c r="M8" s="45">
        <f t="shared" si="6"/>
        <v>1</v>
      </c>
      <c r="N8" s="47" t="s">
        <v>24</v>
      </c>
    </row>
    <row r="9">
      <c r="A9" s="41" t="s">
        <v>25</v>
      </c>
      <c r="B9" s="42">
        <v>0.0</v>
      </c>
      <c r="C9" s="42">
        <v>2.5</v>
      </c>
      <c r="D9" s="43">
        <v>1000.0</v>
      </c>
      <c r="E9" s="44">
        <f t="shared" si="1"/>
        <v>2500</v>
      </c>
      <c r="F9" s="44">
        <f t="shared" si="2"/>
        <v>2500</v>
      </c>
      <c r="G9" s="41">
        <v>50.0</v>
      </c>
      <c r="H9" s="43">
        <v>12000.0</v>
      </c>
      <c r="I9" s="45">
        <f t="shared" si="3"/>
        <v>0.08333333333</v>
      </c>
      <c r="J9" s="44">
        <f t="shared" si="4"/>
        <v>0.2083333333</v>
      </c>
      <c r="K9" s="42">
        <v>1000.0</v>
      </c>
      <c r="L9" s="44">
        <f t="shared" si="5"/>
        <v>-1500</v>
      </c>
      <c r="M9" s="45">
        <f t="shared" si="6"/>
        <v>-0.6</v>
      </c>
    </row>
    <row r="10">
      <c r="A10" s="40" t="s">
        <v>26</v>
      </c>
      <c r="B10" s="48">
        <f>sum(B5:B9)</f>
        <v>11500</v>
      </c>
      <c r="C10" s="49"/>
      <c r="D10" s="50">
        <f t="shared" ref="D10:G10" si="7">sum(D5:D9)</f>
        <v>56800</v>
      </c>
      <c r="E10" s="48">
        <f t="shared" si="7"/>
        <v>9250</v>
      </c>
      <c r="F10" s="48">
        <f t="shared" si="7"/>
        <v>20750</v>
      </c>
      <c r="G10" s="50">
        <f t="shared" si="7"/>
        <v>20470</v>
      </c>
      <c r="H10" s="50">
        <f>SUM(H5:H9)</f>
        <v>1144000</v>
      </c>
      <c r="I10" s="51">
        <f t="shared" si="3"/>
        <v>0.04965034965</v>
      </c>
      <c r="J10" s="51">
        <f t="shared" si="4"/>
        <v>0.01813811189</v>
      </c>
      <c r="K10" s="48">
        <f t="shared" ref="K10:L10" si="8">SUM(K5:K9)</f>
        <v>33000</v>
      </c>
      <c r="L10" s="48">
        <f t="shared" si="8"/>
        <v>12250</v>
      </c>
      <c r="M10" s="51">
        <f t="shared" si="6"/>
        <v>0.5903614458</v>
      </c>
    </row>
    <row r="11">
      <c r="A11" s="52"/>
    </row>
  </sheetData>
  <mergeCells count="2">
    <mergeCell ref="A1:M3"/>
    <mergeCell ref="N8:Q9"/>
  </mergeCells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3" max="3" width="18.75"/>
    <col customWidth="1" min="4" max="4" width="9.75"/>
    <col customWidth="1" min="5" max="5" width="17.75"/>
    <col customWidth="1" min="6" max="6" width="11.0"/>
    <col customWidth="1" min="7" max="7" width="10.75"/>
    <col customWidth="1" min="8" max="8" width="13.0"/>
    <col customWidth="1" min="9" max="9" width="19.38"/>
    <col customWidth="1" min="10" max="10" width="8.0"/>
    <col customWidth="1" min="11" max="11" width="17.25"/>
    <col customWidth="1" min="12" max="13" width="9.75"/>
  </cols>
  <sheetData>
    <row r="1">
      <c r="A1" s="38" t="s">
        <v>27</v>
      </c>
      <c r="N1" s="39"/>
    </row>
    <row r="2">
      <c r="N2" s="39"/>
    </row>
    <row r="3">
      <c r="N3" s="39"/>
    </row>
    <row r="4">
      <c r="A4" s="40" t="s">
        <v>7</v>
      </c>
      <c r="B4" s="40" t="s">
        <v>8</v>
      </c>
      <c r="C4" s="40" t="s">
        <v>9</v>
      </c>
      <c r="D4" s="40" t="s">
        <v>10</v>
      </c>
      <c r="E4" s="40" t="s">
        <v>11</v>
      </c>
      <c r="F4" s="40" t="s">
        <v>12</v>
      </c>
      <c r="G4" s="40" t="s">
        <v>13</v>
      </c>
      <c r="H4" s="40" t="s">
        <v>14</v>
      </c>
      <c r="I4" s="40" t="s">
        <v>15</v>
      </c>
      <c r="J4" s="40" t="s">
        <v>16</v>
      </c>
      <c r="K4" s="40" t="s">
        <v>17</v>
      </c>
      <c r="L4" s="40" t="s">
        <v>18</v>
      </c>
      <c r="M4" s="40" t="s">
        <v>19</v>
      </c>
      <c r="N4" s="39"/>
    </row>
    <row r="5">
      <c r="A5" s="41" t="s">
        <v>20</v>
      </c>
      <c r="B5" s="42">
        <v>0.0</v>
      </c>
      <c r="C5" s="42">
        <v>0.0</v>
      </c>
      <c r="D5" s="43">
        <v>0.0</v>
      </c>
      <c r="E5" s="44">
        <f t="shared" ref="E5:E9" si="1">D5*C5</f>
        <v>0</v>
      </c>
      <c r="F5" s="44">
        <f t="shared" ref="F5:F9" si="2">E5+B5</f>
        <v>0</v>
      </c>
      <c r="G5" s="41">
        <v>0.0</v>
      </c>
      <c r="H5" s="43">
        <v>0.0</v>
      </c>
      <c r="I5" s="45" t="str">
        <f t="shared" ref="I5:I10" si="3">D5/H5</f>
        <v>#DIV/0!</v>
      </c>
      <c r="J5" s="44" t="str">
        <f t="shared" ref="J5:J10" si="4">F5/H5</f>
        <v>#DIV/0!</v>
      </c>
      <c r="K5" s="42">
        <v>0.0</v>
      </c>
      <c r="L5" s="44">
        <f t="shared" ref="L5:L9" si="5">(K5-F5)</f>
        <v>0</v>
      </c>
      <c r="M5" s="45" t="str">
        <f t="shared" ref="M5:M10" si="6">(K5-F5)/F5</f>
        <v>#DIV/0!</v>
      </c>
    </row>
    <row r="6">
      <c r="A6" s="41" t="s">
        <v>21</v>
      </c>
      <c r="B6" s="42">
        <v>0.0</v>
      </c>
      <c r="C6" s="42">
        <v>0.0</v>
      </c>
      <c r="D6" s="43">
        <v>0.0</v>
      </c>
      <c r="E6" s="44">
        <f t="shared" si="1"/>
        <v>0</v>
      </c>
      <c r="F6" s="44">
        <f t="shared" si="2"/>
        <v>0</v>
      </c>
      <c r="G6" s="41">
        <v>0.0</v>
      </c>
      <c r="H6" s="43">
        <v>0.0</v>
      </c>
      <c r="I6" s="45" t="str">
        <f t="shared" si="3"/>
        <v>#DIV/0!</v>
      </c>
      <c r="J6" s="44" t="str">
        <f t="shared" si="4"/>
        <v>#DIV/0!</v>
      </c>
      <c r="K6" s="42">
        <v>0.0</v>
      </c>
      <c r="L6" s="44">
        <f t="shared" si="5"/>
        <v>0</v>
      </c>
      <c r="M6" s="45" t="str">
        <f t="shared" si="6"/>
        <v>#DIV/0!</v>
      </c>
    </row>
    <row r="7">
      <c r="A7" s="41" t="s">
        <v>22</v>
      </c>
      <c r="B7" s="42">
        <v>0.0</v>
      </c>
      <c r="C7" s="42">
        <v>0.0</v>
      </c>
      <c r="D7" s="43">
        <v>0.0</v>
      </c>
      <c r="E7" s="44">
        <f t="shared" si="1"/>
        <v>0</v>
      </c>
      <c r="F7" s="44">
        <f t="shared" si="2"/>
        <v>0</v>
      </c>
      <c r="G7" s="41">
        <v>0.0</v>
      </c>
      <c r="H7" s="43">
        <v>0.0</v>
      </c>
      <c r="I7" s="45" t="str">
        <f t="shared" si="3"/>
        <v>#DIV/0!</v>
      </c>
      <c r="J7" s="44" t="str">
        <f t="shared" si="4"/>
        <v>#DIV/0!</v>
      </c>
      <c r="K7" s="42">
        <v>0.0</v>
      </c>
      <c r="L7" s="44">
        <f t="shared" si="5"/>
        <v>0</v>
      </c>
      <c r="M7" s="45" t="str">
        <f t="shared" si="6"/>
        <v>#DIV/0!</v>
      </c>
      <c r="N7" s="46"/>
    </row>
    <row r="8">
      <c r="A8" s="41" t="s">
        <v>23</v>
      </c>
      <c r="B8" s="42">
        <v>0.0</v>
      </c>
      <c r="C8" s="42">
        <v>0.0</v>
      </c>
      <c r="D8" s="43">
        <v>0.0</v>
      </c>
      <c r="E8" s="44">
        <f t="shared" si="1"/>
        <v>0</v>
      </c>
      <c r="F8" s="44">
        <f t="shared" si="2"/>
        <v>0</v>
      </c>
      <c r="G8" s="41">
        <v>0.0</v>
      </c>
      <c r="H8" s="43">
        <v>0.0</v>
      </c>
      <c r="I8" s="45" t="str">
        <f t="shared" si="3"/>
        <v>#DIV/0!</v>
      </c>
      <c r="J8" s="44" t="str">
        <f t="shared" si="4"/>
        <v>#DIV/0!</v>
      </c>
      <c r="K8" s="42">
        <v>0.0</v>
      </c>
      <c r="L8" s="44">
        <f t="shared" si="5"/>
        <v>0</v>
      </c>
      <c r="M8" s="45" t="str">
        <f t="shared" si="6"/>
        <v>#DIV/0!</v>
      </c>
      <c r="N8" s="47" t="s">
        <v>24</v>
      </c>
    </row>
    <row r="9">
      <c r="A9" s="41" t="s">
        <v>25</v>
      </c>
      <c r="B9" s="42">
        <v>0.0</v>
      </c>
      <c r="C9" s="42">
        <v>0.0</v>
      </c>
      <c r="D9" s="43">
        <v>0.0</v>
      </c>
      <c r="E9" s="44">
        <f t="shared" si="1"/>
        <v>0</v>
      </c>
      <c r="F9" s="44">
        <f t="shared" si="2"/>
        <v>0</v>
      </c>
      <c r="G9" s="41">
        <v>0.0</v>
      </c>
      <c r="H9" s="43">
        <v>0.0</v>
      </c>
      <c r="I9" s="45" t="str">
        <f t="shared" si="3"/>
        <v>#DIV/0!</v>
      </c>
      <c r="J9" s="44" t="str">
        <f t="shared" si="4"/>
        <v>#DIV/0!</v>
      </c>
      <c r="K9" s="42">
        <v>0.0</v>
      </c>
      <c r="L9" s="44">
        <f t="shared" si="5"/>
        <v>0</v>
      </c>
      <c r="M9" s="45" t="str">
        <f t="shared" si="6"/>
        <v>#DIV/0!</v>
      </c>
    </row>
    <row r="10">
      <c r="A10" s="40" t="s">
        <v>26</v>
      </c>
      <c r="B10" s="48">
        <f>sum(B5:B9)</f>
        <v>0</v>
      </c>
      <c r="C10" s="49"/>
      <c r="D10" s="50">
        <f t="shared" ref="D10:G10" si="7">sum(D5:D9)</f>
        <v>0</v>
      </c>
      <c r="E10" s="48">
        <f t="shared" si="7"/>
        <v>0</v>
      </c>
      <c r="F10" s="48">
        <f t="shared" si="7"/>
        <v>0</v>
      </c>
      <c r="G10" s="50">
        <f t="shared" si="7"/>
        <v>0</v>
      </c>
      <c r="H10" s="50">
        <f>SUM(H5:H9)</f>
        <v>0</v>
      </c>
      <c r="I10" s="51" t="str">
        <f t="shared" si="3"/>
        <v>#DIV/0!</v>
      </c>
      <c r="J10" s="51" t="str">
        <f t="shared" si="4"/>
        <v>#DIV/0!</v>
      </c>
      <c r="K10" s="48">
        <f t="shared" ref="K10:L10" si="8">SUM(K5:K9)</f>
        <v>0</v>
      </c>
      <c r="L10" s="48">
        <f t="shared" si="8"/>
        <v>0</v>
      </c>
      <c r="M10" s="51" t="str">
        <f t="shared" si="6"/>
        <v>#DIV/0!</v>
      </c>
    </row>
    <row r="11">
      <c r="A11" s="52"/>
    </row>
  </sheetData>
  <mergeCells count="2">
    <mergeCell ref="A1:M3"/>
    <mergeCell ref="N8:Q9"/>
  </mergeCells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3" max="3" width="18.75"/>
    <col customWidth="1" min="4" max="4" width="15.75"/>
    <col customWidth="1" min="5" max="5" width="16.0"/>
    <col customWidth="1" min="6" max="6" width="13.63"/>
    <col customWidth="1" min="7" max="8" width="12.13"/>
    <col customWidth="1" min="9" max="9" width="19.38"/>
    <col customWidth="1" min="10" max="10" width="17.25"/>
  </cols>
  <sheetData>
    <row r="1">
      <c r="A1" s="38" t="s">
        <v>28</v>
      </c>
      <c r="K1" s="39"/>
    </row>
    <row r="2">
      <c r="K2" s="39"/>
    </row>
    <row r="3">
      <c r="K3" s="39"/>
    </row>
    <row r="4">
      <c r="A4" s="40" t="s">
        <v>29</v>
      </c>
      <c r="B4" s="40" t="s">
        <v>8</v>
      </c>
      <c r="C4" s="40" t="s">
        <v>9</v>
      </c>
      <c r="D4" s="40" t="s">
        <v>30</v>
      </c>
      <c r="E4" s="40" t="s">
        <v>11</v>
      </c>
      <c r="F4" s="40" t="s">
        <v>31</v>
      </c>
      <c r="G4" s="40" t="s">
        <v>13</v>
      </c>
      <c r="H4" s="40" t="s">
        <v>14</v>
      </c>
      <c r="I4" s="40" t="s">
        <v>12</v>
      </c>
      <c r="J4" s="40" t="s">
        <v>32</v>
      </c>
      <c r="K4" s="39"/>
    </row>
    <row r="5">
      <c r="A5" s="41" t="s">
        <v>20</v>
      </c>
      <c r="B5" s="42">
        <v>1000.0</v>
      </c>
      <c r="C5" s="42">
        <v>1.0</v>
      </c>
      <c r="D5" s="43">
        <v>5000.0</v>
      </c>
      <c r="E5" s="44">
        <f t="shared" ref="E5:E9" si="1">D5*C5</f>
        <v>5000</v>
      </c>
      <c r="F5" s="44">
        <f t="shared" ref="F5:F9" si="2">E5+B5</f>
        <v>6000</v>
      </c>
      <c r="G5" s="43">
        <v>50.0</v>
      </c>
      <c r="H5" s="43">
        <v>100000.0</v>
      </c>
      <c r="I5" s="42">
        <v>1000.0</v>
      </c>
      <c r="J5" s="42">
        <f t="shared" ref="J5:J9" si="3">F5-I5</f>
        <v>5000</v>
      </c>
    </row>
    <row r="6">
      <c r="A6" s="41" t="s">
        <v>21</v>
      </c>
      <c r="B6" s="42">
        <v>0.0</v>
      </c>
      <c r="C6" s="42">
        <v>5.0</v>
      </c>
      <c r="D6" s="43">
        <v>300.0</v>
      </c>
      <c r="E6" s="44">
        <f t="shared" si="1"/>
        <v>1500</v>
      </c>
      <c r="F6" s="44">
        <f t="shared" si="2"/>
        <v>1500</v>
      </c>
      <c r="G6" s="43">
        <v>20.0</v>
      </c>
      <c r="H6" s="43">
        <v>28000.0</v>
      </c>
      <c r="I6" s="42">
        <v>500.0</v>
      </c>
      <c r="J6" s="42">
        <f t="shared" si="3"/>
        <v>1000</v>
      </c>
    </row>
    <row r="7">
      <c r="A7" s="41" t="s">
        <v>22</v>
      </c>
      <c r="B7" s="42">
        <v>500.0</v>
      </c>
      <c r="C7" s="42">
        <v>0.5</v>
      </c>
      <c r="D7" s="43">
        <v>500.0</v>
      </c>
      <c r="E7" s="44">
        <f t="shared" si="1"/>
        <v>250</v>
      </c>
      <c r="F7" s="44">
        <f t="shared" si="2"/>
        <v>750</v>
      </c>
      <c r="G7" s="43">
        <v>200.0</v>
      </c>
      <c r="H7" s="43">
        <v>4000.0</v>
      </c>
      <c r="I7" s="42">
        <v>0.0</v>
      </c>
      <c r="J7" s="42">
        <f t="shared" si="3"/>
        <v>750</v>
      </c>
      <c r="K7" s="46"/>
    </row>
    <row r="8">
      <c r="A8" s="41" t="s">
        <v>23</v>
      </c>
      <c r="B8" s="42">
        <v>10000.0</v>
      </c>
      <c r="C8" s="42">
        <v>0.0</v>
      </c>
      <c r="D8" s="43">
        <v>50000.0</v>
      </c>
      <c r="E8" s="44">
        <f t="shared" si="1"/>
        <v>0</v>
      </c>
      <c r="F8" s="44">
        <f t="shared" si="2"/>
        <v>10000</v>
      </c>
      <c r="G8" s="43">
        <v>10.0</v>
      </c>
      <c r="H8" s="43">
        <v>1000000.0</v>
      </c>
      <c r="I8" s="42">
        <v>0.0</v>
      </c>
      <c r="J8" s="42">
        <f t="shared" si="3"/>
        <v>10000</v>
      </c>
      <c r="K8" s="47" t="s">
        <v>24</v>
      </c>
    </row>
    <row r="9">
      <c r="A9" s="41" t="s">
        <v>25</v>
      </c>
      <c r="B9" s="42">
        <v>0.0</v>
      </c>
      <c r="C9" s="42">
        <v>2.5</v>
      </c>
      <c r="D9" s="43">
        <v>1000.0</v>
      </c>
      <c r="E9" s="44">
        <f t="shared" si="1"/>
        <v>2500</v>
      </c>
      <c r="F9" s="44">
        <f t="shared" si="2"/>
        <v>2500</v>
      </c>
      <c r="G9" s="43">
        <v>90.0</v>
      </c>
      <c r="H9" s="43">
        <v>12000.0</v>
      </c>
      <c r="I9" s="42">
        <v>0.0</v>
      </c>
      <c r="J9" s="42">
        <f t="shared" si="3"/>
        <v>2500</v>
      </c>
    </row>
    <row r="10">
      <c r="A10" s="40" t="s">
        <v>26</v>
      </c>
      <c r="B10" s="48">
        <f>sum(B5:B9)</f>
        <v>11500</v>
      </c>
      <c r="C10" s="49"/>
      <c r="D10" s="50">
        <f t="shared" ref="D10:G10" si="4">sum(D5:D9)</f>
        <v>56800</v>
      </c>
      <c r="E10" s="48">
        <f t="shared" si="4"/>
        <v>9250</v>
      </c>
      <c r="F10" s="48">
        <f t="shared" si="4"/>
        <v>20750</v>
      </c>
      <c r="G10" s="50">
        <f t="shared" si="4"/>
        <v>370</v>
      </c>
      <c r="H10" s="50">
        <f t="shared" ref="H10:J10" si="5">SUM(H5:H9)</f>
        <v>1144000</v>
      </c>
      <c r="I10" s="48">
        <f t="shared" si="5"/>
        <v>1500</v>
      </c>
      <c r="J10" s="48">
        <f t="shared" si="5"/>
        <v>19250</v>
      </c>
    </row>
    <row r="11">
      <c r="A11" s="52"/>
    </row>
  </sheetData>
  <mergeCells count="2">
    <mergeCell ref="A1:J3"/>
    <mergeCell ref="K8:N9"/>
  </mergeCells>
  <drawing r:id="rId2"/>
  <legacyDrawing r:id="rId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3" max="3" width="18.75"/>
    <col customWidth="1" min="4" max="4" width="15.75"/>
    <col customWidth="1" min="5" max="5" width="16.0"/>
    <col customWidth="1" min="6" max="6" width="13.63"/>
    <col customWidth="1" min="7" max="8" width="12.13"/>
    <col customWidth="1" min="9" max="9" width="19.38"/>
    <col customWidth="1" min="10" max="10" width="17.25"/>
  </cols>
  <sheetData>
    <row r="1">
      <c r="A1" s="38" t="s">
        <v>33</v>
      </c>
      <c r="K1" s="39"/>
    </row>
    <row r="2">
      <c r="K2" s="39"/>
    </row>
    <row r="3">
      <c r="K3" s="39"/>
    </row>
    <row r="4">
      <c r="A4" s="40" t="s">
        <v>29</v>
      </c>
      <c r="B4" s="40" t="s">
        <v>8</v>
      </c>
      <c r="C4" s="40" t="s">
        <v>9</v>
      </c>
      <c r="D4" s="40" t="s">
        <v>30</v>
      </c>
      <c r="E4" s="40" t="s">
        <v>11</v>
      </c>
      <c r="F4" s="40" t="s">
        <v>31</v>
      </c>
      <c r="G4" s="40" t="s">
        <v>13</v>
      </c>
      <c r="H4" s="40" t="s">
        <v>14</v>
      </c>
      <c r="I4" s="40" t="s">
        <v>12</v>
      </c>
      <c r="J4" s="40" t="s">
        <v>32</v>
      </c>
      <c r="K4" s="39"/>
    </row>
    <row r="5">
      <c r="A5" s="41" t="s">
        <v>20</v>
      </c>
      <c r="B5" s="42">
        <v>0.0</v>
      </c>
      <c r="C5" s="42">
        <v>0.0</v>
      </c>
      <c r="D5" s="43">
        <v>0.0</v>
      </c>
      <c r="E5" s="44">
        <f t="shared" ref="E5:E9" si="1">D5*C5</f>
        <v>0</v>
      </c>
      <c r="F5" s="44">
        <f t="shared" ref="F5:F9" si="2">E5+B5</f>
        <v>0</v>
      </c>
      <c r="G5" s="43">
        <v>0.0</v>
      </c>
      <c r="H5" s="43">
        <v>0.0</v>
      </c>
      <c r="I5" s="42">
        <v>0.0</v>
      </c>
      <c r="J5" s="42">
        <f t="shared" ref="J5:J9" si="3">F5-I5</f>
        <v>0</v>
      </c>
    </row>
    <row r="6">
      <c r="A6" s="41" t="s">
        <v>21</v>
      </c>
      <c r="B6" s="42">
        <v>0.0</v>
      </c>
      <c r="C6" s="42">
        <v>0.0</v>
      </c>
      <c r="D6" s="43">
        <v>0.0</v>
      </c>
      <c r="E6" s="44">
        <f t="shared" si="1"/>
        <v>0</v>
      </c>
      <c r="F6" s="44">
        <f t="shared" si="2"/>
        <v>0</v>
      </c>
      <c r="G6" s="43">
        <v>0.0</v>
      </c>
      <c r="H6" s="43">
        <v>0.0</v>
      </c>
      <c r="I6" s="42">
        <v>0.0</v>
      </c>
      <c r="J6" s="42">
        <f t="shared" si="3"/>
        <v>0</v>
      </c>
    </row>
    <row r="7">
      <c r="A7" s="41" t="s">
        <v>22</v>
      </c>
      <c r="B7" s="42">
        <v>0.0</v>
      </c>
      <c r="C7" s="42">
        <v>0.0</v>
      </c>
      <c r="D7" s="43">
        <v>0.0</v>
      </c>
      <c r="E7" s="44">
        <f t="shared" si="1"/>
        <v>0</v>
      </c>
      <c r="F7" s="44">
        <f t="shared" si="2"/>
        <v>0</v>
      </c>
      <c r="G7" s="43">
        <v>0.0</v>
      </c>
      <c r="H7" s="43">
        <v>0.0</v>
      </c>
      <c r="I7" s="42">
        <v>0.0</v>
      </c>
      <c r="J7" s="42">
        <f t="shared" si="3"/>
        <v>0</v>
      </c>
      <c r="K7" s="46"/>
    </row>
    <row r="8">
      <c r="A8" s="41" t="s">
        <v>23</v>
      </c>
      <c r="B8" s="42">
        <v>0.0</v>
      </c>
      <c r="C8" s="42">
        <v>0.0</v>
      </c>
      <c r="D8" s="43">
        <v>0.0</v>
      </c>
      <c r="E8" s="44">
        <f t="shared" si="1"/>
        <v>0</v>
      </c>
      <c r="F8" s="44">
        <f t="shared" si="2"/>
        <v>0</v>
      </c>
      <c r="G8" s="43">
        <v>0.0</v>
      </c>
      <c r="H8" s="43">
        <v>0.0</v>
      </c>
      <c r="I8" s="42">
        <v>0.0</v>
      </c>
      <c r="J8" s="42">
        <f t="shared" si="3"/>
        <v>0</v>
      </c>
      <c r="K8" s="47" t="s">
        <v>24</v>
      </c>
    </row>
    <row r="9">
      <c r="A9" s="41" t="s">
        <v>25</v>
      </c>
      <c r="B9" s="42">
        <v>0.0</v>
      </c>
      <c r="C9" s="42">
        <v>0.0</v>
      </c>
      <c r="D9" s="43">
        <v>0.0</v>
      </c>
      <c r="E9" s="44">
        <f t="shared" si="1"/>
        <v>0</v>
      </c>
      <c r="F9" s="44">
        <f t="shared" si="2"/>
        <v>0</v>
      </c>
      <c r="G9" s="43">
        <v>0.0</v>
      </c>
      <c r="H9" s="43">
        <v>0.0</v>
      </c>
      <c r="I9" s="42">
        <v>0.0</v>
      </c>
      <c r="J9" s="42">
        <f t="shared" si="3"/>
        <v>0</v>
      </c>
    </row>
    <row r="10">
      <c r="A10" s="40" t="s">
        <v>26</v>
      </c>
      <c r="B10" s="48">
        <f>sum(B5:B9)</f>
        <v>0</v>
      </c>
      <c r="C10" s="49"/>
      <c r="D10" s="50">
        <f t="shared" ref="D10:G10" si="4">sum(D5:D9)</f>
        <v>0</v>
      </c>
      <c r="E10" s="48">
        <f t="shared" si="4"/>
        <v>0</v>
      </c>
      <c r="F10" s="48">
        <f t="shared" si="4"/>
        <v>0</v>
      </c>
      <c r="G10" s="50">
        <f t="shared" si="4"/>
        <v>0</v>
      </c>
      <c r="H10" s="50">
        <f t="shared" ref="H10:J10" si="5">SUM(H5:H9)</f>
        <v>0</v>
      </c>
      <c r="I10" s="48">
        <f t="shared" si="5"/>
        <v>0</v>
      </c>
      <c r="J10" s="48">
        <f t="shared" si="5"/>
        <v>0</v>
      </c>
    </row>
    <row r="11">
      <c r="A11" s="52"/>
    </row>
  </sheetData>
  <mergeCells count="2">
    <mergeCell ref="A1:J3"/>
    <mergeCell ref="K8:N9"/>
  </mergeCells>
  <drawing r:id="rId2"/>
  <legacyDrawing r:id="rId3"/>
  <tableParts count="1">
    <tablePart r:id="rId5"/>
  </tableParts>
</worksheet>
</file>