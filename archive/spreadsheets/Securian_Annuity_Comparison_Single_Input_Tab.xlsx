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Inputs" sheetId="1" state="visible" r:id="rId1"/>
    <sheet xmlns:r="http://schemas.openxmlformats.org/officeDocument/2006/relationships" name="Best Solution" sheetId="2" state="visible" r:id="rId2"/>
    <sheet xmlns:r="http://schemas.openxmlformats.org/officeDocument/2006/relationships" name="Automated Analysis" sheetId="3" state="visible" r:id="rId3"/>
    <sheet xmlns:r="http://schemas.openxmlformats.org/officeDocument/2006/relationships" name="Growth Calculator" sheetId="4" state="visible" r:id="rId4"/>
    <sheet xmlns:r="http://schemas.openxmlformats.org/officeDocument/2006/relationships" name="Surrender &amp; Withdrawal Strategy" sheetId="5" state="visible" r:id="rId5"/>
    <sheet xmlns:r="http://schemas.openxmlformats.org/officeDocument/2006/relationships" name="Legacy &amp; Death Benefit" sheetId="6" state="visible" r:id="rId6"/>
    <sheet xmlns:r="http://schemas.openxmlformats.org/officeDocument/2006/relationships" name="Annuity Issue Ages &amp; Benefits" sheetId="7" state="visible" r:id="rId7"/>
    <sheet xmlns:r="http://schemas.openxmlformats.org/officeDocument/2006/relationships" name="Filter by Age" sheetId="8" state="visible" r:id="rId8"/>
    <sheet xmlns:r="http://schemas.openxmlformats.org/officeDocument/2006/relationships" name="Index Crediting Rates" sheetId="9" state="visible" r:id="rId9"/>
    <sheet xmlns:r="http://schemas.openxmlformats.org/officeDocument/2006/relationships" name="Visual Analysis" sheetId="10" state="visible" r:id="rId10"/>
  </sheets>
  <definedNames/>
  <calcPr calcId="124519" fullCalcOnLoad="1"/>
</workbook>
</file>

<file path=xl/styles.xml><?xml version="1.0" encoding="utf-8"?>
<styleSheet xmlns="http://schemas.openxmlformats.org/spreadsheetml/2006/main">
  <numFmts count="1">
    <numFmt numFmtId="164" formatCode="&quot;$&quot;#,##0.00"/>
  </numFmts>
  <fonts count="8">
    <font>
      <name val="Calibri"/>
      <family val="2"/>
      <color theme="1"/>
      <sz val="11"/>
      <scheme val="minor"/>
    </font>
    <font>
      <name val="Arial"/>
      <b val="1"/>
      <color rgb="00FFFFFF"/>
    </font>
    <font>
      <name val="Arial"/>
      <color rgb="00333333"/>
    </font>
    <font>
      <name val="Arial"/>
      <b val="1"/>
      <color rgb="000AA147"/>
    </font>
    <font>
      <name val="Arial"/>
      <b val="1"/>
      <color rgb="000AA147"/>
      <sz val="14"/>
    </font>
    <font>
      <name val="Arial"/>
      <b val="1"/>
      <color rgb="00006DAF"/>
      <sz val="12"/>
    </font>
    <font>
      <name val="Arial"/>
      <i val="1"/>
      <color rgb="00333333"/>
      <sz val="11"/>
    </font>
    <font>
      <name val="Arial"/>
      <b val="1"/>
      <color rgb="00FF0000"/>
      <sz val="12"/>
    </font>
  </fonts>
  <fills count="7">
    <fill>
      <patternFill/>
    </fill>
    <fill>
      <patternFill patternType="gray125"/>
    </fill>
    <fill>
      <patternFill patternType="solid">
        <fgColor rgb="00006DAF"/>
        <bgColor rgb="00006DAF"/>
      </patternFill>
    </fill>
    <fill>
      <patternFill patternType="solid">
        <fgColor rgb="000AA147"/>
        <bgColor rgb="000AA147"/>
      </patternFill>
    </fill>
    <fill>
      <patternFill patternType="solid">
        <fgColor rgb="0095C93D"/>
        <bgColor rgb="0095C93D"/>
      </patternFill>
    </fill>
    <fill>
      <patternFill patternType="solid">
        <fgColor rgb="00FFFF99"/>
        <bgColor rgb="00FFFF99"/>
      </patternFill>
    </fill>
    <fill>
      <patternFill patternType="solid"/>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6" borderId="0" applyAlignment="1" pivotButton="0" quotePrefix="0" xfId="0">
      <alignment horizontal="center" vertical="center"/>
    </xf>
    <xf numFmtId="0" fontId="2" fillId="0" borderId="0" applyAlignment="1" pivotButton="0" quotePrefix="0" xfId="0">
      <alignment horizontal="left" vertical="center"/>
    </xf>
    <xf numFmtId="0" fontId="2" fillId="4" borderId="0" applyAlignment="1" pivotButton="0" quotePrefix="0" xfId="0">
      <alignment horizontal="left" vertical="center"/>
    </xf>
    <xf numFmtId="0" fontId="1" fillId="4" borderId="0" applyAlignment="1" pivotButton="0" quotePrefix="0" xfId="0">
      <alignment horizontal="center" vertical="center"/>
    </xf>
    <xf numFmtId="0" fontId="1" fillId="4" borderId="0" applyAlignment="1" pivotButton="0" quotePrefix="0" xfId="0">
      <alignment horizontal="center" vertical="center"/>
    </xf>
    <xf numFmtId="0" fontId="4" fillId="6" borderId="0" applyAlignment="1" pivotButton="0" quotePrefix="0" xfId="0">
      <alignment horizontal="center" vertical="center"/>
    </xf>
    <xf numFmtId="0" fontId="5" fillId="0" borderId="0" pivotButton="0" quotePrefix="0" xfId="0"/>
    <xf numFmtId="0" fontId="5" fillId="0" borderId="0" pivotButton="0" quotePrefix="0" xfId="0"/>
    <xf numFmtId="0" fontId="2" fillId="5" borderId="0" applyAlignment="1" pivotButton="0" quotePrefix="0" xfId="0">
      <alignment horizontal="left" vertical="center"/>
    </xf>
    <xf numFmtId="0" fontId="0" fillId="5" borderId="0" pivotButton="0" quotePrefix="0" xfId="0"/>
    <xf numFmtId="0" fontId="5" fillId="0" borderId="0" pivotButton="0" quotePrefix="0" xfId="0"/>
    <xf numFmtId="164" fontId="3" fillId="0" borderId="0" applyAlignment="1" pivotButton="0" quotePrefix="0" xfId="0">
      <alignment horizontal="left" vertical="center"/>
    </xf>
    <xf numFmtId="0" fontId="4" fillId="6" borderId="0" applyAlignment="1" pivotButton="0" quotePrefix="0" xfId="0">
      <alignment horizontal="center" vertical="center"/>
    </xf>
    <xf numFmtId="0" fontId="5" fillId="2" borderId="0" applyAlignment="1" pivotButton="0" quotePrefix="0" xfId="0">
      <alignment horizontal="left" vertical="center"/>
    </xf>
    <xf numFmtId="0" fontId="4" fillId="6" borderId="0" applyAlignment="1" pivotButton="0" quotePrefix="0" xfId="0">
      <alignment horizontal="center" vertical="center"/>
    </xf>
    <xf numFmtId="0" fontId="1" fillId="6" borderId="0" applyAlignment="1" pivotButton="0" quotePrefix="0" xfId="0">
      <alignment horizontal="center" vertical="center"/>
    </xf>
    <xf numFmtId="0" fontId="5" fillId="2" borderId="0" applyAlignment="1" pivotButton="0" quotePrefix="0" xfId="0">
      <alignment horizontal="left" vertical="center"/>
    </xf>
    <xf numFmtId="0" fontId="5" fillId="0" borderId="0" applyAlignment="1" pivotButton="0" quotePrefix="0" xfId="0">
      <alignment horizontal="left" vertical="center"/>
    </xf>
    <xf numFmtId="164" fontId="3" fillId="0" borderId="0" applyAlignment="1" pivotButton="0" quotePrefix="0" xfId="0">
      <alignment horizontal="left" vertical="center"/>
    </xf>
    <xf numFmtId="0" fontId="6" fillId="0" borderId="0" pivotButton="0" quotePrefix="0" xfId="0"/>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8" t="inlineStr">
        <is>
          <t>Securian Annuity Comparison Tool - User Inputs</t>
        </is>
      </c>
      <c r="B1" s="19" t="n"/>
    </row>
    <row r="2">
      <c r="A2" s="10" t="inlineStr">
        <is>
          <t>Instructions: Fill in the fields below to customize your annuity comparison.</t>
        </is>
      </c>
    </row>
    <row r="3">
      <c r="A3" s="10" t="inlineStr">
        <is>
          <t>Annuitant's Name</t>
        </is>
      </c>
      <c r="B3" s="13" t="n"/>
    </row>
    <row r="4">
      <c r="A4" s="20" t="inlineStr">
        <is>
          <t>Annuitant's Date of Birth</t>
        </is>
      </c>
      <c r="B4" s="12" t="n"/>
    </row>
    <row r="5">
      <c r="A5" s="10" t="inlineStr">
        <is>
          <t>Annuitant's Gender</t>
        </is>
      </c>
      <c r="B5" s="13" t="n"/>
    </row>
    <row r="6">
      <c r="A6" s="21" t="inlineStr">
        <is>
          <t>Annuitant’s Age</t>
        </is>
      </c>
      <c r="B6" s="12" t="inlineStr">
        <is>
          <t>Dropdown: Income, Legacy, Protection, Growth</t>
        </is>
      </c>
    </row>
    <row r="7">
      <c r="A7" s="10" t="inlineStr">
        <is>
          <t>Joint Annuitant's Name (if applicable)</t>
        </is>
      </c>
      <c r="B7" s="13" t="n"/>
    </row>
    <row r="8">
      <c r="A8" s="10" t="inlineStr">
        <is>
          <t>Joint Annuitant's Date of Birth</t>
        </is>
      </c>
      <c r="B8" s="13" t="n"/>
    </row>
    <row r="9">
      <c r="A9" s="10" t="inlineStr">
        <is>
          <t>Joint Annuitant's Gender</t>
        </is>
      </c>
      <c r="B9" s="13" t="n"/>
    </row>
    <row r="10">
      <c r="A10" s="10" t="inlineStr">
        <is>
          <t>Joint Annuitant’s Age</t>
        </is>
      </c>
      <c r="B10" s="13" t="n"/>
    </row>
    <row r="11">
      <c r="A11" s="10" t="inlineStr">
        <is>
          <t>Issue State</t>
        </is>
      </c>
      <c r="B11" s="13" t="n"/>
    </row>
    <row r="12">
      <c r="A12" s="21" t="inlineStr">
        <is>
          <t>Plan Type (Non-Qualified, IRA, Roth-IRA)</t>
        </is>
      </c>
      <c r="B12" s="12" t="inlineStr">
        <is>
          <t>User enters age</t>
        </is>
      </c>
    </row>
    <row r="13">
      <c r="A13" s="21" t="inlineStr">
        <is>
          <t>Product Selection</t>
        </is>
      </c>
      <c r="B13" s="12" t="inlineStr">
        <is>
          <t>User enters years</t>
        </is>
      </c>
    </row>
    <row r="14">
      <c r="A14" s="21" t="inlineStr">
        <is>
          <t>Selected Riders</t>
        </is>
      </c>
      <c r="B14" s="12" t="n">
        <v>100000</v>
      </c>
    </row>
    <row r="15">
      <c r="A15" s="21" t="inlineStr">
        <is>
          <t>Initial Contributions ($)</t>
        </is>
      </c>
      <c r="B15" s="12" t="inlineStr">
        <is>
          <t>Enter amount and frequency</t>
        </is>
      </c>
    </row>
    <row r="16">
      <c r="A16" s="21" t="inlineStr">
        <is>
          <t>Additional Contributions ($)</t>
        </is>
      </c>
      <c r="B16" s="12" t="inlineStr">
        <is>
          <t>Fixed Amount / % of Contract / RMD</t>
        </is>
      </c>
    </row>
    <row r="17">
      <c r="A17" s="21" t="inlineStr">
        <is>
          <t>Contribution Frequency</t>
        </is>
      </c>
      <c r="B17" s="12" t="inlineStr">
        <is>
          <t>Non-Qualified / IRA / Roth-IRA</t>
        </is>
      </c>
    </row>
    <row r="18">
      <c r="A18" s="21" t="inlineStr">
        <is>
          <t>Withdrawals ($ or %)</t>
        </is>
      </c>
      <c r="B18" s="12" t="inlineStr">
        <is>
          <t>Select from dropdown</t>
        </is>
      </c>
    </row>
    <row r="19">
      <c r="A19" s="21" t="inlineStr">
        <is>
          <t>Withdrawal Frequency</t>
        </is>
      </c>
      <c r="B19" s="12" t="inlineStr">
        <is>
          <t>List selected riders</t>
        </is>
      </c>
    </row>
    <row r="20">
      <c r="A20" s="21" t="inlineStr">
        <is>
          <t>Allocation Choices</t>
        </is>
      </c>
      <c r="B20" s="12" t="inlineStr">
        <is>
          <t>Enter % allocation strategy</t>
        </is>
      </c>
    </row>
    <row r="21">
      <c r="A21" s="21" t="inlineStr">
        <is>
          <t>Expected Return Rate (%)</t>
        </is>
      </c>
      <c r="B21" s="12" t="inlineStr">
        <is>
          <t>Track historical returns</t>
        </is>
      </c>
    </row>
    <row r="22">
      <c r="A22" s="21" t="inlineStr">
        <is>
          <t>Years Until Goal</t>
        </is>
      </c>
      <c r="B22" s="12" t="inlineStr">
        <is>
          <t>Enter name</t>
        </is>
      </c>
    </row>
    <row r="23">
      <c r="A23" s="21" t="inlineStr">
        <is>
          <t>Historical Performance Consideration (Yes/No)</t>
        </is>
      </c>
      <c r="B23" s="12" t="inlineStr">
        <is>
          <t>MM/DD/YYYY</t>
        </is>
      </c>
    </row>
    <row r="24">
      <c r="A24" s="21" t="inlineStr">
        <is>
          <t>Desired Goal (Growth, Income, Legacy, Protection)</t>
        </is>
      </c>
      <c r="B24" s="12" t="inlineStr">
        <is>
          <t>Male / Female</t>
        </is>
      </c>
    </row>
    <row r="25">
      <c r="A25" s="21" t="inlineStr">
        <is>
          <t>SecureLink Ultra with Cap Rate (%)</t>
        </is>
      </c>
      <c r="B25" s="12" t="inlineStr">
        <is>
          <t>Calculated based on DOB</t>
        </is>
      </c>
    </row>
    <row r="26">
      <c r="A26" s="21" t="inlineStr">
        <is>
          <t>SecureLink Ultra with Guaranteed Cap Rate (%)</t>
        </is>
      </c>
      <c r="B26" s="12" t="inlineStr">
        <is>
          <t>Enter name</t>
        </is>
      </c>
    </row>
    <row r="27">
      <c r="A27" s="21" t="inlineStr">
        <is>
          <t>SecureLink Ultra with Performance Trigger (%)</t>
        </is>
      </c>
      <c r="B27" s="12" t="inlineStr">
        <is>
          <t>MM/DD/YYYY</t>
        </is>
      </c>
    </row>
    <row r="28">
      <c r="A28" s="21" t="inlineStr">
        <is>
          <t>SecureLink Ultra with Inverse Performance Trigger (%)</t>
        </is>
      </c>
      <c r="B28" s="12" t="inlineStr">
        <is>
          <t>Male / Female</t>
        </is>
      </c>
    </row>
    <row r="29">
      <c r="A29" s="8" t="inlineStr">
        <is>
          <t>Submit</t>
        </is>
      </c>
      <c r="B29" s="5" t="inlineStr">
        <is>
          <t>Calculated based on DOB</t>
        </is>
      </c>
    </row>
    <row r="30">
      <c r="A30" s="5" t="inlineStr">
        <is>
          <t>Enter SecureLink Ultra 5 S&amp;P 500 Cap Rate (%)</t>
        </is>
      </c>
      <c r="B30" s="5" t="n">
        <v>10.25</v>
      </c>
    </row>
    <row r="31">
      <c r="A31" s="5" t="inlineStr">
        <is>
          <t>Enter SecureLink Ultra 7 S&amp;P 500 Cap Rate (%)</t>
        </is>
      </c>
      <c r="B31" s="5" t="n">
        <v>10.5</v>
      </c>
    </row>
    <row r="32">
      <c r="A32" s="5" t="inlineStr">
        <is>
          <t>Enter SecureLink Chronic Illness Access S&amp;P 500 Cap Rate (%)</t>
        </is>
      </c>
      <c r="B32" s="5" t="n">
        <v>8.5</v>
      </c>
    </row>
    <row r="33">
      <c r="A33" s="5" t="inlineStr">
        <is>
          <t>Enter SecureLink Ultra 5 Inverse Performance Trigger (%)</t>
        </is>
      </c>
      <c r="B33" s="5" t="n">
        <v>6</v>
      </c>
    </row>
    <row r="34">
      <c r="A34" s="5" t="inlineStr">
        <is>
          <t>Enter SecureLink Ultra 7 Inverse Performance Trigger (%)</t>
        </is>
      </c>
      <c r="B34" s="5" t="n">
        <v>6.5</v>
      </c>
    </row>
    <row r="35">
      <c r="A35" s="5" t="inlineStr">
        <is>
          <t>Enter S&amp;P 500 Actual Return for Year (%)</t>
        </is>
      </c>
      <c r="B35" s="5" t="n">
        <v>0</v>
      </c>
    </row>
    <row r="36">
      <c r="A36" s="5" t="inlineStr"/>
      <c r="B36" s="5" t="n"/>
    </row>
    <row r="37">
      <c r="A37" s="5" t="inlineStr">
        <is>
          <t>Click 'Submit' to process inputs and refresh all calculations.</t>
        </is>
      </c>
      <c r="B37" s="5" t="n"/>
    </row>
  </sheetData>
  <dataValidations count="9">
    <dataValidation sqref="B3" showErrorMessage="1" showDropDown="1" showInputMessage="1" allowBlank="0" type="list">
      <formula1>"Non-Qualified, IRA, Roth-IRA"</formula1>
    </dataValidation>
    <dataValidation sqref="B4" showErrorMessage="1" showDropDown="1" showInputMessage="1" allowBlank="0" type="list">
      <formula1>"SecureLink Ultra 5, SecureLink Ultra 7, SecureOption Choice 3, SecureOption Choice 5, SecureOption Choice 7, SecureOption Choice 9, MultiOption Momentum, MultiOption Guide B, MultiOption Extra, SecureLink Chronic Illness Access, Income Today! 2.0"</formula1>
    </dataValidation>
    <dataValidation sqref="B2" showErrorMessage="1" showDropDown="1" showInputMessage="1" allowBlank="0" type="list">
      <formula1>"Income, Legacy, Protection, Growth"</formula1>
    </dataValidation>
    <dataValidation sqref="B3" showErrorMessage="1" showDropDown="1" showInputMessage="1" allowBlank="0" type="list">
      <formula1>"Income, Legacy, Protection, Growth"</formula1>
    </dataValidation>
    <dataValidation sqref="B10" showErrorMessage="1" showDropDown="1" showInputMessage="1" allowBlank="0" type="list">
      <formula1>"Non-Qualified, IRA, Roth-IRA"</formula1>
    </dataValidation>
    <dataValidation sqref="B11" showErrorMessage="1" showDropDown="1" showInputMessage="1" allowBlank="0" type="list">
      <formula1>"SecureLink Ultra 5, SecureLink Ultra 7, SecureOption Choice 3, SecureOption Choice 5, SecureOption Choice 7, SecureOption Choice 9, MultiOption Momentum, MultiOption Guide B, MultiOption Extra, SecureLink Chronic Illness Access, Income Today! 2.0"</formula1>
    </dataValidation>
    <dataValidation sqref="B2" showErrorMessage="1" showDropDown="1" showInputMessage="1" allowBlank="0" type="list">
      <formula1>"Income, Legacy, Protection, Growth"</formula1>
    </dataValidation>
    <dataValidation sqref="B8" showErrorMessage="1" showDropDown="1" showInputMessage="1" allowBlank="0" type="list">
      <formula1>"Non-Qualified, IRA, Roth-IRA"</formula1>
    </dataValidation>
    <dataValidation sqref="B9" showErrorMessage="1" showDropDown="1" showInputMessage="1" allowBlank="0" type="list">
      <formula1>"SecureLink Ultra 5, SecureLink Ultra 7, SecureOption Choice 3, SecureOption Choice 5, SecureOption Choice 7, SecureOption Choice 9, MultiOption Momentum, MultiOption Guide B, MultiOption Extra, SecureLink Chronic Illness Access, Income Today! 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0" t="inlineStr">
        <is>
          <t>Instructions:</t>
        </is>
      </c>
    </row>
    <row r="2">
      <c r="A2" s="23" t="inlineStr">
        <is>
          <t>This sheet highlights the best annuity option for Growth, Income, Legacy, and Protection based on user inputs. The highest-performing product in each category is automatically highlighted.</t>
        </is>
      </c>
      <c r="B2">
        <f>'All Inputs'!B13</f>
        <v/>
      </c>
    </row>
    <row r="3">
      <c r="A3" s="19" t="inlineStr">
        <is>
          <t>Best Annuity Solution Based on Your Inputs</t>
        </is>
      </c>
      <c r="B3" s="19">
        <f>'All Inputs'!B3</f>
        <v/>
      </c>
    </row>
    <row r="4">
      <c r="A4" s="5" t="inlineStr">
        <is>
          <t>Your Selected Goal</t>
        </is>
      </c>
      <c r="B4" s="5">
        <f>'All Inputs'!B4</f>
        <v/>
      </c>
    </row>
    <row r="5">
      <c r="A5" s="5" t="inlineStr">
        <is>
          <t>Your Age</t>
        </is>
      </c>
      <c r="B5" s="5">
        <f>'All Inputs'!B5</f>
        <v/>
      </c>
    </row>
    <row r="6">
      <c r="A6" s="5" t="inlineStr">
        <is>
          <t>Years Until Goal</t>
        </is>
      </c>
      <c r="B6" s="5">
        <f>'All Inputs'!B6</f>
        <v/>
      </c>
    </row>
    <row r="7">
      <c r="A7" s="5" t="inlineStr">
        <is>
          <t>Initial Contributions</t>
        </is>
      </c>
      <c r="B7" s="5">
        <f>'All Inputs'!B7</f>
        <v/>
      </c>
    </row>
    <row r="8">
      <c r="A8" s="5" t="inlineStr">
        <is>
          <t>Best Option for Growth</t>
        </is>
      </c>
      <c r="B8" s="5">
        <f>'All Inputs'!B8</f>
        <v/>
      </c>
    </row>
    <row r="9">
      <c r="A9" s="5" t="inlineStr">
        <is>
          <t>Best Option for Income</t>
        </is>
      </c>
      <c r="B9" s="5">
        <f>'All Inputs'!B9</f>
        <v/>
      </c>
    </row>
    <row r="10">
      <c r="A10" s="5" t="inlineStr">
        <is>
          <t>Best Option for Legacy</t>
        </is>
      </c>
      <c r="B10" s="5">
        <f>'All Inputs'!B10</f>
        <v/>
      </c>
    </row>
    <row r="11">
      <c r="A11" s="5" t="inlineStr">
        <is>
          <t>Best Option for Protection</t>
        </is>
      </c>
      <c r="B11" s="5">
        <f>'All Inputs'!B11</f>
        <v/>
      </c>
    </row>
    <row r="12">
      <c r="B12">
        <f>'All Inputs'!B12</f>
        <v/>
      </c>
    </row>
    <row r="13">
      <c r="B13">
        <f>'All Inputs'!B13</f>
        <v/>
      </c>
    </row>
    <row r="14">
      <c r="B14">
        <f>'All Inputs'!B14</f>
        <v/>
      </c>
    </row>
    <row r="15">
      <c r="B15">
        <f>'All Inputs'!B15</f>
        <v/>
      </c>
    </row>
    <row r="16">
      <c r="B16">
        <f>'All Inputs'!B16</f>
        <v/>
      </c>
    </row>
    <row r="17">
      <c r="B17">
        <f>'All Inputs'!B17</f>
        <v/>
      </c>
    </row>
    <row r="18">
      <c r="B18">
        <f>'All Inputs'!B18</f>
        <v/>
      </c>
    </row>
    <row r="19">
      <c r="B19">
        <f>'All Inputs'!B19</f>
        <v/>
      </c>
    </row>
    <row r="20">
      <c r="B20">
        <f>'All Inputs'!B20</f>
        <v/>
      </c>
    </row>
    <row r="21">
      <c r="B21">
        <f>'All Inputs'!B21</f>
        <v/>
      </c>
    </row>
    <row r="22">
      <c r="B22">
        <f>'All Inputs'!B22</f>
        <v/>
      </c>
    </row>
    <row r="23">
      <c r="B23">
        <f>'All Inputs'!B23</f>
        <v/>
      </c>
    </row>
    <row r="24">
      <c r="B24">
        <f>'All Inputs'!B24</f>
        <v/>
      </c>
    </row>
    <row r="25">
      <c r="B25">
        <f>'All Inputs'!B25</f>
        <v/>
      </c>
    </row>
    <row r="26">
      <c r="B26">
        <f>'All Inputs'!B26</f>
        <v/>
      </c>
    </row>
    <row r="27">
      <c r="B27">
        <f>'All Inputs'!B27</f>
        <v/>
      </c>
    </row>
    <row r="28">
      <c r="B28">
        <f>'All Inputs'!B28</f>
        <v/>
      </c>
    </row>
  </sheetData>
  <conditionalFormatting sqref="B2:B9">
    <cfRule type="cellIs" priority="1" operator="equal" dxfId="0">
      <formula>MAX(B2:B9)</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10" t="inlineStr">
        <is>
          <t>Instructions:</t>
        </is>
      </c>
    </row>
    <row r="2">
      <c r="A2" s="23" t="inlineStr">
        <is>
          <t>This section provides a summary of all key calculations, including the best annuity choice based on inputs. Review for consistency and correctness.</t>
        </is>
      </c>
      <c r="B2">
        <f>'All Inputs'!B13</f>
        <v/>
      </c>
    </row>
    <row r="3">
      <c r="A3" s="19" t="inlineStr">
        <is>
          <t>Securian Annuity Comparison - Automated Analysis</t>
        </is>
      </c>
      <c r="B3" s="19">
        <f>'All Inputs'!B3</f>
        <v/>
      </c>
    </row>
    <row r="4">
      <c r="A4" s="5" t="inlineStr">
        <is>
          <t>Your Selected Goal:</t>
        </is>
      </c>
      <c r="B4" s="5">
        <f>'All Inputs'!B4</f>
        <v/>
      </c>
    </row>
    <row r="5">
      <c r="A5" s="5" t="inlineStr">
        <is>
          <t>Your Age:</t>
        </is>
      </c>
      <c r="B5" s="5">
        <f>'All Inputs'!B5</f>
        <v/>
      </c>
    </row>
    <row r="6">
      <c r="A6" s="5" t="inlineStr">
        <is>
          <t>Years Until Goal:</t>
        </is>
      </c>
      <c r="B6" s="5">
        <f>'All Inputs'!B6</f>
        <v/>
      </c>
    </row>
    <row r="7">
      <c r="A7" s="5" t="inlineStr">
        <is>
          <t>Initial Contributions:</t>
        </is>
      </c>
      <c r="B7" s="5">
        <f>'All Inputs'!B7</f>
        <v/>
      </c>
    </row>
    <row r="8">
      <c r="A8" s="5" t="inlineStr">
        <is>
          <t>Selected Product:</t>
        </is>
      </c>
      <c r="B8" s="5">
        <f>'All Inputs'!B8</f>
        <v/>
      </c>
    </row>
    <row r="9">
      <c r="A9" s="5" t="inlineStr">
        <is>
          <t>Selected Riders:</t>
        </is>
      </c>
      <c r="B9" s="5">
        <f>'All Inputs'!B9</f>
        <v/>
      </c>
    </row>
    <row r="10">
      <c r="A10" s="5" t="inlineStr">
        <is>
          <t>Best Recommended Option for Your Goal:</t>
        </is>
      </c>
      <c r="B10" s="5">
        <f>'All Inputs'!B10</f>
        <v/>
      </c>
    </row>
    <row r="11">
      <c r="A11" s="5" t="inlineStr">
        <is>
          <t>Projected Growth Rate:</t>
        </is>
      </c>
      <c r="B11" s="5">
        <f>'All Inputs'!B11</f>
        <v/>
      </c>
    </row>
    <row r="12">
      <c r="A12" s="5" t="inlineStr">
        <is>
          <t>Projected Surrender Value in Year 10:</t>
        </is>
      </c>
      <c r="B12" s="5">
        <f>'All Inputs'!B12</f>
        <v/>
      </c>
    </row>
    <row r="13">
      <c r="A13" s="5" t="inlineStr">
        <is>
          <t>Legacy Benefit Projection:</t>
        </is>
      </c>
      <c r="B13" s="5">
        <f>'All Inputs'!B13</f>
        <v/>
      </c>
    </row>
    <row r="14">
      <c r="B14">
        <f>'All Inputs'!B14</f>
        <v/>
      </c>
    </row>
    <row r="15">
      <c r="B15">
        <f>'All Inputs'!B15</f>
        <v/>
      </c>
    </row>
    <row r="16">
      <c r="B16">
        <f>'All Inputs'!B16</f>
        <v/>
      </c>
    </row>
    <row r="17">
      <c r="B17">
        <f>'All Inputs'!B17</f>
        <v/>
      </c>
    </row>
    <row r="18">
      <c r="B18">
        <f>'All Inputs'!B18</f>
        <v/>
      </c>
    </row>
    <row r="19">
      <c r="B19">
        <f>'All Inputs'!B19</f>
        <v/>
      </c>
    </row>
    <row r="20">
      <c r="B20">
        <f>'All Inputs'!B20</f>
        <v/>
      </c>
    </row>
    <row r="21">
      <c r="B21">
        <f>'All Inputs'!B21</f>
        <v/>
      </c>
    </row>
    <row r="22">
      <c r="B22">
        <f>'All Inputs'!B22</f>
        <v/>
      </c>
    </row>
    <row r="23">
      <c r="B23">
        <f>'All Inputs'!B23</f>
        <v/>
      </c>
    </row>
    <row r="24">
      <c r="B24">
        <f>'All Inputs'!B24</f>
        <v/>
      </c>
    </row>
    <row r="25">
      <c r="B25">
        <f>'All Inputs'!B25</f>
        <v/>
      </c>
    </row>
    <row r="26">
      <c r="B26">
        <f>'All Inputs'!B26</f>
        <v/>
      </c>
    </row>
    <row r="27">
      <c r="B27">
        <f>'All Inputs'!B27</f>
        <v/>
      </c>
    </row>
    <row r="28">
      <c r="B28">
        <f>'All Inputs'!B28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0"/>
  <sheetViews>
    <sheetView workbookViewId="0">
      <selection activeCell="A1" sqref="A1"/>
    </sheetView>
  </sheetViews>
  <sheetFormatPr baseColWidth="8" defaultRowHeight="15"/>
  <sheetData>
    <row r="1">
      <c r="A1" s="10" t="inlineStr">
        <is>
          <t>Instructions:</t>
        </is>
      </c>
    </row>
    <row r="2">
      <c r="A2" s="23" t="inlineStr">
        <is>
          <t>This sheet projects potential annuity growth over time based on user inputs, including SecureLink Ultra crediting rates. Ensure that correct cap rates and participation rates are entered.</t>
        </is>
      </c>
      <c r="B2">
        <f>'All Inputs'!B13</f>
        <v/>
      </c>
    </row>
    <row r="3">
      <c r="A3" s="19" t="inlineStr">
        <is>
          <t>Expanded Automated Annuity Comparison Tool</t>
        </is>
      </c>
      <c r="B3" s="19">
        <f>'All Inputs'!B3</f>
        <v/>
      </c>
      <c r="C3" s="19" t="n"/>
      <c r="D3" s="19" t="n"/>
      <c r="E3" s="19" t="n"/>
      <c r="F3" s="19" t="n"/>
      <c r="G3" s="19" t="n"/>
      <c r="H3" s="19" t="n"/>
      <c r="I3" s="19" t="n"/>
      <c r="J3" s="19" t="n"/>
      <c r="K3" s="19" t="n"/>
      <c r="L3" s="19" t="n"/>
      <c r="M3" s="19" t="n"/>
      <c r="N3" s="19" t="n"/>
      <c r="O3" s="19" t="n"/>
      <c r="P3" s="19" t="n"/>
      <c r="Q3" s="19" t="n"/>
      <c r="R3" s="19" t="n"/>
      <c r="S3" s="19" t="n"/>
      <c r="T3" s="19" t="n"/>
      <c r="U3" s="19" t="n"/>
    </row>
    <row r="4">
      <c r="A4" s="5" t="inlineStr">
        <is>
          <t>Enter Initial Investment</t>
        </is>
      </c>
      <c r="B4" s="5">
        <f>'All Inputs'!B4</f>
        <v/>
      </c>
      <c r="C4" s="5" t="n"/>
      <c r="D4" s="5" t="n"/>
      <c r="E4" s="5" t="n"/>
      <c r="F4" s="5" t="n"/>
      <c r="G4" s="5" t="n"/>
      <c r="H4" s="5" t="n"/>
      <c r="I4" s="5" t="n"/>
      <c r="J4" s="5" t="n"/>
      <c r="K4" s="5" t="n"/>
      <c r="L4" s="5" t="n"/>
      <c r="M4" s="5" t="n"/>
      <c r="N4" s="5" t="n"/>
      <c r="O4" s="5" t="n"/>
      <c r="P4" s="5" t="n"/>
      <c r="Q4" s="5" t="n"/>
      <c r="R4" s="5" t="n"/>
      <c r="S4" s="5" t="n"/>
      <c r="T4" s="5" t="n"/>
      <c r="U4" s="5" t="n"/>
    </row>
    <row r="5">
      <c r="A5" s="5" t="inlineStr">
        <is>
          <t>Enter Expected Net Rate of Return (%)</t>
        </is>
      </c>
      <c r="B5" s="5">
        <f>'All Inputs'!B5</f>
        <v/>
      </c>
      <c r="C5" s="5" t="n"/>
      <c r="D5" s="5" t="n"/>
      <c r="E5" s="5" t="n"/>
      <c r="F5" s="5" t="n"/>
      <c r="G5" s="5" t="n"/>
      <c r="H5" s="5" t="n"/>
      <c r="I5" s="5" t="n"/>
      <c r="J5" s="5" t="n"/>
      <c r="K5" s="5" t="n"/>
      <c r="L5" s="5" t="n"/>
      <c r="M5" s="5" t="n"/>
      <c r="N5" s="5" t="n"/>
      <c r="O5" s="5" t="n"/>
      <c r="P5" s="5" t="n"/>
      <c r="Q5" s="5" t="n"/>
      <c r="R5" s="5" t="n"/>
      <c r="S5" s="5" t="n"/>
      <c r="T5" s="5" t="n"/>
      <c r="U5" s="5" t="n"/>
    </row>
    <row r="6">
      <c r="A6" s="5" t="inlineStr">
        <is>
          <t>Enter Number of Years</t>
        </is>
      </c>
      <c r="B6" s="5">
        <f>'All Inputs'!B6</f>
        <v/>
      </c>
      <c r="C6" s="5" t="n"/>
      <c r="D6" s="5" t="n"/>
      <c r="E6" s="5" t="n"/>
      <c r="F6" s="5" t="n"/>
      <c r="G6" s="5" t="n"/>
      <c r="H6" s="5" t="n"/>
      <c r="I6" s="5" t="n"/>
      <c r="J6" s="5" t="n"/>
      <c r="K6" s="5" t="n"/>
      <c r="L6" s="5" t="n"/>
      <c r="M6" s="5" t="n"/>
      <c r="N6" s="5" t="n"/>
      <c r="O6" s="5" t="n"/>
      <c r="P6" s="5" t="n"/>
      <c r="Q6" s="5" t="n"/>
      <c r="R6" s="5" t="n"/>
      <c r="S6" s="5" t="n"/>
      <c r="T6" s="5" t="n"/>
      <c r="U6" s="5" t="n"/>
    </row>
    <row r="7">
      <c r="A7" s="5" t="inlineStr">
        <is>
          <t>Enter SecureLink Ultra 7 S&amp;P 500 Participation Rate (%)</t>
        </is>
      </c>
      <c r="B7" s="22">
        <f>'All Inputs'!B7</f>
        <v/>
      </c>
      <c r="C7" s="5" t="n"/>
      <c r="D7" s="5" t="n"/>
      <c r="E7" s="5" t="n"/>
      <c r="F7" s="5" t="n"/>
      <c r="G7" s="5" t="n"/>
      <c r="H7" s="5" t="n"/>
      <c r="I7" s="5" t="n"/>
      <c r="J7" s="5" t="n"/>
      <c r="K7" s="5" t="n"/>
      <c r="L7" s="5" t="n"/>
      <c r="M7" s="5" t="n"/>
      <c r="N7" s="5" t="n"/>
      <c r="O7" s="5" t="n"/>
      <c r="P7" s="5" t="n"/>
      <c r="Q7" s="5" t="n"/>
      <c r="R7" s="5" t="n"/>
      <c r="S7" s="5" t="n"/>
      <c r="T7" s="5" t="n"/>
      <c r="U7" s="5" t="n"/>
    </row>
    <row r="8">
      <c r="A8" s="5" t="inlineStr">
        <is>
          <t>Enter SecureLink Chronic Illness Access S&amp;P 500 Cap Rate (%)</t>
        </is>
      </c>
      <c r="B8" s="22">
        <f>'All Inputs'!B8</f>
        <v/>
      </c>
      <c r="C8" s="5" t="n"/>
      <c r="D8" s="5" t="n"/>
      <c r="E8" s="5" t="n"/>
      <c r="F8" s="5" t="n"/>
      <c r="G8" s="5" t="n"/>
      <c r="H8" s="5" t="n"/>
      <c r="I8" s="5" t="n"/>
      <c r="J8" s="5" t="n"/>
      <c r="K8" s="5" t="n"/>
      <c r="L8" s="5" t="n"/>
      <c r="M8" s="5" t="n"/>
      <c r="N8" s="5" t="n"/>
      <c r="O8" s="5" t="n"/>
      <c r="P8" s="5" t="n"/>
      <c r="Q8" s="5" t="n"/>
      <c r="R8" s="5" t="n"/>
      <c r="S8" s="5" t="n"/>
      <c r="T8" s="5" t="n"/>
      <c r="U8" s="5" t="n"/>
    </row>
    <row r="9">
      <c r="A9" s="5" t="inlineStr">
        <is>
          <t>Enter MultiOption Momentum Historical Return (%)</t>
        </is>
      </c>
      <c r="B9" s="22">
        <f>'All Inputs'!B9</f>
        <v/>
      </c>
      <c r="C9" s="5" t="n"/>
      <c r="D9" s="5" t="n"/>
      <c r="E9" s="5" t="n"/>
      <c r="F9" s="5" t="n"/>
      <c r="G9" s="5" t="n"/>
      <c r="H9" s="5" t="n"/>
      <c r="I9" s="5" t="n"/>
      <c r="J9" s="5" t="n"/>
      <c r="K9" s="5" t="n"/>
      <c r="L9" s="5" t="n"/>
      <c r="M9" s="5" t="n"/>
      <c r="N9" s="5" t="n"/>
      <c r="O9" s="5" t="n"/>
      <c r="P9" s="5" t="n"/>
      <c r="Q9" s="5" t="n"/>
      <c r="R9" s="5" t="n"/>
      <c r="S9" s="5" t="n"/>
      <c r="T9" s="5" t="n"/>
      <c r="U9" s="5" t="n"/>
    </row>
    <row r="10">
      <c r="A10" s="5" t="inlineStr">
        <is>
          <t>Enter Guide B HAV II Net Return (%)</t>
        </is>
      </c>
      <c r="B10" s="22">
        <f>'All Inputs'!B10</f>
        <v/>
      </c>
      <c r="C10" s="5" t="n"/>
      <c r="D10" s="5" t="n"/>
      <c r="E10" s="5" t="n"/>
      <c r="F10" s="5" t="n"/>
      <c r="G10" s="5" t="n"/>
      <c r="H10" s="5" t="n"/>
      <c r="I10" s="5" t="n"/>
      <c r="J10" s="5" t="n"/>
      <c r="K10" s="5" t="n"/>
      <c r="L10" s="5" t="n"/>
      <c r="M10" s="5" t="n"/>
      <c r="N10" s="5" t="n"/>
      <c r="O10" s="5" t="n"/>
      <c r="P10" s="5" t="n"/>
      <c r="Q10" s="5" t="n"/>
      <c r="R10" s="5" t="n"/>
      <c r="S10" s="5" t="n"/>
      <c r="T10" s="5" t="n"/>
      <c r="U10" s="5" t="n"/>
    </row>
    <row r="11">
      <c r="A11" s="5" t="inlineStr">
        <is>
          <t>Enter Extra HAV II Net Return (%)</t>
        </is>
      </c>
      <c r="B11" s="22">
        <f>'All Inputs'!B11</f>
        <v/>
      </c>
      <c r="C11" s="5" t="n"/>
      <c r="D11" s="5" t="n"/>
      <c r="E11" s="5" t="n"/>
      <c r="F11" s="5" t="n"/>
      <c r="G11" s="5" t="n"/>
      <c r="H11" s="5" t="n"/>
      <c r="I11" s="5" t="n"/>
      <c r="J11" s="5" t="n"/>
      <c r="K11" s="5" t="n"/>
      <c r="L11" s="5" t="n"/>
      <c r="M11" s="5" t="n"/>
      <c r="N11" s="5" t="n"/>
      <c r="O11" s="5" t="n"/>
      <c r="P11" s="5" t="n"/>
      <c r="Q11" s="5" t="n"/>
      <c r="R11" s="5" t="n"/>
      <c r="S11" s="5" t="n"/>
      <c r="T11" s="5" t="n"/>
      <c r="U11" s="5" t="n"/>
    </row>
    <row r="12">
      <c r="A12" s="5" t="inlineStr">
        <is>
          <t>Enter MyPath Journey Roll-Up Rate (%)</t>
        </is>
      </c>
      <c r="B12" s="22">
        <f>'All Inputs'!B12</f>
        <v/>
      </c>
      <c r="C12" s="5" t="n"/>
      <c r="D12" s="5" t="n"/>
      <c r="E12" s="5" t="n"/>
      <c r="F12" s="5" t="n"/>
      <c r="G12" s="5" t="n"/>
      <c r="H12" s="5" t="n"/>
      <c r="I12" s="5" t="n"/>
      <c r="J12" s="5" t="n"/>
      <c r="K12" s="5" t="n"/>
      <c r="L12" s="5" t="n"/>
      <c r="M12" s="5" t="n"/>
      <c r="N12" s="5" t="n"/>
      <c r="O12" s="5" t="n"/>
      <c r="P12" s="5" t="n"/>
      <c r="Q12" s="5" t="n"/>
      <c r="R12" s="5" t="n"/>
      <c r="S12" s="5" t="n"/>
      <c r="T12" s="5" t="n"/>
      <c r="U12" s="5" t="n"/>
    </row>
    <row r="13">
      <c r="A13" s="5" t="inlineStr">
        <is>
          <t>Enter Premier Protector Growth Rate (%)</t>
        </is>
      </c>
      <c r="B13" s="22">
        <f>'All Inputs'!B13</f>
        <v/>
      </c>
      <c r="C13" s="5" t="n"/>
      <c r="D13" s="5" t="n"/>
      <c r="E13" s="5" t="n"/>
      <c r="F13" s="5" t="n"/>
      <c r="G13" s="5" t="n"/>
      <c r="H13" s="5" t="n"/>
      <c r="I13" s="5" t="n"/>
      <c r="J13" s="5" t="n"/>
      <c r="K13" s="5" t="n"/>
      <c r="L13" s="5" t="n"/>
      <c r="M13" s="5" t="n"/>
      <c r="N13" s="5" t="n"/>
      <c r="O13" s="5" t="n"/>
      <c r="P13" s="5" t="n"/>
      <c r="Q13" s="5" t="n"/>
      <c r="R13" s="5" t="n"/>
      <c r="S13" s="5" t="n"/>
      <c r="T13" s="5" t="n"/>
      <c r="U13" s="5" t="n"/>
    </row>
    <row r="14">
      <c r="A14" s="5" t="inlineStr">
        <is>
          <t>Year</t>
        </is>
      </c>
      <c r="B14" s="5">
        <f>'All Inputs'!B14</f>
        <v/>
      </c>
      <c r="C14" s="5" t="inlineStr">
        <is>
          <t>SecureLink Ultra 7 Surrender Value</t>
        </is>
      </c>
      <c r="D14" s="5" t="inlineStr">
        <is>
          <t>SecureLink Ultra 5 Contract Value</t>
        </is>
      </c>
      <c r="E14" s="5" t="inlineStr">
        <is>
          <t>SecureLink Ultra 5 Surrender Value</t>
        </is>
      </c>
      <c r="F14" s="5" t="inlineStr">
        <is>
          <t>SecureLink Chronic Illness Access Contract Value</t>
        </is>
      </c>
      <c r="G14" s="5" t="inlineStr">
        <is>
          <t>SecureLink Chronic Illness Access Surrender Value</t>
        </is>
      </c>
      <c r="H14" s="5" t="inlineStr">
        <is>
          <t>MultiOption Momentum Contract Value</t>
        </is>
      </c>
      <c r="I14" s="5" t="inlineStr">
        <is>
          <t>MultiOption Momentum Surrender Value</t>
        </is>
      </c>
      <c r="J14" s="5" t="inlineStr">
        <is>
          <t>Guide B HAV II Contract Value</t>
        </is>
      </c>
      <c r="K14" s="5" t="inlineStr">
        <is>
          <t>Guide B HAV II Surrender Value</t>
        </is>
      </c>
      <c r="L14" s="5" t="inlineStr">
        <is>
          <t>Guide B Premier II Contract Value</t>
        </is>
      </c>
      <c r="M14" s="5" t="inlineStr">
        <is>
          <t>Guide B Premier II Surrender Value</t>
        </is>
      </c>
      <c r="N14" s="5" t="inlineStr">
        <is>
          <t>Extra HAV II Contract Value</t>
        </is>
      </c>
      <c r="O14" s="5" t="inlineStr">
        <is>
          <t>Extra HAV II Surrender Value</t>
        </is>
      </c>
      <c r="P14" s="5" t="inlineStr">
        <is>
          <t>Extra Premier II Contract Value</t>
        </is>
      </c>
      <c r="Q14" s="5" t="inlineStr">
        <is>
          <t>Extra Premier II Surrender Value</t>
        </is>
      </c>
      <c r="R14" s="5" t="inlineStr">
        <is>
          <t>Momentum Premier Protector Contract Value</t>
        </is>
      </c>
      <c r="S14" s="5" t="inlineStr">
        <is>
          <t>Momentum Premier Protector Surrender Value</t>
        </is>
      </c>
      <c r="T14" s="5" t="inlineStr">
        <is>
          <t>MyPath Journey Contract Value</t>
        </is>
      </c>
      <c r="U14" s="5" t="inlineStr">
        <is>
          <t>MyPath Journey Surrender Value</t>
        </is>
      </c>
    </row>
    <row r="15">
      <c r="A15" s="5" t="n">
        <v>1</v>
      </c>
      <c r="B15" s="22">
        <f>'All Inputs'!B15</f>
        <v/>
      </c>
      <c r="C15" s="22" t="n">
        <v>153900</v>
      </c>
      <c r="D15" s="22" t="n">
        <v>160000</v>
      </c>
      <c r="E15" s="22" t="n">
        <v>150400</v>
      </c>
      <c r="F15" s="22" t="n">
        <v>108500</v>
      </c>
      <c r="G15" s="22" t="n">
        <v>97650</v>
      </c>
      <c r="H15" s="22" t="n">
        <v>113620</v>
      </c>
      <c r="I15" s="22" t="n">
        <v>105666.6</v>
      </c>
      <c r="J15" s="22" t="n">
        <v>107840</v>
      </c>
      <c r="K15" s="22" t="n">
        <v>99212.8</v>
      </c>
      <c r="L15" s="22" t="n">
        <v>105000</v>
      </c>
      <c r="M15" s="22" t="n">
        <v>95550</v>
      </c>
      <c r="N15" s="22" t="n">
        <v>113240</v>
      </c>
      <c r="O15" s="22" t="n">
        <v>103048.4</v>
      </c>
      <c r="P15" s="22" t="n">
        <v>106000</v>
      </c>
      <c r="Q15" s="22" t="n">
        <v>96460</v>
      </c>
      <c r="R15" s="22" t="n">
        <v>104000</v>
      </c>
      <c r="S15" s="22" t="n">
        <v>95680</v>
      </c>
      <c r="T15" s="22" t="n">
        <v>105000</v>
      </c>
      <c r="U15" s="22" t="n">
        <v>97650</v>
      </c>
    </row>
    <row r="16">
      <c r="A16" s="5" t="n">
        <v>2</v>
      </c>
      <c r="B16" s="22">
        <f>'All Inputs'!B16</f>
        <v/>
      </c>
      <c r="C16" s="22" t="n">
        <v>249318</v>
      </c>
      <c r="D16" s="22" t="n">
        <v>256000</v>
      </c>
      <c r="E16" s="22" t="n">
        <v>240640</v>
      </c>
      <c r="F16" s="22" t="n">
        <v>117722.5</v>
      </c>
      <c r="G16" s="22" t="n">
        <v>105950.25</v>
      </c>
      <c r="H16" s="22" t="n">
        <v>129095.044</v>
      </c>
      <c r="I16" s="22" t="n">
        <v>120058.39092</v>
      </c>
      <c r="J16" s="22" t="n">
        <v>116294.656</v>
      </c>
      <c r="K16" s="22" t="n">
        <v>106991.08352</v>
      </c>
      <c r="L16" s="22" t="n">
        <v>110250</v>
      </c>
      <c r="M16" s="22" t="n">
        <v>100327.5</v>
      </c>
      <c r="N16" s="22" t="n">
        <v>128232.976</v>
      </c>
      <c r="O16" s="22" t="n">
        <v>116692.00816</v>
      </c>
      <c r="P16" s="22" t="n">
        <v>112360</v>
      </c>
      <c r="Q16" s="22" t="n">
        <v>102247.6</v>
      </c>
      <c r="R16" s="22" t="n">
        <v>108160</v>
      </c>
      <c r="S16" s="22" t="n">
        <v>99507.2</v>
      </c>
      <c r="T16" s="22" t="n">
        <v>110250</v>
      </c>
      <c r="U16" s="22" t="n">
        <v>102532.5</v>
      </c>
    </row>
    <row r="17">
      <c r="A17" s="5" t="n">
        <v>3</v>
      </c>
      <c r="B17" s="22">
        <f>'All Inputs'!B17</f>
        <v/>
      </c>
      <c r="C17" s="22" t="n">
        <v>403895.16</v>
      </c>
      <c r="D17" s="22" t="n">
        <v>409600</v>
      </c>
      <c r="E17" s="22" t="n">
        <v>385024</v>
      </c>
      <c r="F17" s="22" t="n">
        <v>127728.9125</v>
      </c>
      <c r="G17" s="22" t="n">
        <v>114956.02125</v>
      </c>
      <c r="H17" s="22" t="n">
        <v>146677.7889928001</v>
      </c>
      <c r="I17" s="22" t="n">
        <v>136410.3437633041</v>
      </c>
      <c r="J17" s="22" t="n">
        <v>125412.1570304</v>
      </c>
      <c r="K17" s="22" t="n">
        <v>115379.184467968</v>
      </c>
      <c r="L17" s="22" t="n">
        <v>115762.5</v>
      </c>
      <c r="M17" s="22" t="n">
        <v>105343.875</v>
      </c>
      <c r="N17" s="22" t="n">
        <v>145211.0220224001</v>
      </c>
      <c r="O17" s="22" t="n">
        <v>132142.030040384</v>
      </c>
      <c r="P17" s="22" t="n">
        <v>119101.6</v>
      </c>
      <c r="Q17" s="22" t="n">
        <v>108382.456</v>
      </c>
      <c r="R17" s="22" t="n">
        <v>112486.4</v>
      </c>
      <c r="S17" s="22" t="n">
        <v>103487.488</v>
      </c>
      <c r="T17" s="22" t="n">
        <v>115762.5</v>
      </c>
      <c r="U17" s="22" t="n">
        <v>107659.125</v>
      </c>
    </row>
    <row r="18">
      <c r="A18" s="5" t="n">
        <v>4</v>
      </c>
      <c r="B18" s="22">
        <f>'All Inputs'!B18</f>
        <v/>
      </c>
      <c r="C18" s="22" t="n">
        <v>654310.1592</v>
      </c>
      <c r="D18" s="22" t="n">
        <v>655360</v>
      </c>
      <c r="E18" s="22" t="n">
        <v>616038.3999999999</v>
      </c>
      <c r="F18" s="22" t="n">
        <v>138585.8700625</v>
      </c>
      <c r="G18" s="22" t="n">
        <v>124727.28305625</v>
      </c>
      <c r="H18" s="22" t="n">
        <v>166655.3038536194</v>
      </c>
      <c r="I18" s="22" t="n">
        <v>154989.4325838661</v>
      </c>
      <c r="J18" s="22" t="n">
        <v>135244.4701415834</v>
      </c>
      <c r="K18" s="22" t="n">
        <v>124424.9125302567</v>
      </c>
      <c r="L18" s="22" t="n">
        <v>121550.625</v>
      </c>
      <c r="M18" s="22" t="n">
        <v>110611.06875</v>
      </c>
      <c r="N18" s="22" t="n">
        <v>164436.9613381658</v>
      </c>
      <c r="O18" s="22" t="n">
        <v>149637.6348177309</v>
      </c>
      <c r="P18" s="22" t="n">
        <v>126247.696</v>
      </c>
      <c r="Q18" s="22" t="n">
        <v>114885.40336</v>
      </c>
      <c r="R18" s="22" t="n">
        <v>116985.856</v>
      </c>
      <c r="S18" s="22" t="n">
        <v>107626.98752</v>
      </c>
      <c r="T18" s="22" t="n">
        <v>121550.625</v>
      </c>
      <c r="U18" s="22" t="n">
        <v>113042.08125</v>
      </c>
    </row>
    <row r="19">
      <c r="A19" s="5" t="n">
        <v>5</v>
      </c>
      <c r="B19" s="22">
        <f>'All Inputs'!B19</f>
        <v/>
      </c>
      <c r="C19" s="22" t="n">
        <v>1059982.457904</v>
      </c>
      <c r="D19" s="22" t="n">
        <v>1048576</v>
      </c>
      <c r="E19" s="22" t="n">
        <v>985661.4399999999</v>
      </c>
      <c r="F19" s="22" t="n">
        <v>150365.6690178125</v>
      </c>
      <c r="G19" s="22" t="n">
        <v>135329.1021160312</v>
      </c>
      <c r="H19" s="22" t="n">
        <v>189353.7562384824</v>
      </c>
      <c r="I19" s="22" t="n">
        <v>176098.9933017887</v>
      </c>
      <c r="J19" s="22" t="n">
        <v>145847.6366006835</v>
      </c>
      <c r="K19" s="22" t="n">
        <v>134179.8256726288</v>
      </c>
      <c r="L19" s="22" t="n">
        <v>127628.15625</v>
      </c>
      <c r="M19" s="22" t="n">
        <v>116141.6221875</v>
      </c>
      <c r="N19" s="22" t="n">
        <v>186208.415019339</v>
      </c>
      <c r="O19" s="22" t="n">
        <v>169449.6576675985</v>
      </c>
      <c r="P19" s="22" t="n">
        <v>133822.55776</v>
      </c>
      <c r="Q19" s="22" t="n">
        <v>121778.5275616</v>
      </c>
      <c r="R19" s="22" t="n">
        <v>121665.29024</v>
      </c>
      <c r="S19" s="22" t="n">
        <v>111932.0670208</v>
      </c>
      <c r="T19" s="22" t="n">
        <v>127628.15625</v>
      </c>
      <c r="U19" s="22" t="n">
        <v>118694.1853125</v>
      </c>
    </row>
    <row r="20">
      <c r="A20" s="5" t="n">
        <v>6</v>
      </c>
      <c r="B20" s="22">
        <f>'All Inputs'!B20</f>
        <v/>
      </c>
      <c r="C20" s="22" t="n">
        <v>1717171.58180448</v>
      </c>
      <c r="D20" s="22" t="n">
        <v>1677721.6</v>
      </c>
      <c r="E20" s="22" t="n">
        <v>1577058.304</v>
      </c>
      <c r="F20" s="22" t="n">
        <v>163146.7508843265</v>
      </c>
      <c r="G20" s="22" t="n">
        <v>146832.0757958939</v>
      </c>
      <c r="H20" s="22" t="n">
        <v>215143.7378381637</v>
      </c>
      <c r="I20" s="22" t="n">
        <v>200083.6761894923</v>
      </c>
      <c r="J20" s="22" t="n">
        <v>157282.0913101771</v>
      </c>
      <c r="K20" s="22" t="n">
        <v>144699.5240053629</v>
      </c>
      <c r="L20" s="22" t="n">
        <v>134009.5640625</v>
      </c>
      <c r="M20" s="22" t="n">
        <v>121948.703296875</v>
      </c>
      <c r="N20" s="22" t="n">
        <v>210862.4091678995</v>
      </c>
      <c r="O20" s="22" t="n">
        <v>191884.7923427886</v>
      </c>
      <c r="P20" s="22" t="n">
        <v>141851.9112256</v>
      </c>
      <c r="Q20" s="22" t="n">
        <v>129085.239215296</v>
      </c>
      <c r="R20" s="22" t="n">
        <v>126531.9018496</v>
      </c>
      <c r="S20" s="22" t="n">
        <v>116409.349701632</v>
      </c>
      <c r="T20" s="22" t="n">
        <v>134009.5640625</v>
      </c>
      <c r="U20" s="22" t="n">
        <v>124628.894578125</v>
      </c>
    </row>
    <row r="21">
      <c r="A21" s="5" t="n">
        <v>7</v>
      </c>
      <c r="B21" s="22">
        <f>'All Inputs'!B21</f>
        <v/>
      </c>
      <c r="C21" s="22" t="n">
        <v>2781817.962523258</v>
      </c>
      <c r="D21" s="22" t="n">
        <v>2684354.560000001</v>
      </c>
      <c r="E21" s="22" t="n">
        <v>2523293.286400001</v>
      </c>
      <c r="F21" s="22" t="n">
        <v>177014.2247094943</v>
      </c>
      <c r="G21" s="22" t="n">
        <v>159312.8022385449</v>
      </c>
      <c r="H21" s="22" t="n">
        <v>244446.3149317217</v>
      </c>
      <c r="I21" s="22" t="n">
        <v>227335.0728865011</v>
      </c>
      <c r="J21" s="22" t="n">
        <v>169613.007268895</v>
      </c>
      <c r="K21" s="22" t="n">
        <v>156043.9666873834</v>
      </c>
      <c r="L21" s="22" t="n">
        <v>140710.042265625</v>
      </c>
      <c r="M21" s="22" t="n">
        <v>128046.1384617188</v>
      </c>
      <c r="N21" s="22" t="n">
        <v>238780.5921417294</v>
      </c>
      <c r="O21" s="22" t="n">
        <v>217290.3388489738</v>
      </c>
      <c r="P21" s="22" t="n">
        <v>150363.025899136</v>
      </c>
      <c r="Q21" s="22" t="n">
        <v>136830.3535682138</v>
      </c>
      <c r="R21" s="22" t="n">
        <v>131593.177923584</v>
      </c>
      <c r="S21" s="22" t="n">
        <v>121065.7236896973</v>
      </c>
      <c r="T21" s="22" t="n">
        <v>140710.042265625</v>
      </c>
      <c r="U21" s="22" t="n">
        <v>130860.3393070313</v>
      </c>
    </row>
    <row r="22">
      <c r="A22" s="5" t="n">
        <v>8</v>
      </c>
      <c r="B22" s="22">
        <f>'All Inputs'!B22</f>
        <v/>
      </c>
      <c r="C22" s="22" t="n">
        <v>4506545.099287678</v>
      </c>
      <c r="D22" s="22" t="n">
        <v>4294967.296000001</v>
      </c>
      <c r="E22" s="22" t="n">
        <v>4037269.258240001</v>
      </c>
      <c r="F22" s="22" t="n">
        <v>192060.4338098013</v>
      </c>
      <c r="G22" s="22" t="n">
        <v>172854.3904288211</v>
      </c>
      <c r="H22" s="22" t="n">
        <v>277739.9030254222</v>
      </c>
      <c r="I22" s="22" t="n">
        <v>258298.1098136427</v>
      </c>
      <c r="J22" s="22" t="n">
        <v>182910.6670387764</v>
      </c>
      <c r="K22" s="22" t="n">
        <v>168277.8136756743</v>
      </c>
      <c r="L22" s="22" t="n">
        <v>147745.5443789063</v>
      </c>
      <c r="M22" s="22" t="n">
        <v>134448.4453848047</v>
      </c>
      <c r="N22" s="22" t="n">
        <v>270395.1425412945</v>
      </c>
      <c r="O22" s="22" t="n">
        <v>246059.5797125779</v>
      </c>
      <c r="P22" s="22" t="n">
        <v>159384.8074530842</v>
      </c>
      <c r="Q22" s="22" t="n">
        <v>145040.1747823066</v>
      </c>
      <c r="R22" s="22" t="n">
        <v>136856.9050405274</v>
      </c>
      <c r="S22" s="22" t="n">
        <v>125908.3526372852</v>
      </c>
      <c r="T22" s="22" t="n">
        <v>147745.5443789063</v>
      </c>
      <c r="U22" s="22" t="n">
        <v>137403.3562723828</v>
      </c>
    </row>
    <row r="23">
      <c r="A23" s="5" t="n">
        <v>9</v>
      </c>
      <c r="B23" s="22">
        <f>'All Inputs'!B23</f>
        <v/>
      </c>
      <c r="C23" s="22" t="n">
        <v>7300603.060846039</v>
      </c>
      <c r="D23" s="22" t="n">
        <v>6871947.673600002</v>
      </c>
      <c r="E23" s="22" t="n">
        <v>6459630.813184001</v>
      </c>
      <c r="F23" s="22" t="n">
        <v>208385.5706836344</v>
      </c>
      <c r="G23" s="22" t="n">
        <v>187547.0136152709</v>
      </c>
      <c r="H23" s="22" t="n">
        <v>315568.0778174847</v>
      </c>
      <c r="I23" s="22" t="n">
        <v>293478.3123702608</v>
      </c>
      <c r="J23" s="22" t="n">
        <v>197250.8633346164</v>
      </c>
      <c r="K23" s="22" t="n">
        <v>181470.7942678471</v>
      </c>
      <c r="L23" s="22" t="n">
        <v>155132.8215978516</v>
      </c>
      <c r="M23" s="22" t="n">
        <v>141170.8676540449</v>
      </c>
      <c r="N23" s="22" t="n">
        <v>306195.4594137619</v>
      </c>
      <c r="O23" s="22" t="n">
        <v>278637.8680665233</v>
      </c>
      <c r="P23" s="22" t="n">
        <v>168947.8959002693</v>
      </c>
      <c r="Q23" s="22" t="n">
        <v>153742.5852692451</v>
      </c>
      <c r="R23" s="22" t="n">
        <v>142331.1812421485</v>
      </c>
      <c r="S23" s="22" t="n">
        <v>130944.6867427766</v>
      </c>
      <c r="T23" s="22" t="n">
        <v>155132.8215978516</v>
      </c>
      <c r="U23" s="22" t="n">
        <v>144273.524086002</v>
      </c>
    </row>
    <row r="24">
      <c r="A24" s="5" t="n">
        <v>10</v>
      </c>
      <c r="B24" s="22">
        <f>'All Inputs'!B24</f>
        <v/>
      </c>
      <c r="C24" s="22" t="n">
        <v>11826976.95857058</v>
      </c>
      <c r="D24" s="22" t="n">
        <v>10995116.27776</v>
      </c>
      <c r="E24" s="22" t="n">
        <v>10335409.3010944</v>
      </c>
      <c r="F24" s="22" t="n">
        <v>226098.3441917433</v>
      </c>
      <c r="G24" s="22" t="n">
        <v>203488.509772569</v>
      </c>
      <c r="H24" s="22" t="n">
        <v>358548.4500162262</v>
      </c>
      <c r="I24" s="22" t="n">
        <v>333450.0585150904</v>
      </c>
      <c r="J24" s="22" t="n">
        <v>212715.3310200504</v>
      </c>
      <c r="K24" s="22" t="n">
        <v>195698.1045384464</v>
      </c>
      <c r="L24" s="22" t="n">
        <v>162889.4626777442</v>
      </c>
      <c r="M24" s="22" t="n">
        <v>148229.4110367472</v>
      </c>
      <c r="N24" s="22" t="n">
        <v>346735.7382401439</v>
      </c>
      <c r="O24" s="22" t="n">
        <v>315529.521798531</v>
      </c>
      <c r="P24" s="22" t="n">
        <v>179084.7696542854</v>
      </c>
      <c r="Q24" s="22" t="n">
        <v>162967.1403853997</v>
      </c>
      <c r="R24" s="22" t="n">
        <v>148024.4284918345</v>
      </c>
      <c r="S24" s="22" t="n">
        <v>136182.4742124877</v>
      </c>
      <c r="T24" s="22" t="n">
        <v>162889.4626777442</v>
      </c>
      <c r="U24" s="22" t="n">
        <v>151487.2002903021</v>
      </c>
    </row>
    <row r="25">
      <c r="A25" s="5" t="inlineStr">
        <is>
          <t>If S&amp;P 500 Return is less than Cap Rate, apply actual return. If greater, apply cap.</t>
        </is>
      </c>
      <c r="B25" s="5">
        <f>'All Inputs'!B25</f>
        <v/>
      </c>
      <c r="C25" s="5" t="n"/>
      <c r="D25" s="5" t="n"/>
      <c r="E25" s="5" t="n"/>
      <c r="F25" s="5" t="n"/>
      <c r="G25" s="5" t="n"/>
      <c r="H25" s="5" t="n"/>
      <c r="I25" s="5" t="n"/>
      <c r="J25" s="5" t="n"/>
      <c r="K25" s="5" t="n"/>
      <c r="L25" s="5" t="n"/>
      <c r="M25" s="5" t="n"/>
      <c r="N25" s="5" t="n"/>
      <c r="O25" s="5" t="n"/>
      <c r="P25" s="5" t="n"/>
      <c r="Q25" s="5" t="n"/>
      <c r="R25" s="5" t="n"/>
      <c r="S25" s="5" t="n"/>
      <c r="T25" s="5" t="n"/>
      <c r="U25" s="5" t="n"/>
    </row>
    <row r="26">
      <c r="A26" s="5" t="inlineStr">
        <is>
          <t>SecureLink Ultra 5 Interest Credit (%)</t>
        </is>
      </c>
      <c r="B26" s="5">
        <f>'All Inputs'!B26</f>
        <v/>
      </c>
      <c r="C26" s="5" t="n"/>
      <c r="D26" s="5" t="n"/>
      <c r="E26" s="5" t="n"/>
      <c r="F26" s="5" t="n"/>
      <c r="G26" s="5" t="n"/>
      <c r="H26" s="5" t="n"/>
      <c r="I26" s="5" t="n"/>
      <c r="J26" s="5" t="n"/>
      <c r="K26" s="5" t="n"/>
      <c r="L26" s="5" t="n"/>
      <c r="M26" s="5" t="n"/>
      <c r="N26" s="5" t="n"/>
      <c r="O26" s="5" t="n"/>
      <c r="P26" s="5" t="n"/>
      <c r="Q26" s="5" t="n"/>
      <c r="R26" s="5" t="n"/>
      <c r="S26" s="5" t="n"/>
      <c r="T26" s="5" t="n"/>
      <c r="U26" s="5" t="n"/>
    </row>
    <row r="27">
      <c r="A27" s="5" t="inlineStr">
        <is>
          <t>SecureLink Ultra 7 Interest Credit (%)</t>
        </is>
      </c>
      <c r="B27" s="5">
        <f>'All Inputs'!B27</f>
        <v/>
      </c>
      <c r="C27" s="5" t="n"/>
      <c r="D27" s="5" t="n"/>
      <c r="E27" s="5" t="n"/>
      <c r="F27" s="5" t="n"/>
      <c r="G27" s="5" t="n"/>
      <c r="H27" s="5" t="n"/>
      <c r="I27" s="5" t="n"/>
      <c r="J27" s="5" t="n"/>
      <c r="K27" s="5" t="n"/>
      <c r="L27" s="5" t="n"/>
      <c r="M27" s="5" t="n"/>
      <c r="N27" s="5" t="n"/>
      <c r="O27" s="5" t="n"/>
      <c r="P27" s="5" t="n"/>
      <c r="Q27" s="5" t="n"/>
      <c r="R27" s="5" t="n"/>
      <c r="S27" s="5" t="n"/>
      <c r="T27" s="5" t="n"/>
      <c r="U27" s="5" t="n"/>
    </row>
    <row r="28">
      <c r="A28" s="5" t="inlineStr">
        <is>
          <t>SecureLink Chronic Illness Access Interest Credit (%)</t>
        </is>
      </c>
      <c r="B28" s="5">
        <f>'All Inputs'!B28</f>
        <v/>
      </c>
      <c r="C28" s="5" t="n"/>
      <c r="D28" s="5" t="n"/>
      <c r="E28" s="5" t="n"/>
      <c r="F28" s="5" t="n"/>
      <c r="G28" s="5" t="n"/>
      <c r="H28" s="5" t="n"/>
      <c r="I28" s="5" t="n"/>
      <c r="J28" s="5" t="n"/>
      <c r="K28" s="5" t="n"/>
      <c r="L28" s="5" t="n"/>
      <c r="M28" s="5" t="n"/>
      <c r="N28" s="5" t="n"/>
      <c r="O28" s="5" t="n"/>
      <c r="P28" s="5" t="n"/>
      <c r="Q28" s="5" t="n"/>
      <c r="R28" s="5" t="n"/>
      <c r="S28" s="5" t="n"/>
      <c r="T28" s="5" t="n"/>
      <c r="U28" s="5" t="n"/>
    </row>
    <row r="29">
      <c r="A29" s="5" t="inlineStr">
        <is>
          <t>SecureLink Ultra 5 Inverse Performance Credit (%)</t>
        </is>
      </c>
      <c r="B29" s="5">
        <f>IF(User Inputs!B12&lt;0, User Inputs!B9, 0)</f>
        <v/>
      </c>
      <c r="C29" s="5" t="n"/>
      <c r="D29" s="5" t="n"/>
      <c r="E29" s="5" t="n"/>
      <c r="F29" s="5" t="n"/>
      <c r="G29" s="5" t="n"/>
      <c r="H29" s="5" t="n"/>
      <c r="I29" s="5" t="n"/>
      <c r="J29" s="5" t="n"/>
      <c r="K29" s="5" t="n"/>
      <c r="L29" s="5" t="n"/>
      <c r="M29" s="5" t="n"/>
      <c r="N29" s="5" t="n"/>
      <c r="O29" s="5" t="n"/>
      <c r="P29" s="5" t="n"/>
      <c r="Q29" s="5" t="n"/>
      <c r="R29" s="5" t="n"/>
      <c r="S29" s="5" t="n"/>
      <c r="T29" s="5" t="n"/>
      <c r="U29" s="5" t="n"/>
    </row>
    <row r="30">
      <c r="A30" s="5" t="inlineStr">
        <is>
          <t>SecureLink Ultra 7 Inverse Performance Credit (%)</t>
        </is>
      </c>
      <c r="B30" s="5">
        <f>IF(User Inputs!B12&lt;0, User Inputs!B10, 0)</f>
        <v/>
      </c>
      <c r="C30" s="5" t="n"/>
      <c r="D30" s="5" t="n"/>
      <c r="E30" s="5" t="n"/>
      <c r="F30" s="5" t="n"/>
      <c r="G30" s="5" t="n"/>
      <c r="H30" s="5" t="n"/>
      <c r="I30" s="5" t="n"/>
      <c r="J30" s="5" t="n"/>
      <c r="K30" s="5" t="n"/>
      <c r="L30" s="5" t="n"/>
      <c r="M30" s="5" t="n"/>
      <c r="N30" s="5" t="n"/>
      <c r="O30" s="5" t="n"/>
      <c r="P30" s="5" t="n"/>
      <c r="Q30" s="5" t="n"/>
      <c r="R30" s="5" t="n"/>
      <c r="S30" s="5" t="n"/>
      <c r="T30" s="5" t="n"/>
      <c r="U30" s="5" t="n"/>
    </row>
  </sheetData>
  <conditionalFormatting sqref="B2:B28">
    <cfRule type="cellIs" priority="1" operator="equal" dxfId="0">
      <formula>MAX(B2:B28)</formula>
    </cfRule>
  </conditionalFormatting>
  <conditionalFormatting sqref="C2:C28">
    <cfRule type="cellIs" priority="2" operator="equal" dxfId="0">
      <formula>MAX(C2:C28)</formula>
    </cfRule>
  </conditionalFormatting>
  <conditionalFormatting sqref="D2:D28">
    <cfRule type="cellIs" priority="3" operator="equal" dxfId="0">
      <formula>MAX(D2:D28)</formula>
    </cfRule>
  </conditionalFormatting>
  <conditionalFormatting sqref="E2:E28">
    <cfRule type="cellIs" priority="4" operator="equal" dxfId="0">
      <formula>MAX(E2:E28)</formula>
    </cfRule>
  </conditionalFormatting>
  <conditionalFormatting sqref="F2:F28">
    <cfRule type="cellIs" priority="5" operator="equal" dxfId="0">
      <formula>MAX(F2:F28)</formula>
    </cfRule>
  </conditionalFormatting>
  <conditionalFormatting sqref="G2:G28">
    <cfRule type="cellIs" priority="6" operator="equal" dxfId="0">
      <formula>MAX(G2:G28)</formula>
    </cfRule>
  </conditionalFormatting>
  <conditionalFormatting sqref="H2:H28">
    <cfRule type="cellIs" priority="7" operator="equal" dxfId="0">
      <formula>MAX(H2:H28)</formula>
    </cfRule>
  </conditionalFormatting>
  <conditionalFormatting sqref="I2:I28">
    <cfRule type="cellIs" priority="8" operator="equal" dxfId="0">
      <formula>MAX(I2:I28)</formula>
    </cfRule>
  </conditionalFormatting>
  <conditionalFormatting sqref="J2:J28">
    <cfRule type="cellIs" priority="9" operator="equal" dxfId="0">
      <formula>MAX(J2:J28)</formula>
    </cfRule>
  </conditionalFormatting>
  <conditionalFormatting sqref="K2:K28">
    <cfRule type="cellIs" priority="10" operator="equal" dxfId="0">
      <formula>MAX(K2:K28)</formula>
    </cfRule>
  </conditionalFormatting>
  <conditionalFormatting sqref="L2:L28">
    <cfRule type="cellIs" priority="11" operator="equal" dxfId="0">
      <formula>MAX(L2:L28)</formula>
    </cfRule>
  </conditionalFormatting>
  <conditionalFormatting sqref="M2:M28">
    <cfRule type="cellIs" priority="12" operator="equal" dxfId="0">
      <formula>MAX(M2:M28)</formula>
    </cfRule>
  </conditionalFormatting>
  <conditionalFormatting sqref="N2:N28">
    <cfRule type="cellIs" priority="13" operator="equal" dxfId="0">
      <formula>MAX(N2:N28)</formula>
    </cfRule>
  </conditionalFormatting>
  <conditionalFormatting sqref="O2:O28">
    <cfRule type="cellIs" priority="14" operator="equal" dxfId="0">
      <formula>MAX(O2:O28)</formula>
    </cfRule>
  </conditionalFormatting>
  <conditionalFormatting sqref="P2:P28">
    <cfRule type="cellIs" priority="15" operator="equal" dxfId="0">
      <formula>MAX(P2:P28)</formula>
    </cfRule>
  </conditionalFormatting>
  <conditionalFormatting sqref="Q2:Q28">
    <cfRule type="cellIs" priority="16" operator="equal" dxfId="0">
      <formula>MAX(Q2:Q28)</formula>
    </cfRule>
  </conditionalFormatting>
  <conditionalFormatting sqref="R2:R28">
    <cfRule type="cellIs" priority="17" operator="equal" dxfId="0">
      <formula>MAX(R2:R28)</formula>
    </cfRule>
  </conditionalFormatting>
  <conditionalFormatting sqref="S2:S28">
    <cfRule type="cellIs" priority="18" operator="equal" dxfId="0">
      <formula>MAX(S2:S28)</formula>
    </cfRule>
  </conditionalFormatting>
  <conditionalFormatting sqref="T2:T28">
    <cfRule type="cellIs" priority="19" operator="equal" dxfId="0">
      <formula>MAX(T2:T28)</formula>
    </cfRule>
  </conditionalFormatting>
  <conditionalFormatting sqref="U2:U28">
    <cfRule type="cellIs" priority="20" operator="equal" dxfId="0">
      <formula>MAX(U2:U28)</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s="10" t="inlineStr">
        <is>
          <t>Instructions:</t>
        </is>
      </c>
    </row>
    <row r="2">
      <c r="A2" s="23" t="inlineStr">
        <is>
          <t>This sheet analyzes withdrawal scenarios, factoring in surrender charges and penalty-free access. Verify withdrawal rates and timing for accuracy.</t>
        </is>
      </c>
      <c r="B2">
        <f>'All Inputs'!B13</f>
        <v/>
      </c>
    </row>
    <row r="3">
      <c r="A3" s="19" t="inlineStr">
        <is>
          <t>Surrender &amp; Withdrawal Strategy Calculator</t>
        </is>
      </c>
      <c r="B3" s="19">
        <f>'All Inputs'!B3</f>
        <v/>
      </c>
      <c r="C3" s="19" t="n"/>
      <c r="D3" s="19" t="n"/>
      <c r="E3" s="19" t="n"/>
      <c r="F3" s="19" t="n"/>
      <c r="G3" s="19" t="n"/>
      <c r="H3" s="19" t="n"/>
      <c r="I3" s="19" t="n"/>
      <c r="J3" s="19" t="n"/>
      <c r="K3" s="19" t="n"/>
      <c r="L3" s="19" t="n"/>
      <c r="M3" s="19" t="n"/>
      <c r="N3" s="19" t="n"/>
      <c r="O3" s="19" t="n"/>
    </row>
    <row r="4">
      <c r="A4" s="5" t="inlineStr">
        <is>
          <t>Enter Initial Contract Value</t>
        </is>
      </c>
      <c r="B4" s="5">
        <f>'All Inputs'!B4</f>
        <v/>
      </c>
      <c r="C4" s="5" t="n"/>
      <c r="D4" s="5" t="n"/>
      <c r="E4" s="5" t="n"/>
      <c r="F4" s="5" t="n"/>
      <c r="G4" s="5" t="n"/>
      <c r="H4" s="5" t="n"/>
      <c r="I4" s="5" t="n"/>
      <c r="J4" s="5" t="n"/>
      <c r="K4" s="5" t="n"/>
      <c r="L4" s="5" t="n"/>
      <c r="M4" s="5" t="n"/>
      <c r="N4" s="5" t="n"/>
      <c r="O4" s="5" t="n"/>
    </row>
    <row r="5">
      <c r="A5" s="5" t="inlineStr">
        <is>
          <t>Enter Annual Withdrawal Amount (%)</t>
        </is>
      </c>
      <c r="B5" s="5">
        <f>'All Inputs'!B5</f>
        <v/>
      </c>
      <c r="C5" s="5" t="n"/>
      <c r="D5" s="5" t="n"/>
      <c r="E5" s="5" t="n"/>
      <c r="F5" s="5" t="n"/>
      <c r="G5" s="5" t="n"/>
      <c r="H5" s="5" t="n"/>
      <c r="I5" s="5" t="n"/>
      <c r="J5" s="5" t="n"/>
      <c r="K5" s="5" t="n"/>
      <c r="L5" s="5" t="n"/>
      <c r="M5" s="5" t="n"/>
      <c r="N5" s="5" t="n"/>
      <c r="O5" s="5" t="n"/>
    </row>
    <row r="6">
      <c r="A6" s="5" t="inlineStr">
        <is>
          <t>Enter Fixed Annual Withdrawal ($)</t>
        </is>
      </c>
      <c r="B6" s="5">
        <f>'All Inputs'!B6</f>
        <v/>
      </c>
      <c r="C6" s="5" t="n"/>
      <c r="D6" s="5" t="n"/>
      <c r="E6" s="5" t="n"/>
      <c r="F6" s="5" t="n"/>
      <c r="G6" s="5" t="n"/>
      <c r="H6" s="5" t="n"/>
      <c r="I6" s="5" t="n"/>
      <c r="J6" s="5" t="n"/>
      <c r="K6" s="5" t="n"/>
      <c r="L6" s="5" t="n"/>
      <c r="M6" s="5" t="n"/>
      <c r="N6" s="5" t="n"/>
      <c r="O6" s="5" t="n"/>
    </row>
    <row r="7">
      <c r="A7" s="5" t="inlineStr">
        <is>
          <t>Enter Years for Strategy</t>
        </is>
      </c>
      <c r="B7" s="22">
        <f>'All Inputs'!B7</f>
        <v/>
      </c>
      <c r="C7" s="5" t="n"/>
      <c r="D7" s="5" t="n"/>
      <c r="E7" s="5" t="n"/>
      <c r="F7" s="5" t="n"/>
      <c r="G7" s="5" t="n"/>
      <c r="H7" s="5" t="n"/>
      <c r="I7" s="5" t="n"/>
      <c r="J7" s="5" t="n"/>
      <c r="K7" s="5" t="n"/>
      <c r="L7" s="5" t="n"/>
      <c r="M7" s="5" t="n"/>
      <c r="N7" s="5" t="n"/>
      <c r="O7" s="5" t="n"/>
    </row>
    <row r="8">
      <c r="A8" s="5" t="inlineStr">
        <is>
          <t>Year</t>
        </is>
      </c>
      <c r="B8" s="5">
        <f>'All Inputs'!B8</f>
        <v/>
      </c>
      <c r="C8" s="5" t="inlineStr">
        <is>
          <t>SecureLink Ultra 7 Surrender Value</t>
        </is>
      </c>
      <c r="D8" s="5" t="inlineStr">
        <is>
          <t>SecureLink Ultra 5 Contract Value</t>
        </is>
      </c>
      <c r="E8" s="5" t="inlineStr">
        <is>
          <t>SecureLink Ultra 5 Surrender Value</t>
        </is>
      </c>
      <c r="F8" s="5" t="inlineStr">
        <is>
          <t>SecureLink Chronic Illness Access Contract Value</t>
        </is>
      </c>
      <c r="G8" s="5" t="inlineStr">
        <is>
          <t>SecureLink Chronic Illness Access Surrender Value</t>
        </is>
      </c>
      <c r="H8" s="5" t="inlineStr">
        <is>
          <t>MultiOption Momentum Contract Value</t>
        </is>
      </c>
      <c r="I8" s="5" t="inlineStr">
        <is>
          <t>MultiOption Momentum Surrender Value</t>
        </is>
      </c>
      <c r="J8" s="5" t="inlineStr">
        <is>
          <t>Guide B Contract Value</t>
        </is>
      </c>
      <c r="K8" s="5" t="inlineStr">
        <is>
          <t>Guide B Surrender Value</t>
        </is>
      </c>
      <c r="L8" s="5" t="inlineStr">
        <is>
          <t>Extra Contract Value</t>
        </is>
      </c>
      <c r="M8" s="5" t="inlineStr">
        <is>
          <t>Extra Surrender Value</t>
        </is>
      </c>
      <c r="N8" s="5" t="inlineStr">
        <is>
          <t>SecureOption Choice Contract Value</t>
        </is>
      </c>
      <c r="O8" s="5" t="inlineStr">
        <is>
          <t>SecureOption Choice Surrender Value</t>
        </is>
      </c>
    </row>
    <row r="9">
      <c r="A9" s="5" t="n">
        <v>1</v>
      </c>
      <c r="B9" s="22">
        <f>'All Inputs'!B9</f>
        <v/>
      </c>
      <c r="C9" s="22" t="n">
        <v>81900</v>
      </c>
      <c r="D9" s="22" t="n">
        <v>90000</v>
      </c>
      <c r="E9" s="22" t="n">
        <v>81900</v>
      </c>
      <c r="F9" s="22" t="n">
        <v>90000</v>
      </c>
      <c r="G9" s="22" t="n">
        <v>83700</v>
      </c>
      <c r="H9" s="22" t="n">
        <v>90000</v>
      </c>
      <c r="I9" s="22" t="n">
        <v>82800</v>
      </c>
      <c r="J9" s="22" t="n">
        <v>90000</v>
      </c>
      <c r="K9" s="22" t="n">
        <v>82800</v>
      </c>
      <c r="L9" s="22" t="n">
        <v>90000</v>
      </c>
      <c r="M9" s="22" t="n">
        <v>84150</v>
      </c>
      <c r="N9" s="22" t="n">
        <v>90000</v>
      </c>
      <c r="O9" s="22" t="n">
        <v>81900</v>
      </c>
    </row>
    <row r="10">
      <c r="A10" s="5" t="n">
        <v>2</v>
      </c>
      <c r="B10" s="22">
        <f>'All Inputs'!B10</f>
        <v/>
      </c>
      <c r="C10" s="22" t="n">
        <v>74520</v>
      </c>
      <c r="D10" s="22" t="n">
        <v>81000</v>
      </c>
      <c r="E10" s="22" t="n">
        <v>74520</v>
      </c>
      <c r="F10" s="22" t="n">
        <v>81000</v>
      </c>
      <c r="G10" s="22" t="n">
        <v>76140</v>
      </c>
      <c r="H10" s="22" t="n">
        <v>81000</v>
      </c>
      <c r="I10" s="22" t="n">
        <v>74520</v>
      </c>
      <c r="J10" s="22" t="n">
        <v>81000</v>
      </c>
      <c r="K10" s="22" t="n">
        <v>74520</v>
      </c>
      <c r="L10" s="22" t="n">
        <v>81000</v>
      </c>
      <c r="M10" s="22" t="n">
        <v>75735</v>
      </c>
      <c r="N10" s="22" t="n">
        <v>81000</v>
      </c>
      <c r="O10" s="22" t="n">
        <v>74520</v>
      </c>
    </row>
    <row r="11">
      <c r="A11" s="5" t="n">
        <v>3</v>
      </c>
      <c r="B11" s="22">
        <f>'All Inputs'!B11</f>
        <v/>
      </c>
      <c r="C11" s="22" t="n">
        <v>67797</v>
      </c>
      <c r="D11" s="22" t="n">
        <v>72900</v>
      </c>
      <c r="E11" s="22" t="n">
        <v>67797</v>
      </c>
      <c r="F11" s="22" t="n">
        <v>72900</v>
      </c>
      <c r="G11" s="22" t="n">
        <v>69255</v>
      </c>
      <c r="H11" s="22" t="n">
        <v>72900</v>
      </c>
      <c r="I11" s="22" t="n">
        <v>67797</v>
      </c>
      <c r="J11" s="22" t="n">
        <v>72900</v>
      </c>
      <c r="K11" s="22" t="n">
        <v>67797</v>
      </c>
      <c r="L11" s="22" t="n">
        <v>72900</v>
      </c>
      <c r="M11" s="22" t="n">
        <v>68598.89999999999</v>
      </c>
      <c r="N11" s="22" t="n">
        <v>72900</v>
      </c>
      <c r="O11" s="22" t="n">
        <v>67797</v>
      </c>
    </row>
    <row r="12">
      <c r="A12" s="5" t="n">
        <v>4</v>
      </c>
      <c r="B12" s="22">
        <f>'All Inputs'!B12</f>
        <v/>
      </c>
      <c r="C12" s="22" t="n">
        <v>61673.39999999999</v>
      </c>
      <c r="D12" s="22" t="n">
        <v>65610</v>
      </c>
      <c r="E12" s="22" t="n">
        <v>61673.39999999999</v>
      </c>
      <c r="F12" s="22" t="n">
        <v>65610</v>
      </c>
      <c r="G12" s="22" t="n">
        <v>62985.6</v>
      </c>
      <c r="H12" s="22" t="n">
        <v>65610</v>
      </c>
      <c r="I12" s="22" t="n">
        <v>61673.39999999999</v>
      </c>
      <c r="J12" s="22" t="n">
        <v>65610</v>
      </c>
      <c r="K12" s="22" t="n">
        <v>61673.39999999999</v>
      </c>
      <c r="L12" s="22" t="n">
        <v>65610</v>
      </c>
      <c r="M12" s="22" t="n">
        <v>61739.00999999999</v>
      </c>
      <c r="N12" s="22" t="n">
        <v>65610</v>
      </c>
      <c r="O12" s="22" t="n">
        <v>61673.39999999999</v>
      </c>
    </row>
    <row r="13">
      <c r="A13" s="5" t="n">
        <v>5</v>
      </c>
      <c r="B13" s="22">
        <f>'All Inputs'!B13</f>
        <v/>
      </c>
      <c r="C13" s="22" t="n">
        <v>56096.55</v>
      </c>
      <c r="D13" s="22" t="n">
        <v>59049</v>
      </c>
      <c r="E13" s="22" t="n">
        <v>56096.55</v>
      </c>
      <c r="F13" s="22" t="n">
        <v>59049</v>
      </c>
      <c r="G13" s="22" t="n">
        <v>57277.53</v>
      </c>
      <c r="H13" s="22" t="n">
        <v>59049</v>
      </c>
      <c r="I13" s="22" t="n">
        <v>56096.55</v>
      </c>
      <c r="J13" s="22" t="n">
        <v>59049</v>
      </c>
      <c r="K13" s="22" t="n">
        <v>56096.55</v>
      </c>
      <c r="L13" s="22" t="n">
        <v>59049</v>
      </c>
      <c r="M13" s="22" t="n">
        <v>55565.109</v>
      </c>
      <c r="N13" s="22" t="n">
        <v>59049</v>
      </c>
      <c r="O13" s="22" t="n">
        <v>56096.55</v>
      </c>
    </row>
    <row r="14">
      <c r="A14" s="5" t="n">
        <v>6</v>
      </c>
      <c r="B14" s="22">
        <f>'All Inputs'!B14</f>
        <v/>
      </c>
      <c r="C14" s="22" t="n">
        <v>51018.336</v>
      </c>
      <c r="D14" s="22" t="n">
        <v>53144.1</v>
      </c>
      <c r="E14" s="22" t="n">
        <v>53144.1</v>
      </c>
      <c r="F14" s="22" t="n">
        <v>53144.1</v>
      </c>
      <c r="G14" s="22" t="n">
        <v>52081.218</v>
      </c>
      <c r="H14" s="22" t="n">
        <v>53144.1</v>
      </c>
      <c r="I14" s="22" t="n">
        <v>53144.1</v>
      </c>
      <c r="J14" s="22" t="n">
        <v>53144.1</v>
      </c>
      <c r="K14" s="22" t="n">
        <v>51018.336</v>
      </c>
      <c r="L14" s="22" t="n">
        <v>53144.1</v>
      </c>
      <c r="M14" s="22" t="n">
        <v>50486.895</v>
      </c>
      <c r="N14" s="22" t="n">
        <v>53144.1</v>
      </c>
      <c r="O14" s="22" t="n">
        <v>51018.336</v>
      </c>
    </row>
    <row r="15">
      <c r="A15" s="5" t="n">
        <v>7</v>
      </c>
      <c r="B15" s="22">
        <f>'All Inputs'!B15</f>
        <v/>
      </c>
      <c r="C15" s="22" t="n">
        <v>46394.7993</v>
      </c>
      <c r="D15" s="22" t="n">
        <v>47829.69</v>
      </c>
      <c r="E15" s="22" t="n">
        <v>47829.69</v>
      </c>
      <c r="F15" s="22" t="n">
        <v>47829.69</v>
      </c>
      <c r="G15" s="22" t="n">
        <v>47351.3931</v>
      </c>
      <c r="H15" s="22" t="n">
        <v>47829.69</v>
      </c>
      <c r="I15" s="22" t="n">
        <v>47829.69</v>
      </c>
      <c r="J15" s="22" t="n">
        <v>47829.69</v>
      </c>
      <c r="K15" s="22" t="n">
        <v>46394.7993</v>
      </c>
      <c r="L15" s="22" t="n">
        <v>47829.69</v>
      </c>
      <c r="M15" s="22" t="n">
        <v>45916.5024</v>
      </c>
      <c r="N15" s="22" t="n">
        <v>47829.69</v>
      </c>
      <c r="O15" s="22" t="n">
        <v>46394.7993</v>
      </c>
    </row>
    <row r="16">
      <c r="A16" s="5" t="n">
        <v>8</v>
      </c>
      <c r="B16" s="22">
        <f>'All Inputs'!B16</f>
        <v/>
      </c>
      <c r="C16" s="22" t="n">
        <v>42185.78658000001</v>
      </c>
      <c r="D16" s="22" t="n">
        <v>43046.72100000001</v>
      </c>
      <c r="E16" s="22" t="n">
        <v>43046.72100000001</v>
      </c>
      <c r="F16" s="22" t="n">
        <v>43046.72100000001</v>
      </c>
      <c r="G16" s="22" t="n">
        <v>43046.72100000001</v>
      </c>
      <c r="H16" s="22" t="n">
        <v>43046.72100000001</v>
      </c>
      <c r="I16" s="22" t="n">
        <v>43046.72100000001</v>
      </c>
      <c r="J16" s="22" t="n">
        <v>43046.72100000001</v>
      </c>
      <c r="K16" s="22" t="n">
        <v>43046.72100000001</v>
      </c>
      <c r="L16" s="22" t="n">
        <v>43046.72100000001</v>
      </c>
      <c r="M16" s="22" t="n">
        <v>41755.31937</v>
      </c>
      <c r="N16" s="22" t="n">
        <v>43046.72100000001</v>
      </c>
      <c r="O16" s="22" t="n">
        <v>43046.72100000001</v>
      </c>
    </row>
    <row r="17">
      <c r="A17" s="5" t="n">
        <v>9</v>
      </c>
      <c r="B17" s="22">
        <f>'All Inputs'!B17</f>
        <v/>
      </c>
      <c r="C17" s="22" t="n">
        <v>38354.628411</v>
      </c>
      <c r="D17" s="22" t="n">
        <v>38742.0489</v>
      </c>
      <c r="E17" s="22" t="n">
        <v>38742.0489</v>
      </c>
      <c r="F17" s="22" t="n">
        <v>38742.0489</v>
      </c>
      <c r="G17" s="22" t="n">
        <v>38742.0489</v>
      </c>
      <c r="H17" s="22" t="n">
        <v>38742.0489</v>
      </c>
      <c r="I17" s="22" t="n">
        <v>38742.0489</v>
      </c>
      <c r="J17" s="22" t="n">
        <v>38742.0489</v>
      </c>
      <c r="K17" s="22" t="n">
        <v>38742.0489</v>
      </c>
      <c r="L17" s="22" t="n">
        <v>38742.0489</v>
      </c>
      <c r="M17" s="22" t="n">
        <v>37967.207922</v>
      </c>
      <c r="N17" s="22" t="n">
        <v>38742.0489</v>
      </c>
      <c r="O17" s="22" t="n">
        <v>38742.0489</v>
      </c>
    </row>
    <row r="18">
      <c r="A18" s="5" t="n">
        <v>10</v>
      </c>
      <c r="B18" s="22">
        <f>'All Inputs'!B18</f>
        <v/>
      </c>
      <c r="C18" s="22" t="n">
        <v>34867.84401</v>
      </c>
      <c r="D18" s="22" t="n">
        <v>34867.84401</v>
      </c>
      <c r="E18" s="22" t="n">
        <v>34867.84401</v>
      </c>
      <c r="F18" s="22" t="n">
        <v>34867.84401</v>
      </c>
      <c r="G18" s="22" t="n">
        <v>34867.84401</v>
      </c>
      <c r="H18" s="22" t="n">
        <v>34867.84401</v>
      </c>
      <c r="I18" s="22" t="n">
        <v>34867.84401</v>
      </c>
      <c r="J18" s="22" t="n">
        <v>34867.84401</v>
      </c>
      <c r="K18" s="22" t="n">
        <v>34867.84401</v>
      </c>
      <c r="L18" s="22" t="n">
        <v>34867.84401</v>
      </c>
      <c r="M18" s="22" t="n">
        <v>34867.84401</v>
      </c>
      <c r="N18" s="22" t="n">
        <v>34867.84401</v>
      </c>
      <c r="O18" s="22" t="n">
        <v>34867.84401</v>
      </c>
    </row>
    <row r="19">
      <c r="B19">
        <f>'All Inputs'!B19</f>
        <v/>
      </c>
    </row>
    <row r="20">
      <c r="B20">
        <f>'All Inputs'!B20</f>
        <v/>
      </c>
    </row>
    <row r="21">
      <c r="B21">
        <f>'All Inputs'!B21</f>
        <v/>
      </c>
    </row>
    <row r="22">
      <c r="B22">
        <f>'All Inputs'!B22</f>
        <v/>
      </c>
    </row>
    <row r="23">
      <c r="B23">
        <f>'All Inputs'!B23</f>
        <v/>
      </c>
    </row>
    <row r="24">
      <c r="B24">
        <f>'All Inputs'!B24</f>
        <v/>
      </c>
    </row>
    <row r="25">
      <c r="B25">
        <f>'All Inputs'!B25</f>
        <v/>
      </c>
    </row>
    <row r="26">
      <c r="B26">
        <f>'All Inputs'!B26</f>
        <v/>
      </c>
    </row>
    <row r="27">
      <c r="B27">
        <f>'All Inputs'!B27</f>
        <v/>
      </c>
    </row>
    <row r="28">
      <c r="B28">
        <f>'All Inputs'!B28</f>
        <v/>
      </c>
    </row>
  </sheetData>
  <conditionalFormatting sqref="B2:B16">
    <cfRule type="cellIs" priority="1" operator="equal" dxfId="0">
      <formula>MAX(B2:B16)</formula>
    </cfRule>
  </conditionalFormatting>
  <conditionalFormatting sqref="C2:C16">
    <cfRule type="cellIs" priority="2" operator="equal" dxfId="0">
      <formula>MAX(C2:C16)</formula>
    </cfRule>
  </conditionalFormatting>
  <conditionalFormatting sqref="D2:D16">
    <cfRule type="cellIs" priority="3" operator="equal" dxfId="0">
      <formula>MAX(D2:D16)</formula>
    </cfRule>
  </conditionalFormatting>
  <conditionalFormatting sqref="E2:E16">
    <cfRule type="cellIs" priority="4" operator="equal" dxfId="0">
      <formula>MAX(E2:E16)</formula>
    </cfRule>
  </conditionalFormatting>
  <conditionalFormatting sqref="F2:F16">
    <cfRule type="cellIs" priority="5" operator="equal" dxfId="0">
      <formula>MAX(F2:F16)</formula>
    </cfRule>
  </conditionalFormatting>
  <conditionalFormatting sqref="G2:G16">
    <cfRule type="cellIs" priority="6" operator="equal" dxfId="0">
      <formula>MAX(G2:G16)</formula>
    </cfRule>
  </conditionalFormatting>
  <conditionalFormatting sqref="H2:H16">
    <cfRule type="cellIs" priority="7" operator="equal" dxfId="0">
      <formula>MAX(H2:H16)</formula>
    </cfRule>
  </conditionalFormatting>
  <conditionalFormatting sqref="I2:I16">
    <cfRule type="cellIs" priority="8" operator="equal" dxfId="0">
      <formula>MAX(I2:I16)</formula>
    </cfRule>
  </conditionalFormatting>
  <conditionalFormatting sqref="J2:J16">
    <cfRule type="cellIs" priority="9" operator="equal" dxfId="0">
      <formula>MAX(J2:J16)</formula>
    </cfRule>
  </conditionalFormatting>
  <conditionalFormatting sqref="K2:K16">
    <cfRule type="cellIs" priority="10" operator="equal" dxfId="0">
      <formula>MAX(K2:K16)</formula>
    </cfRule>
  </conditionalFormatting>
  <conditionalFormatting sqref="L2:L16">
    <cfRule type="cellIs" priority="11" operator="equal" dxfId="0">
      <formula>MAX(L2:L16)</formula>
    </cfRule>
  </conditionalFormatting>
  <conditionalFormatting sqref="M2:M16">
    <cfRule type="cellIs" priority="12" operator="equal" dxfId="0">
      <formula>MAX(M2:M16)</formula>
    </cfRule>
  </conditionalFormatting>
  <conditionalFormatting sqref="N2:N16">
    <cfRule type="cellIs" priority="13" operator="equal" dxfId="0">
      <formula>MAX(N2:N16)</formula>
    </cfRule>
  </conditionalFormatting>
  <conditionalFormatting sqref="O2:O16">
    <cfRule type="cellIs" priority="14" operator="equal" dxfId="0">
      <formula>MAX(O2:O16)</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0" t="inlineStr">
        <is>
          <t>Instructions:</t>
        </is>
      </c>
    </row>
    <row r="2">
      <c r="A2" s="23" t="inlineStr">
        <is>
          <t>This section compares death benefits and legacy strategies based on selected annuities and riders. Ensure that any roll-up rates or guaranteed growth factors are properly considered.</t>
        </is>
      </c>
      <c r="B2">
        <f>'All Inputs'!B13</f>
        <v/>
      </c>
    </row>
    <row r="3">
      <c r="A3" s="19" t="inlineStr">
        <is>
          <t>Legacy &amp; Death Benefit Comparison Calculator</t>
        </is>
      </c>
      <c r="B3" s="19">
        <f>'All Inputs'!B3</f>
        <v/>
      </c>
      <c r="C3" s="19" t="n"/>
      <c r="D3" s="19" t="n"/>
      <c r="E3" s="19" t="n"/>
      <c r="F3" s="19" t="n"/>
      <c r="G3" s="19" t="n"/>
      <c r="H3" s="19" t="n"/>
      <c r="I3" s="19" t="n"/>
      <c r="J3" s="19" t="n"/>
      <c r="K3" s="19" t="n"/>
      <c r="L3" s="19" t="n"/>
      <c r="M3" s="19" t="n"/>
    </row>
    <row r="4">
      <c r="A4" s="5" t="inlineStr">
        <is>
          <t>Enter Initial Contract Value</t>
        </is>
      </c>
      <c r="B4" s="5">
        <f>'All Inputs'!B4</f>
        <v/>
      </c>
      <c r="C4" s="5" t="n"/>
      <c r="D4" s="5" t="n"/>
      <c r="E4" s="5" t="n"/>
      <c r="F4" s="5" t="n"/>
      <c r="G4" s="5" t="n"/>
      <c r="H4" s="5" t="n"/>
      <c r="I4" s="5" t="n"/>
      <c r="J4" s="5" t="n"/>
      <c r="K4" s="5" t="n"/>
      <c r="L4" s="5" t="n"/>
      <c r="M4" s="5" t="n"/>
    </row>
    <row r="5">
      <c r="A5" s="5" t="inlineStr">
        <is>
          <t>Enter Expected Growth Rate (%)</t>
        </is>
      </c>
      <c r="B5" s="5">
        <f>'All Inputs'!B5</f>
        <v/>
      </c>
      <c r="C5" s="5" t="n"/>
      <c r="D5" s="5" t="n"/>
      <c r="E5" s="5" t="n"/>
      <c r="F5" s="5" t="n"/>
      <c r="G5" s="5" t="n"/>
      <c r="H5" s="5" t="n"/>
      <c r="I5" s="5" t="n"/>
      <c r="J5" s="5" t="n"/>
      <c r="K5" s="5" t="n"/>
      <c r="L5" s="5" t="n"/>
      <c r="M5" s="5" t="n"/>
    </row>
    <row r="6">
      <c r="A6" s="5" t="inlineStr">
        <is>
          <t>Enter Number of Years</t>
        </is>
      </c>
      <c r="B6" s="5">
        <f>'All Inputs'!B6</f>
        <v/>
      </c>
      <c r="C6" s="5" t="n"/>
      <c r="D6" s="5" t="n"/>
      <c r="E6" s="5" t="n"/>
      <c r="F6" s="5" t="n"/>
      <c r="G6" s="5" t="n"/>
      <c r="H6" s="5" t="n"/>
      <c r="I6" s="5" t="n"/>
      <c r="J6" s="5" t="n"/>
      <c r="K6" s="5" t="n"/>
      <c r="L6" s="5" t="n"/>
      <c r="M6" s="5" t="n"/>
    </row>
    <row r="7">
      <c r="A7" s="5" t="inlineStr">
        <is>
          <t>Enter Annual Withdrawal Amount (%)</t>
        </is>
      </c>
      <c r="B7" s="22">
        <f>'All Inputs'!B7</f>
        <v/>
      </c>
      <c r="C7" s="5" t="n"/>
      <c r="D7" s="5" t="n"/>
      <c r="E7" s="5" t="n"/>
      <c r="F7" s="5" t="n"/>
      <c r="G7" s="5" t="n"/>
      <c r="H7" s="5" t="n"/>
      <c r="I7" s="5" t="n"/>
      <c r="J7" s="5" t="n"/>
      <c r="K7" s="5" t="n"/>
      <c r="L7" s="5" t="n"/>
      <c r="M7" s="5" t="n"/>
    </row>
    <row r="8">
      <c r="A8" s="5" t="inlineStr">
        <is>
          <t>Enter Fixed Annual Withdrawal ($)</t>
        </is>
      </c>
      <c r="B8" s="22">
        <f>'All Inputs'!B8</f>
        <v/>
      </c>
      <c r="C8" s="5" t="n"/>
      <c r="D8" s="5" t="n"/>
      <c r="E8" s="5" t="n"/>
      <c r="F8" s="5" t="n"/>
      <c r="G8" s="5" t="n"/>
      <c r="H8" s="5" t="n"/>
      <c r="I8" s="5" t="n"/>
      <c r="J8" s="5" t="n"/>
      <c r="K8" s="5" t="n"/>
      <c r="L8" s="5" t="n"/>
      <c r="M8" s="5" t="n"/>
    </row>
    <row r="9">
      <c r="A9" s="5" t="inlineStr">
        <is>
          <t>Year</t>
        </is>
      </c>
      <c r="B9" s="5">
        <f>'All Inputs'!B9</f>
        <v/>
      </c>
      <c r="C9" s="5" t="inlineStr">
        <is>
          <t>Guide B HAV II Death Benefit</t>
        </is>
      </c>
      <c r="D9" s="5" t="inlineStr">
        <is>
          <t>Guide B Premier II Contract Value</t>
        </is>
      </c>
      <c r="E9" s="5" t="inlineStr">
        <is>
          <t>Guide B Premier II Death Benefit</t>
        </is>
      </c>
      <c r="F9" s="5" t="inlineStr">
        <is>
          <t>Extra HAV II Contract Value</t>
        </is>
      </c>
      <c r="G9" s="5" t="inlineStr">
        <is>
          <t>Extra HAV II Death Benefit</t>
        </is>
      </c>
      <c r="H9" s="5" t="inlineStr">
        <is>
          <t>Momentum Premier Protector Contract Value</t>
        </is>
      </c>
      <c r="I9" s="5" t="inlineStr">
        <is>
          <t>Momentum Premier Protector Death Benefit</t>
        </is>
      </c>
      <c r="J9" s="5" t="inlineStr">
        <is>
          <t>SecureLink Chronic Illness Access Contract Value</t>
        </is>
      </c>
      <c r="K9" s="5" t="inlineStr">
        <is>
          <t>SecureLink Chronic Illness Access Death Benefit</t>
        </is>
      </c>
      <c r="L9" s="5" t="inlineStr">
        <is>
          <t>Estate Enhancement Benefit II Contract Value</t>
        </is>
      </c>
      <c r="M9" s="5" t="inlineStr">
        <is>
          <t>Estate Enhancement Benefit II Death Benefit</t>
        </is>
      </c>
    </row>
    <row r="10">
      <c r="A10" s="5" t="n">
        <v>1</v>
      </c>
      <c r="B10" s="22">
        <f>'All Inputs'!B10</f>
        <v/>
      </c>
      <c r="C10" s="22" t="n">
        <v>95400</v>
      </c>
      <c r="D10" s="22" t="n">
        <v>99750</v>
      </c>
      <c r="E10" s="22" t="n">
        <v>99473.68421052632</v>
      </c>
      <c r="F10" s="22" t="n">
        <v>101175</v>
      </c>
      <c r="G10" s="22" t="n">
        <v>95850</v>
      </c>
      <c r="H10" s="22" t="n">
        <v>98800</v>
      </c>
      <c r="I10" s="22" t="n">
        <v>98526.31578947369</v>
      </c>
      <c r="J10" s="22" t="n">
        <v>102600</v>
      </c>
      <c r="K10" s="22" t="n">
        <v>110808</v>
      </c>
      <c r="L10" s="22" t="n">
        <v>133000</v>
      </c>
      <c r="M10" s="22" t="n">
        <v>126000</v>
      </c>
    </row>
    <row r="11">
      <c r="A11" s="5" t="n">
        <v>2</v>
      </c>
      <c r="B11" s="22">
        <f>'All Inputs'!B11</f>
        <v/>
      </c>
      <c r="C11" s="22" t="n">
        <v>96067.79999999999</v>
      </c>
      <c r="D11" s="22" t="n">
        <v>99500.625</v>
      </c>
      <c r="E11" s="22" t="n">
        <v>98950.13850415514</v>
      </c>
      <c r="F11" s="22" t="n">
        <v>102363.80625</v>
      </c>
      <c r="G11" s="22" t="n">
        <v>96976.23749999999</v>
      </c>
      <c r="H11" s="22" t="n">
        <v>97614.39999999999</v>
      </c>
      <c r="I11" s="22" t="n">
        <v>97074.34903047091</v>
      </c>
      <c r="J11" s="22" t="n">
        <v>105267.6</v>
      </c>
      <c r="K11" s="22" t="n">
        <v>113689.008</v>
      </c>
      <c r="L11" s="22" t="n">
        <v>176890</v>
      </c>
      <c r="M11" s="22" t="n">
        <v>167580</v>
      </c>
    </row>
    <row r="12">
      <c r="A12" s="5" t="n">
        <v>3</v>
      </c>
      <c r="B12" s="22">
        <f>'All Inputs'!B12</f>
        <v/>
      </c>
      <c r="C12" s="22" t="n">
        <v>96740.27459999999</v>
      </c>
      <c r="D12" s="22" t="n">
        <v>99251.87343750001</v>
      </c>
      <c r="E12" s="22" t="n">
        <v>98429.3483015017</v>
      </c>
      <c r="F12" s="22" t="n">
        <v>103566.5809734375</v>
      </c>
      <c r="G12" s="22" t="n">
        <v>98115.70829062499</v>
      </c>
      <c r="H12" s="22" t="n">
        <v>96443.0272</v>
      </c>
      <c r="I12" s="22" t="n">
        <v>95643.77967633765</v>
      </c>
      <c r="J12" s="22" t="n">
        <v>108004.5576</v>
      </c>
      <c r="K12" s="22" t="n">
        <v>116644.922208</v>
      </c>
      <c r="L12" s="22" t="n">
        <v>235263.7</v>
      </c>
      <c r="M12" s="22" t="n">
        <v>222881.4</v>
      </c>
    </row>
    <row r="13">
      <c r="A13" s="5" t="n">
        <v>4</v>
      </c>
      <c r="B13" s="22">
        <f>'All Inputs'!B13</f>
        <v/>
      </c>
      <c r="C13" s="22" t="n">
        <v>97417.45652219999</v>
      </c>
      <c r="D13" s="22" t="n">
        <v>99003.74375390625</v>
      </c>
      <c r="E13" s="22" t="n">
        <v>97911.29909991485</v>
      </c>
      <c r="F13" s="22" t="n">
        <v>104783.4882998754</v>
      </c>
      <c r="G13" s="22" t="n">
        <v>99268.56786303983</v>
      </c>
      <c r="H13" s="22" t="n">
        <v>95285.71087360001</v>
      </c>
      <c r="I13" s="22" t="n">
        <v>94234.29239689688</v>
      </c>
      <c r="J13" s="22" t="n">
        <v>110812.6760976</v>
      </c>
      <c r="K13" s="22" t="n">
        <v>119677.690185408</v>
      </c>
      <c r="L13" s="22" t="n">
        <v>312900.721</v>
      </c>
      <c r="M13" s="22" t="n">
        <v>296432.2619999999</v>
      </c>
    </row>
    <row r="14">
      <c r="A14" s="5" t="n">
        <v>5</v>
      </c>
      <c r="B14" s="22">
        <f>'All Inputs'!B14</f>
        <v/>
      </c>
      <c r="C14" s="22" t="n">
        <v>98099.3787178554</v>
      </c>
      <c r="D14" s="22" t="n">
        <v>98756.2343945215</v>
      </c>
      <c r="E14" s="22" t="n">
        <v>97395.9764730732</v>
      </c>
      <c r="F14" s="22" t="n">
        <v>106014.6942873989</v>
      </c>
      <c r="G14" s="22" t="n">
        <v>100434.9735354305</v>
      </c>
      <c r="H14" s="22" t="n">
        <v>94142.28234311681</v>
      </c>
      <c r="I14" s="22" t="n">
        <v>92845.57650894261</v>
      </c>
      <c r="J14" s="22" t="n">
        <v>113693.8056761376</v>
      </c>
      <c r="K14" s="22" t="n">
        <v>122789.3101302287</v>
      </c>
      <c r="L14" s="22" t="n">
        <v>416157.9589299999</v>
      </c>
      <c r="M14" s="22" t="n">
        <v>394254.9084599999</v>
      </c>
    </row>
    <row r="15">
      <c r="A15" s="5" t="n">
        <v>6</v>
      </c>
      <c r="B15" s="22">
        <f>'All Inputs'!B15</f>
        <v/>
      </c>
      <c r="C15" s="22" t="n">
        <v>98786.07436888039</v>
      </c>
      <c r="D15" s="22" t="n">
        <v>98509.3438085352</v>
      </c>
      <c r="E15" s="22" t="n">
        <v>96883.36607058333</v>
      </c>
      <c r="F15" s="22" t="n">
        <v>107260.3669452758</v>
      </c>
      <c r="G15" s="22" t="n">
        <v>101615.0844744718</v>
      </c>
      <c r="H15" s="22" t="n">
        <v>93012.57495499941</v>
      </c>
      <c r="I15" s="22" t="n">
        <v>91477.32590775819</v>
      </c>
      <c r="J15" s="22" t="n">
        <v>116649.8446237172</v>
      </c>
      <c r="K15" s="22" t="n">
        <v>125981.8321936146</v>
      </c>
      <c r="L15" s="22" t="n">
        <v>553490.0853768999</v>
      </c>
      <c r="M15" s="22" t="n">
        <v>524359.0282518</v>
      </c>
    </row>
    <row r="16">
      <c r="A16" s="5" t="n">
        <v>7</v>
      </c>
      <c r="B16" s="22">
        <f>'All Inputs'!B16</f>
        <v/>
      </c>
      <c r="C16" s="22" t="n">
        <v>99477.57688946257</v>
      </c>
      <c r="D16" s="22" t="n">
        <v>98263.07044901386</v>
      </c>
      <c r="E16" s="22" t="n">
        <v>96373.45361758025</v>
      </c>
      <c r="F16" s="22" t="n">
        <v>108520.6762568828</v>
      </c>
      <c r="G16" s="22" t="n">
        <v>102809.0617170469</v>
      </c>
      <c r="H16" s="22" t="n">
        <v>91896.42405553942</v>
      </c>
      <c r="I16" s="22" t="n">
        <v>90129.23899964386</v>
      </c>
      <c r="J16" s="22" t="n">
        <v>119682.7405839339</v>
      </c>
      <c r="K16" s="22" t="n">
        <v>129257.3598306486</v>
      </c>
      <c r="L16" s="22" t="n">
        <v>736141.8135512768</v>
      </c>
      <c r="M16" s="22" t="n">
        <v>697397.5075748938</v>
      </c>
    </row>
    <row r="17">
      <c r="A17" s="5" t="n">
        <v>8</v>
      </c>
      <c r="B17" s="22">
        <f>'All Inputs'!B17</f>
        <v/>
      </c>
      <c r="C17" s="22" t="n">
        <v>100173.9199276888</v>
      </c>
      <c r="D17" s="22" t="n">
        <v>98017.41277289133</v>
      </c>
      <c r="E17" s="22" t="n">
        <v>95866.22491432982</v>
      </c>
      <c r="F17" s="22" t="n">
        <v>109795.7942029012</v>
      </c>
      <c r="G17" s="22" t="n">
        <v>104017.0681922222</v>
      </c>
      <c r="H17" s="22" t="n">
        <v>90793.66696687296</v>
      </c>
      <c r="I17" s="22" t="n">
        <v>88801.01863543858</v>
      </c>
      <c r="J17" s="22" t="n">
        <v>122794.4918391162</v>
      </c>
      <c r="K17" s="22" t="n">
        <v>132618.0511862455</v>
      </c>
      <c r="L17" s="22" t="n">
        <v>979068.612023198</v>
      </c>
      <c r="M17" s="22" t="n">
        <v>927538.6850746087</v>
      </c>
    </row>
    <row r="18">
      <c r="A18" s="5" t="n">
        <v>9</v>
      </c>
      <c r="B18" s="22">
        <f>'All Inputs'!B18</f>
        <v/>
      </c>
      <c r="C18" s="22" t="n">
        <v>100875.1373671826</v>
      </c>
      <c r="D18" s="22" t="n">
        <v>97772.3692409591</v>
      </c>
      <c r="E18" s="22" t="n">
        <v>95361.66583583335</v>
      </c>
      <c r="F18" s="22" t="n">
        <v>111085.8947847853</v>
      </c>
      <c r="G18" s="22" t="n">
        <v>105239.2687434808</v>
      </c>
      <c r="H18" s="22" t="n">
        <v>89704.1429632705</v>
      </c>
      <c r="I18" s="22" t="n">
        <v>87492.37204502159</v>
      </c>
      <c r="J18" s="22" t="n">
        <v>125987.1486269332</v>
      </c>
      <c r="K18" s="22" t="n">
        <v>136066.1205170878</v>
      </c>
      <c r="L18" s="22" t="n">
        <v>1302161.253990853</v>
      </c>
      <c r="M18" s="22" t="n">
        <v>1233626.451149229</v>
      </c>
    </row>
    <row r="19">
      <c r="A19" s="5" t="n">
        <v>10</v>
      </c>
      <c r="B19" s="22">
        <f>'All Inputs'!B19</f>
        <v/>
      </c>
      <c r="C19" s="22" t="n">
        <v>101581.2633287529</v>
      </c>
      <c r="D19" s="22" t="n">
        <v>97527.93831785671</v>
      </c>
      <c r="E19" s="22" t="n">
        <v>94859.76233143422</v>
      </c>
      <c r="F19" s="22" t="n">
        <v>112391.1540485065</v>
      </c>
      <c r="G19" s="22" t="n">
        <v>106475.8301512167</v>
      </c>
      <c r="H19" s="22" t="n">
        <v>88627.69324771126</v>
      </c>
      <c r="I19" s="22" t="n">
        <v>86203.01077277916</v>
      </c>
      <c r="J19" s="22" t="n">
        <v>129262.8144912334</v>
      </c>
      <c r="K19" s="22" t="n">
        <v>139603.8396505321</v>
      </c>
      <c r="L19" s="22" t="n">
        <v>1731874.467807835</v>
      </c>
      <c r="M19" s="22" t="n">
        <v>1640723.180028475</v>
      </c>
    </row>
    <row r="20">
      <c r="B20">
        <f>'All Inputs'!B20</f>
        <v/>
      </c>
    </row>
    <row r="21">
      <c r="B21">
        <f>'All Inputs'!B21</f>
        <v/>
      </c>
    </row>
    <row r="22">
      <c r="B22">
        <f>'All Inputs'!B22</f>
        <v/>
      </c>
    </row>
    <row r="23">
      <c r="B23">
        <f>'All Inputs'!B23</f>
        <v/>
      </c>
    </row>
    <row r="24">
      <c r="B24">
        <f>'All Inputs'!B24</f>
        <v/>
      </c>
    </row>
    <row r="25">
      <c r="B25">
        <f>'All Inputs'!B25</f>
        <v/>
      </c>
    </row>
    <row r="26">
      <c r="B26">
        <f>'All Inputs'!B26</f>
        <v/>
      </c>
    </row>
    <row r="27">
      <c r="B27">
        <f>'All Inputs'!B27</f>
        <v/>
      </c>
    </row>
    <row r="28">
      <c r="B28">
        <f>'All Inputs'!B28</f>
        <v/>
      </c>
    </row>
  </sheetData>
  <conditionalFormatting sqref="B2:B17">
    <cfRule type="cellIs" priority="1" operator="equal" dxfId="0">
      <formula>MAX(B2:B17)</formula>
    </cfRule>
  </conditionalFormatting>
  <conditionalFormatting sqref="C2:C17">
    <cfRule type="cellIs" priority="2" operator="equal" dxfId="0">
      <formula>MAX(C2:C17)</formula>
    </cfRule>
  </conditionalFormatting>
  <conditionalFormatting sqref="D2:D17">
    <cfRule type="cellIs" priority="3" operator="equal" dxfId="0">
      <formula>MAX(D2:D17)</formula>
    </cfRule>
  </conditionalFormatting>
  <conditionalFormatting sqref="E2:E17">
    <cfRule type="cellIs" priority="4" operator="equal" dxfId="0">
      <formula>MAX(E2:E17)</formula>
    </cfRule>
  </conditionalFormatting>
  <conditionalFormatting sqref="F2:F17">
    <cfRule type="cellIs" priority="5" operator="equal" dxfId="0">
      <formula>MAX(F2:F17)</formula>
    </cfRule>
  </conditionalFormatting>
  <conditionalFormatting sqref="G2:G17">
    <cfRule type="cellIs" priority="6" operator="equal" dxfId="0">
      <formula>MAX(G2:G17)</formula>
    </cfRule>
  </conditionalFormatting>
  <conditionalFormatting sqref="H2:H17">
    <cfRule type="cellIs" priority="7" operator="equal" dxfId="0">
      <formula>MAX(H2:H17)</formula>
    </cfRule>
  </conditionalFormatting>
  <conditionalFormatting sqref="I2:I17">
    <cfRule type="cellIs" priority="8" operator="equal" dxfId="0">
      <formula>MAX(I2:I17)</formula>
    </cfRule>
  </conditionalFormatting>
  <conditionalFormatting sqref="J2:J17">
    <cfRule type="cellIs" priority="9" operator="equal" dxfId="0">
      <formula>MAX(J2:J17)</formula>
    </cfRule>
  </conditionalFormatting>
  <conditionalFormatting sqref="K2:K17">
    <cfRule type="cellIs" priority="10" operator="equal" dxfId="0">
      <formula>MAX(K2:K17)</formula>
    </cfRule>
  </conditionalFormatting>
  <conditionalFormatting sqref="L2:L17">
    <cfRule type="cellIs" priority="11" operator="equal" dxfId="0">
      <formula>MAX(L2:L17)</formula>
    </cfRule>
  </conditionalFormatting>
  <conditionalFormatting sqref="M2:M17">
    <cfRule type="cellIs" priority="12" operator="equal" dxfId="0">
      <formula>MAX(M2:M17)</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9"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9" t="n"/>
      <c r="B1" s="19" t="n"/>
    </row>
    <row r="2">
      <c r="A2" s="5" t="n"/>
      <c r="B2" s="5" t="n"/>
    </row>
    <row r="3">
      <c r="A3" s="5" t="n"/>
      <c r="B3" s="6"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9" t="inlineStr">
        <is>
          <t>Indexed Product (S&amp;P 500)</t>
        </is>
      </c>
      <c r="B1" s="19" t="inlineStr">
        <is>
          <t>User Input: Crediting Rate (%)</t>
        </is>
      </c>
    </row>
    <row r="2">
      <c r="A2" s="5" t="inlineStr">
        <is>
          <t>SecureLink Chronic Illness Access (S&amp;P 500 Cap)</t>
        </is>
      </c>
      <c r="B2" s="5" t="n">
        <v>8.5</v>
      </c>
    </row>
    <row r="3">
      <c r="A3" s="5" t="inlineStr">
        <is>
          <t>SecureLink Ultra 5 (S&amp;P 500 Cap)</t>
        </is>
      </c>
      <c r="B3" s="5" t="n">
        <v>0</v>
      </c>
    </row>
    <row r="4">
      <c r="A4" s="5" t="inlineStr">
        <is>
          <t>SecureLink Ultra 7 (S&amp;P 500 Cap)</t>
        </is>
      </c>
      <c r="B4" s="5" t="n">
        <v>0</v>
      </c>
    </row>
    <row r="5">
      <c r="A5" s="5" t="inlineStr">
        <is>
          <t>MultiOption Momentum (S&amp;P 500 Cap)</t>
        </is>
      </c>
      <c r="B5" s="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9" t="inlineStr">
        <is>
          <t>Visual Analysis of Annuity Solutions</t>
        </is>
      </c>
    </row>
    <row r="2">
      <c r="A2" t="inlineStr">
        <is>
          <t>Below are graphical representations of the impact of growth and withdrawals based on user inputs.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2025-03-02T21:48:08Z</dcterms:created>
  <dcterms:modified xmlns:dcterms="http://purl.org/dc/terms/" xmlns:xsi="http://www.w3.org/2001/XMLSchema-instance" xsi:type="dcterms:W3CDTF">2025-03-02T21:48:08Z</dcterms:modified>
</cp:coreProperties>
</file>